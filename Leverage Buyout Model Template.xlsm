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30D4EFF1-FD06-4850-BE36-BE7BF22879BB}" xr6:coauthVersionLast="34" xr6:coauthVersionMax="34" xr10:uidLastSave="{00000000-0000-0000-0000-000000000000}"/>
  <bookViews>
    <workbookView xWindow="32760" yWindow="32760" windowWidth="7680" windowHeight="9135" tabRatio="695" xr2:uid="{00000000-000D-0000-FFFF-FFFF00000000}"/>
  </bookViews>
  <sheets>
    <sheet name="Sources_Uses" sheetId="1" r:id="rId1"/>
    <sheet name="Balance_Sheet" sheetId="5" r:id="rId2"/>
    <sheet name="Income_Statement" sheetId="8" r:id="rId3"/>
    <sheet name="Cash_Flow" sheetId="6" r:id="rId4"/>
    <sheet name="Debt_Repayment" sheetId="9" r:id="rId5"/>
    <sheet name="Book_Depreciation" sheetId="11" r:id="rId6"/>
    <sheet name="Tax_Depreciation" sheetId="12" r:id="rId7"/>
    <sheet name="Ratio_Analysis" sheetId="18" r:id="rId8"/>
    <sheet name="WC_BS_Assumptions" sheetId="4" r:id="rId9"/>
    <sheet name="Inc_Stmt_Assumptions" sheetId="2" r:id="rId10"/>
    <sheet name="Performance_Assumptions" sheetId="3" r:id="rId11"/>
    <sheet name="Asset_Sales" sheetId="19" r:id="rId12"/>
    <sheet name="Capital_Structure" sheetId="10" r:id="rId13"/>
    <sheet name="Income_Tax_Calc" sheetId="13" r:id="rId14"/>
    <sheet name="Free_Cash_Flow_Summary" sheetId="17" r:id="rId15"/>
    <sheet name="DCF_Analysis" sheetId="16" r:id="rId16"/>
    <sheet name="WACC_Page" sheetId="14" r:id="rId17"/>
    <sheet name="Returns_Calculation" sheetId="15" r:id="rId18"/>
  </sheets>
  <definedNames>
    <definedName name="Case">Performance_Assumptions!$C$8</definedName>
    <definedName name="EXIT_YEAR">Returns_Calculation!$B$8</definedName>
    <definedName name="_xlnm.Print_Area" localSheetId="1">Balance_Sheet!$A$1:$U$83</definedName>
    <definedName name="_xlnm.Print_Area" localSheetId="5">Book_Depreciation!$A$1:$T$50</definedName>
    <definedName name="_xlnm.Print_Area" localSheetId="4">Debt_Repayment!$A$1:$S$60</definedName>
    <definedName name="_xlnm.Print_Area" localSheetId="9">Inc_Stmt_Assumptions!$A$1:$T$44</definedName>
    <definedName name="_xlnm.Print_Area" localSheetId="2">Income_Statement!$A$1:$S$65</definedName>
    <definedName name="_xlnm.Print_Area" localSheetId="13">Income_Tax_Calc!$A$1:$N$37</definedName>
    <definedName name="_xlnm.Print_Area" localSheetId="10">Performance_Assumptions!$A$1:$O$40</definedName>
    <definedName name="_xlnm.Print_Area" localSheetId="0">Sources_Uses!$A$1:$R$55</definedName>
    <definedName name="_xlnm.Print_Area" localSheetId="6">Tax_Depreciation!$A$1:$T$42</definedName>
    <definedName name="_xlnm.Print_Area" localSheetId="16">WACC_Page!$A$1:$V$43</definedName>
    <definedName name="_xlnm.Print_Area" localSheetId="8">WC_BS_Assumptions!$A$1:$T$27</definedName>
  </definedNames>
  <calcPr calcId="162913" calcMode="manual" iterate="1"/>
</workbook>
</file>

<file path=xl/calcChain.xml><?xml version="1.0" encoding="utf-8"?>
<calcChain xmlns="http://schemas.openxmlformats.org/spreadsheetml/2006/main">
  <c r="A2" i="19" l="1"/>
  <c r="A6" i="19"/>
  <c r="D8" i="19"/>
  <c r="E8" i="19"/>
  <c r="F8" i="19" s="1"/>
  <c r="G8" i="19" s="1"/>
  <c r="H8" i="19" s="1"/>
  <c r="J8" i="19" s="1"/>
  <c r="K8" i="19" s="1"/>
  <c r="L8" i="19" s="1"/>
  <c r="M8" i="19" s="1"/>
  <c r="N8" i="19" s="1"/>
  <c r="O8" i="19" s="1"/>
  <c r="P8" i="19" s="1"/>
  <c r="Q8" i="19" s="1"/>
  <c r="R8" i="19" s="1"/>
  <c r="S8" i="19" s="1"/>
  <c r="D13" i="19"/>
  <c r="E13" i="19"/>
  <c r="F13" i="19"/>
  <c r="G13" i="19"/>
  <c r="H13" i="19"/>
  <c r="J13" i="19"/>
  <c r="K13" i="19"/>
  <c r="L13" i="19"/>
  <c r="M13" i="19"/>
  <c r="N13" i="19"/>
  <c r="O13" i="19"/>
  <c r="P13" i="19"/>
  <c r="Q13" i="19"/>
  <c r="R13" i="19"/>
  <c r="S13" i="19"/>
  <c r="A20" i="19"/>
  <c r="A21" i="19"/>
  <c r="A22" i="19"/>
  <c r="A23" i="19"/>
  <c r="A24" i="19"/>
  <c r="A25" i="19"/>
  <c r="A26" i="19"/>
  <c r="A27" i="19"/>
  <c r="A28" i="19"/>
  <c r="A30" i="19"/>
  <c r="A31" i="19"/>
  <c r="A32" i="19"/>
  <c r="A33" i="19"/>
  <c r="A34" i="19"/>
  <c r="A35" i="19"/>
  <c r="A36" i="19"/>
  <c r="A37" i="19"/>
  <c r="A38" i="19"/>
  <c r="A39" i="19"/>
  <c r="D41" i="19"/>
  <c r="D75" i="19" s="1"/>
  <c r="E41" i="19"/>
  <c r="F41" i="19"/>
  <c r="F75" i="19" s="1"/>
  <c r="G41" i="19"/>
  <c r="H41" i="19"/>
  <c r="H75" i="19" s="1"/>
  <c r="J41" i="19"/>
  <c r="K41" i="19"/>
  <c r="K75" i="19" s="1"/>
  <c r="L41" i="19"/>
  <c r="M41" i="19"/>
  <c r="M75" i="19" s="1"/>
  <c r="N41" i="19"/>
  <c r="O41" i="19"/>
  <c r="O75" i="19" s="1"/>
  <c r="P41" i="19"/>
  <c r="Q41" i="19"/>
  <c r="Q75" i="19" s="1"/>
  <c r="R41" i="19"/>
  <c r="S41" i="19"/>
  <c r="S75" i="19" s="1"/>
  <c r="A44" i="19"/>
  <c r="A45" i="19"/>
  <c r="A46" i="19"/>
  <c r="A47" i="19"/>
  <c r="A48" i="19"/>
  <c r="A49" i="19"/>
  <c r="A50" i="19"/>
  <c r="A51" i="19"/>
  <c r="A53" i="19"/>
  <c r="A54" i="19"/>
  <c r="A55" i="19"/>
  <c r="A56" i="19"/>
  <c r="A58" i="19"/>
  <c r="A68" i="19"/>
  <c r="A69" i="19"/>
  <c r="A70" i="19"/>
  <c r="A71" i="19"/>
  <c r="A73" i="19"/>
  <c r="D73" i="19"/>
  <c r="E73" i="19"/>
  <c r="E75" i="19" s="1"/>
  <c r="F73" i="19"/>
  <c r="G73" i="19"/>
  <c r="H73" i="19"/>
  <c r="J73" i="19"/>
  <c r="J75" i="19" s="1"/>
  <c r="K73" i="19"/>
  <c r="L73" i="19"/>
  <c r="M73" i="19"/>
  <c r="N73" i="19"/>
  <c r="N75" i="19" s="1"/>
  <c r="O73" i="19"/>
  <c r="P73" i="19"/>
  <c r="Q73" i="19"/>
  <c r="R73" i="19"/>
  <c r="R75" i="19" s="1"/>
  <c r="S73" i="19"/>
  <c r="A75" i="19"/>
  <c r="G75" i="19"/>
  <c r="L75" i="19"/>
  <c r="P75" i="19"/>
  <c r="A2" i="5"/>
  <c r="A6" i="5"/>
  <c r="E8" i="5"/>
  <c r="F8" i="5" s="1"/>
  <c r="G8" i="5"/>
  <c r="H8" i="5" s="1"/>
  <c r="I12" i="5"/>
  <c r="K12" i="5" s="1"/>
  <c r="D42" i="6" s="1"/>
  <c r="J12" i="5"/>
  <c r="K13" i="5"/>
  <c r="K14" i="5"/>
  <c r="F30" i="10" s="1"/>
  <c r="F32" i="10" s="1"/>
  <c r="F35" i="10" s="1"/>
  <c r="D59" i="9" s="1"/>
  <c r="K15" i="5"/>
  <c r="K16" i="5"/>
  <c r="K17" i="5"/>
  <c r="K18" i="5"/>
  <c r="K19" i="5"/>
  <c r="D21" i="5"/>
  <c r="D36" i="5" s="1"/>
  <c r="E21" i="5"/>
  <c r="F21" i="5"/>
  <c r="F36" i="5" s="1"/>
  <c r="G21" i="5"/>
  <c r="H21" i="5"/>
  <c r="H36" i="5" s="1"/>
  <c r="K24" i="5"/>
  <c r="K25" i="5"/>
  <c r="K26" i="5"/>
  <c r="K27" i="5"/>
  <c r="K30" i="5"/>
  <c r="K31" i="5"/>
  <c r="K32" i="5"/>
  <c r="D34" i="5"/>
  <c r="E34" i="5"/>
  <c r="E36" i="5" s="1"/>
  <c r="F34" i="5"/>
  <c r="G34" i="5"/>
  <c r="H34" i="5"/>
  <c r="G36" i="5"/>
  <c r="D40" i="5"/>
  <c r="E40" i="5"/>
  <c r="F40" i="5" s="1"/>
  <c r="G40" i="5"/>
  <c r="H40" i="5" s="1"/>
  <c r="L40" i="5" s="1"/>
  <c r="M40" i="5" s="1"/>
  <c r="N40" i="5" s="1"/>
  <c r="O40" i="5" s="1"/>
  <c r="P40" i="5"/>
  <c r="Q40" i="5" s="1"/>
  <c r="R40" i="5" s="1"/>
  <c r="S40" i="5" s="1"/>
  <c r="T40" i="5" s="1"/>
  <c r="U40" i="5" s="1"/>
  <c r="K43" i="5"/>
  <c r="K44" i="5"/>
  <c r="K45" i="5"/>
  <c r="K46" i="5"/>
  <c r="K47" i="5"/>
  <c r="K48" i="5"/>
  <c r="K49" i="5"/>
  <c r="D51" i="5"/>
  <c r="E51" i="5"/>
  <c r="E70" i="5" s="1"/>
  <c r="E80" i="5" s="1"/>
  <c r="F51" i="5"/>
  <c r="G51" i="5"/>
  <c r="H51" i="5"/>
  <c r="K51" i="5"/>
  <c r="I53" i="5"/>
  <c r="K53" i="5" s="1"/>
  <c r="I54" i="5"/>
  <c r="K54" i="5"/>
  <c r="I55" i="5"/>
  <c r="K55" i="5" s="1"/>
  <c r="K56" i="5"/>
  <c r="A59" i="5"/>
  <c r="A59" i="19" s="1"/>
  <c r="I59" i="5"/>
  <c r="J59" i="5"/>
  <c r="A60" i="5"/>
  <c r="A60" i="19" s="1"/>
  <c r="I60" i="5"/>
  <c r="K60" i="5" s="1"/>
  <c r="J60" i="5"/>
  <c r="A61" i="5"/>
  <c r="A61" i="19" s="1"/>
  <c r="I61" i="5"/>
  <c r="J61" i="5"/>
  <c r="K61" i="5" s="1"/>
  <c r="A62" i="5"/>
  <c r="A62" i="19" s="1"/>
  <c r="I62" i="5"/>
  <c r="J62" i="5"/>
  <c r="A63" i="5"/>
  <c r="A63" i="19" s="1"/>
  <c r="I63" i="5"/>
  <c r="K63" i="5" s="1"/>
  <c r="F16" i="14" s="1"/>
  <c r="J63" i="5"/>
  <c r="A64" i="5"/>
  <c r="A64" i="19" s="1"/>
  <c r="I64" i="5"/>
  <c r="J64" i="5"/>
  <c r="A65" i="5"/>
  <c r="A65" i="19" s="1"/>
  <c r="I65" i="5"/>
  <c r="J65" i="5"/>
  <c r="K65" i="5"/>
  <c r="A66" i="5"/>
  <c r="A66" i="19" s="1"/>
  <c r="I66" i="5"/>
  <c r="K66" i="5" s="1"/>
  <c r="J66" i="5"/>
  <c r="D68" i="5"/>
  <c r="E68" i="5"/>
  <c r="E86" i="5" s="1"/>
  <c r="F68" i="5"/>
  <c r="G68" i="5"/>
  <c r="H68" i="5"/>
  <c r="D70" i="5"/>
  <c r="D80" i="5" s="1"/>
  <c r="D82" i="5" s="1"/>
  <c r="F70" i="5"/>
  <c r="G70" i="5"/>
  <c r="H70" i="5"/>
  <c r="H80" i="5" s="1"/>
  <c r="H82" i="5" s="1"/>
  <c r="I73" i="5"/>
  <c r="I74" i="5"/>
  <c r="K74" i="5" s="1"/>
  <c r="J74" i="5"/>
  <c r="I75" i="5"/>
  <c r="K75" i="5"/>
  <c r="D77" i="5"/>
  <c r="E77" i="5"/>
  <c r="F77" i="5"/>
  <c r="G77" i="5"/>
  <c r="H77" i="5"/>
  <c r="F80" i="5"/>
  <c r="G80" i="5"/>
  <c r="G82" i="5" s="1"/>
  <c r="E82" i="5"/>
  <c r="F82" i="5"/>
  <c r="D86" i="5"/>
  <c r="F86" i="5"/>
  <c r="G86" i="5"/>
  <c r="H86" i="5"/>
  <c r="A2" i="11"/>
  <c r="A6" i="11"/>
  <c r="G8" i="11"/>
  <c r="L8" i="11"/>
  <c r="Q8" i="11"/>
  <c r="D10" i="11"/>
  <c r="D17" i="11" s="1"/>
  <c r="F39" i="11"/>
  <c r="A41" i="11"/>
  <c r="A43" i="11"/>
  <c r="A2" i="10"/>
  <c r="A6" i="10"/>
  <c r="F8" i="10"/>
  <c r="A10" i="10"/>
  <c r="D10" i="10"/>
  <c r="A11" i="10"/>
  <c r="D11" i="10"/>
  <c r="A12" i="10"/>
  <c r="D12" i="10"/>
  <c r="A13" i="10"/>
  <c r="D13" i="10"/>
  <c r="A14" i="10"/>
  <c r="D14" i="10"/>
  <c r="A15" i="10"/>
  <c r="D15" i="10"/>
  <c r="A16" i="10"/>
  <c r="D16" i="10"/>
  <c r="F16" i="10"/>
  <c r="A17" i="10"/>
  <c r="D17" i="10"/>
  <c r="A18" i="10"/>
  <c r="D18" i="10"/>
  <c r="F18" i="10"/>
  <c r="A19" i="10"/>
  <c r="D19" i="10"/>
  <c r="D23" i="10"/>
  <c r="D25" i="10"/>
  <c r="A29" i="10"/>
  <c r="F29" i="10"/>
  <c r="A30" i="10"/>
  <c r="F39" i="10"/>
  <c r="A2" i="6"/>
  <c r="A6" i="6"/>
  <c r="A13" i="6"/>
  <c r="A14" i="6"/>
  <c r="A15" i="6"/>
  <c r="A16" i="6"/>
  <c r="A17" i="6"/>
  <c r="A18" i="6"/>
  <c r="A23" i="6"/>
  <c r="A24" i="6"/>
  <c r="A25" i="6"/>
  <c r="A26" i="6"/>
  <c r="A27" i="6"/>
  <c r="A28" i="6"/>
  <c r="A29" i="6"/>
  <c r="A31" i="6"/>
  <c r="A32" i="6"/>
  <c r="A33" i="6"/>
  <c r="A34" i="6"/>
  <c r="A35" i="6"/>
  <c r="A36" i="6"/>
  <c r="A37" i="6"/>
  <c r="D44" i="6" a="1"/>
  <c r="K44" i="6" s="1"/>
  <c r="Q19" i="17" s="1"/>
  <c r="H44" i="6"/>
  <c r="N19" i="17" s="1"/>
  <c r="A45" i="6"/>
  <c r="A46" i="6"/>
  <c r="A47" i="6"/>
  <c r="A48" i="6"/>
  <c r="A49" i="6"/>
  <c r="A50" i="6"/>
  <c r="A51" i="6"/>
  <c r="A52" i="6"/>
  <c r="A53" i="6"/>
  <c r="A2" i="16"/>
  <c r="A6" i="16"/>
  <c r="E11" i="16"/>
  <c r="L11" i="16"/>
  <c r="N11" i="16"/>
  <c r="W37" i="17" s="1"/>
  <c r="S14" i="16"/>
  <c r="G37" i="16" s="1"/>
  <c r="S22" i="16"/>
  <c r="J23" i="16"/>
  <c r="L23" i="16"/>
  <c r="S34" i="16"/>
  <c r="J35" i="16"/>
  <c r="S35" i="16" s="1"/>
  <c r="L35" i="16"/>
  <c r="T35" i="16" s="1"/>
  <c r="E37" i="16"/>
  <c r="C39" i="16"/>
  <c r="N39" i="16"/>
  <c r="L41" i="16"/>
  <c r="BQ72" i="16"/>
  <c r="BO72" i="16" s="1"/>
  <c r="BO93" i="16" s="1"/>
  <c r="BO114" i="16" s="1"/>
  <c r="BX72" i="16"/>
  <c r="BZ72" i="16"/>
  <c r="BZ93" i="16" s="1"/>
  <c r="BZ114" i="16" s="1"/>
  <c r="BJ76" i="16"/>
  <c r="BJ77" i="16"/>
  <c r="BO85" i="16"/>
  <c r="BQ85" i="16" s="1"/>
  <c r="BS85" i="16" s="1"/>
  <c r="BV85" i="16" s="1"/>
  <c r="BX85" i="16" s="1"/>
  <c r="BZ85" i="16" s="1"/>
  <c r="BQ93" i="16"/>
  <c r="BQ114" i="16" s="1"/>
  <c r="BV93" i="16"/>
  <c r="BV114" i="16" s="1"/>
  <c r="BX93" i="16"/>
  <c r="BJ97" i="16"/>
  <c r="BJ98" i="16"/>
  <c r="BJ100" i="16"/>
  <c r="BJ102" i="16"/>
  <c r="BJ104" i="16"/>
  <c r="BJ106" i="16"/>
  <c r="BJ108" i="16"/>
  <c r="BX114" i="16"/>
  <c r="A2" i="9"/>
  <c r="A6" i="9"/>
  <c r="D13" i="9"/>
  <c r="E13" i="9"/>
  <c r="F13" i="9"/>
  <c r="G13" i="9"/>
  <c r="H13" i="9"/>
  <c r="I13" i="9"/>
  <c r="J13" i="9"/>
  <c r="K13" i="9"/>
  <c r="L13" i="9"/>
  <c r="M13" i="9"/>
  <c r="A15" i="9"/>
  <c r="A16" i="9"/>
  <c r="Q16" i="9"/>
  <c r="A17" i="9"/>
  <c r="A20" i="9"/>
  <c r="Q20" i="9"/>
  <c r="A24" i="9"/>
  <c r="Q24" i="9"/>
  <c r="A27" i="9"/>
  <c r="A28" i="9"/>
  <c r="Q28" i="9"/>
  <c r="A29" i="9"/>
  <c r="A31" i="9"/>
  <c r="A32" i="9"/>
  <c r="Q32" i="9"/>
  <c r="A33" i="9"/>
  <c r="A35" i="9"/>
  <c r="A36" i="9"/>
  <c r="Q36" i="9"/>
  <c r="A37" i="9"/>
  <c r="A39" i="9"/>
  <c r="A40" i="9"/>
  <c r="Q40" i="9"/>
  <c r="A41" i="9"/>
  <c r="A43" i="9"/>
  <c r="A44" i="9"/>
  <c r="A46" i="9"/>
  <c r="A47" i="9"/>
  <c r="A48" i="9"/>
  <c r="A2" i="17"/>
  <c r="A6" i="17"/>
  <c r="L6" i="17"/>
  <c r="D8" i="17"/>
  <c r="E8" i="17" s="1"/>
  <c r="F8" i="17" s="1"/>
  <c r="G8" i="17" s="1"/>
  <c r="H8" i="17" s="1"/>
  <c r="J8" i="17" s="1"/>
  <c r="A12" i="17"/>
  <c r="D14" i="17"/>
  <c r="E14" i="17"/>
  <c r="G14" i="17"/>
  <c r="O37" i="17"/>
  <c r="U37" i="17"/>
  <c r="M37" i="17" s="1"/>
  <c r="V37" i="17"/>
  <c r="N37" i="17" s="1"/>
  <c r="A2" i="2"/>
  <c r="A6" i="2"/>
  <c r="D8" i="2"/>
  <c r="E8" i="2" s="1"/>
  <c r="F8" i="2" s="1"/>
  <c r="G8" i="2" s="1"/>
  <c r="H8" i="2" s="1"/>
  <c r="J8" i="2"/>
  <c r="K8" i="2" s="1"/>
  <c r="L8" i="2" s="1"/>
  <c r="M8" i="2" s="1"/>
  <c r="N8" i="2" s="1"/>
  <c r="O8" i="2" s="1"/>
  <c r="P8" i="2" s="1"/>
  <c r="Q8" i="2" s="1"/>
  <c r="R8" i="2" s="1"/>
  <c r="S8" i="2" s="1"/>
  <c r="E10" i="2"/>
  <c r="E43" i="18" s="1"/>
  <c r="F10" i="2"/>
  <c r="G10" i="2"/>
  <c r="H10" i="2"/>
  <c r="A12" i="2"/>
  <c r="A16" i="3" s="1"/>
  <c r="D12" i="2"/>
  <c r="E12" i="2"/>
  <c r="F12" i="2"/>
  <c r="G12" i="2"/>
  <c r="H12" i="2"/>
  <c r="A14" i="2"/>
  <c r="D14" i="2"/>
  <c r="E14" i="2"/>
  <c r="F14" i="2"/>
  <c r="G14" i="2"/>
  <c r="G44" i="18" s="1"/>
  <c r="H14" i="2"/>
  <c r="A17" i="2"/>
  <c r="A20" i="3" s="1"/>
  <c r="D17" i="2"/>
  <c r="E17" i="2"/>
  <c r="F17" i="2"/>
  <c r="G17" i="2"/>
  <c r="H17" i="2"/>
  <c r="A18" i="2"/>
  <c r="D18" i="2"/>
  <c r="E18" i="2"/>
  <c r="F18" i="2"/>
  <c r="G18" i="2"/>
  <c r="H18" i="2"/>
  <c r="D25" i="3" s="1"/>
  <c r="E25" i="3" s="1"/>
  <c r="F25" i="3" s="1"/>
  <c r="G25" i="3" s="1"/>
  <c r="H25" i="3" s="1"/>
  <c r="I25" i="3" s="1"/>
  <c r="J25" i="3" s="1"/>
  <c r="K25" i="3" s="1"/>
  <c r="A19" i="2"/>
  <c r="D19" i="2"/>
  <c r="E19" i="2"/>
  <c r="F19" i="2"/>
  <c r="G19" i="2"/>
  <c r="H19" i="2"/>
  <c r="A20" i="2"/>
  <c r="D20" i="2"/>
  <c r="E20" i="2"/>
  <c r="F20" i="2"/>
  <c r="G20" i="2"/>
  <c r="H20" i="2"/>
  <c r="D33" i="3" s="1"/>
  <c r="E33" i="3" s="1"/>
  <c r="F33" i="3" s="1"/>
  <c r="G33" i="3" s="1"/>
  <c r="H33" i="3" s="1"/>
  <c r="A21" i="2"/>
  <c r="A36" i="3" s="1"/>
  <c r="D21" i="2"/>
  <c r="E21" i="2"/>
  <c r="F21" i="2"/>
  <c r="G21" i="2"/>
  <c r="H21" i="2"/>
  <c r="A23" i="2"/>
  <c r="D23" i="2"/>
  <c r="E23" i="2"/>
  <c r="F23" i="2"/>
  <c r="G23" i="2"/>
  <c r="H23" i="2"/>
  <c r="A25" i="2"/>
  <c r="D25" i="2"/>
  <c r="D46" i="18" s="1"/>
  <c r="E25" i="2"/>
  <c r="F25" i="2"/>
  <c r="F46" i="18" s="1"/>
  <c r="G25" i="2"/>
  <c r="G46" i="18" s="1"/>
  <c r="H25" i="2"/>
  <c r="H46" i="18" s="1"/>
  <c r="K28" i="2"/>
  <c r="L28" i="2" s="1"/>
  <c r="A29" i="2"/>
  <c r="K29" i="2"/>
  <c r="L29" i="2"/>
  <c r="M29" i="2" s="1"/>
  <c r="N29" i="2" s="1"/>
  <c r="O29" i="2" s="1"/>
  <c r="P29" i="2"/>
  <c r="Q29" i="2"/>
  <c r="R29" i="2" s="1"/>
  <c r="S29" i="2" s="1"/>
  <c r="A30" i="2"/>
  <c r="K30" i="2"/>
  <c r="L30" i="2"/>
  <c r="M30" i="2" s="1"/>
  <c r="N30" i="2" s="1"/>
  <c r="A31" i="2"/>
  <c r="K31" i="2"/>
  <c r="L31" i="2"/>
  <c r="A32" i="2"/>
  <c r="K32" i="2"/>
  <c r="A33" i="2"/>
  <c r="K33" i="2"/>
  <c r="L33" i="2"/>
  <c r="M33" i="2" s="1"/>
  <c r="N33" i="2" s="1"/>
  <c r="O33" i="2" s="1"/>
  <c r="P33" i="2"/>
  <c r="A34" i="2"/>
  <c r="K34" i="2"/>
  <c r="L34" i="2"/>
  <c r="A35" i="2"/>
  <c r="K35" i="2"/>
  <c r="L35" i="2"/>
  <c r="A36" i="2"/>
  <c r="K36" i="2"/>
  <c r="L36" i="2" s="1"/>
  <c r="M36" i="2" s="1"/>
  <c r="A37" i="2"/>
  <c r="K37" i="2"/>
  <c r="L37" i="2"/>
  <c r="M37" i="2" s="1"/>
  <c r="N37" i="2" s="1"/>
  <c r="O37" i="2" s="1"/>
  <c r="P37" i="2"/>
  <c r="Q37" i="2" s="1"/>
  <c r="R37" i="2" s="1"/>
  <c r="S37" i="2" s="1"/>
  <c r="A38" i="2"/>
  <c r="K38" i="2"/>
  <c r="L38" i="2"/>
  <c r="M38" i="2" s="1"/>
  <c r="N38" i="2" s="1"/>
  <c r="O38" i="2" s="1"/>
  <c r="P38" i="2" s="1"/>
  <c r="Q38" i="2" s="1"/>
  <c r="R38" i="2" s="1"/>
  <c r="S38" i="2" s="1"/>
  <c r="A39" i="2"/>
  <c r="K42" i="2"/>
  <c r="L42" i="2"/>
  <c r="M42" i="2" s="1"/>
  <c r="N42" i="2" s="1"/>
  <c r="O42" i="2" s="1"/>
  <c r="P42" i="2" s="1"/>
  <c r="Q42" i="2" s="1"/>
  <c r="R42" i="2" s="1"/>
  <c r="S42" i="2" s="1"/>
  <c r="K43" i="2"/>
  <c r="L43" i="2" s="1"/>
  <c r="M43" i="2" s="1"/>
  <c r="N43" i="2" s="1"/>
  <c r="O43" i="2" s="1"/>
  <c r="P43" i="2" s="1"/>
  <c r="Q43" i="2" s="1"/>
  <c r="R43" i="2"/>
  <c r="S43" i="2"/>
  <c r="K44" i="2"/>
  <c r="L44" i="2"/>
  <c r="M44" i="2"/>
  <c r="N44" i="2"/>
  <c r="O44" i="2" s="1"/>
  <c r="P44" i="2" s="1"/>
  <c r="Q44" i="2" s="1"/>
  <c r="R44" i="2" s="1"/>
  <c r="S44" i="2" s="1"/>
  <c r="A2" i="8"/>
  <c r="A6" i="8"/>
  <c r="D8" i="8"/>
  <c r="E8" i="8"/>
  <c r="F8" i="8" s="1"/>
  <c r="G8" i="8" s="1"/>
  <c r="H8" i="8" s="1"/>
  <c r="J8" i="8" s="1"/>
  <c r="K8" i="8" s="1"/>
  <c r="L8" i="8" s="1"/>
  <c r="M8" i="8" s="1"/>
  <c r="N8" i="8" s="1"/>
  <c r="O8" i="8" s="1"/>
  <c r="P8" i="8" s="1"/>
  <c r="Q8" i="8" s="1"/>
  <c r="R8" i="8" s="1"/>
  <c r="S8" i="8" s="1"/>
  <c r="D14" i="8"/>
  <c r="E14" i="8"/>
  <c r="F14" i="8"/>
  <c r="F27" i="8" s="1"/>
  <c r="F19" i="18" s="1"/>
  <c r="G14" i="8"/>
  <c r="G27" i="8" s="1"/>
  <c r="H14" i="8"/>
  <c r="D23" i="8"/>
  <c r="D27" i="8" s="1"/>
  <c r="E23" i="8"/>
  <c r="E27" i="8" s="1"/>
  <c r="F23" i="8"/>
  <c r="G23" i="8"/>
  <c r="H23" i="8"/>
  <c r="H27" i="8" s="1"/>
  <c r="F29" i="8"/>
  <c r="F14" i="17" s="1"/>
  <c r="G29" i="8"/>
  <c r="H29" i="8"/>
  <c r="H14" i="17" s="1"/>
  <c r="F31" i="8"/>
  <c r="G31" i="8"/>
  <c r="G10" i="17" s="1"/>
  <c r="D36" i="8"/>
  <c r="E36" i="8"/>
  <c r="F36" i="8"/>
  <c r="G36" i="8"/>
  <c r="H36" i="8"/>
  <c r="U40" i="8"/>
  <c r="A43" i="8"/>
  <c r="U43" i="8"/>
  <c r="W43" i="8" s="1"/>
  <c r="AB43" i="8"/>
  <c r="A44" i="8"/>
  <c r="U44" i="8"/>
  <c r="J44" i="8" s="1"/>
  <c r="AB44" i="8"/>
  <c r="A45" i="8"/>
  <c r="U45" i="8"/>
  <c r="W45" i="8"/>
  <c r="AB45" i="8"/>
  <c r="A46" i="8"/>
  <c r="U46" i="8"/>
  <c r="AB46" i="8"/>
  <c r="A47" i="8"/>
  <c r="J47" i="8"/>
  <c r="U47" i="8"/>
  <c r="W47" i="8"/>
  <c r="AB47" i="8"/>
  <c r="A48" i="8"/>
  <c r="U48" i="8"/>
  <c r="W48" i="8"/>
  <c r="AB48" i="8"/>
  <c r="A49" i="8"/>
  <c r="U49" i="8"/>
  <c r="J49" i="8" s="1"/>
  <c r="W49" i="8"/>
  <c r="AB49" i="8"/>
  <c r="A50" i="8"/>
  <c r="U50" i="8"/>
  <c r="J50" i="8" s="1"/>
  <c r="AB50" i="8"/>
  <c r="D52" i="8"/>
  <c r="E52" i="8"/>
  <c r="E27" i="18" s="1"/>
  <c r="F52" i="8"/>
  <c r="F30" i="18" s="1"/>
  <c r="G52" i="8"/>
  <c r="H52" i="8"/>
  <c r="O54" i="8"/>
  <c r="Q54" i="8"/>
  <c r="S54" i="8"/>
  <c r="D67" i="8"/>
  <c r="D26" i="18" s="1"/>
  <c r="E67" i="8"/>
  <c r="E29" i="18" s="1"/>
  <c r="F67" i="8"/>
  <c r="G67" i="8"/>
  <c r="H67" i="8"/>
  <c r="D68" i="8"/>
  <c r="E68" i="8"/>
  <c r="F68" i="8"/>
  <c r="G68" i="8"/>
  <c r="H68" i="8"/>
  <c r="A2" i="13"/>
  <c r="A6" i="13"/>
  <c r="D15" i="13"/>
  <c r="J54" i="8" s="1"/>
  <c r="E15" i="13"/>
  <c r="K54" i="8" s="1"/>
  <c r="F15" i="13"/>
  <c r="L54" i="8" s="1"/>
  <c r="G15" i="13"/>
  <c r="M54" i="8" s="1"/>
  <c r="H15" i="13"/>
  <c r="N54" i="8" s="1"/>
  <c r="I15" i="13"/>
  <c r="J15" i="13"/>
  <c r="P54" i="8" s="1"/>
  <c r="K15" i="13"/>
  <c r="L15" i="13"/>
  <c r="R54" i="8" s="1"/>
  <c r="M15" i="13"/>
  <c r="D16" i="13"/>
  <c r="E16" i="13"/>
  <c r="F16" i="13"/>
  <c r="G16" i="13"/>
  <c r="H16" i="13"/>
  <c r="I16" i="13"/>
  <c r="J16" i="13"/>
  <c r="K16" i="13"/>
  <c r="L16" i="13"/>
  <c r="M16" i="13"/>
  <c r="A2" i="3"/>
  <c r="A6" i="3"/>
  <c r="C8" i="3"/>
  <c r="A12" i="3"/>
  <c r="D13" i="3"/>
  <c r="E13" i="3" s="1"/>
  <c r="F13" i="3" s="1"/>
  <c r="B17" i="3"/>
  <c r="D17" i="3"/>
  <c r="E17" i="3" s="1"/>
  <c r="F17" i="3" s="1"/>
  <c r="G17" i="3" s="1"/>
  <c r="H17" i="3" s="1"/>
  <c r="I17" i="3" s="1"/>
  <c r="J17" i="3" s="1"/>
  <c r="K17" i="3" s="1"/>
  <c r="B18" i="3"/>
  <c r="B19" i="3"/>
  <c r="B23" i="3" s="1"/>
  <c r="B21" i="3"/>
  <c r="B25" i="3" s="1"/>
  <c r="B29" i="3" s="1"/>
  <c r="B33" i="3" s="1"/>
  <c r="B37" i="3" s="1"/>
  <c r="D21" i="3"/>
  <c r="E21" i="3"/>
  <c r="F21" i="3" s="1"/>
  <c r="G21" i="3" s="1"/>
  <c r="B22" i="3"/>
  <c r="B26" i="3" s="1"/>
  <c r="B30" i="3" s="1"/>
  <c r="B34" i="3" s="1"/>
  <c r="B38" i="3" s="1"/>
  <c r="A24" i="3"/>
  <c r="B27" i="3"/>
  <c r="A28" i="3"/>
  <c r="D29" i="3"/>
  <c r="E29" i="3"/>
  <c r="F29" i="3" s="1"/>
  <c r="K19" i="2" s="1"/>
  <c r="B31" i="3"/>
  <c r="B35" i="3" s="1"/>
  <c r="B39" i="3" s="1"/>
  <c r="A32" i="3"/>
  <c r="D37" i="3"/>
  <c r="E37" i="3"/>
  <c r="F37" i="3" s="1"/>
  <c r="G37" i="3" s="1"/>
  <c r="H37" i="3" s="1"/>
  <c r="I37" i="3" s="1"/>
  <c r="J37" i="3" s="1"/>
  <c r="K37" i="3" s="1"/>
  <c r="L37" i="3" s="1"/>
  <c r="A2" i="18"/>
  <c r="A6" i="18"/>
  <c r="D8" i="18"/>
  <c r="E8" i="18"/>
  <c r="W16" i="18" s="1"/>
  <c r="J8" i="18"/>
  <c r="D11" i="18"/>
  <c r="E11" i="18"/>
  <c r="F11" i="18"/>
  <c r="G11" i="18"/>
  <c r="H11" i="18"/>
  <c r="D12" i="18"/>
  <c r="E12" i="18"/>
  <c r="F12" i="18"/>
  <c r="G12" i="18"/>
  <c r="H12" i="18"/>
  <c r="D13" i="18"/>
  <c r="E13" i="18"/>
  <c r="F13" i="18"/>
  <c r="G13" i="18"/>
  <c r="H13" i="18"/>
  <c r="D16" i="18"/>
  <c r="F16" i="18"/>
  <c r="H16" i="18"/>
  <c r="E44" i="1" s="1"/>
  <c r="D17" i="18"/>
  <c r="F17" i="18"/>
  <c r="H17" i="18"/>
  <c r="E45" i="1" s="1"/>
  <c r="G19" i="18"/>
  <c r="D20" i="18"/>
  <c r="F20" i="18"/>
  <c r="G20" i="18"/>
  <c r="H20" i="18"/>
  <c r="D23" i="18"/>
  <c r="E23" i="18"/>
  <c r="G23" i="18"/>
  <c r="D24" i="18"/>
  <c r="F24" i="18"/>
  <c r="G24" i="18"/>
  <c r="H24" i="18"/>
  <c r="F26" i="18"/>
  <c r="G26" i="18"/>
  <c r="D27" i="18"/>
  <c r="F27" i="18"/>
  <c r="G27" i="18"/>
  <c r="H27" i="18"/>
  <c r="D29" i="18"/>
  <c r="G29" i="18"/>
  <c r="H29" i="18"/>
  <c r="D30" i="18"/>
  <c r="E30" i="18"/>
  <c r="G30" i="18"/>
  <c r="H30" i="18"/>
  <c r="D32" i="18"/>
  <c r="E32" i="18"/>
  <c r="F32" i="18"/>
  <c r="G32" i="18"/>
  <c r="H32" i="18"/>
  <c r="D33" i="18"/>
  <c r="E33" i="18"/>
  <c r="F33" i="18"/>
  <c r="G33" i="18"/>
  <c r="H33" i="18"/>
  <c r="D36" i="18"/>
  <c r="E36" i="18"/>
  <c r="F36" i="18"/>
  <c r="G36" i="18"/>
  <c r="H36" i="18"/>
  <c r="D37" i="18"/>
  <c r="E37" i="18"/>
  <c r="F37" i="18"/>
  <c r="G37" i="18"/>
  <c r="H37" i="18"/>
  <c r="D38" i="18"/>
  <c r="E38" i="18"/>
  <c r="F38" i="18"/>
  <c r="G38" i="18"/>
  <c r="H38" i="18"/>
  <c r="D39" i="18"/>
  <c r="E39" i="18"/>
  <c r="F39" i="18"/>
  <c r="G39" i="18"/>
  <c r="H39" i="18"/>
  <c r="V39" i="18"/>
  <c r="D40" i="18"/>
  <c r="E40" i="18"/>
  <c r="F40" i="18"/>
  <c r="G40" i="18"/>
  <c r="H40" i="18"/>
  <c r="D43" i="18"/>
  <c r="F43" i="18"/>
  <c r="G43" i="18"/>
  <c r="H43" i="18"/>
  <c r="D44" i="18"/>
  <c r="E44" i="18"/>
  <c r="F44" i="18"/>
  <c r="H44" i="18"/>
  <c r="D45" i="18"/>
  <c r="E45" i="18"/>
  <c r="F45" i="18"/>
  <c r="G45" i="18"/>
  <c r="H45" i="18"/>
  <c r="E46" i="18"/>
  <c r="D52" i="18"/>
  <c r="E52" i="18"/>
  <c r="F52" i="18"/>
  <c r="G52" i="18"/>
  <c r="H52" i="18"/>
  <c r="K52" i="18"/>
  <c r="D53" i="18"/>
  <c r="E53" i="18"/>
  <c r="F53" i="18"/>
  <c r="G53" i="18"/>
  <c r="H53" i="18"/>
  <c r="K53" i="18"/>
  <c r="A2" i="15"/>
  <c r="A6" i="15"/>
  <c r="B8" i="15"/>
  <c r="J9" i="15"/>
  <c r="A12" i="15"/>
  <c r="H40" i="15" s="1"/>
  <c r="A13" i="15"/>
  <c r="C13" i="15"/>
  <c r="D13" i="15" s="1"/>
  <c r="A14" i="15"/>
  <c r="H51" i="15" s="1"/>
  <c r="C14" i="15"/>
  <c r="D14" i="15" s="1"/>
  <c r="K37" i="1" s="1"/>
  <c r="F14" i="15"/>
  <c r="C50" i="15" s="1"/>
  <c r="A15" i="15"/>
  <c r="A43" i="15" s="1"/>
  <c r="C15" i="15"/>
  <c r="J35" i="15" s="1"/>
  <c r="F15" i="15"/>
  <c r="C43" i="15" s="1"/>
  <c r="A16" i="15"/>
  <c r="A44" i="15" s="1"/>
  <c r="C16" i="15"/>
  <c r="J11" i="15" s="1"/>
  <c r="F16" i="15"/>
  <c r="A17" i="15"/>
  <c r="H16" i="15" s="1"/>
  <c r="C17" i="15"/>
  <c r="J17" i="15" s="1"/>
  <c r="F17" i="15"/>
  <c r="H17" i="15"/>
  <c r="H23" i="15" s="1"/>
  <c r="A18" i="15"/>
  <c r="H22" i="15" s="1"/>
  <c r="C18" i="15"/>
  <c r="J23" i="15" s="1"/>
  <c r="F18" i="15"/>
  <c r="H18" i="15"/>
  <c r="A19" i="15"/>
  <c r="A47" i="15" s="1"/>
  <c r="C19" i="15"/>
  <c r="J29" i="15" s="1"/>
  <c r="F19" i="15"/>
  <c r="H19" i="15"/>
  <c r="H31" i="15" s="1"/>
  <c r="H20" i="15"/>
  <c r="H32" i="15" s="1"/>
  <c r="H25" i="15"/>
  <c r="H28" i="15"/>
  <c r="H30" i="15"/>
  <c r="H36" i="15"/>
  <c r="C44" i="15"/>
  <c r="C45" i="15"/>
  <c r="H45" i="15"/>
  <c r="A46" i="15"/>
  <c r="C46" i="15"/>
  <c r="J46" i="15"/>
  <c r="J49" i="15" s="1"/>
  <c r="C47" i="15"/>
  <c r="A49" i="15"/>
  <c r="I49" i="15"/>
  <c r="N22" i="1" s="1"/>
  <c r="A2" i="1"/>
  <c r="P6" i="1"/>
  <c r="Q7" i="1"/>
  <c r="L11" i="1"/>
  <c r="N11" i="1"/>
  <c r="E12" i="1"/>
  <c r="L12" i="1"/>
  <c r="N12" i="1"/>
  <c r="L13" i="1"/>
  <c r="N13" i="1"/>
  <c r="P13" i="1"/>
  <c r="L14" i="1"/>
  <c r="N14" i="1"/>
  <c r="P14" i="1"/>
  <c r="L15" i="1"/>
  <c r="N15" i="1"/>
  <c r="P15" i="1"/>
  <c r="L16" i="1"/>
  <c r="P16" i="1"/>
  <c r="L17" i="1"/>
  <c r="P17" i="1"/>
  <c r="L18" i="1"/>
  <c r="N18" i="1"/>
  <c r="P18" i="1"/>
  <c r="L19" i="1"/>
  <c r="E21" i="1"/>
  <c r="L22" i="1"/>
  <c r="L23" i="1"/>
  <c r="E24" i="1"/>
  <c r="Q31" i="1" s="1"/>
  <c r="K24" i="1"/>
  <c r="L24" i="1"/>
  <c r="E28" i="1"/>
  <c r="G31" i="1"/>
  <c r="L31" i="1"/>
  <c r="B32" i="1"/>
  <c r="E32" i="1"/>
  <c r="G32" i="1"/>
  <c r="L32" i="1"/>
  <c r="G33" i="1"/>
  <c r="L33" i="1"/>
  <c r="Q33" i="1"/>
  <c r="G34" i="1"/>
  <c r="L34" i="1"/>
  <c r="G35" i="1"/>
  <c r="Q35" i="1"/>
  <c r="G36" i="1"/>
  <c r="G37" i="1"/>
  <c r="Q37" i="1"/>
  <c r="E38" i="1"/>
  <c r="M44" i="1"/>
  <c r="M45" i="1"/>
  <c r="M46" i="1"/>
  <c r="E47" i="1"/>
  <c r="M47" i="1"/>
  <c r="E53" i="1"/>
  <c r="M53" i="1"/>
  <c r="E54" i="1"/>
  <c r="A2" i="12"/>
  <c r="A6" i="12"/>
  <c r="G8" i="12"/>
  <c r="X8" i="12"/>
  <c r="AC8" i="12"/>
  <c r="B16" i="12"/>
  <c r="D16" i="12"/>
  <c r="F16" i="12"/>
  <c r="B17" i="12"/>
  <c r="F17" i="12"/>
  <c r="B18" i="12"/>
  <c r="F18" i="12"/>
  <c r="B19" i="12"/>
  <c r="F19" i="12"/>
  <c r="B20" i="12"/>
  <c r="D20" i="12"/>
  <c r="F28" i="12"/>
  <c r="F29" i="12"/>
  <c r="F39" i="12" s="1"/>
  <c r="F30" i="12"/>
  <c r="F31" i="12"/>
  <c r="F32" i="12"/>
  <c r="F33" i="12"/>
  <c r="F34" i="12"/>
  <c r="F35" i="12"/>
  <c r="F36" i="12"/>
  <c r="F37" i="12"/>
  <c r="A41" i="12"/>
  <c r="A2" i="14"/>
  <c r="A6" i="14"/>
  <c r="H8" i="14"/>
  <c r="P7" i="14" s="1"/>
  <c r="C12" i="14"/>
  <c r="H12" i="14"/>
  <c r="C13" i="14"/>
  <c r="F13" i="14"/>
  <c r="H13" i="14"/>
  <c r="C14" i="14"/>
  <c r="H14" i="14"/>
  <c r="C15" i="14"/>
  <c r="H15" i="14"/>
  <c r="C16" i="14"/>
  <c r="H16" i="14"/>
  <c r="C17" i="14"/>
  <c r="H17" i="14"/>
  <c r="C18" i="14"/>
  <c r="F18" i="14"/>
  <c r="H18" i="14"/>
  <c r="C19" i="14"/>
  <c r="F19" i="14"/>
  <c r="H19" i="14"/>
  <c r="R26" i="14"/>
  <c r="C28" i="14"/>
  <c r="F28" i="14"/>
  <c r="R15" i="14" s="1"/>
  <c r="T15" i="14" s="1"/>
  <c r="H28" i="14"/>
  <c r="P28" i="14"/>
  <c r="R28" i="14"/>
  <c r="T28" i="14" s="1"/>
  <c r="R30" i="14"/>
  <c r="J49" i="14"/>
  <c r="J51" i="14"/>
  <c r="P30" i="14" s="1"/>
  <c r="D60" i="14"/>
  <c r="D61" i="14"/>
  <c r="D63" i="14" s="1"/>
  <c r="D64" i="14"/>
  <c r="D67" i="14"/>
  <c r="A2" i="4"/>
  <c r="A5" i="4"/>
  <c r="A6" i="4"/>
  <c r="D8" i="4"/>
  <c r="E8" i="4" s="1"/>
  <c r="F8" i="4" s="1"/>
  <c r="G8" i="4" s="1"/>
  <c r="H8" i="4" s="1"/>
  <c r="J8" i="4" s="1"/>
  <c r="K8" i="4" s="1"/>
  <c r="L8" i="4" s="1"/>
  <c r="M8" i="4" s="1"/>
  <c r="N8" i="4" s="1"/>
  <c r="O8" i="4" s="1"/>
  <c r="P8" i="4" s="1"/>
  <c r="Q8" i="4" s="1"/>
  <c r="R8" i="4" s="1"/>
  <c r="S8" i="4" s="1"/>
  <c r="A10" i="4"/>
  <c r="A11" i="4"/>
  <c r="D11" i="4"/>
  <c r="E11" i="4"/>
  <c r="F11" i="4"/>
  <c r="G11" i="4"/>
  <c r="H11" i="4"/>
  <c r="J11" i="4"/>
  <c r="K11" i="4" s="1"/>
  <c r="L11" i="4" s="1"/>
  <c r="M11" i="4" s="1"/>
  <c r="N11" i="4" s="1"/>
  <c r="O11" i="4" s="1"/>
  <c r="P11" i="4" s="1"/>
  <c r="Q11" i="4" s="1"/>
  <c r="R11" i="4" s="1"/>
  <c r="S11" i="4" s="1"/>
  <c r="A12" i="4"/>
  <c r="D12" i="4"/>
  <c r="E12" i="4"/>
  <c r="F12" i="4"/>
  <c r="G12" i="4"/>
  <c r="H12" i="4"/>
  <c r="J12" i="4"/>
  <c r="K12" i="4" s="1"/>
  <c r="L12" i="4" s="1"/>
  <c r="M12" i="4" s="1"/>
  <c r="N12" i="4" s="1"/>
  <c r="O12" i="4" s="1"/>
  <c r="P12" i="4" s="1"/>
  <c r="Q12" i="4" s="1"/>
  <c r="R12" i="4" s="1"/>
  <c r="S12" i="4" s="1"/>
  <c r="A13" i="4"/>
  <c r="D13" i="4"/>
  <c r="E13" i="4"/>
  <c r="F13" i="4"/>
  <c r="G13" i="4"/>
  <c r="H13" i="4"/>
  <c r="J13" i="4"/>
  <c r="K13" i="4" s="1"/>
  <c r="L13" i="4" s="1"/>
  <c r="M13" i="4" s="1"/>
  <c r="N13" i="4" s="1"/>
  <c r="O13" i="4" s="1"/>
  <c r="P13" i="4" s="1"/>
  <c r="Q13" i="4" s="1"/>
  <c r="R13" i="4" s="1"/>
  <c r="S13" i="4" s="1"/>
  <c r="A14" i="4"/>
  <c r="D14" i="4"/>
  <c r="E14" i="4"/>
  <c r="F14" i="4"/>
  <c r="G14" i="4"/>
  <c r="H14" i="4"/>
  <c r="J14" i="4"/>
  <c r="K14" i="4" s="1"/>
  <c r="L14" i="4" s="1"/>
  <c r="M14" i="4" s="1"/>
  <c r="N14" i="4" s="1"/>
  <c r="O14" i="4" s="1"/>
  <c r="P14" i="4" s="1"/>
  <c r="Q14" i="4" s="1"/>
  <c r="R14" i="4" s="1"/>
  <c r="S14" i="4" s="1"/>
  <c r="A15" i="4"/>
  <c r="D15" i="4"/>
  <c r="E15" i="4"/>
  <c r="F15" i="4"/>
  <c r="G15" i="4"/>
  <c r="H15" i="4"/>
  <c r="J15" i="4"/>
  <c r="K15" i="4" s="1"/>
  <c r="L15" i="4" s="1"/>
  <c r="M15" i="4" s="1"/>
  <c r="N15" i="4" s="1"/>
  <c r="O15" i="4" s="1"/>
  <c r="P15" i="4" s="1"/>
  <c r="Q15" i="4" s="1"/>
  <c r="R15" i="4" s="1"/>
  <c r="S15" i="4" s="1"/>
  <c r="A16" i="4"/>
  <c r="D16" i="4"/>
  <c r="E16" i="4"/>
  <c r="F16" i="4"/>
  <c r="G16" i="4"/>
  <c r="H16" i="4"/>
  <c r="J16" i="4"/>
  <c r="K16" i="4" s="1"/>
  <c r="L16" i="4" s="1"/>
  <c r="M16" i="4" s="1"/>
  <c r="N16" i="4" s="1"/>
  <c r="O16" i="4" s="1"/>
  <c r="P16" i="4" s="1"/>
  <c r="Q16" i="4" s="1"/>
  <c r="R16" i="4" s="1"/>
  <c r="S16" i="4" s="1"/>
  <c r="A17" i="4"/>
  <c r="D17" i="4"/>
  <c r="E17" i="4"/>
  <c r="F17" i="4"/>
  <c r="G17" i="4"/>
  <c r="H17" i="4"/>
  <c r="J17" i="4"/>
  <c r="K17" i="4" s="1"/>
  <c r="L17" i="4" s="1"/>
  <c r="M17" i="4" s="1"/>
  <c r="N17" i="4" s="1"/>
  <c r="O17" i="4" s="1"/>
  <c r="P17" i="4" s="1"/>
  <c r="Q17" i="4" s="1"/>
  <c r="R17" i="4" s="1"/>
  <c r="S17" i="4" s="1"/>
  <c r="A19" i="4"/>
  <c r="A20" i="4"/>
  <c r="D20" i="4"/>
  <c r="E20" i="4"/>
  <c r="F20" i="4"/>
  <c r="G20" i="4"/>
  <c r="H20" i="4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A21" i="4"/>
  <c r="D21" i="4"/>
  <c r="E21" i="4"/>
  <c r="F21" i="4"/>
  <c r="G21" i="4"/>
  <c r="H21" i="4"/>
  <c r="J21" i="4"/>
  <c r="K21" i="4" s="1"/>
  <c r="L21" i="4" s="1"/>
  <c r="M21" i="4" s="1"/>
  <c r="N21" i="4" s="1"/>
  <c r="O21" i="4" s="1"/>
  <c r="P21" i="4" s="1"/>
  <c r="Q21" i="4" s="1"/>
  <c r="R21" i="4" s="1"/>
  <c r="S21" i="4" s="1"/>
  <c r="A22" i="4"/>
  <c r="D22" i="4"/>
  <c r="E22" i="4"/>
  <c r="F22" i="4"/>
  <c r="G22" i="4"/>
  <c r="H22" i="4"/>
  <c r="J22" i="4" s="1"/>
  <c r="K22" i="4" s="1"/>
  <c r="L22" i="4" s="1"/>
  <c r="M22" i="4" s="1"/>
  <c r="N22" i="4" s="1"/>
  <c r="O22" i="4" s="1"/>
  <c r="P22" i="4" s="1"/>
  <c r="Q22" i="4" s="1"/>
  <c r="R22" i="4" s="1"/>
  <c r="S22" i="4" s="1"/>
  <c r="A23" i="4"/>
  <c r="D23" i="4"/>
  <c r="E23" i="4"/>
  <c r="F23" i="4"/>
  <c r="G23" i="4"/>
  <c r="H23" i="4"/>
  <c r="J23" i="4"/>
  <c r="K23" i="4" s="1"/>
  <c r="L23" i="4" s="1"/>
  <c r="M23" i="4" s="1"/>
  <c r="N23" i="4" s="1"/>
  <c r="O23" i="4" s="1"/>
  <c r="P23" i="4" s="1"/>
  <c r="Q23" i="4" s="1"/>
  <c r="R23" i="4" s="1"/>
  <c r="S23" i="4" s="1"/>
  <c r="A24" i="4"/>
  <c r="D24" i="4"/>
  <c r="E24" i="4"/>
  <c r="F24" i="4"/>
  <c r="G24" i="4"/>
  <c r="H24" i="4"/>
  <c r="J24" i="4" s="1"/>
  <c r="K24" i="4" s="1"/>
  <c r="L24" i="4" s="1"/>
  <c r="M24" i="4" s="1"/>
  <c r="N24" i="4" s="1"/>
  <c r="O24" i="4" s="1"/>
  <c r="P24" i="4" s="1"/>
  <c r="Q24" i="4" s="1"/>
  <c r="R24" i="4" s="1"/>
  <c r="S24" i="4" s="1"/>
  <c r="A25" i="4"/>
  <c r="D25" i="4"/>
  <c r="E25" i="4"/>
  <c r="F25" i="4"/>
  <c r="G25" i="4"/>
  <c r="H25" i="4"/>
  <c r="J25" i="4"/>
  <c r="K25" i="4" s="1"/>
  <c r="L25" i="4" s="1"/>
  <c r="M25" i="4" s="1"/>
  <c r="N25" i="4" s="1"/>
  <c r="O25" i="4" s="1"/>
  <c r="P25" i="4" s="1"/>
  <c r="Q25" i="4" s="1"/>
  <c r="R25" i="4" s="1"/>
  <c r="S25" i="4" s="1"/>
  <c r="A26" i="4"/>
  <c r="D26" i="4"/>
  <c r="E26" i="4"/>
  <c r="F26" i="4"/>
  <c r="G26" i="4"/>
  <c r="H26" i="4"/>
  <c r="J26" i="4" s="1"/>
  <c r="K26" i="4" s="1"/>
  <c r="L26" i="4" s="1"/>
  <c r="M26" i="4" s="1"/>
  <c r="N26" i="4" s="1"/>
  <c r="O26" i="4" s="1"/>
  <c r="P26" i="4" s="1"/>
  <c r="Q26" i="4" s="1"/>
  <c r="R26" i="4" s="1"/>
  <c r="S26" i="4" s="1"/>
  <c r="A29" i="4"/>
  <c r="D29" i="4"/>
  <c r="E29" i="4"/>
  <c r="F29" i="4"/>
  <c r="G29" i="4"/>
  <c r="H29" i="4"/>
  <c r="J29" i="4"/>
  <c r="K29" i="4" s="1"/>
  <c r="L29" i="4" s="1"/>
  <c r="M29" i="4" s="1"/>
  <c r="N29" i="4" s="1"/>
  <c r="O29" i="4" s="1"/>
  <c r="P29" i="4" s="1"/>
  <c r="Q29" i="4" s="1"/>
  <c r="R29" i="4" s="1"/>
  <c r="S29" i="4" s="1"/>
  <c r="A30" i="4"/>
  <c r="D30" i="4"/>
  <c r="E30" i="4"/>
  <c r="F30" i="4"/>
  <c r="G30" i="4"/>
  <c r="H30" i="4"/>
  <c r="J30" i="4" s="1"/>
  <c r="K30" i="4" s="1"/>
  <c r="L30" i="4" s="1"/>
  <c r="M30" i="4" s="1"/>
  <c r="N30" i="4" s="1"/>
  <c r="O30" i="4" s="1"/>
  <c r="P30" i="4" s="1"/>
  <c r="Q30" i="4" s="1"/>
  <c r="R30" i="4" s="1"/>
  <c r="S30" i="4" s="1"/>
  <c r="A31" i="4"/>
  <c r="D31" i="4"/>
  <c r="E31" i="4"/>
  <c r="F31" i="4"/>
  <c r="G31" i="4"/>
  <c r="H31" i="4"/>
  <c r="J31" i="4"/>
  <c r="K31" i="4" s="1"/>
  <c r="L31" i="4" s="1"/>
  <c r="M31" i="4" s="1"/>
  <c r="N31" i="4" s="1"/>
  <c r="O31" i="4" s="1"/>
  <c r="P31" i="4" s="1"/>
  <c r="Q31" i="4" s="1"/>
  <c r="R31" i="4" s="1"/>
  <c r="S31" i="4" s="1"/>
  <c r="A32" i="4"/>
  <c r="D32" i="4"/>
  <c r="E32" i="4"/>
  <c r="F32" i="4"/>
  <c r="G32" i="4"/>
  <c r="H32" i="4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A33" i="4"/>
  <c r="D33" i="4"/>
  <c r="E33" i="4"/>
  <c r="F33" i="4"/>
  <c r="G33" i="4"/>
  <c r="H33" i="4"/>
  <c r="J33" i="4"/>
  <c r="K33" i="4" s="1"/>
  <c r="L33" i="4" s="1"/>
  <c r="M33" i="4" s="1"/>
  <c r="N33" i="4" s="1"/>
  <c r="O33" i="4" s="1"/>
  <c r="P33" i="4" s="1"/>
  <c r="Q33" i="4" s="1"/>
  <c r="R33" i="4" s="1"/>
  <c r="S33" i="4" s="1"/>
  <c r="A34" i="4"/>
  <c r="D34" i="4"/>
  <c r="E34" i="4"/>
  <c r="F34" i="4"/>
  <c r="G34" i="4"/>
  <c r="H34" i="4"/>
  <c r="J34" i="4" s="1"/>
  <c r="K34" i="4" s="1"/>
  <c r="L34" i="4" s="1"/>
  <c r="M34" i="4" s="1"/>
  <c r="N34" i="4" s="1"/>
  <c r="O34" i="4" s="1"/>
  <c r="P34" i="4" s="1"/>
  <c r="Q34" i="4" s="1"/>
  <c r="R34" i="4" s="1"/>
  <c r="S34" i="4" s="1"/>
  <c r="A36" i="4"/>
  <c r="D36" i="4"/>
  <c r="E36" i="4"/>
  <c r="F36" i="4"/>
  <c r="G36" i="4"/>
  <c r="H36" i="4"/>
  <c r="J36" i="4"/>
  <c r="K36" i="4" s="1"/>
  <c r="L36" i="4" s="1"/>
  <c r="M36" i="4" s="1"/>
  <c r="N36" i="4" s="1"/>
  <c r="O36" i="4" s="1"/>
  <c r="P36" i="4" s="1"/>
  <c r="Q36" i="4" s="1"/>
  <c r="R36" i="4" s="1"/>
  <c r="S36" i="4" s="1"/>
  <c r="A37" i="4"/>
  <c r="D37" i="4"/>
  <c r="E37" i="4"/>
  <c r="F37" i="4"/>
  <c r="G37" i="4"/>
  <c r="H37" i="4"/>
  <c r="J37" i="4" s="1"/>
  <c r="K37" i="4" s="1"/>
  <c r="L37" i="4" s="1"/>
  <c r="M37" i="4" s="1"/>
  <c r="N37" i="4" s="1"/>
  <c r="O37" i="4" s="1"/>
  <c r="P37" i="4" s="1"/>
  <c r="Q37" i="4" s="1"/>
  <c r="R37" i="4" s="1"/>
  <c r="S37" i="4" s="1"/>
  <c r="F12" i="10" l="1"/>
  <c r="J45" i="8"/>
  <c r="F14" i="14"/>
  <c r="J38" i="15"/>
  <c r="I38" i="15"/>
  <c r="D71" i="14"/>
  <c r="F38" i="14" s="1"/>
  <c r="J71" i="14"/>
  <c r="F40" i="14" s="1"/>
  <c r="F41" i="14" s="1"/>
  <c r="H32" i="14" s="1"/>
  <c r="J67" i="14"/>
  <c r="I32" i="15"/>
  <c r="J32" i="15"/>
  <c r="D17" i="12"/>
  <c r="D22" i="12" s="1"/>
  <c r="Q39" i="1"/>
  <c r="J29" i="5" s="1"/>
  <c r="K29" i="5" s="1"/>
  <c r="A45" i="15"/>
  <c r="H10" i="15"/>
  <c r="J43" i="8"/>
  <c r="A23" i="9"/>
  <c r="A19" i="9"/>
  <c r="BO106" i="16"/>
  <c r="BS72" i="16"/>
  <c r="J41" i="16"/>
  <c r="L39" i="16"/>
  <c r="N37" i="16"/>
  <c r="C37" i="16"/>
  <c r="F44" i="6"/>
  <c r="L19" i="17" s="1"/>
  <c r="D21" i="10"/>
  <c r="D19" i="11"/>
  <c r="D19" i="12" s="1"/>
  <c r="K64" i="5"/>
  <c r="K59" i="5"/>
  <c r="F12" i="14" s="1"/>
  <c r="J52" i="15"/>
  <c r="A48" i="15"/>
  <c r="A25" i="9"/>
  <c r="A21" i="9"/>
  <c r="G41" i="16"/>
  <c r="J39" i="16"/>
  <c r="L37" i="16"/>
  <c r="F14" i="10"/>
  <c r="D18" i="11"/>
  <c r="D18" i="12" s="1"/>
  <c r="D66" i="14"/>
  <c r="A50" i="15"/>
  <c r="H34" i="15"/>
  <c r="W44" i="8"/>
  <c r="C41" i="16"/>
  <c r="E39" i="16"/>
  <c r="J37" i="16"/>
  <c r="K62" i="5"/>
  <c r="F15" i="14" s="1"/>
  <c r="J66" i="14"/>
  <c r="T30" i="14"/>
  <c r="H38" i="15"/>
  <c r="H43" i="15"/>
  <c r="H49" i="15" s="1"/>
  <c r="H54" i="15" s="1"/>
  <c r="K36" i="1"/>
  <c r="E13" i="15"/>
  <c r="F13" i="15" s="1"/>
  <c r="Q21" i="2"/>
  <c r="M37" i="3"/>
  <c r="N37" i="3" s="1"/>
  <c r="S21" i="2" s="1"/>
  <c r="P12" i="2"/>
  <c r="L17" i="3"/>
  <c r="M17" i="3" s="1"/>
  <c r="N17" i="3" s="1"/>
  <c r="J26" i="15"/>
  <c r="I26" i="15"/>
  <c r="N19" i="1" s="1"/>
  <c r="I20" i="15"/>
  <c r="N17" i="1" s="1"/>
  <c r="J20" i="15"/>
  <c r="J14" i="15"/>
  <c r="I14" i="15"/>
  <c r="N16" i="1" s="1"/>
  <c r="E31" i="8"/>
  <c r="E20" i="18"/>
  <c r="E17" i="18"/>
  <c r="E16" i="18"/>
  <c r="E19" i="18"/>
  <c r="P18" i="2"/>
  <c r="L25" i="3"/>
  <c r="H21" i="3"/>
  <c r="L17" i="2"/>
  <c r="H37" i="15"/>
  <c r="H42" i="15"/>
  <c r="H47" i="15" s="1"/>
  <c r="H53" i="15" s="1"/>
  <c r="I33" i="3"/>
  <c r="J33" i="3" s="1"/>
  <c r="K33" i="3" s="1"/>
  <c r="L33" i="3" s="1"/>
  <c r="M33" i="3" s="1"/>
  <c r="N33" i="3" s="1"/>
  <c r="S20" i="2" s="1"/>
  <c r="M20" i="2"/>
  <c r="K10" i="2"/>
  <c r="L43" i="18" s="1"/>
  <c r="G13" i="3"/>
  <c r="B30" i="1"/>
  <c r="B28" i="1"/>
  <c r="H26" i="15"/>
  <c r="E26" i="18"/>
  <c r="V16" i="18"/>
  <c r="V31" i="18"/>
  <c r="G29" i="3"/>
  <c r="H29" i="3" s="1"/>
  <c r="I29" i="3" s="1"/>
  <c r="J29" i="3" s="1"/>
  <c r="F23" i="18"/>
  <c r="F29" i="18"/>
  <c r="W50" i="8"/>
  <c r="W40" i="8"/>
  <c r="J40" i="8"/>
  <c r="M35" i="2"/>
  <c r="K8" i="17"/>
  <c r="L8" i="17" s="1"/>
  <c r="M8" i="17" s="1"/>
  <c r="N8" i="17" s="1"/>
  <c r="O8" i="17" s="1"/>
  <c r="P8" i="17" s="1"/>
  <c r="Q8" i="17" s="1"/>
  <c r="R8" i="17" s="1"/>
  <c r="S8" i="17" s="1"/>
  <c r="U8" i="17" s="1"/>
  <c r="P26" i="14"/>
  <c r="W63" i="5"/>
  <c r="R14" i="10"/>
  <c r="M34" i="2"/>
  <c r="L32" i="2"/>
  <c r="A5" i="19"/>
  <c r="A5" i="5"/>
  <c r="A5" i="11"/>
  <c r="A5" i="10"/>
  <c r="A5" i="6"/>
  <c r="A5" i="16"/>
  <c r="A5" i="2"/>
  <c r="A5" i="9"/>
  <c r="A5" i="17"/>
  <c r="A5" i="8"/>
  <c r="L37" i="1"/>
  <c r="E11" i="1"/>
  <c r="H29" i="15"/>
  <c r="W61" i="5"/>
  <c r="R12" i="10"/>
  <c r="G12" i="17"/>
  <c r="G16" i="17"/>
  <c r="M28" i="2"/>
  <c r="E23" i="16"/>
  <c r="C11" i="16"/>
  <c r="V30" i="17"/>
  <c r="L32" i="17"/>
  <c r="G11" i="16"/>
  <c r="A5" i="14"/>
  <c r="A5" i="12"/>
  <c r="A5" i="15"/>
  <c r="E24" i="18"/>
  <c r="F8" i="18"/>
  <c r="A5" i="18"/>
  <c r="A5" i="13"/>
  <c r="H26" i="18"/>
  <c r="E52" i="1" s="1"/>
  <c r="H23" i="18"/>
  <c r="E51" i="1" s="1"/>
  <c r="J46" i="8"/>
  <c r="W46" i="8"/>
  <c r="W59" i="5"/>
  <c r="R10" i="10"/>
  <c r="G38" i="8"/>
  <c r="G56" i="8" s="1"/>
  <c r="G60" i="8" s="1"/>
  <c r="G64" i="8" s="1"/>
  <c r="F10" i="17"/>
  <c r="F38" i="8"/>
  <c r="F56" i="8" s="1"/>
  <c r="F60" i="8" s="1"/>
  <c r="F64" i="8" s="1"/>
  <c r="N36" i="2"/>
  <c r="Q33" i="2"/>
  <c r="W65" i="5"/>
  <c r="R16" i="10"/>
  <c r="H31" i="8"/>
  <c r="H19" i="18"/>
  <c r="E46" i="1" s="1"/>
  <c r="D31" i="8"/>
  <c r="D19" i="18"/>
  <c r="G16" i="18"/>
  <c r="G17" i="18"/>
  <c r="M31" i="2"/>
  <c r="O30" i="2"/>
  <c r="J10" i="2"/>
  <c r="J12" i="2"/>
  <c r="N12" i="2"/>
  <c r="R12" i="2"/>
  <c r="J17" i="2"/>
  <c r="J18" i="2"/>
  <c r="N18" i="2"/>
  <c r="J19" i="2"/>
  <c r="N19" i="2"/>
  <c r="J20" i="2"/>
  <c r="J21" i="2"/>
  <c r="N21" i="2"/>
  <c r="L12" i="2"/>
  <c r="Q12" i="2"/>
  <c r="M18" i="2"/>
  <c r="L19" i="2"/>
  <c r="K20" i="2"/>
  <c r="O21" i="2"/>
  <c r="M12" i="2"/>
  <c r="S12" i="2"/>
  <c r="K17" i="2"/>
  <c r="O18" i="2"/>
  <c r="M19" i="2"/>
  <c r="L20" i="2"/>
  <c r="K21" i="2"/>
  <c r="P21" i="2"/>
  <c r="W66" i="5"/>
  <c r="R17" i="10"/>
  <c r="W64" i="5"/>
  <c r="R15" i="10"/>
  <c r="W62" i="5"/>
  <c r="R13" i="10"/>
  <c r="W60" i="5"/>
  <c r="R11" i="10"/>
  <c r="M21" i="2"/>
  <c r="L18" i="2"/>
  <c r="O12" i="2"/>
  <c r="L21" i="2"/>
  <c r="K18" i="2"/>
  <c r="K12" i="2"/>
  <c r="BQ106" i="16"/>
  <c r="BS106" i="16" s="1"/>
  <c r="BV106" i="16" s="1"/>
  <c r="BX106" i="16" s="1"/>
  <c r="BZ106" i="16" s="1"/>
  <c r="BO127" i="16"/>
  <c r="BQ127" i="16" s="1"/>
  <c r="BS127" i="16" s="1"/>
  <c r="BV127" i="16" s="1"/>
  <c r="BX127" i="16" s="1"/>
  <c r="BZ127" i="16" s="1"/>
  <c r="K68" i="5"/>
  <c r="K70" i="5" s="1"/>
  <c r="F10" i="10"/>
  <c r="F17" i="10"/>
  <c r="F11" i="10"/>
  <c r="BS93" i="16"/>
  <c r="BS114" i="16" s="1"/>
  <c r="E44" i="6"/>
  <c r="K19" i="17" s="1"/>
  <c r="I44" i="6"/>
  <c r="O19" i="17" s="1"/>
  <c r="M44" i="6"/>
  <c r="S19" i="17" s="1"/>
  <c r="G44" i="6"/>
  <c r="M19" i="17" s="1"/>
  <c r="L44" i="6"/>
  <c r="R19" i="17" s="1"/>
  <c r="N41" i="16"/>
  <c r="E41" i="16"/>
  <c r="G39" i="16"/>
  <c r="N23" i="16"/>
  <c r="N35" i="16" s="1"/>
  <c r="U35" i="16" s="1"/>
  <c r="J44" i="6"/>
  <c r="P19" i="17" s="1"/>
  <c r="D44" i="6"/>
  <c r="J19" i="17" s="1"/>
  <c r="L8" i="5"/>
  <c r="D8" i="10"/>
  <c r="K21" i="5"/>
  <c r="F15" i="10" l="1"/>
  <c r="F17" i="14"/>
  <c r="F13" i="10"/>
  <c r="J48" i="8"/>
  <c r="J68" i="8" s="1"/>
  <c r="D22" i="11"/>
  <c r="I54" i="15"/>
  <c r="N23" i="1" s="1"/>
  <c r="J54" i="15"/>
  <c r="F21" i="14"/>
  <c r="P20" i="2"/>
  <c r="N31" i="2"/>
  <c r="D10" i="17"/>
  <c r="D38" i="8"/>
  <c r="D56" i="8" s="1"/>
  <c r="D60" i="8" s="1"/>
  <c r="D64" i="8" s="1"/>
  <c r="O36" i="2"/>
  <c r="H35" i="15"/>
  <c r="H41" i="15"/>
  <c r="H46" i="15" s="1"/>
  <c r="H52" i="15" s="1"/>
  <c r="N34" i="2"/>
  <c r="N35" i="2"/>
  <c r="M8" i="5"/>
  <c r="J14" i="11"/>
  <c r="D8" i="9"/>
  <c r="D8" i="6"/>
  <c r="G8" i="10"/>
  <c r="H8" i="10" s="1"/>
  <c r="I8" i="10" s="1"/>
  <c r="J8" i="10" s="1"/>
  <c r="K8" i="10" s="1"/>
  <c r="L8" i="10" s="1"/>
  <c r="M8" i="10" s="1"/>
  <c r="N8" i="10" s="1"/>
  <c r="O8" i="10" s="1"/>
  <c r="P8" i="10" s="1"/>
  <c r="K9" i="15"/>
  <c r="B29" i="1"/>
  <c r="B31" i="1"/>
  <c r="E10" i="3"/>
  <c r="F10" i="3" s="1"/>
  <c r="G10" i="3" s="1"/>
  <c r="H10" i="3" s="1"/>
  <c r="I10" i="3" s="1"/>
  <c r="J10" i="3" s="1"/>
  <c r="K10" i="3" s="1"/>
  <c r="L10" i="3" s="1"/>
  <c r="M10" i="3" s="1"/>
  <c r="N10" i="3" s="1"/>
  <c r="B33" i="1"/>
  <c r="J14" i="12"/>
  <c r="D8" i="13"/>
  <c r="E8" i="13" s="1"/>
  <c r="F8" i="13" s="1"/>
  <c r="G8" i="13" s="1"/>
  <c r="H8" i="13" s="1"/>
  <c r="I8" i="13" s="1"/>
  <c r="J8" i="13" s="1"/>
  <c r="K8" i="13" s="1"/>
  <c r="L8" i="13" s="1"/>
  <c r="M8" i="13" s="1"/>
  <c r="Q20" i="2"/>
  <c r="R33" i="2"/>
  <c r="E84" i="5"/>
  <c r="K84" i="5"/>
  <c r="G84" i="5"/>
  <c r="F84" i="5"/>
  <c r="H84" i="5"/>
  <c r="D84" i="5"/>
  <c r="G8" i="18"/>
  <c r="X16" i="18"/>
  <c r="N28" i="2"/>
  <c r="E15" i="1"/>
  <c r="J28" i="5" s="1"/>
  <c r="K28" i="5" s="1"/>
  <c r="BJ74" i="16"/>
  <c r="BJ95" i="16" s="1"/>
  <c r="F23" i="10"/>
  <c r="R20" i="2"/>
  <c r="P30" i="2"/>
  <c r="H10" i="17"/>
  <c r="H38" i="8"/>
  <c r="H56" i="8" s="1"/>
  <c r="H60" i="8" s="1"/>
  <c r="H64" i="8" s="1"/>
  <c r="E30" i="1" s="1"/>
  <c r="F12" i="17"/>
  <c r="F16" i="17" s="1"/>
  <c r="U30" i="17"/>
  <c r="C23" i="16"/>
  <c r="L31" i="17"/>
  <c r="A5" i="3"/>
  <c r="B6" i="1"/>
  <c r="M32" i="2"/>
  <c r="H13" i="3"/>
  <c r="L10" i="2"/>
  <c r="M43" i="18" s="1"/>
  <c r="M17" i="2"/>
  <c r="I21" i="3"/>
  <c r="E10" i="17"/>
  <c r="E38" i="8"/>
  <c r="E56" i="8" s="1"/>
  <c r="E60" i="8" s="1"/>
  <c r="E64" i="8" s="1"/>
  <c r="C49" i="15"/>
  <c r="L36" i="1"/>
  <c r="O20" i="2"/>
  <c r="R21" i="2"/>
  <c r="N20" i="2"/>
  <c r="J10" i="8"/>
  <c r="K43" i="18"/>
  <c r="J52" i="8"/>
  <c r="J67" i="8"/>
  <c r="G23" i="16"/>
  <c r="W30" i="17"/>
  <c r="L33" i="17"/>
  <c r="T23" i="16"/>
  <c r="E35" i="16"/>
  <c r="F39" i="14"/>
  <c r="T26" i="14"/>
  <c r="T32" i="14" s="1"/>
  <c r="O19" i="2"/>
  <c r="K29" i="3"/>
  <c r="M25" i="3"/>
  <c r="Q18" i="2"/>
  <c r="J18" i="14" l="1"/>
  <c r="J16" i="14"/>
  <c r="R14" i="14"/>
  <c r="T14" i="14" s="1"/>
  <c r="J12" i="14"/>
  <c r="J21" i="14" s="1"/>
  <c r="J23" i="14" s="1"/>
  <c r="J19" i="14"/>
  <c r="J15" i="14"/>
  <c r="J13" i="14"/>
  <c r="J17" i="14"/>
  <c r="J14" i="14"/>
  <c r="L29" i="3"/>
  <c r="P19" i="2"/>
  <c r="P19" i="8" s="1"/>
  <c r="G35" i="16"/>
  <c r="U23" i="16"/>
  <c r="L14" i="5"/>
  <c r="L18" i="5"/>
  <c r="L26" i="5"/>
  <c r="L32" i="5"/>
  <c r="L45" i="5"/>
  <c r="D33" i="6" s="1"/>
  <c r="L16" i="5"/>
  <c r="L30" i="5"/>
  <c r="L43" i="5"/>
  <c r="K40" i="18" s="1"/>
  <c r="L47" i="5"/>
  <c r="D35" i="6" s="1"/>
  <c r="L13" i="5"/>
  <c r="L15" i="5"/>
  <c r="L17" i="5"/>
  <c r="L19" i="5"/>
  <c r="L49" i="5"/>
  <c r="D37" i="6" s="1"/>
  <c r="L55" i="5"/>
  <c r="D52" i="6" s="1"/>
  <c r="L46" i="5"/>
  <c r="D34" i="6" s="1"/>
  <c r="L25" i="5"/>
  <c r="L44" i="5"/>
  <c r="D32" i="6" s="1"/>
  <c r="L48" i="5"/>
  <c r="D36" i="6" s="1"/>
  <c r="L27" i="5"/>
  <c r="L31" i="5"/>
  <c r="L56" i="5"/>
  <c r="D53" i="6" s="1"/>
  <c r="J14" i="2"/>
  <c r="J23" i="2"/>
  <c r="J25" i="2"/>
  <c r="K46" i="18" s="1"/>
  <c r="K17" i="8"/>
  <c r="M18" i="8"/>
  <c r="Q18" i="8"/>
  <c r="K19" i="8"/>
  <c r="O19" i="8"/>
  <c r="M20" i="8"/>
  <c r="Q20" i="8"/>
  <c r="K21" i="8"/>
  <c r="O21" i="8"/>
  <c r="S21" i="8"/>
  <c r="K10" i="8"/>
  <c r="J18" i="8"/>
  <c r="O18" i="8"/>
  <c r="J19" i="8"/>
  <c r="K20" i="8"/>
  <c r="P20" i="8"/>
  <c r="L21" i="8"/>
  <c r="Q21" i="8"/>
  <c r="J17" i="8"/>
  <c r="K18" i="8"/>
  <c r="P18" i="8"/>
  <c r="L19" i="8"/>
  <c r="L20" i="8"/>
  <c r="R20" i="8"/>
  <c r="M21" i="8"/>
  <c r="R21" i="8"/>
  <c r="R18" i="8"/>
  <c r="S20" i="8"/>
  <c r="L17" i="8"/>
  <c r="N18" i="8"/>
  <c r="J20" i="8"/>
  <c r="N21" i="8"/>
  <c r="J12" i="8"/>
  <c r="K37" i="18" s="1"/>
  <c r="M17" i="8"/>
  <c r="M23" i="8" s="1"/>
  <c r="N20" i="8"/>
  <c r="P21" i="8"/>
  <c r="L18" i="8"/>
  <c r="N19" i="8"/>
  <c r="J21" i="8"/>
  <c r="K39" i="18"/>
  <c r="M19" i="8"/>
  <c r="O20" i="8"/>
  <c r="K38" i="18"/>
  <c r="J21" i="3"/>
  <c r="N17" i="2"/>
  <c r="N17" i="8" s="1"/>
  <c r="N23" i="8" s="1"/>
  <c r="B15" i="16"/>
  <c r="BV68" i="16"/>
  <c r="K27" i="18"/>
  <c r="F54" i="1" s="1"/>
  <c r="K24" i="18"/>
  <c r="F53" i="1" s="1"/>
  <c r="K30" i="18"/>
  <c r="H12" i="17"/>
  <c r="H16" i="17" s="1"/>
  <c r="E17" i="1"/>
  <c r="K21" i="1" s="1"/>
  <c r="H8" i="18"/>
  <c r="Y16" i="18"/>
  <c r="E8" i="6"/>
  <c r="D18" i="6"/>
  <c r="L74" i="5" s="1"/>
  <c r="D17" i="6"/>
  <c r="L54" i="5" s="1"/>
  <c r="N25" i="3"/>
  <c r="S18" i="2" s="1"/>
  <c r="S18" i="8" s="1"/>
  <c r="R18" i="2"/>
  <c r="E12" i="17"/>
  <c r="E16" i="17"/>
  <c r="I13" i="3"/>
  <c r="M10" i="2"/>
  <c r="N43" i="18" s="1"/>
  <c r="Q30" i="2"/>
  <c r="E8" i="9"/>
  <c r="D57" i="9"/>
  <c r="O35" i="2"/>
  <c r="D12" i="17"/>
  <c r="D16" i="17" s="1"/>
  <c r="O28" i="2"/>
  <c r="S33" i="2"/>
  <c r="J18" i="12"/>
  <c r="J17" i="12"/>
  <c r="J19" i="12"/>
  <c r="J20" i="12"/>
  <c r="K14" i="12"/>
  <c r="J16" i="12"/>
  <c r="J26" i="12"/>
  <c r="K12" i="15"/>
  <c r="K13" i="15"/>
  <c r="K19" i="15"/>
  <c r="K25" i="15"/>
  <c r="K30" i="15"/>
  <c r="K36" i="15"/>
  <c r="K24" i="15"/>
  <c r="K53" i="15"/>
  <c r="K23" i="15"/>
  <c r="K31" i="15"/>
  <c r="K37" i="15"/>
  <c r="K42" i="15"/>
  <c r="K43" i="15" s="1"/>
  <c r="K47" i="15"/>
  <c r="K49" i="15" s="1"/>
  <c r="K52" i="15"/>
  <c r="K14" i="11"/>
  <c r="J17" i="11"/>
  <c r="J20" i="11"/>
  <c r="J16" i="11"/>
  <c r="J26" i="11"/>
  <c r="J18" i="11"/>
  <c r="J19" i="11"/>
  <c r="K26" i="18"/>
  <c r="F52" i="1" s="1"/>
  <c r="K23" i="18"/>
  <c r="F51" i="1" s="1"/>
  <c r="K29" i="18"/>
  <c r="N32" i="2"/>
  <c r="C35" i="16"/>
  <c r="S23" i="16"/>
  <c r="K34" i="5"/>
  <c r="K36" i="5" s="1"/>
  <c r="N8" i="5"/>
  <c r="L9" i="15"/>
  <c r="O34" i="2"/>
  <c r="P36" i="2"/>
  <c r="O31" i="2"/>
  <c r="J22" i="11" l="1"/>
  <c r="K54" i="15"/>
  <c r="K18" i="15"/>
  <c r="K23" i="8"/>
  <c r="J23" i="8"/>
  <c r="J47" i="11"/>
  <c r="J28" i="11"/>
  <c r="J39" i="11" s="1"/>
  <c r="J49" i="11"/>
  <c r="K18" i="11"/>
  <c r="K20" i="11"/>
  <c r="K26" i="11"/>
  <c r="L14" i="11"/>
  <c r="K16" i="11"/>
  <c r="K19" i="11"/>
  <c r="K17" i="11"/>
  <c r="G29" i="10"/>
  <c r="D23" i="6"/>
  <c r="D26" i="6"/>
  <c r="P34" i="2"/>
  <c r="O32" i="2"/>
  <c r="L19" i="15"/>
  <c r="L23" i="15"/>
  <c r="L31" i="15"/>
  <c r="L37" i="15"/>
  <c r="L13" i="15"/>
  <c r="L25" i="15"/>
  <c r="L42" i="15"/>
  <c r="L43" i="15" s="1"/>
  <c r="L47" i="15"/>
  <c r="L49" i="15" s="1"/>
  <c r="L52" i="15"/>
  <c r="L53" i="15"/>
  <c r="K26" i="15"/>
  <c r="K17" i="12"/>
  <c r="L14" i="12"/>
  <c r="K18" i="12"/>
  <c r="K16" i="12"/>
  <c r="K26" i="12"/>
  <c r="K19" i="12"/>
  <c r="K20" i="12"/>
  <c r="P28" i="2"/>
  <c r="P35" i="2"/>
  <c r="R30" i="2"/>
  <c r="G18" i="10"/>
  <c r="J73" i="5"/>
  <c r="K73" i="5" s="1"/>
  <c r="K26" i="1"/>
  <c r="L26" i="1" s="1"/>
  <c r="L21" i="1"/>
  <c r="C12" i="15"/>
  <c r="D27" i="6"/>
  <c r="L51" i="5"/>
  <c r="D31" i="6"/>
  <c r="D49" i="6"/>
  <c r="Q36" i="2"/>
  <c r="O8" i="5"/>
  <c r="M9" i="15"/>
  <c r="F8" i="6"/>
  <c r="E17" i="6"/>
  <c r="E18" i="6"/>
  <c r="L24" i="15" s="1"/>
  <c r="K21" i="3"/>
  <c r="O17" i="2"/>
  <c r="O17" i="8" s="1"/>
  <c r="O23" i="8" s="1"/>
  <c r="M15" i="5"/>
  <c r="M19" i="5"/>
  <c r="M27" i="5"/>
  <c r="M46" i="5"/>
  <c r="E34" i="6" s="1"/>
  <c r="M13" i="5"/>
  <c r="M17" i="5"/>
  <c r="M25" i="5"/>
  <c r="M31" i="5"/>
  <c r="M44" i="5"/>
  <c r="E32" i="6" s="1"/>
  <c r="M48" i="5"/>
  <c r="E36" i="6" s="1"/>
  <c r="M26" i="5"/>
  <c r="E46" i="6" s="1"/>
  <c r="M30" i="5"/>
  <c r="M32" i="5"/>
  <c r="E49" i="6" s="1"/>
  <c r="M56" i="5"/>
  <c r="E53" i="6" s="1"/>
  <c r="M18" i="5"/>
  <c r="E28" i="6" s="1"/>
  <c r="M14" i="5"/>
  <c r="M16" i="5"/>
  <c r="M45" i="5"/>
  <c r="E33" i="6" s="1"/>
  <c r="M55" i="5"/>
  <c r="E52" i="6" s="1"/>
  <c r="M43" i="5"/>
  <c r="M49" i="5"/>
  <c r="E37" i="6" s="1"/>
  <c r="K14" i="2"/>
  <c r="M47" i="5"/>
  <c r="E35" i="6" s="1"/>
  <c r="K25" i="2"/>
  <c r="L46" i="18" s="1"/>
  <c r="K23" i="2"/>
  <c r="L10" i="8"/>
  <c r="L39" i="18"/>
  <c r="L38" i="18"/>
  <c r="K12" i="8"/>
  <c r="L37" i="18" s="1"/>
  <c r="L40" i="18"/>
  <c r="K44" i="18"/>
  <c r="K45" i="18"/>
  <c r="D25" i="6"/>
  <c r="D47" i="6"/>
  <c r="E47" i="6"/>
  <c r="D46" i="6"/>
  <c r="J28" i="12"/>
  <c r="J39" i="12" s="1"/>
  <c r="E57" i="9"/>
  <c r="F8" i="9"/>
  <c r="J13" i="3"/>
  <c r="N10" i="2"/>
  <c r="O43" i="18" s="1"/>
  <c r="BV110" i="16"/>
  <c r="BV89" i="16"/>
  <c r="D28" i="6"/>
  <c r="P31" i="2"/>
  <c r="J41" i="11"/>
  <c r="J45" i="11" s="1"/>
  <c r="J22" i="12"/>
  <c r="M54" i="5"/>
  <c r="D51" i="6"/>
  <c r="D59" i="6" s="1"/>
  <c r="J23" i="17" s="1"/>
  <c r="Z16" i="18"/>
  <c r="E42" i="1"/>
  <c r="E49" i="1" s="1"/>
  <c r="K8" i="18"/>
  <c r="I15" i="16"/>
  <c r="B17" i="16"/>
  <c r="A32" i="17"/>
  <c r="B27" i="16"/>
  <c r="Q32" i="17"/>
  <c r="Q39" i="17" s="1"/>
  <c r="J39" i="17" s="1"/>
  <c r="B13" i="16"/>
  <c r="L23" i="8"/>
  <c r="J14" i="8"/>
  <c r="J27" i="8" s="1"/>
  <c r="E48" i="6"/>
  <c r="D48" i="6"/>
  <c r="D45" i="6"/>
  <c r="D29" i="6"/>
  <c r="G30" i="10"/>
  <c r="D24" i="6"/>
  <c r="E24" i="6"/>
  <c r="M29" i="3"/>
  <c r="Q19" i="2"/>
  <c r="Q19" i="8" s="1"/>
  <c r="G32" i="10" l="1"/>
  <c r="G35" i="10" s="1"/>
  <c r="E59" i="9" s="1"/>
  <c r="M74" i="5"/>
  <c r="D58" i="6"/>
  <c r="J22" i="17" s="1"/>
  <c r="L54" i="15"/>
  <c r="I17" i="16"/>
  <c r="Q33" i="17"/>
  <c r="Q40" i="17" s="1"/>
  <c r="J40" i="17" s="1"/>
  <c r="B29" i="16"/>
  <c r="A33" i="17"/>
  <c r="J29" i="8"/>
  <c r="D12" i="13"/>
  <c r="L21" i="3"/>
  <c r="P17" i="2"/>
  <c r="P17" i="8" s="1"/>
  <c r="P23" i="8" s="1"/>
  <c r="H18" i="10"/>
  <c r="Q35" i="2"/>
  <c r="M14" i="12"/>
  <c r="L16" i="12"/>
  <c r="L26" i="12"/>
  <c r="L19" i="12"/>
  <c r="L20" i="12"/>
  <c r="L17" i="12"/>
  <c r="L18" i="12"/>
  <c r="D39" i="6"/>
  <c r="J33" i="8"/>
  <c r="L28" i="5"/>
  <c r="J31" i="8"/>
  <c r="K20" i="18"/>
  <c r="F47" i="1" s="1"/>
  <c r="K16" i="18"/>
  <c r="F44" i="1" s="1"/>
  <c r="E29" i="1"/>
  <c r="K17" i="18"/>
  <c r="F45" i="1" s="1"/>
  <c r="K19" i="18"/>
  <c r="F46" i="1" s="1"/>
  <c r="B39" i="16"/>
  <c r="I39" i="16" s="1"/>
  <c r="Q25" i="16"/>
  <c r="I27" i="16"/>
  <c r="K13" i="3"/>
  <c r="O10" i="2"/>
  <c r="P43" i="18" s="1"/>
  <c r="N16" i="5"/>
  <c r="F26" i="6" s="1"/>
  <c r="N30" i="5"/>
  <c r="N43" i="5"/>
  <c r="N47" i="5"/>
  <c r="F35" i="6" s="1"/>
  <c r="N14" i="5"/>
  <c r="M39" i="18" s="1"/>
  <c r="N18" i="5"/>
  <c r="F28" i="6" s="1"/>
  <c r="N26" i="5"/>
  <c r="N32" i="5"/>
  <c r="N45" i="5"/>
  <c r="F33" i="6" s="1"/>
  <c r="N44" i="5"/>
  <c r="F32" i="6" s="1"/>
  <c r="N46" i="5"/>
  <c r="F34" i="6" s="1"/>
  <c r="N48" i="5"/>
  <c r="F36" i="6" s="1"/>
  <c r="N17" i="5"/>
  <c r="N27" i="5"/>
  <c r="N13" i="5"/>
  <c r="N31" i="5"/>
  <c r="N49" i="5"/>
  <c r="F37" i="6" s="1"/>
  <c r="N55" i="5"/>
  <c r="F52" i="6" s="1"/>
  <c r="N56" i="5"/>
  <c r="F53" i="6" s="1"/>
  <c r="N15" i="5"/>
  <c r="F25" i="6" s="1"/>
  <c r="N25" i="5"/>
  <c r="N19" i="5"/>
  <c r="L25" i="2"/>
  <c r="M46" i="18" s="1"/>
  <c r="L12" i="8"/>
  <c r="L14" i="2"/>
  <c r="M10" i="8"/>
  <c r="L23" i="2"/>
  <c r="M40" i="18"/>
  <c r="L14" i="8"/>
  <c r="L27" i="8" s="1"/>
  <c r="L44" i="18"/>
  <c r="L45" i="18"/>
  <c r="F27" i="6"/>
  <c r="P8" i="5"/>
  <c r="N9" i="15"/>
  <c r="E27" i="6"/>
  <c r="K28" i="12"/>
  <c r="K39" i="12" s="1"/>
  <c r="K29" i="12"/>
  <c r="Q34" i="2"/>
  <c r="K22" i="11"/>
  <c r="E45" i="6"/>
  <c r="E58" i="6" s="1"/>
  <c r="K22" i="17" s="1"/>
  <c r="L8" i="18"/>
  <c r="F42" i="1"/>
  <c r="F49" i="1" s="1"/>
  <c r="E51" i="6"/>
  <c r="E59" i="6" s="1"/>
  <c r="K23" i="17" s="1"/>
  <c r="Q31" i="2"/>
  <c r="F57" i="9"/>
  <c r="G8" i="9"/>
  <c r="F49" i="6"/>
  <c r="H29" i="10"/>
  <c r="C23" i="15"/>
  <c r="J41" i="15"/>
  <c r="C22" i="15"/>
  <c r="D12" i="15"/>
  <c r="L73" i="5"/>
  <c r="K77" i="5"/>
  <c r="F19" i="10"/>
  <c r="F21" i="10" s="1"/>
  <c r="F32" i="14"/>
  <c r="R16" i="14" s="1"/>
  <c r="S30" i="2"/>
  <c r="Q28" i="2"/>
  <c r="K22" i="12"/>
  <c r="K41" i="12" s="1"/>
  <c r="E13" i="13" s="1"/>
  <c r="L26" i="15"/>
  <c r="E26" i="6"/>
  <c r="E23" i="6"/>
  <c r="L19" i="11"/>
  <c r="M14" i="11"/>
  <c r="L17" i="11"/>
  <c r="L18" i="11"/>
  <c r="L16" i="11"/>
  <c r="L22" i="11" s="1"/>
  <c r="L20" i="11"/>
  <c r="L26" i="11"/>
  <c r="D18" i="13"/>
  <c r="J34" i="8"/>
  <c r="D15" i="6" s="1"/>
  <c r="L29" i="5"/>
  <c r="N29" i="3"/>
  <c r="S19" i="2" s="1"/>
  <c r="S19" i="8" s="1"/>
  <c r="R19" i="2"/>
  <c r="R19" i="8" s="1"/>
  <c r="E29" i="6"/>
  <c r="I13" i="16"/>
  <c r="Q31" i="17"/>
  <c r="Q38" i="17" s="1"/>
  <c r="J38" i="17" s="1"/>
  <c r="A31" i="17"/>
  <c r="B25" i="16"/>
  <c r="J41" i="12"/>
  <c r="D13" i="13" s="1"/>
  <c r="E25" i="6"/>
  <c r="K14" i="8"/>
  <c r="K27" i="8" s="1"/>
  <c r="M51" i="5"/>
  <c r="E31" i="6"/>
  <c r="F24" i="6"/>
  <c r="H30" i="10"/>
  <c r="F48" i="6"/>
  <c r="F18" i="6"/>
  <c r="M24" i="15" s="1"/>
  <c r="G8" i="6"/>
  <c r="F17" i="6"/>
  <c r="N54" i="5" s="1"/>
  <c r="R36" i="2"/>
  <c r="L53" i="18"/>
  <c r="L52" i="18"/>
  <c r="P32" i="2"/>
  <c r="K29" i="11"/>
  <c r="K49" i="11"/>
  <c r="K47" i="11"/>
  <c r="K33" i="8" s="1"/>
  <c r="K28" i="11"/>
  <c r="K39" i="11" s="1"/>
  <c r="M37" i="18" l="1"/>
  <c r="F51" i="6"/>
  <c r="F59" i="6" s="1"/>
  <c r="L23" i="17" s="1"/>
  <c r="E14" i="6"/>
  <c r="Q32" i="2"/>
  <c r="S36" i="2"/>
  <c r="O13" i="5"/>
  <c r="O17" i="5"/>
  <c r="O25" i="5"/>
  <c r="G45" i="6" s="1"/>
  <c r="O31" i="5"/>
  <c r="O44" i="5"/>
  <c r="G32" i="6" s="1"/>
  <c r="O48" i="5"/>
  <c r="G36" i="6" s="1"/>
  <c r="O15" i="5"/>
  <c r="O19" i="5"/>
  <c r="O27" i="5"/>
  <c r="O46" i="5"/>
  <c r="G34" i="6" s="1"/>
  <c r="O16" i="5"/>
  <c r="O45" i="5"/>
  <c r="G33" i="6" s="1"/>
  <c r="O32" i="5"/>
  <c r="O43" i="5"/>
  <c r="N40" i="18" s="1"/>
  <c r="O47" i="5"/>
  <c r="G35" i="6" s="1"/>
  <c r="O14" i="5"/>
  <c r="O26" i="5"/>
  <c r="O49" i="5"/>
  <c r="G37" i="6" s="1"/>
  <c r="O55" i="5"/>
  <c r="G52" i="6" s="1"/>
  <c r="O56" i="5"/>
  <c r="G53" i="6" s="1"/>
  <c r="O30" i="5"/>
  <c r="O18" i="5"/>
  <c r="G28" i="6" s="1"/>
  <c r="M23" i="2"/>
  <c r="N10" i="8"/>
  <c r="M25" i="2"/>
  <c r="N46" i="18" s="1"/>
  <c r="M12" i="8"/>
  <c r="M14" i="2"/>
  <c r="N38" i="18"/>
  <c r="G23" i="6"/>
  <c r="I29" i="10"/>
  <c r="G46" i="6"/>
  <c r="N74" i="5"/>
  <c r="K34" i="8"/>
  <c r="E15" i="6" s="1"/>
  <c r="E18" i="13"/>
  <c r="E12" i="15"/>
  <c r="K35" i="1"/>
  <c r="K39" i="1" s="1"/>
  <c r="D23" i="15"/>
  <c r="M8" i="18"/>
  <c r="G42" i="1"/>
  <c r="G49" i="1" s="1"/>
  <c r="N13" i="15"/>
  <c r="N18" i="15"/>
  <c r="N24" i="15"/>
  <c r="N53" i="15"/>
  <c r="N31" i="15"/>
  <c r="N37" i="15"/>
  <c r="N42" i="15"/>
  <c r="N43" i="15" s="1"/>
  <c r="N47" i="15"/>
  <c r="N49" i="15" s="1"/>
  <c r="N52" i="15"/>
  <c r="N11" i="15"/>
  <c r="N17" i="15"/>
  <c r="N25" i="15"/>
  <c r="N12" i="15"/>
  <c r="N19" i="15"/>
  <c r="N23" i="15"/>
  <c r="N26" i="15" s="1"/>
  <c r="N29" i="15"/>
  <c r="N30" i="15"/>
  <c r="N35" i="15"/>
  <c r="N36" i="15"/>
  <c r="G47" i="6"/>
  <c r="J20" i="17"/>
  <c r="M21" i="3"/>
  <c r="Q17" i="2"/>
  <c r="Q17" i="8" s="1"/>
  <c r="Q23" i="8" s="1"/>
  <c r="F47" i="6"/>
  <c r="M52" i="18"/>
  <c r="M53" i="18"/>
  <c r="L28" i="11"/>
  <c r="L49" i="11"/>
  <c r="L30" i="11"/>
  <c r="L29" i="11"/>
  <c r="L47" i="11"/>
  <c r="L33" i="8" s="1"/>
  <c r="R28" i="2"/>
  <c r="J11" i="18"/>
  <c r="H32" i="10"/>
  <c r="H35" i="10" s="1"/>
  <c r="F59" i="9" s="1"/>
  <c r="H8" i="9"/>
  <c r="G57" i="9"/>
  <c r="Q8" i="5"/>
  <c r="O9" i="15"/>
  <c r="M45" i="18"/>
  <c r="M44" i="18"/>
  <c r="G27" i="6"/>
  <c r="I30" i="10"/>
  <c r="G26" i="6"/>
  <c r="J10" i="17"/>
  <c r="L29" i="12"/>
  <c r="L28" i="12"/>
  <c r="L30" i="12"/>
  <c r="R35" i="2"/>
  <c r="F45" i="6"/>
  <c r="J14" i="17"/>
  <c r="D13" i="6"/>
  <c r="L24" i="5"/>
  <c r="M73" i="5"/>
  <c r="N51" i="5"/>
  <c r="F31" i="6"/>
  <c r="L13" i="3"/>
  <c r="P10" i="2"/>
  <c r="Q43" i="18" s="1"/>
  <c r="D14" i="6"/>
  <c r="J36" i="8"/>
  <c r="J38" i="8" s="1"/>
  <c r="J56" i="8" s="1"/>
  <c r="M19" i="12"/>
  <c r="M20" i="12"/>
  <c r="M18" i="12"/>
  <c r="N14" i="12"/>
  <c r="M16" i="12"/>
  <c r="M26" i="12"/>
  <c r="M17" i="12"/>
  <c r="B41" i="16"/>
  <c r="I41" i="16" s="1"/>
  <c r="Q26" i="16"/>
  <c r="I29" i="16"/>
  <c r="E39" i="6"/>
  <c r="T16" i="14"/>
  <c r="T18" i="14" s="1"/>
  <c r="R18" i="14"/>
  <c r="R31" i="2"/>
  <c r="R34" i="2"/>
  <c r="M38" i="18"/>
  <c r="G18" i="6"/>
  <c r="H8" i="6"/>
  <c r="G17" i="6"/>
  <c r="O54" i="5" s="1"/>
  <c r="L17" i="18"/>
  <c r="G45" i="1" s="1"/>
  <c r="L16" i="18"/>
  <c r="G44" i="1" s="1"/>
  <c r="L19" i="18"/>
  <c r="G46" i="1" s="1"/>
  <c r="L20" i="18"/>
  <c r="G47" i="1" s="1"/>
  <c r="B37" i="16"/>
  <c r="I37" i="16" s="1"/>
  <c r="I25" i="16"/>
  <c r="Q24" i="16"/>
  <c r="M29" i="5"/>
  <c r="N29" i="5" s="1"/>
  <c r="M16" i="11"/>
  <c r="M26" i="11"/>
  <c r="M17" i="11"/>
  <c r="M18" i="11"/>
  <c r="M19" i="11"/>
  <c r="M20" i="11"/>
  <c r="N14" i="11"/>
  <c r="K80" i="5"/>
  <c r="K82" i="5" s="1"/>
  <c r="F25" i="10"/>
  <c r="D69" i="14"/>
  <c r="J68" i="14" s="1"/>
  <c r="K86" i="5"/>
  <c r="J43" i="15"/>
  <c r="I43" i="15"/>
  <c r="N21" i="1" s="1"/>
  <c r="F23" i="6"/>
  <c r="K41" i="11"/>
  <c r="K45" i="11" s="1"/>
  <c r="F29" i="6"/>
  <c r="M16" i="18"/>
  <c r="H44" i="1" s="1"/>
  <c r="M17" i="18"/>
  <c r="H45" i="1" s="1"/>
  <c r="M19" i="18"/>
  <c r="H46" i="1" s="1"/>
  <c r="C27" i="15"/>
  <c r="C30" i="15" s="1"/>
  <c r="M20" i="18"/>
  <c r="H47" i="1" s="1"/>
  <c r="G25" i="6"/>
  <c r="G48" i="6"/>
  <c r="G49" i="6"/>
  <c r="Q37" i="16"/>
  <c r="Q29" i="16"/>
  <c r="Q41" i="16" s="1"/>
  <c r="M28" i="5"/>
  <c r="N28" i="5" s="1"/>
  <c r="L22" i="12"/>
  <c r="F46" i="6"/>
  <c r="K36" i="8" l="1"/>
  <c r="N54" i="15"/>
  <c r="N20" i="15"/>
  <c r="G51" i="6"/>
  <c r="G59" i="6" s="1"/>
  <c r="M23" i="17" s="1"/>
  <c r="D10" i="13"/>
  <c r="F14" i="6"/>
  <c r="L39" i="11"/>
  <c r="L41" i="11" s="1"/>
  <c r="L45" i="11" s="1"/>
  <c r="O74" i="5"/>
  <c r="I18" i="10"/>
  <c r="C36" i="15"/>
  <c r="M23" i="15"/>
  <c r="N44" i="18"/>
  <c r="N45" i="18"/>
  <c r="P14" i="5"/>
  <c r="H24" i="6" s="1"/>
  <c r="P18" i="5"/>
  <c r="P26" i="5"/>
  <c r="P32" i="5"/>
  <c r="P45" i="5"/>
  <c r="H33" i="6" s="1"/>
  <c r="P16" i="5"/>
  <c r="P30" i="5"/>
  <c r="H47" i="6" s="1"/>
  <c r="P43" i="5"/>
  <c r="P47" i="5"/>
  <c r="H35" i="6" s="1"/>
  <c r="P25" i="5"/>
  <c r="P27" i="5"/>
  <c r="P31" i="5"/>
  <c r="P49" i="5"/>
  <c r="H37" i="6" s="1"/>
  <c r="P55" i="5"/>
  <c r="H52" i="6" s="1"/>
  <c r="P15" i="5"/>
  <c r="P56" i="5"/>
  <c r="H53" i="6" s="1"/>
  <c r="P19" i="5"/>
  <c r="P13" i="5"/>
  <c r="P44" i="5"/>
  <c r="H32" i="6" s="1"/>
  <c r="P48" i="5"/>
  <c r="H36" i="6" s="1"/>
  <c r="P17" i="5"/>
  <c r="P46" i="5"/>
  <c r="H34" i="6" s="1"/>
  <c r="N14" i="2"/>
  <c r="N23" i="2"/>
  <c r="N25" i="2"/>
  <c r="O46" i="18" s="1"/>
  <c r="O10" i="8"/>
  <c r="N12" i="8"/>
  <c r="O37" i="18" s="1"/>
  <c r="O38" i="18"/>
  <c r="O39" i="18"/>
  <c r="J30" i="10"/>
  <c r="H29" i="6"/>
  <c r="H48" i="6"/>
  <c r="E12" i="13"/>
  <c r="K29" i="8"/>
  <c r="O14" i="11"/>
  <c r="N17" i="11"/>
  <c r="N20" i="11"/>
  <c r="N16" i="11"/>
  <c r="N26" i="11"/>
  <c r="N18" i="11"/>
  <c r="N19" i="11"/>
  <c r="Q36" i="16"/>
  <c r="Q28" i="16"/>
  <c r="Q40" i="16" s="1"/>
  <c r="G29" i="6"/>
  <c r="K20" i="17"/>
  <c r="N52" i="18"/>
  <c r="N53" i="18"/>
  <c r="G24" i="6"/>
  <c r="I8" i="9"/>
  <c r="H57" i="9"/>
  <c r="S28" i="2"/>
  <c r="N32" i="15"/>
  <c r="E23" i="15"/>
  <c r="F12" i="15"/>
  <c r="N37" i="18"/>
  <c r="H26" i="6"/>
  <c r="H25" i="6"/>
  <c r="S34" i="2"/>
  <c r="N18" i="12"/>
  <c r="N19" i="12"/>
  <c r="N20" i="12"/>
  <c r="N17" i="12"/>
  <c r="O14" i="12"/>
  <c r="N16" i="12"/>
  <c r="N26" i="12"/>
  <c r="N73" i="5"/>
  <c r="S35" i="2"/>
  <c r="F39" i="6"/>
  <c r="M28" i="11"/>
  <c r="M29" i="11"/>
  <c r="M47" i="11"/>
  <c r="M33" i="8" s="1"/>
  <c r="M31" i="11"/>
  <c r="M30" i="11"/>
  <c r="M49" i="11"/>
  <c r="H17" i="6"/>
  <c r="P54" i="5" s="1"/>
  <c r="H18" i="6"/>
  <c r="I8" i="6"/>
  <c r="S31" i="2"/>
  <c r="M31" i="12"/>
  <c r="M30" i="12"/>
  <c r="M29" i="12"/>
  <c r="M28" i="12"/>
  <c r="F58" i="6"/>
  <c r="L22" i="17" s="1"/>
  <c r="J12" i="17"/>
  <c r="J16" i="17"/>
  <c r="O11" i="15"/>
  <c r="O17" i="15"/>
  <c r="O25" i="15"/>
  <c r="O19" i="15"/>
  <c r="O29" i="15"/>
  <c r="O30" i="15"/>
  <c r="O35" i="15"/>
  <c r="O36" i="15"/>
  <c r="O24" i="15"/>
  <c r="O53" i="15"/>
  <c r="O12" i="15"/>
  <c r="O13" i="15"/>
  <c r="O18" i="15"/>
  <c r="O23" i="15"/>
  <c r="O31" i="15"/>
  <c r="O37" i="15"/>
  <c r="O42" i="15"/>
  <c r="O43" i="15" s="1"/>
  <c r="O47" i="15"/>
  <c r="O49" i="15" s="1"/>
  <c r="O52" i="15"/>
  <c r="O54" i="15" s="1"/>
  <c r="N21" i="3"/>
  <c r="S17" i="2" s="1"/>
  <c r="S17" i="8" s="1"/>
  <c r="S23" i="8" s="1"/>
  <c r="R17" i="2"/>
  <c r="R17" i="8" s="1"/>
  <c r="R23" i="8" s="1"/>
  <c r="N8" i="18"/>
  <c r="O8" i="18" s="1"/>
  <c r="P8" i="18" s="1"/>
  <c r="Q8" i="18" s="1"/>
  <c r="R8" i="18" s="1"/>
  <c r="S8" i="18" s="1"/>
  <c r="T8" i="18" s="1"/>
  <c r="H42" i="1"/>
  <c r="H49" i="1" s="1"/>
  <c r="I32" i="10"/>
  <c r="I35" i="10" s="1"/>
  <c r="G59" i="9" s="1"/>
  <c r="H28" i="6"/>
  <c r="O51" i="5"/>
  <c r="G31" i="6"/>
  <c r="H27" i="6"/>
  <c r="J13" i="18"/>
  <c r="J12" i="18"/>
  <c r="M22" i="11"/>
  <c r="Q38" i="16"/>
  <c r="Q30" i="16"/>
  <c r="Q42" i="16" s="1"/>
  <c r="M22" i="12"/>
  <c r="M13" i="3"/>
  <c r="Q10" i="2"/>
  <c r="R43" i="18" s="1"/>
  <c r="L34" i="5"/>
  <c r="M24" i="5"/>
  <c r="L39" i="12"/>
  <c r="L41" i="12" s="1"/>
  <c r="F13" i="13" s="1"/>
  <c r="G58" i="6"/>
  <c r="M22" i="17" s="1"/>
  <c r="R8" i="5"/>
  <c r="P9" i="15"/>
  <c r="L34" i="8"/>
  <c r="F15" i="6" s="1"/>
  <c r="F18" i="13"/>
  <c r="N38" i="15"/>
  <c r="N14" i="15"/>
  <c r="G39" i="6"/>
  <c r="N39" i="18"/>
  <c r="M14" i="8"/>
  <c r="M27" i="8" s="1"/>
  <c r="H46" i="6"/>
  <c r="J29" i="10"/>
  <c r="H23" i="6"/>
  <c r="R32" i="2"/>
  <c r="J32" i="10" l="1"/>
  <c r="J35" i="10" s="1"/>
  <c r="H59" i="9" s="1"/>
  <c r="O32" i="15"/>
  <c r="O14" i="15"/>
  <c r="M39" i="12"/>
  <c r="M41" i="12" s="1"/>
  <c r="G13" i="13" s="1"/>
  <c r="N14" i="8"/>
  <c r="N27" i="8" s="1"/>
  <c r="H51" i="6"/>
  <c r="H59" i="6" s="1"/>
  <c r="N23" i="17" s="1"/>
  <c r="S32" i="2"/>
  <c r="M20" i="17"/>
  <c r="G14" i="6"/>
  <c r="O73" i="5"/>
  <c r="M52" i="15"/>
  <c r="O20" i="18"/>
  <c r="O17" i="18"/>
  <c r="O19" i="18"/>
  <c r="O16" i="18"/>
  <c r="P51" i="5"/>
  <c r="H31" i="6"/>
  <c r="H39" i="6" s="1"/>
  <c r="N13" i="3"/>
  <c r="S10" i="2" s="1"/>
  <c r="T43" i="18" s="1"/>
  <c r="R10" i="2"/>
  <c r="S43" i="18" s="1"/>
  <c r="M41" i="11"/>
  <c r="M45" i="11" s="1"/>
  <c r="M34" i="8"/>
  <c r="G15" i="6" s="1"/>
  <c r="G18" i="13"/>
  <c r="N30" i="12"/>
  <c r="N31" i="12"/>
  <c r="N32" i="12"/>
  <c r="N28" i="12"/>
  <c r="N29" i="12"/>
  <c r="O28" i="5"/>
  <c r="P28" i="5" s="1"/>
  <c r="J8" i="9"/>
  <c r="I57" i="9"/>
  <c r="N30" i="11"/>
  <c r="N31" i="11"/>
  <c r="N28" i="11"/>
  <c r="N29" i="11"/>
  <c r="N47" i="11"/>
  <c r="N33" i="8" s="1"/>
  <c r="N49" i="11"/>
  <c r="N32" i="11"/>
  <c r="O18" i="11"/>
  <c r="O16" i="11"/>
  <c r="O17" i="11"/>
  <c r="O20" i="11"/>
  <c r="O26" i="11"/>
  <c r="P14" i="11"/>
  <c r="O19" i="11"/>
  <c r="O44" i="18"/>
  <c r="O45" i="18"/>
  <c r="I47" i="6"/>
  <c r="P74" i="5"/>
  <c r="J18" i="10"/>
  <c r="D20" i="13"/>
  <c r="D29" i="13"/>
  <c r="N19" i="18"/>
  <c r="N20" i="18"/>
  <c r="N17" i="18"/>
  <c r="N16" i="18"/>
  <c r="P11" i="15"/>
  <c r="P17" i="15"/>
  <c r="P19" i="15"/>
  <c r="P12" i="15"/>
  <c r="P13" i="15"/>
  <c r="P18" i="15"/>
  <c r="P23" i="15"/>
  <c r="P29" i="15"/>
  <c r="P30" i="15"/>
  <c r="P35" i="15"/>
  <c r="P36" i="15"/>
  <c r="P31" i="15"/>
  <c r="P37" i="15"/>
  <c r="P42" i="15"/>
  <c r="P43" i="15" s="1"/>
  <c r="P25" i="15"/>
  <c r="P47" i="15"/>
  <c r="P49" i="15" s="1"/>
  <c r="P52" i="15"/>
  <c r="P54" i="15" s="1"/>
  <c r="P24" i="15"/>
  <c r="P53" i="15"/>
  <c r="M34" i="5"/>
  <c r="O38" i="15"/>
  <c r="J8" i="6"/>
  <c r="I17" i="6"/>
  <c r="Q54" i="5" s="1"/>
  <c r="I18" i="6"/>
  <c r="M39" i="11"/>
  <c r="N22" i="12"/>
  <c r="O29" i="5"/>
  <c r="P29" i="5" s="1"/>
  <c r="N22" i="11"/>
  <c r="E13" i="6"/>
  <c r="K14" i="17"/>
  <c r="K31" i="8"/>
  <c r="O40" i="18"/>
  <c r="Q15" i="5"/>
  <c r="I25" i="6" s="1"/>
  <c r="Q19" i="5"/>
  <c r="Q27" i="5"/>
  <c r="Q46" i="5"/>
  <c r="I34" i="6" s="1"/>
  <c r="Q13" i="5"/>
  <c r="Q17" i="5"/>
  <c r="Q25" i="5"/>
  <c r="I45" i="6" s="1"/>
  <c r="Q31" i="5"/>
  <c r="Q44" i="5"/>
  <c r="I32" i="6" s="1"/>
  <c r="Q14" i="5"/>
  <c r="Q16" i="5"/>
  <c r="Q18" i="5"/>
  <c r="I28" i="6" s="1"/>
  <c r="Q56" i="5"/>
  <c r="I53" i="6" s="1"/>
  <c r="Q26" i="5"/>
  <c r="Q48" i="5"/>
  <c r="I36" i="6" s="1"/>
  <c r="Q49" i="5"/>
  <c r="I37" i="6" s="1"/>
  <c r="Q55" i="5"/>
  <c r="I52" i="6" s="1"/>
  <c r="Q30" i="5"/>
  <c r="Q32" i="5"/>
  <c r="Q43" i="5"/>
  <c r="Q47" i="5"/>
  <c r="I35" i="6" s="1"/>
  <c r="Q45" i="5"/>
  <c r="I33" i="6" s="1"/>
  <c r="O23" i="2"/>
  <c r="P10" i="8"/>
  <c r="O25" i="2"/>
  <c r="P46" i="18" s="1"/>
  <c r="O12" i="8"/>
  <c r="P37" i="18" s="1"/>
  <c r="O14" i="8"/>
  <c r="O27" i="8" s="1"/>
  <c r="O14" i="2"/>
  <c r="P40" i="18"/>
  <c r="P39" i="18"/>
  <c r="I23" i="6"/>
  <c r="K29" i="10"/>
  <c r="L29" i="8"/>
  <c r="F12" i="13"/>
  <c r="H49" i="6"/>
  <c r="S8" i="5"/>
  <c r="Q9" i="15"/>
  <c r="O52" i="18"/>
  <c r="O53" i="18"/>
  <c r="O26" i="15"/>
  <c r="O20" i="15"/>
  <c r="L20" i="17"/>
  <c r="O17" i="12"/>
  <c r="P14" i="12"/>
  <c r="O26" i="12"/>
  <c r="O18" i="12"/>
  <c r="O16" i="12"/>
  <c r="O19" i="12"/>
  <c r="O20" i="12"/>
  <c r="H45" i="6"/>
  <c r="H58" i="6" s="1"/>
  <c r="N22" i="17" s="1"/>
  <c r="E43" i="15"/>
  <c r="F23" i="15"/>
  <c r="E44" i="15"/>
  <c r="C48" i="15"/>
  <c r="C52" i="15" s="1"/>
  <c r="E45" i="15"/>
  <c r="L35" i="1"/>
  <c r="L39" i="1" s="1"/>
  <c r="I27" i="6"/>
  <c r="K30" i="10"/>
  <c r="I24" i="6"/>
  <c r="L36" i="8"/>
  <c r="K32" i="10" l="1"/>
  <c r="K35" i="10" s="1"/>
  <c r="I59" i="9" s="1"/>
  <c r="P14" i="15"/>
  <c r="I51" i="6"/>
  <c r="I59" i="6" s="1"/>
  <c r="O23" i="17" s="1"/>
  <c r="N20" i="17"/>
  <c r="Q12" i="15"/>
  <c r="Q19" i="15"/>
  <c r="Q31" i="15"/>
  <c r="Q37" i="15"/>
  <c r="Q42" i="15"/>
  <c r="Q43" i="15" s="1"/>
  <c r="Q47" i="15"/>
  <c r="Q49" i="15" s="1"/>
  <c r="Q52" i="15"/>
  <c r="Q53" i="15"/>
  <c r="Q11" i="15"/>
  <c r="Q13" i="15"/>
  <c r="Q17" i="15"/>
  <c r="Q18" i="15"/>
  <c r="Q23" i="15"/>
  <c r="Q29" i="15"/>
  <c r="Q30" i="15"/>
  <c r="Q35" i="15"/>
  <c r="Q38" i="15" s="1"/>
  <c r="Q36" i="15"/>
  <c r="Q24" i="15"/>
  <c r="Q25" i="15"/>
  <c r="F13" i="6"/>
  <c r="L14" i="17"/>
  <c r="L31" i="8"/>
  <c r="G12" i="13"/>
  <c r="M29" i="8"/>
  <c r="P73" i="5"/>
  <c r="O28" i="12"/>
  <c r="O29" i="12"/>
  <c r="O30" i="12"/>
  <c r="O33" i="12"/>
  <c r="O31" i="12"/>
  <c r="O32" i="12"/>
  <c r="T8" i="5"/>
  <c r="R9" i="15"/>
  <c r="N24" i="5"/>
  <c r="P32" i="15"/>
  <c r="P19" i="11"/>
  <c r="P16" i="11"/>
  <c r="P26" i="11"/>
  <c r="Q14" i="11"/>
  <c r="P17" i="11"/>
  <c r="P18" i="11"/>
  <c r="P20" i="11"/>
  <c r="H14" i="6"/>
  <c r="L29" i="10"/>
  <c r="P26" i="15"/>
  <c r="K18" i="10"/>
  <c r="Q74" i="5"/>
  <c r="O29" i="11"/>
  <c r="O32" i="11"/>
  <c r="O30" i="11"/>
  <c r="O33" i="11"/>
  <c r="O49" i="11"/>
  <c r="O28" i="11"/>
  <c r="O47" i="11"/>
  <c r="O33" i="8" s="1"/>
  <c r="O31" i="11"/>
  <c r="P53" i="18"/>
  <c r="P52" i="18"/>
  <c r="P16" i="18"/>
  <c r="P20" i="18"/>
  <c r="P17" i="18"/>
  <c r="P19" i="18"/>
  <c r="K10" i="17"/>
  <c r="K38" i="8"/>
  <c r="D22" i="13"/>
  <c r="D34" i="13" s="1"/>
  <c r="D33" i="13"/>
  <c r="H18" i="13"/>
  <c r="N34" i="8"/>
  <c r="H15" i="6" s="1"/>
  <c r="Q28" i="5"/>
  <c r="I49" i="6"/>
  <c r="J47" i="6"/>
  <c r="L30" i="10"/>
  <c r="J18" i="6"/>
  <c r="K8" i="6"/>
  <c r="J17" i="6"/>
  <c r="R54" i="5" s="1"/>
  <c r="O22" i="11"/>
  <c r="M36" i="8"/>
  <c r="Q14" i="12"/>
  <c r="P16" i="12"/>
  <c r="P26" i="12"/>
  <c r="P19" i="12"/>
  <c r="P20" i="12"/>
  <c r="P17" i="12"/>
  <c r="P18" i="12"/>
  <c r="I29" i="6"/>
  <c r="C33" i="15"/>
  <c r="O22" i="12"/>
  <c r="I26" i="6"/>
  <c r="P38" i="18"/>
  <c r="P44" i="18"/>
  <c r="P45" i="18"/>
  <c r="R16" i="5"/>
  <c r="J26" i="6" s="1"/>
  <c r="R30" i="5"/>
  <c r="R43" i="5"/>
  <c r="R47" i="5"/>
  <c r="J35" i="6" s="1"/>
  <c r="R14" i="5"/>
  <c r="J24" i="6" s="1"/>
  <c r="R18" i="5"/>
  <c r="R26" i="5"/>
  <c r="R32" i="5"/>
  <c r="J49" i="6" s="1"/>
  <c r="R45" i="5"/>
  <c r="J33" i="6" s="1"/>
  <c r="R13" i="5"/>
  <c r="R25" i="5"/>
  <c r="R44" i="5"/>
  <c r="J32" i="6" s="1"/>
  <c r="R17" i="5"/>
  <c r="R46" i="5"/>
  <c r="J34" i="6" s="1"/>
  <c r="R19" i="5"/>
  <c r="R31" i="5"/>
  <c r="J48" i="6" s="1"/>
  <c r="R49" i="5"/>
  <c r="J37" i="6" s="1"/>
  <c r="R56" i="5"/>
  <c r="J53" i="6" s="1"/>
  <c r="R15" i="5"/>
  <c r="R48" i="5"/>
  <c r="J36" i="6" s="1"/>
  <c r="R55" i="5"/>
  <c r="J52" i="6" s="1"/>
  <c r="R27" i="5"/>
  <c r="P14" i="2"/>
  <c r="P12" i="8"/>
  <c r="P14" i="8" s="1"/>
  <c r="P27" i="8" s="1"/>
  <c r="P23" i="2"/>
  <c r="Q10" i="8"/>
  <c r="Q38" i="18"/>
  <c r="P25" i="2"/>
  <c r="Q46" i="18" s="1"/>
  <c r="Q51" i="5"/>
  <c r="I31" i="6"/>
  <c r="J28" i="6"/>
  <c r="P38" i="15"/>
  <c r="P20" i="15"/>
  <c r="J58" i="8"/>
  <c r="J60" i="8" s="1"/>
  <c r="J64" i="8" s="1"/>
  <c r="I46" i="6"/>
  <c r="N39" i="11"/>
  <c r="N41" i="11" s="1"/>
  <c r="N45" i="11" s="1"/>
  <c r="K8" i="9"/>
  <c r="J57" i="9"/>
  <c r="N39" i="12"/>
  <c r="N41" i="12" s="1"/>
  <c r="H13" i="13" s="1"/>
  <c r="I48" i="6"/>
  <c r="I58" i="6" s="1"/>
  <c r="O22" i="17" s="1"/>
  <c r="D25" i="13" l="1"/>
  <c r="D27" i="13" s="1"/>
  <c r="D30" i="13" s="1"/>
  <c r="D36" i="13"/>
  <c r="E32" i="13" s="1"/>
  <c r="O39" i="11"/>
  <c r="Q32" i="15"/>
  <c r="I39" i="6"/>
  <c r="O20" i="17" s="1"/>
  <c r="J51" i="6"/>
  <c r="J59" i="6" s="1"/>
  <c r="P23" i="17" s="1"/>
  <c r="S54" i="5"/>
  <c r="N29" i="8"/>
  <c r="H12" i="13"/>
  <c r="Q45" i="18"/>
  <c r="Q44" i="18"/>
  <c r="R51" i="5"/>
  <c r="J31" i="6"/>
  <c r="Q19" i="12"/>
  <c r="Q20" i="12"/>
  <c r="Q18" i="12"/>
  <c r="R14" i="12"/>
  <c r="Q16" i="12"/>
  <c r="Q26" i="12"/>
  <c r="Q17" i="12"/>
  <c r="R74" i="5"/>
  <c r="L18" i="10"/>
  <c r="L32" i="10"/>
  <c r="L35" i="10" s="1"/>
  <c r="J59" i="9" s="1"/>
  <c r="Q16" i="11"/>
  <c r="Q26" i="11"/>
  <c r="R14" i="11"/>
  <c r="Q19" i="11"/>
  <c r="Q20" i="11"/>
  <c r="Q18" i="11"/>
  <c r="Q17" i="11"/>
  <c r="J46" i="6"/>
  <c r="O39" i="12"/>
  <c r="G13" i="6"/>
  <c r="M14" i="17"/>
  <c r="M31" i="8"/>
  <c r="J45" i="6"/>
  <c r="J58" i="6" s="1"/>
  <c r="P22" i="17" s="1"/>
  <c r="Q39" i="18"/>
  <c r="S13" i="5"/>
  <c r="S17" i="5"/>
  <c r="S25" i="5"/>
  <c r="S31" i="5"/>
  <c r="S44" i="5"/>
  <c r="K32" i="6" s="1"/>
  <c r="S15" i="5"/>
  <c r="K25" i="6" s="1"/>
  <c r="S19" i="5"/>
  <c r="S27" i="5"/>
  <c r="S46" i="5"/>
  <c r="K34" i="6" s="1"/>
  <c r="S43" i="5"/>
  <c r="S45" i="5"/>
  <c r="K33" i="6" s="1"/>
  <c r="S47" i="5"/>
  <c r="K35" i="6" s="1"/>
  <c r="S48" i="5"/>
  <c r="K36" i="6" s="1"/>
  <c r="S14" i="5"/>
  <c r="S32" i="5"/>
  <c r="S18" i="5"/>
  <c r="S49" i="5"/>
  <c r="K37" i="6" s="1"/>
  <c r="S55" i="5"/>
  <c r="K52" i="6" s="1"/>
  <c r="S56" i="5"/>
  <c r="K53" i="6" s="1"/>
  <c r="S30" i="5"/>
  <c r="S26" i="5"/>
  <c r="S16" i="5"/>
  <c r="Q25" i="2"/>
  <c r="R46" i="18" s="1"/>
  <c r="R10" i="8"/>
  <c r="Q14" i="8"/>
  <c r="Q27" i="8" s="1"/>
  <c r="Q14" i="2"/>
  <c r="Q12" i="8"/>
  <c r="R37" i="18" s="1"/>
  <c r="Q23" i="2"/>
  <c r="R39" i="18"/>
  <c r="R40" i="18"/>
  <c r="M29" i="10"/>
  <c r="K47" i="6"/>
  <c r="K18" i="6"/>
  <c r="K17" i="6"/>
  <c r="L8" i="6"/>
  <c r="I14" i="6"/>
  <c r="O36" i="8"/>
  <c r="J23" i="6"/>
  <c r="P34" i="11"/>
  <c r="P32" i="11"/>
  <c r="P30" i="11"/>
  <c r="P33" i="11"/>
  <c r="P49" i="11"/>
  <c r="P29" i="11"/>
  <c r="P47" i="11"/>
  <c r="P33" i="8" s="1"/>
  <c r="P28" i="11"/>
  <c r="P31" i="11"/>
  <c r="N34" i="5"/>
  <c r="O24" i="5"/>
  <c r="R13" i="15"/>
  <c r="R18" i="15"/>
  <c r="R24" i="15"/>
  <c r="R53" i="15"/>
  <c r="R12" i="15"/>
  <c r="R19" i="15"/>
  <c r="R31" i="15"/>
  <c r="R37" i="15"/>
  <c r="R42" i="15"/>
  <c r="R43" i="15" s="1"/>
  <c r="R47" i="15"/>
  <c r="R49" i="15" s="1"/>
  <c r="R52" i="15"/>
  <c r="R25" i="15"/>
  <c r="R11" i="15"/>
  <c r="R14" i="15" s="1"/>
  <c r="R17" i="15"/>
  <c r="R20" i="15" s="1"/>
  <c r="R23" i="15"/>
  <c r="R29" i="15"/>
  <c r="R32" i="15" s="1"/>
  <c r="R30" i="15"/>
  <c r="R35" i="15"/>
  <c r="R36" i="15"/>
  <c r="Q20" i="15"/>
  <c r="Q54" i="15"/>
  <c r="D16" i="6"/>
  <c r="L53" i="5" s="1"/>
  <c r="J21" i="17"/>
  <c r="J25" i="17" s="1"/>
  <c r="Q52" i="18"/>
  <c r="Q53" i="18"/>
  <c r="K27" i="6"/>
  <c r="K24" i="6"/>
  <c r="M30" i="10"/>
  <c r="K26" i="6"/>
  <c r="P29" i="12"/>
  <c r="P34" i="12"/>
  <c r="P32" i="12"/>
  <c r="P28" i="12"/>
  <c r="P31" i="12"/>
  <c r="P30" i="12"/>
  <c r="P33" i="12"/>
  <c r="P22" i="11"/>
  <c r="U8" i="5"/>
  <c r="T9" i="15" s="1"/>
  <c r="S9" i="15"/>
  <c r="L10" i="17"/>
  <c r="L38" i="8"/>
  <c r="L8" i="9"/>
  <c r="K57" i="9"/>
  <c r="D10" i="6"/>
  <c r="D20" i="6" s="1"/>
  <c r="D41" i="6" s="1"/>
  <c r="E31" i="1"/>
  <c r="E39" i="1"/>
  <c r="L75" i="5"/>
  <c r="Q40" i="18"/>
  <c r="Q16" i="18"/>
  <c r="Q17" i="18"/>
  <c r="Q20" i="18"/>
  <c r="Q19" i="18"/>
  <c r="Q37" i="18"/>
  <c r="K49" i="6"/>
  <c r="O41" i="12"/>
  <c r="I13" i="13" s="1"/>
  <c r="P22" i="12"/>
  <c r="O41" i="11"/>
  <c r="O45" i="11" s="1"/>
  <c r="J29" i="6"/>
  <c r="K12" i="17"/>
  <c r="K16" i="17"/>
  <c r="I18" i="13"/>
  <c r="O34" i="8"/>
  <c r="I15" i="6" s="1"/>
  <c r="J25" i="6"/>
  <c r="N36" i="8"/>
  <c r="J27" i="6"/>
  <c r="Q73" i="5"/>
  <c r="Q29" i="5"/>
  <c r="Q26" i="15"/>
  <c r="Q14" i="15"/>
  <c r="M32" i="10" l="1"/>
  <c r="M35" i="10" s="1"/>
  <c r="K59" i="9" s="1"/>
  <c r="M8" i="9"/>
  <c r="M57" i="9" s="1"/>
  <c r="L57" i="9"/>
  <c r="T11" i="15"/>
  <c r="T14" i="15" s="1"/>
  <c r="T17" i="15"/>
  <c r="T19" i="15"/>
  <c r="T23" i="15"/>
  <c r="T29" i="15"/>
  <c r="T30" i="15"/>
  <c r="T35" i="15"/>
  <c r="T36" i="15"/>
  <c r="T31" i="15"/>
  <c r="T25" i="15"/>
  <c r="T12" i="15"/>
  <c r="T13" i="15"/>
  <c r="T18" i="15"/>
  <c r="T37" i="15"/>
  <c r="T42" i="15"/>
  <c r="T43" i="15" s="1"/>
  <c r="T47" i="15"/>
  <c r="T49" i="15" s="1"/>
  <c r="T52" i="15"/>
  <c r="T54" i="15" s="1"/>
  <c r="T24" i="15"/>
  <c r="T53" i="15"/>
  <c r="P24" i="5"/>
  <c r="O34" i="5"/>
  <c r="J14" i="6"/>
  <c r="R19" i="18"/>
  <c r="R17" i="18"/>
  <c r="R20" i="18"/>
  <c r="R16" i="18"/>
  <c r="N29" i="10"/>
  <c r="S14" i="11"/>
  <c r="R17" i="11"/>
  <c r="R20" i="11"/>
  <c r="R18" i="11"/>
  <c r="R19" i="11"/>
  <c r="R16" i="11"/>
  <c r="R26" i="11"/>
  <c r="R52" i="18"/>
  <c r="R53" i="18"/>
  <c r="H13" i="6"/>
  <c r="N14" i="17"/>
  <c r="N31" i="8"/>
  <c r="R26" i="15"/>
  <c r="R54" i="15"/>
  <c r="R38" i="18"/>
  <c r="T14" i="5"/>
  <c r="S39" i="18" s="1"/>
  <c r="T18" i="5"/>
  <c r="T26" i="5"/>
  <c r="L46" i="6" s="1"/>
  <c r="T32" i="5"/>
  <c r="T45" i="5"/>
  <c r="L33" i="6" s="1"/>
  <c r="T16" i="5"/>
  <c r="T30" i="5"/>
  <c r="L47" i="6" s="1"/>
  <c r="T43" i="5"/>
  <c r="T47" i="5"/>
  <c r="L35" i="6" s="1"/>
  <c r="T13" i="5"/>
  <c r="T15" i="5"/>
  <c r="T17" i="5"/>
  <c r="T19" i="5"/>
  <c r="L29" i="6" s="1"/>
  <c r="T49" i="5"/>
  <c r="L37" i="6" s="1"/>
  <c r="T55" i="5"/>
  <c r="L52" i="6" s="1"/>
  <c r="T31" i="5"/>
  <c r="T27" i="5"/>
  <c r="T48" i="5"/>
  <c r="L36" i="6" s="1"/>
  <c r="T46" i="5"/>
  <c r="L34" i="6" s="1"/>
  <c r="T56" i="5"/>
  <c r="L53" i="6" s="1"/>
  <c r="T44" i="5"/>
  <c r="L32" i="6" s="1"/>
  <c r="T25" i="5"/>
  <c r="R14" i="2"/>
  <c r="R23" i="2"/>
  <c r="R25" i="2"/>
  <c r="S46" i="18" s="1"/>
  <c r="S10" i="8"/>
  <c r="R12" i="8"/>
  <c r="S40" i="18"/>
  <c r="L28" i="6"/>
  <c r="Q28" i="11"/>
  <c r="Q33" i="11"/>
  <c r="Q31" i="11"/>
  <c r="Q35" i="11"/>
  <c r="Q47" i="11"/>
  <c r="Q33" i="8" s="1"/>
  <c r="Q32" i="11"/>
  <c r="Q34" i="11"/>
  <c r="Q30" i="11"/>
  <c r="Q29" i="11"/>
  <c r="Q49" i="11"/>
  <c r="S74" i="5"/>
  <c r="M18" i="10"/>
  <c r="Q31" i="12"/>
  <c r="Q32" i="12"/>
  <c r="Q33" i="12"/>
  <c r="Q29" i="12"/>
  <c r="Q34" i="12"/>
  <c r="Q30" i="12"/>
  <c r="Q28" i="12"/>
  <c r="Q35" i="12"/>
  <c r="K46" i="6"/>
  <c r="K51" i="6"/>
  <c r="K59" i="6" s="1"/>
  <c r="Q23" i="17" s="1"/>
  <c r="R73" i="5"/>
  <c r="L12" i="17"/>
  <c r="L16" i="17"/>
  <c r="P39" i="12"/>
  <c r="P41" i="12" s="1"/>
  <c r="J13" i="13" s="1"/>
  <c r="D50" i="6"/>
  <c r="D55" i="6" s="1"/>
  <c r="D11" i="9" s="1"/>
  <c r="D15" i="9" s="1"/>
  <c r="R38" i="15"/>
  <c r="P34" i="8"/>
  <c r="J15" i="6" s="1"/>
  <c r="J18" i="13"/>
  <c r="M8" i="6"/>
  <c r="L18" i="6"/>
  <c r="L17" i="6"/>
  <c r="T54" i="5" s="1"/>
  <c r="K28" i="6"/>
  <c r="L49" i="6"/>
  <c r="Q22" i="11"/>
  <c r="Q22" i="12"/>
  <c r="K45" i="6"/>
  <c r="R29" i="5"/>
  <c r="O29" i="8"/>
  <c r="I12" i="13"/>
  <c r="K48" i="6"/>
  <c r="L77" i="5"/>
  <c r="G19" i="10"/>
  <c r="S25" i="15"/>
  <c r="S29" i="15"/>
  <c r="S30" i="15"/>
  <c r="S35" i="15"/>
  <c r="S36" i="15"/>
  <c r="S24" i="15"/>
  <c r="S53" i="15"/>
  <c r="S11" i="15"/>
  <c r="S17" i="15"/>
  <c r="S23" i="15"/>
  <c r="S12" i="15"/>
  <c r="S13" i="15"/>
  <c r="S18" i="15"/>
  <c r="S19" i="15"/>
  <c r="S31" i="15"/>
  <c r="S37" i="15"/>
  <c r="S42" i="15"/>
  <c r="S43" i="15" s="1"/>
  <c r="S47" i="15"/>
  <c r="S49" i="15" s="1"/>
  <c r="S52" i="15"/>
  <c r="S54" i="15" s="1"/>
  <c r="P39" i="11"/>
  <c r="P41" i="11" s="1"/>
  <c r="P45" i="11" s="1"/>
  <c r="J39" i="6"/>
  <c r="K23" i="6"/>
  <c r="R44" i="18"/>
  <c r="R45" i="18"/>
  <c r="L26" i="6"/>
  <c r="N30" i="10"/>
  <c r="S51" i="5"/>
  <c r="K31" i="6"/>
  <c r="L25" i="6"/>
  <c r="L27" i="6"/>
  <c r="M10" i="17"/>
  <c r="M38" i="8"/>
  <c r="R28" i="5"/>
  <c r="R18" i="12"/>
  <c r="R17" i="12"/>
  <c r="R19" i="12"/>
  <c r="R20" i="12"/>
  <c r="S14" i="12"/>
  <c r="R16" i="12"/>
  <c r="R26" i="12"/>
  <c r="K29" i="6"/>
  <c r="S37" i="18" l="1"/>
  <c r="N32" i="10"/>
  <c r="N35" i="10" s="1"/>
  <c r="L59" i="9" s="1"/>
  <c r="T20" i="15"/>
  <c r="D17" i="9"/>
  <c r="L59" i="5" s="1"/>
  <c r="P20" i="17"/>
  <c r="P29" i="8"/>
  <c r="J12" i="13"/>
  <c r="R30" i="11"/>
  <c r="R31" i="11"/>
  <c r="R28" i="11"/>
  <c r="R29" i="11"/>
  <c r="R36" i="11"/>
  <c r="R35" i="11"/>
  <c r="R47" i="11"/>
  <c r="R33" i="8" s="1"/>
  <c r="R33" i="11"/>
  <c r="R32" i="11"/>
  <c r="R34" i="11"/>
  <c r="R49" i="11"/>
  <c r="M12" i="17"/>
  <c r="M16" i="17" s="1"/>
  <c r="S38" i="15"/>
  <c r="Q34" i="8"/>
  <c r="K15" i="6" s="1"/>
  <c r="K18" i="13"/>
  <c r="S17" i="12"/>
  <c r="S18" i="12"/>
  <c r="S16" i="12"/>
  <c r="S26" i="12"/>
  <c r="S19" i="12"/>
  <c r="S20" i="12"/>
  <c r="R30" i="12"/>
  <c r="R33" i="12"/>
  <c r="R28" i="12"/>
  <c r="R36" i="12"/>
  <c r="R31" i="12"/>
  <c r="R32" i="12"/>
  <c r="R35" i="12"/>
  <c r="R29" i="12"/>
  <c r="R34" i="12"/>
  <c r="S20" i="15"/>
  <c r="K58" i="6"/>
  <c r="Q22" i="17" s="1"/>
  <c r="S73" i="5"/>
  <c r="L51" i="6"/>
  <c r="L59" i="6" s="1"/>
  <c r="R23" i="17" s="1"/>
  <c r="U15" i="5"/>
  <c r="M25" i="6" s="1"/>
  <c r="U19" i="5"/>
  <c r="U27" i="5"/>
  <c r="U46" i="5"/>
  <c r="M34" i="6" s="1"/>
  <c r="U13" i="5"/>
  <c r="P29" i="10" s="1"/>
  <c r="U17" i="5"/>
  <c r="U25" i="5"/>
  <c r="M45" i="6" s="1"/>
  <c r="U31" i="5"/>
  <c r="M48" i="6" s="1"/>
  <c r="U44" i="5"/>
  <c r="M32" i="6" s="1"/>
  <c r="U26" i="5"/>
  <c r="U30" i="5"/>
  <c r="U32" i="5"/>
  <c r="M49" i="6" s="1"/>
  <c r="U56" i="5"/>
  <c r="M53" i="6" s="1"/>
  <c r="U43" i="5"/>
  <c r="U47" i="5"/>
  <c r="M35" i="6" s="1"/>
  <c r="U16" i="5"/>
  <c r="M26" i="6" s="1"/>
  <c r="U45" i="5"/>
  <c r="M33" i="6" s="1"/>
  <c r="U18" i="5"/>
  <c r="U48" i="5"/>
  <c r="M36" i="6" s="1"/>
  <c r="U49" i="5"/>
  <c r="M37" i="6" s="1"/>
  <c r="U55" i="5"/>
  <c r="M52" i="6" s="1"/>
  <c r="U14" i="5"/>
  <c r="P30" i="10" s="1"/>
  <c r="S23" i="2"/>
  <c r="S25" i="2"/>
  <c r="T46" i="18" s="1"/>
  <c r="S14" i="2"/>
  <c r="S12" i="8"/>
  <c r="T37" i="18" s="1"/>
  <c r="T40" i="18"/>
  <c r="O29" i="10"/>
  <c r="M28" i="6"/>
  <c r="R22" i="12"/>
  <c r="S52" i="18"/>
  <c r="S53" i="18"/>
  <c r="S14" i="15"/>
  <c r="M17" i="6"/>
  <c r="U54" i="5" s="1"/>
  <c r="M51" i="6" s="1"/>
  <c r="M59" i="6" s="1"/>
  <c r="S23" i="17" s="1"/>
  <c r="M18" i="6"/>
  <c r="M29" i="6"/>
  <c r="O30" i="10"/>
  <c r="M24" i="6"/>
  <c r="R22" i="11"/>
  <c r="T32" i="15"/>
  <c r="L24" i="6"/>
  <c r="G25" i="10"/>
  <c r="K32" i="18"/>
  <c r="E33" i="1"/>
  <c r="I13" i="6"/>
  <c r="O14" i="17"/>
  <c r="O31" i="8"/>
  <c r="K14" i="6"/>
  <c r="Q39" i="11"/>
  <c r="Q41" i="11" s="1"/>
  <c r="Q45" i="11" s="1"/>
  <c r="S38" i="18"/>
  <c r="M27" i="6"/>
  <c r="T51" i="5"/>
  <c r="L31" i="6"/>
  <c r="N10" i="17"/>
  <c r="N38" i="8"/>
  <c r="S18" i="11"/>
  <c r="S16" i="11"/>
  <c r="S17" i="11"/>
  <c r="S20" i="11"/>
  <c r="S26" i="11"/>
  <c r="S19" i="11"/>
  <c r="P34" i="5"/>
  <c r="Q24" i="5"/>
  <c r="T26" i="15"/>
  <c r="S28" i="5"/>
  <c r="K39" i="6"/>
  <c r="S26" i="15"/>
  <c r="S32" i="15"/>
  <c r="S29" i="5"/>
  <c r="L45" i="6"/>
  <c r="Q39" i="12"/>
  <c r="Q41" i="12" s="1"/>
  <c r="K13" i="13" s="1"/>
  <c r="T74" i="5"/>
  <c r="N18" i="10"/>
  <c r="L48" i="6"/>
  <c r="R14" i="8"/>
  <c r="R27" i="8" s="1"/>
  <c r="S44" i="18"/>
  <c r="S45" i="18"/>
  <c r="M47" i="6"/>
  <c r="M46" i="6"/>
  <c r="L23" i="6"/>
  <c r="L39" i="6" s="1"/>
  <c r="P36" i="8"/>
  <c r="T38" i="15"/>
  <c r="M58" i="6" l="1"/>
  <c r="S22" i="17" s="1"/>
  <c r="O32" i="10"/>
  <c r="O35" i="10" s="1"/>
  <c r="M59" i="9" s="1"/>
  <c r="T29" i="5"/>
  <c r="T28" i="5"/>
  <c r="T39" i="18"/>
  <c r="S14" i="8"/>
  <c r="S27" i="8" s="1"/>
  <c r="P32" i="10"/>
  <c r="P35" i="10" s="1"/>
  <c r="D19" i="9"/>
  <c r="D21" i="9" s="1"/>
  <c r="K12" i="13"/>
  <c r="Q29" i="8"/>
  <c r="S20" i="18"/>
  <c r="S19" i="18"/>
  <c r="S16" i="18"/>
  <c r="S17" i="18"/>
  <c r="R24" i="5"/>
  <c r="Q34" i="5"/>
  <c r="T53" i="18"/>
  <c r="T52" i="18"/>
  <c r="O10" i="17"/>
  <c r="O38" i="8"/>
  <c r="L58" i="6"/>
  <c r="R22" i="17" s="1"/>
  <c r="Q20" i="17"/>
  <c r="N12" i="17"/>
  <c r="N16" i="17" s="1"/>
  <c r="Q36" i="8"/>
  <c r="K12" i="18"/>
  <c r="K13" i="18"/>
  <c r="T38" i="18"/>
  <c r="T44" i="18"/>
  <c r="T45" i="18"/>
  <c r="U51" i="5"/>
  <c r="M31" i="6"/>
  <c r="R39" i="12"/>
  <c r="R41" i="12" s="1"/>
  <c r="L13" i="13" s="1"/>
  <c r="R34" i="8"/>
  <c r="L15" i="6" s="1"/>
  <c r="L18" i="13"/>
  <c r="L14" i="6"/>
  <c r="R39" i="11"/>
  <c r="R41" i="11" s="1"/>
  <c r="R45" i="11" s="1"/>
  <c r="J13" i="6"/>
  <c r="P14" i="17"/>
  <c r="P31" i="8"/>
  <c r="R20" i="17"/>
  <c r="S22" i="11"/>
  <c r="T20" i="18"/>
  <c r="T17" i="18"/>
  <c r="T19" i="18"/>
  <c r="T16" i="18"/>
  <c r="S28" i="12"/>
  <c r="S35" i="12"/>
  <c r="S36" i="12"/>
  <c r="S34" i="12"/>
  <c r="S30" i="12"/>
  <c r="S33" i="12"/>
  <c r="S29" i="12"/>
  <c r="S37" i="12"/>
  <c r="S31" i="12"/>
  <c r="S32" i="12"/>
  <c r="H28" i="12" a="1"/>
  <c r="O18" i="10"/>
  <c r="U74" i="5"/>
  <c r="P18" i="10" s="1"/>
  <c r="S29" i="11"/>
  <c r="S32" i="11"/>
  <c r="S49" i="11"/>
  <c r="U29" i="5" s="1"/>
  <c r="S28" i="11"/>
  <c r="S31" i="11"/>
  <c r="S36" i="11"/>
  <c r="S35" i="11"/>
  <c r="S30" i="11"/>
  <c r="S33" i="11"/>
  <c r="S47" i="11"/>
  <c r="S33" i="8" s="1"/>
  <c r="S34" i="11"/>
  <c r="S37" i="11"/>
  <c r="H28" i="11" a="1"/>
  <c r="M23" i="6"/>
  <c r="M39" i="6" s="1"/>
  <c r="T73" i="5"/>
  <c r="S22" i="12"/>
  <c r="G10" i="10"/>
  <c r="K43" i="8"/>
  <c r="L61" i="5" l="1"/>
  <c r="D23" i="9"/>
  <c r="R29" i="8"/>
  <c r="L12" i="13"/>
  <c r="M14" i="6"/>
  <c r="D25" i="9"/>
  <c r="L62" i="5" s="1"/>
  <c r="D27" i="9"/>
  <c r="S39" i="12"/>
  <c r="S41" i="12" s="1"/>
  <c r="M13" i="13" s="1"/>
  <c r="R34" i="5"/>
  <c r="S24" i="5"/>
  <c r="H35" i="11"/>
  <c r="H31" i="11"/>
  <c r="H34" i="11"/>
  <c r="H28" i="11"/>
  <c r="H30" i="11"/>
  <c r="H32" i="11"/>
  <c r="H36" i="11"/>
  <c r="H37" i="11"/>
  <c r="H33" i="11"/>
  <c r="H29" i="11"/>
  <c r="G12" i="10"/>
  <c r="K45" i="8"/>
  <c r="S20" i="17"/>
  <c r="S39" i="11"/>
  <c r="H32" i="12"/>
  <c r="H33" i="12"/>
  <c r="H31" i="12"/>
  <c r="H34" i="12"/>
  <c r="H28" i="12"/>
  <c r="H30" i="12"/>
  <c r="H35" i="12"/>
  <c r="H29" i="12"/>
  <c r="H36" i="12"/>
  <c r="H37" i="12"/>
  <c r="S41" i="11"/>
  <c r="S45" i="11" s="1"/>
  <c r="O12" i="17"/>
  <c r="O16" i="17" s="1"/>
  <c r="K13" i="6"/>
  <c r="Q14" i="17"/>
  <c r="Q31" i="8"/>
  <c r="U73" i="5"/>
  <c r="M18" i="13"/>
  <c r="S34" i="8"/>
  <c r="M15" i="6" s="1"/>
  <c r="U28" i="5"/>
  <c r="P10" i="17"/>
  <c r="P38" i="8"/>
  <c r="R36" i="8"/>
  <c r="S36" i="8" l="1"/>
  <c r="P12" i="17"/>
  <c r="P16" i="17"/>
  <c r="S29" i="8"/>
  <c r="M12" i="13"/>
  <c r="L13" i="6"/>
  <c r="R14" i="17"/>
  <c r="R31" i="8"/>
  <c r="D29" i="9"/>
  <c r="D31" i="9" s="1"/>
  <c r="Q10" i="17"/>
  <c r="Q38" i="8"/>
  <c r="T24" i="5"/>
  <c r="S34" i="5"/>
  <c r="G13" i="10"/>
  <c r="K46" i="8"/>
  <c r="Q12" i="17" l="1"/>
  <c r="Q16" i="17"/>
  <c r="M13" i="6"/>
  <c r="S14" i="17"/>
  <c r="U14" i="17" s="1"/>
  <c r="U19" i="17" s="1"/>
  <c r="S31" i="8"/>
  <c r="T34" i="5"/>
  <c r="U24" i="5"/>
  <c r="U34" i="5" s="1"/>
  <c r="D33" i="9"/>
  <c r="D35" i="9" s="1"/>
  <c r="L63" i="5"/>
  <c r="K35" i="15"/>
  <c r="K38" i="15" s="1"/>
  <c r="R38" i="8"/>
  <c r="R10" i="17"/>
  <c r="D37" i="9" l="1"/>
  <c r="D39" i="9" s="1"/>
  <c r="L64" i="5"/>
  <c r="K11" i="15"/>
  <c r="K14" i="15" s="1"/>
  <c r="G14" i="10"/>
  <c r="K47" i="8"/>
  <c r="L36" i="15" s="1"/>
  <c r="S38" i="8"/>
  <c r="S10" i="17"/>
  <c r="R12" i="17"/>
  <c r="R16" i="17"/>
  <c r="D41" i="9" l="1"/>
  <c r="L65" i="5"/>
  <c r="K17" i="15"/>
  <c r="K20" i="15" s="1"/>
  <c r="U10" i="17"/>
  <c r="S12" i="17"/>
  <c r="U12" i="17" s="1"/>
  <c r="G15" i="10"/>
  <c r="K48" i="8"/>
  <c r="S16" i="17" l="1"/>
  <c r="L66" i="5"/>
  <c r="K29" i="15"/>
  <c r="K32" i="15" s="1"/>
  <c r="G16" i="10"/>
  <c r="K49" i="8"/>
  <c r="L18" i="15" s="1"/>
  <c r="L12" i="15"/>
  <c r="U16" i="17"/>
  <c r="U25" i="17" s="1"/>
  <c r="O31" i="17"/>
  <c r="O33" i="17"/>
  <c r="BO76" i="16"/>
  <c r="BQ76" i="16"/>
  <c r="O32" i="17"/>
  <c r="BS76" i="16"/>
  <c r="D43" i="9"/>
  <c r="D46" i="9" s="1"/>
  <c r="BS97" i="16" l="1"/>
  <c r="BS77" i="16"/>
  <c r="W32" i="17"/>
  <c r="W33" i="17"/>
  <c r="W31" i="17"/>
  <c r="V32" i="17"/>
  <c r="V33" i="17"/>
  <c r="V31" i="17"/>
  <c r="U31" i="17"/>
  <c r="U32" i="17"/>
  <c r="U33" i="17"/>
  <c r="BQ77" i="16"/>
  <c r="BQ97" i="16"/>
  <c r="BX97" i="16"/>
  <c r="BX98" i="16" s="1"/>
  <c r="BV118" i="16"/>
  <c r="BV119" i="16" s="1"/>
  <c r="O38" i="17"/>
  <c r="W38" i="17" s="1"/>
  <c r="O39" i="17"/>
  <c r="W39" i="17" s="1"/>
  <c r="O40" i="17"/>
  <c r="W40" i="17" s="1"/>
  <c r="BV76" i="16"/>
  <c r="BV77" i="16" s="1"/>
  <c r="BX118" i="16"/>
  <c r="BX119" i="16" s="1"/>
  <c r="BX76" i="16"/>
  <c r="BX77" i="16" s="1"/>
  <c r="BV97" i="16"/>
  <c r="BV98" i="16" s="1"/>
  <c r="BZ118" i="16"/>
  <c r="BZ119" i="16" s="1"/>
  <c r="N39" i="17"/>
  <c r="V39" i="17" s="1"/>
  <c r="M38" i="17"/>
  <c r="U38" i="17" s="1"/>
  <c r="M39" i="17"/>
  <c r="U39" i="17" s="1"/>
  <c r="BZ76" i="16"/>
  <c r="BZ77" i="16" s="1"/>
  <c r="BZ97" i="16"/>
  <c r="BZ98" i="16" s="1"/>
  <c r="N38" i="17"/>
  <c r="V38" i="17" s="1"/>
  <c r="N40" i="17"/>
  <c r="V40" i="17" s="1"/>
  <c r="M40" i="17"/>
  <c r="U40" i="17" s="1"/>
  <c r="G17" i="10"/>
  <c r="K50" i="8"/>
  <c r="D48" i="9"/>
  <c r="D47" i="9"/>
  <c r="BO97" i="16"/>
  <c r="BO77" i="16"/>
  <c r="D50" i="9" l="1"/>
  <c r="L12" i="5" s="1"/>
  <c r="L21" i="5" s="1"/>
  <c r="L36" i="5" s="1"/>
  <c r="E42" i="6"/>
  <c r="K40" i="8"/>
  <c r="BO98" i="16"/>
  <c r="BO118" i="16"/>
  <c r="BO119" i="16" s="1"/>
  <c r="L30" i="15"/>
  <c r="K68" i="8"/>
  <c r="BQ98" i="16"/>
  <c r="BQ118" i="16"/>
  <c r="BQ119" i="16" s="1"/>
  <c r="BS98" i="16"/>
  <c r="BS118" i="16"/>
  <c r="BS119" i="16" s="1"/>
  <c r="L60" i="5"/>
  <c r="G11" i="10" l="1"/>
  <c r="G21" i="10" s="1"/>
  <c r="K44" i="8"/>
  <c r="L84" i="5"/>
  <c r="L68" i="5"/>
  <c r="BO81" i="16"/>
  <c r="K36" i="18"/>
  <c r="S13" i="16" l="1"/>
  <c r="BQ81" i="16"/>
  <c r="BO102" i="16"/>
  <c r="BO123" i="16" s="1"/>
  <c r="K52" i="8"/>
  <c r="K67" i="8"/>
  <c r="G23" i="10"/>
  <c r="L86" i="5"/>
  <c r="L70" i="5"/>
  <c r="L80" i="5" s="1"/>
  <c r="L82" i="5" s="1"/>
  <c r="K11" i="18"/>
  <c r="K33" i="18"/>
  <c r="BQ102" i="16" l="1"/>
  <c r="BQ123" i="16" s="1"/>
  <c r="BS81" i="16"/>
  <c r="L23" i="18"/>
  <c r="G51" i="1" s="1"/>
  <c r="L29" i="18"/>
  <c r="L26" i="18"/>
  <c r="G52" i="1" s="1"/>
  <c r="L27" i="18"/>
  <c r="G54" i="1" s="1"/>
  <c r="L30" i="18"/>
  <c r="L24" i="18"/>
  <c r="G53" i="1" s="1"/>
  <c r="K56" i="8"/>
  <c r="E10" i="13" l="1"/>
  <c r="BV81" i="16"/>
  <c r="BS102" i="16"/>
  <c r="BS123" i="16" s="1"/>
  <c r="E29" i="13" l="1"/>
  <c r="E20" i="13"/>
  <c r="BV102" i="16"/>
  <c r="BV123" i="16" s="1"/>
  <c r="BX81" i="16"/>
  <c r="E22" i="13" l="1"/>
  <c r="E34" i="13" s="1"/>
  <c r="E33" i="13"/>
  <c r="K58" i="8"/>
  <c r="K60" i="8" s="1"/>
  <c r="K64" i="8" s="1"/>
  <c r="BZ81" i="16"/>
  <c r="BZ102" i="16" s="1"/>
  <c r="BZ123" i="16" s="1"/>
  <c r="BX102" i="16"/>
  <c r="BX123" i="16" s="1"/>
  <c r="E25" i="13" l="1"/>
  <c r="E27" i="13" s="1"/>
  <c r="E30" i="13" s="1"/>
  <c r="E16" i="6" s="1"/>
  <c r="M53" i="5" s="1"/>
  <c r="E10" i="6"/>
  <c r="M75" i="5"/>
  <c r="E36" i="13"/>
  <c r="F32" i="13" s="1"/>
  <c r="K21" i="17" l="1"/>
  <c r="K25" i="17" s="1"/>
  <c r="E50" i="6"/>
  <c r="M77" i="5"/>
  <c r="H19" i="10"/>
  <c r="E20" i="6"/>
  <c r="E41" i="6" s="1"/>
  <c r="E55" i="6" s="1"/>
  <c r="E11" i="9" s="1"/>
  <c r="E15" i="9" s="1"/>
  <c r="E17" i="9" l="1"/>
  <c r="M59" i="5" s="1"/>
  <c r="H25" i="10"/>
  <c r="E40" i="1"/>
  <c r="L32" i="18"/>
  <c r="E19" i="9" l="1"/>
  <c r="E21" i="9"/>
  <c r="M61" i="5" s="1"/>
  <c r="H10" i="10"/>
  <c r="L43" i="8"/>
  <c r="L12" i="18"/>
  <c r="L13" i="18"/>
  <c r="E23" i="9" l="1"/>
  <c r="E25" i="9"/>
  <c r="M62" i="5" s="1"/>
  <c r="H12" i="10"/>
  <c r="L45" i="8"/>
  <c r="H13" i="10" l="1"/>
  <c r="L46" i="8"/>
  <c r="E27" i="9"/>
  <c r="E29" i="9" l="1"/>
  <c r="E31" i="9" s="1"/>
  <c r="E33" i="9" l="1"/>
  <c r="E35" i="9" s="1"/>
  <c r="L35" i="15"/>
  <c r="L38" i="15" s="1"/>
  <c r="M63" i="5"/>
  <c r="E37" i="9" l="1"/>
  <c r="E39" i="9" s="1"/>
  <c r="L11" i="15"/>
  <c r="L14" i="15" s="1"/>
  <c r="M64" i="5"/>
  <c r="H14" i="10"/>
  <c r="L47" i="8"/>
  <c r="M36" i="15" s="1"/>
  <c r="E41" i="9" l="1"/>
  <c r="E43" i="9" s="1"/>
  <c r="E46" i="9" s="1"/>
  <c r="L17" i="15"/>
  <c r="L20" i="15" s="1"/>
  <c r="M65" i="5"/>
  <c r="H15" i="10"/>
  <c r="L48" i="8"/>
  <c r="E47" i="9" l="1"/>
  <c r="E48" i="9"/>
  <c r="E50" i="9" s="1"/>
  <c r="M12" i="5" s="1"/>
  <c r="H16" i="10"/>
  <c r="L49" i="8"/>
  <c r="M18" i="15" s="1"/>
  <c r="M12" i="15"/>
  <c r="L29" i="15"/>
  <c r="L32" i="15" s="1"/>
  <c r="M66" i="5"/>
  <c r="H17" i="10" l="1"/>
  <c r="L50" i="8"/>
  <c r="M21" i="5"/>
  <c r="M36" i="5" s="1"/>
  <c r="F42" i="6"/>
  <c r="L40" i="8"/>
  <c r="M60" i="5"/>
  <c r="L36" i="18" l="1"/>
  <c r="H11" i="10"/>
  <c r="H21" i="10" s="1"/>
  <c r="L44" i="8"/>
  <c r="M68" i="5"/>
  <c r="M84" i="5"/>
  <c r="M30" i="15"/>
  <c r="L68" i="8"/>
  <c r="L52" i="8" l="1"/>
  <c r="L67" i="8"/>
  <c r="L11" i="18"/>
  <c r="L33" i="18"/>
  <c r="M86" i="5"/>
  <c r="H23" i="10"/>
  <c r="M70" i="5"/>
  <c r="M80" i="5" s="1"/>
  <c r="M82" i="5" s="1"/>
  <c r="M29" i="18" l="1"/>
  <c r="M23" i="18"/>
  <c r="H51" i="1" s="1"/>
  <c r="M26" i="18"/>
  <c r="H52" i="1" s="1"/>
  <c r="M24" i="18"/>
  <c r="H53" i="1" s="1"/>
  <c r="M30" i="18"/>
  <c r="M27" i="18"/>
  <c r="H54" i="1" s="1"/>
  <c r="L56" i="8"/>
  <c r="F10" i="13" l="1"/>
  <c r="F29" i="13" l="1"/>
  <c r="F20" i="13"/>
  <c r="F33" i="13" l="1"/>
  <c r="F22" i="13"/>
  <c r="F34" i="13" s="1"/>
  <c r="L58" i="8"/>
  <c r="L60" i="8" s="1"/>
  <c r="L64" i="8" s="1"/>
  <c r="F36" i="13" l="1"/>
  <c r="G32" i="13" s="1"/>
  <c r="F10" i="6"/>
  <c r="N75" i="5"/>
  <c r="F25" i="13"/>
  <c r="F27" i="13" s="1"/>
  <c r="F30" i="13" s="1"/>
  <c r="F16" i="6" l="1"/>
  <c r="N53" i="5" s="1"/>
  <c r="L21" i="17"/>
  <c r="L25" i="17" s="1"/>
  <c r="N77" i="5"/>
  <c r="I19" i="10"/>
  <c r="F50" i="6" l="1"/>
  <c r="M32" i="18"/>
  <c r="I25" i="10"/>
  <c r="F20" i="6"/>
  <c r="F41" i="6" s="1"/>
  <c r="F55" i="6" s="1"/>
  <c r="F11" i="9" s="1"/>
  <c r="F15" i="9" s="1"/>
  <c r="F17" i="9" l="1"/>
  <c r="N59" i="5" s="1"/>
  <c r="M12" i="18"/>
  <c r="M13" i="18"/>
  <c r="I10" i="10" l="1"/>
  <c r="M43" i="8"/>
  <c r="F19" i="9"/>
  <c r="F21" i="9" l="1"/>
  <c r="N61" i="5" s="1"/>
  <c r="I12" i="10" l="1"/>
  <c r="M45" i="8"/>
  <c r="F23" i="9"/>
  <c r="F25" i="9" l="1"/>
  <c r="N62" i="5" s="1"/>
  <c r="I13" i="10" l="1"/>
  <c r="M46" i="8"/>
  <c r="F27" i="9"/>
  <c r="F29" i="9" l="1"/>
  <c r="N63" i="5" l="1"/>
  <c r="M35" i="15" s="1"/>
  <c r="F31" i="9"/>
  <c r="I14" i="10" l="1"/>
  <c r="M47" i="8"/>
  <c r="F33" i="9"/>
  <c r="F35" i="9" s="1"/>
  <c r="F37" i="9" l="1"/>
  <c r="F39" i="9" s="1"/>
  <c r="N64" i="5"/>
  <c r="F41" i="9" l="1"/>
  <c r="I15" i="10"/>
  <c r="M48" i="8"/>
  <c r="M11" i="15"/>
  <c r="N65" i="5"/>
  <c r="N66" i="5" l="1"/>
  <c r="M29" i="15" s="1"/>
  <c r="I16" i="10"/>
  <c r="M49" i="8"/>
  <c r="M17" i="15"/>
  <c r="F43" i="9"/>
  <c r="F46" i="9" s="1"/>
  <c r="I17" i="10" l="1"/>
  <c r="M50" i="8"/>
  <c r="M68" i="8" s="1"/>
  <c r="F47" i="9"/>
  <c r="F48" i="9"/>
  <c r="N60" i="5" l="1"/>
  <c r="F50" i="9"/>
  <c r="N12" i="5" s="1"/>
  <c r="N21" i="5" l="1"/>
  <c r="N36" i="5" s="1"/>
  <c r="G42" i="6"/>
  <c r="C32" i="15"/>
  <c r="M40" i="8"/>
  <c r="I11" i="10"/>
  <c r="I21" i="10" s="1"/>
  <c r="M44" i="8"/>
  <c r="N84" i="5"/>
  <c r="N68" i="5"/>
  <c r="N86" i="5" l="1"/>
  <c r="I23" i="10"/>
  <c r="C35" i="15"/>
  <c r="C38" i="15" s="1"/>
  <c r="N70" i="5"/>
  <c r="N80" i="5" s="1"/>
  <c r="N82" i="5" s="1"/>
  <c r="M36" i="18"/>
  <c r="M67" i="8"/>
  <c r="M52" i="8"/>
  <c r="M11" i="18"/>
  <c r="M33" i="18"/>
  <c r="D44" i="15" l="1"/>
  <c r="F44" i="15" s="1"/>
  <c r="M13" i="15" s="1"/>
  <c r="M14" i="15" s="1"/>
  <c r="F47" i="15"/>
  <c r="M31" i="15" s="1"/>
  <c r="M32" i="15" s="1"/>
  <c r="D45" i="15"/>
  <c r="F45" i="15" s="1"/>
  <c r="M19" i="15" s="1"/>
  <c r="M20" i="15" s="1"/>
  <c r="F49" i="15"/>
  <c r="M47" i="15" s="1"/>
  <c r="M49" i="15" s="1"/>
  <c r="F50" i="15"/>
  <c r="M53" i="15" s="1"/>
  <c r="M54" i="15" s="1"/>
  <c r="F46" i="15"/>
  <c r="M25" i="15" s="1"/>
  <c r="M26" i="15" s="1"/>
  <c r="D43" i="15"/>
  <c r="F43" i="15" s="1"/>
  <c r="M37" i="15" s="1"/>
  <c r="M38" i="15" s="1"/>
  <c r="F48" i="15"/>
  <c r="M42" i="15" s="1"/>
  <c r="M43" i="15" s="1"/>
  <c r="N27" i="18"/>
  <c r="N30" i="18"/>
  <c r="N24" i="18"/>
  <c r="M56" i="8"/>
  <c r="N26" i="18"/>
  <c r="N29" i="18"/>
  <c r="N23" i="18"/>
  <c r="G10" i="13" l="1"/>
  <c r="G20" i="13" l="1"/>
  <c r="G29" i="13"/>
  <c r="G22" i="13" l="1"/>
  <c r="G34" i="13" s="1"/>
  <c r="G33" i="13"/>
  <c r="M58" i="8"/>
  <c r="M60" i="8" s="1"/>
  <c r="M64" i="8" s="1"/>
  <c r="G10" i="6" l="1"/>
  <c r="O75" i="5"/>
  <c r="G36" i="13"/>
  <c r="H32" i="13" s="1"/>
  <c r="G25" i="13"/>
  <c r="G27" i="13" s="1"/>
  <c r="G30" i="13" s="1"/>
  <c r="G16" i="6" l="1"/>
  <c r="O53" i="5" s="1"/>
  <c r="M21" i="17"/>
  <c r="M25" i="17" s="1"/>
  <c r="O77" i="5"/>
  <c r="J19" i="10"/>
  <c r="G20" i="6" l="1"/>
  <c r="G41" i="6" s="1"/>
  <c r="J25" i="10"/>
  <c r="N32" i="18"/>
  <c r="G50" i="6"/>
  <c r="G55" i="6" l="1"/>
  <c r="G11" i="9" s="1"/>
  <c r="G15" i="9" s="1"/>
  <c r="G17" i="9" s="1"/>
  <c r="O59" i="5" s="1"/>
  <c r="N13" i="18"/>
  <c r="N12" i="18"/>
  <c r="J10" i="10" l="1"/>
  <c r="N43" i="8"/>
  <c r="G19" i="9"/>
  <c r="G21" i="9" l="1"/>
  <c r="O61" i="5" s="1"/>
  <c r="G23" i="9" l="1"/>
  <c r="G25" i="9"/>
  <c r="O62" i="5" s="1"/>
  <c r="J12" i="10"/>
  <c r="N45" i="8"/>
  <c r="J13" i="10" l="1"/>
  <c r="N46" i="8"/>
  <c r="G27" i="9"/>
  <c r="G29" i="9" l="1"/>
  <c r="O63" i="5" s="1"/>
  <c r="J14" i="10" l="1"/>
  <c r="N47" i="8"/>
  <c r="G31" i="9"/>
  <c r="G33" i="9" l="1"/>
  <c r="O64" i="5" s="1"/>
  <c r="G35" i="9" l="1"/>
  <c r="G37" i="9"/>
  <c r="O65" i="5" s="1"/>
  <c r="J15" i="10"/>
  <c r="N48" i="8"/>
  <c r="J16" i="10" l="1"/>
  <c r="N49" i="8"/>
  <c r="G39" i="9"/>
  <c r="G41" i="9" l="1"/>
  <c r="O66" i="5" s="1"/>
  <c r="G43" i="9" l="1"/>
  <c r="G46" i="9" s="1"/>
  <c r="G47" i="9"/>
  <c r="G48" i="9"/>
  <c r="G50" i="9"/>
  <c r="O12" i="5" s="1"/>
  <c r="J17" i="10"/>
  <c r="N50" i="8"/>
  <c r="N68" i="8" s="1"/>
  <c r="O21" i="5" l="1"/>
  <c r="O36" i="5" s="1"/>
  <c r="H42" i="6"/>
  <c r="N40" i="8"/>
  <c r="O60" i="5"/>
  <c r="N36" i="18" l="1"/>
  <c r="J11" i="10"/>
  <c r="J21" i="10" s="1"/>
  <c r="N44" i="8"/>
  <c r="O84" i="5"/>
  <c r="O68" i="5"/>
  <c r="N52" i="8" l="1"/>
  <c r="N67" i="8"/>
  <c r="N11" i="18"/>
  <c r="N33" i="18"/>
  <c r="O86" i="5"/>
  <c r="J23" i="10"/>
  <c r="O70" i="5"/>
  <c r="O80" i="5" s="1"/>
  <c r="O82" i="5" s="1"/>
  <c r="O23" i="18" l="1"/>
  <c r="O29" i="18"/>
  <c r="O26" i="18"/>
  <c r="O27" i="18"/>
  <c r="O24" i="18"/>
  <c r="O30" i="18"/>
  <c r="N56" i="8"/>
  <c r="H10" i="13" l="1"/>
  <c r="H20" i="13" l="1"/>
  <c r="H29" i="13"/>
  <c r="H33" i="13" l="1"/>
  <c r="H22" i="13"/>
  <c r="H34" i="13" s="1"/>
  <c r="N58" i="8"/>
  <c r="N60" i="8" s="1"/>
  <c r="N64" i="8" s="1"/>
  <c r="H36" i="13" l="1"/>
  <c r="I32" i="13" s="1"/>
  <c r="H25" i="13"/>
  <c r="H27" i="13" s="1"/>
  <c r="H30" i="13" s="1"/>
  <c r="H16" i="6" s="1"/>
  <c r="P53" i="5" s="1"/>
  <c r="H10" i="6"/>
  <c r="P75" i="5"/>
  <c r="N21" i="17" l="1"/>
  <c r="N25" i="17" s="1"/>
  <c r="P77" i="5"/>
  <c r="K19" i="10"/>
  <c r="H20" i="6"/>
  <c r="H41" i="6" s="1"/>
  <c r="H55" i="6" s="1"/>
  <c r="H11" i="9" s="1"/>
  <c r="H15" i="9" s="1"/>
  <c r="H50" i="6"/>
  <c r="H17" i="9" l="1"/>
  <c r="P59" i="5" s="1"/>
  <c r="K25" i="10"/>
  <c r="O32" i="18"/>
  <c r="H19" i="9" l="1"/>
  <c r="H21" i="9"/>
  <c r="P61" i="5" s="1"/>
  <c r="O13" i="18"/>
  <c r="O12" i="18"/>
  <c r="K10" i="10"/>
  <c r="O43" i="8"/>
  <c r="K12" i="10" l="1"/>
  <c r="O45" i="8"/>
  <c r="H23" i="9"/>
  <c r="H25" i="9" l="1"/>
  <c r="P62" i="5" s="1"/>
  <c r="K13" i="10" l="1"/>
  <c r="O46" i="8"/>
  <c r="H27" i="9"/>
  <c r="H29" i="9" l="1"/>
  <c r="P63" i="5" s="1"/>
  <c r="K14" i="10" l="1"/>
  <c r="O47" i="8"/>
  <c r="H31" i="9"/>
  <c r="H33" i="9" l="1"/>
  <c r="P64" i="5" s="1"/>
  <c r="K15" i="10" l="1"/>
  <c r="O48" i="8"/>
  <c r="H35" i="9"/>
  <c r="H37" i="9" l="1"/>
  <c r="P65" i="5" s="1"/>
  <c r="H39" i="9" l="1"/>
  <c r="K16" i="10"/>
  <c r="O49" i="8"/>
  <c r="H41" i="9" l="1"/>
  <c r="P66" i="5" s="1"/>
  <c r="K17" i="10" l="1"/>
  <c r="O50" i="8"/>
  <c r="O68" i="8" s="1"/>
  <c r="H43" i="9"/>
  <c r="H46" i="9" s="1"/>
  <c r="H48" i="9" l="1"/>
  <c r="H47" i="9"/>
  <c r="P60" i="5" s="1"/>
  <c r="K11" i="10" l="1"/>
  <c r="K21" i="10" s="1"/>
  <c r="O44" i="8"/>
  <c r="P68" i="5"/>
  <c r="P84" i="5"/>
  <c r="H50" i="9"/>
  <c r="P12" i="5" s="1"/>
  <c r="O52" i="8" l="1"/>
  <c r="O67" i="8"/>
  <c r="P21" i="5"/>
  <c r="P36" i="5" s="1"/>
  <c r="I42" i="6"/>
  <c r="O40" i="8"/>
  <c r="O56" i="8" s="1"/>
  <c r="O11" i="18"/>
  <c r="O33" i="18"/>
  <c r="P86" i="5"/>
  <c r="K23" i="10"/>
  <c r="P70" i="5"/>
  <c r="P80" i="5" s="1"/>
  <c r="P82" i="5" l="1"/>
  <c r="O36" i="18"/>
  <c r="P23" i="18"/>
  <c r="P29" i="18"/>
  <c r="P26" i="18"/>
  <c r="I10" i="13"/>
  <c r="P27" i="18"/>
  <c r="P24" i="18"/>
  <c r="P30" i="18"/>
  <c r="I20" i="13" l="1"/>
  <c r="I29" i="13"/>
  <c r="O58" i="8" l="1"/>
  <c r="O60" i="8" s="1"/>
  <c r="O64" i="8" s="1"/>
  <c r="I22" i="13"/>
  <c r="I34" i="13" s="1"/>
  <c r="I33" i="13"/>
  <c r="I36" i="13" s="1"/>
  <c r="J32" i="13" s="1"/>
  <c r="I25" i="13"/>
  <c r="I27" i="13" s="1"/>
  <c r="I30" i="13" s="1"/>
  <c r="I16" i="6" l="1"/>
  <c r="Q53" i="5" s="1"/>
  <c r="O21" i="17"/>
  <c r="O25" i="17" s="1"/>
  <c r="I10" i="6"/>
  <c r="Q75" i="5"/>
  <c r="I50" i="6" l="1"/>
  <c r="Q77" i="5"/>
  <c r="L19" i="10"/>
  <c r="I20" i="6"/>
  <c r="I41" i="6" s="1"/>
  <c r="L25" i="10" l="1"/>
  <c r="P32" i="18"/>
  <c r="I55" i="6"/>
  <c r="I11" i="9" s="1"/>
  <c r="I15" i="9" s="1"/>
  <c r="I17" i="9" l="1"/>
  <c r="Q59" i="5" s="1"/>
  <c r="P12" i="18"/>
  <c r="P13" i="18"/>
  <c r="I19" i="9" l="1"/>
  <c r="L10" i="10"/>
  <c r="P43" i="8"/>
  <c r="I21" i="9" l="1"/>
  <c r="Q61" i="5" s="1"/>
  <c r="I23" i="9" l="1"/>
  <c r="L12" i="10"/>
  <c r="P45" i="8"/>
  <c r="I25" i="9"/>
  <c r="Q62" i="5" s="1"/>
  <c r="I27" i="9" l="1"/>
  <c r="L13" i="10"/>
  <c r="P46" i="8"/>
  <c r="I29" i="9"/>
  <c r="Q63" i="5" s="1"/>
  <c r="L14" i="10" l="1"/>
  <c r="P47" i="8"/>
  <c r="I31" i="9"/>
  <c r="I33" i="9" l="1"/>
  <c r="Q64" i="5" s="1"/>
  <c r="I35" i="9" l="1"/>
  <c r="L15" i="10"/>
  <c r="P48" i="8"/>
  <c r="I37" i="9"/>
  <c r="Q65" i="5" s="1"/>
  <c r="L16" i="10" l="1"/>
  <c r="P49" i="8"/>
  <c r="I39" i="9"/>
  <c r="I41" i="9" l="1"/>
  <c r="Q66" i="5" s="1"/>
  <c r="L17" i="10" l="1"/>
  <c r="P50" i="8"/>
  <c r="P68" i="8" s="1"/>
  <c r="I43" i="9"/>
  <c r="I46" i="9" s="1"/>
  <c r="I48" i="9" l="1"/>
  <c r="I47" i="9"/>
  <c r="Q60" i="5" s="1"/>
  <c r="L11" i="10" l="1"/>
  <c r="L21" i="10" s="1"/>
  <c r="P44" i="8"/>
  <c r="Q84" i="5"/>
  <c r="Q68" i="5"/>
  <c r="I50" i="9"/>
  <c r="Q12" i="5" s="1"/>
  <c r="Q21" i="5" l="1"/>
  <c r="Q36" i="5" s="1"/>
  <c r="J42" i="6"/>
  <c r="P40" i="8"/>
  <c r="P67" i="8"/>
  <c r="P52" i="8"/>
  <c r="P11" i="18"/>
  <c r="P33" i="18"/>
  <c r="Q86" i="5"/>
  <c r="L23" i="10"/>
  <c r="Q70" i="5"/>
  <c r="Q80" i="5" s="1"/>
  <c r="Q24" i="18" l="1"/>
  <c r="Q30" i="18"/>
  <c r="Q27" i="18"/>
  <c r="Q82" i="5"/>
  <c r="P36" i="18"/>
  <c r="Q23" i="18"/>
  <c r="Q26" i="18"/>
  <c r="Q29" i="18"/>
  <c r="P56" i="8"/>
  <c r="J10" i="13" l="1"/>
  <c r="J29" i="13" l="1"/>
  <c r="J20" i="13"/>
  <c r="J33" i="13" l="1"/>
  <c r="J22" i="13"/>
  <c r="J34" i="13" s="1"/>
  <c r="P58" i="8"/>
  <c r="P60" i="8" s="1"/>
  <c r="P64" i="8" s="1"/>
  <c r="J36" i="13" l="1"/>
  <c r="K32" i="13" s="1"/>
  <c r="J10" i="6"/>
  <c r="R75" i="5"/>
  <c r="J25" i="13"/>
  <c r="J27" i="13" s="1"/>
  <c r="J30" i="13" s="1"/>
  <c r="J16" i="6" l="1"/>
  <c r="R53" i="5" s="1"/>
  <c r="P21" i="17"/>
  <c r="P25" i="17" s="1"/>
  <c r="R77" i="5"/>
  <c r="M19" i="10"/>
  <c r="J50" i="6" l="1"/>
  <c r="M25" i="10"/>
  <c r="Q32" i="18"/>
  <c r="J20" i="6"/>
  <c r="J41" i="6" s="1"/>
  <c r="J55" i="6" s="1"/>
  <c r="J11" i="9" s="1"/>
  <c r="J15" i="9" s="1"/>
  <c r="J17" i="9" l="1"/>
  <c r="R59" i="5" s="1"/>
  <c r="Q12" i="18"/>
  <c r="Q13" i="18"/>
  <c r="M10" i="10" l="1"/>
  <c r="Q43" i="8"/>
  <c r="J19" i="9"/>
  <c r="J21" i="9" l="1"/>
  <c r="R61" i="5" s="1"/>
  <c r="J23" i="9" l="1"/>
  <c r="J25" i="9"/>
  <c r="R62" i="5" s="1"/>
  <c r="M12" i="10"/>
  <c r="Q45" i="8"/>
  <c r="J27" i="9" l="1"/>
  <c r="M13" i="10"/>
  <c r="Q46" i="8"/>
  <c r="J29" i="9" l="1"/>
  <c r="R63" i="5" s="1"/>
  <c r="M14" i="10" l="1"/>
  <c r="Q47" i="8"/>
  <c r="J31" i="9"/>
  <c r="J33" i="9" l="1"/>
  <c r="R64" i="5" s="1"/>
  <c r="M15" i="10" l="1"/>
  <c r="Q48" i="8"/>
  <c r="J35" i="9"/>
  <c r="J37" i="9" l="1"/>
  <c r="R65" i="5" s="1"/>
  <c r="M16" i="10" l="1"/>
  <c r="Q49" i="8"/>
  <c r="J39" i="9"/>
  <c r="J41" i="9" l="1"/>
  <c r="R66" i="5" s="1"/>
  <c r="J43" i="9" l="1"/>
  <c r="J46" i="9" s="1"/>
  <c r="M17" i="10"/>
  <c r="Q50" i="8"/>
  <c r="Q68" i="8" s="1"/>
  <c r="J47" i="9"/>
  <c r="R60" i="5" s="1"/>
  <c r="J48" i="9"/>
  <c r="M11" i="10" l="1"/>
  <c r="M21" i="10" s="1"/>
  <c r="Q44" i="8"/>
  <c r="R84" i="5"/>
  <c r="R68" i="5"/>
  <c r="J50" i="9"/>
  <c r="R12" i="5" s="1"/>
  <c r="Q52" i="8" l="1"/>
  <c r="Q67" i="8"/>
  <c r="R21" i="5"/>
  <c r="R36" i="5" s="1"/>
  <c r="K42" i="6"/>
  <c r="Q40" i="8"/>
  <c r="Q56" i="8" s="1"/>
  <c r="R86" i="5"/>
  <c r="M23" i="10"/>
  <c r="R70" i="5"/>
  <c r="R80" i="5" s="1"/>
  <c r="Q11" i="18"/>
  <c r="Q33" i="18"/>
  <c r="R82" i="5" l="1"/>
  <c r="Q36" i="18"/>
  <c r="R26" i="18"/>
  <c r="R29" i="18"/>
  <c r="R23" i="18"/>
  <c r="K10" i="13"/>
  <c r="R24" i="18"/>
  <c r="R30" i="18"/>
  <c r="R27" i="18"/>
  <c r="K20" i="13" l="1"/>
  <c r="K29" i="13"/>
  <c r="Q58" i="8" l="1"/>
  <c r="Q60" i="8" s="1"/>
  <c r="Q64" i="8" s="1"/>
  <c r="K33" i="13"/>
  <c r="K22" i="13"/>
  <c r="K34" i="13" s="1"/>
  <c r="K10" i="6" l="1"/>
  <c r="S75" i="5"/>
  <c r="K36" i="13"/>
  <c r="L32" i="13" s="1"/>
  <c r="K25" i="13"/>
  <c r="K27" i="13" s="1"/>
  <c r="K30" i="13" s="1"/>
  <c r="S77" i="5" l="1"/>
  <c r="N19" i="10"/>
  <c r="K16" i="6"/>
  <c r="S53" i="5" s="1"/>
  <c r="Q21" i="17"/>
  <c r="Q25" i="17" s="1"/>
  <c r="N25" i="10" l="1"/>
  <c r="R32" i="18"/>
  <c r="K50" i="6"/>
  <c r="K20" i="6"/>
  <c r="K41" i="6" s="1"/>
  <c r="K55" i="6" s="1"/>
  <c r="K11" i="9" s="1"/>
  <c r="K15" i="9" s="1"/>
  <c r="K17" i="9" l="1"/>
  <c r="S59" i="5" s="1"/>
  <c r="R12" i="18"/>
  <c r="R13" i="18"/>
  <c r="K19" i="9" l="1"/>
  <c r="K21" i="9"/>
  <c r="S61" i="5" s="1"/>
  <c r="N10" i="10"/>
  <c r="R43" i="8"/>
  <c r="N12" i="10" l="1"/>
  <c r="R45" i="8"/>
  <c r="K23" i="9"/>
  <c r="K25" i="9" l="1"/>
  <c r="S62" i="5" s="1"/>
  <c r="K27" i="9" l="1"/>
  <c r="K29" i="9"/>
  <c r="S63" i="5" s="1"/>
  <c r="N13" i="10"/>
  <c r="R46" i="8"/>
  <c r="K31" i="9" l="1"/>
  <c r="K33" i="9"/>
  <c r="S64" i="5" s="1"/>
  <c r="N14" i="10"/>
  <c r="R47" i="8"/>
  <c r="K35" i="9" l="1"/>
  <c r="K37" i="9"/>
  <c r="S65" i="5" s="1"/>
  <c r="N15" i="10"/>
  <c r="R48" i="8"/>
  <c r="N16" i="10" l="1"/>
  <c r="R49" i="8"/>
  <c r="K39" i="9"/>
  <c r="K41" i="9" l="1"/>
  <c r="S66" i="5" s="1"/>
  <c r="N17" i="10" l="1"/>
  <c r="R50" i="8"/>
  <c r="R68" i="8" s="1"/>
  <c r="K43" i="9"/>
  <c r="K46" i="9" s="1"/>
  <c r="K47" i="9" l="1"/>
  <c r="K48" i="9"/>
  <c r="K50" i="9" s="1"/>
  <c r="S12" i="5" s="1"/>
  <c r="S21" i="5" l="1"/>
  <c r="S36" i="5" s="1"/>
  <c r="L42" i="6"/>
  <c r="R40" i="8"/>
  <c r="S60" i="5"/>
  <c r="R36" i="18" l="1"/>
  <c r="N11" i="10"/>
  <c r="N21" i="10" s="1"/>
  <c r="R44" i="8"/>
  <c r="S84" i="5"/>
  <c r="S68" i="5"/>
  <c r="R67" i="8" l="1"/>
  <c r="R52" i="8"/>
  <c r="R11" i="18"/>
  <c r="R33" i="18"/>
  <c r="S86" i="5"/>
  <c r="N23" i="10"/>
  <c r="S70" i="5"/>
  <c r="S80" i="5" s="1"/>
  <c r="S82" i="5" s="1"/>
  <c r="S27" i="18" l="1"/>
  <c r="S24" i="18"/>
  <c r="S30" i="18"/>
  <c r="R56" i="8"/>
  <c r="S26" i="18"/>
  <c r="S29" i="18"/>
  <c r="S23" i="18"/>
  <c r="L10" i="13" l="1"/>
  <c r="L29" i="13" l="1"/>
  <c r="L20" i="13"/>
  <c r="L22" i="13" l="1"/>
  <c r="L34" i="13" s="1"/>
  <c r="L33" i="13"/>
  <c r="R58" i="8"/>
  <c r="R60" i="8" s="1"/>
  <c r="R64" i="8" s="1"/>
  <c r="L25" i="13" l="1"/>
  <c r="L27" i="13" s="1"/>
  <c r="L30" i="13" s="1"/>
  <c r="R21" i="17" s="1"/>
  <c r="R25" i="17" s="1"/>
  <c r="L16" i="6"/>
  <c r="T53" i="5" s="1"/>
  <c r="L10" i="6"/>
  <c r="T75" i="5"/>
  <c r="L36" i="13"/>
  <c r="M32" i="13" s="1"/>
  <c r="L50" i="6" l="1"/>
  <c r="T77" i="5"/>
  <c r="O19" i="10"/>
  <c r="L20" i="6"/>
  <c r="L41" i="6" s="1"/>
  <c r="O25" i="10" l="1"/>
  <c r="S32" i="18"/>
  <c r="L55" i="6"/>
  <c r="L11" i="9" s="1"/>
  <c r="L15" i="9" s="1"/>
  <c r="S12" i="18" l="1"/>
  <c r="S13" i="18"/>
  <c r="L17" i="9"/>
  <c r="T59" i="5" s="1"/>
  <c r="O10" i="10" l="1"/>
  <c r="S43" i="8"/>
  <c r="L19" i="9"/>
  <c r="L21" i="9" l="1"/>
  <c r="T61" i="5" s="1"/>
  <c r="L23" i="9" l="1"/>
  <c r="O12" i="10"/>
  <c r="S45" i="8"/>
  <c r="L25" i="9"/>
  <c r="T62" i="5" s="1"/>
  <c r="O13" i="10" l="1"/>
  <c r="S46" i="8"/>
  <c r="L27" i="9"/>
  <c r="L29" i="9" l="1"/>
  <c r="T63" i="5" s="1"/>
  <c r="L31" i="9" l="1"/>
  <c r="O14" i="10"/>
  <c r="S47" i="8"/>
  <c r="L33" i="9"/>
  <c r="T64" i="5" s="1"/>
  <c r="O15" i="10" l="1"/>
  <c r="S48" i="8"/>
  <c r="L35" i="9"/>
  <c r="L37" i="9" l="1"/>
  <c r="T65" i="5" s="1"/>
  <c r="L39" i="9" l="1"/>
  <c r="O16" i="10"/>
  <c r="S49" i="8"/>
  <c r="L41" i="9" l="1"/>
  <c r="T66" i="5" s="1"/>
  <c r="O17" i="10" l="1"/>
  <c r="S50" i="8"/>
  <c r="S68" i="8" s="1"/>
  <c r="L43" i="9"/>
  <c r="L46" i="9" s="1"/>
  <c r="L48" i="9" l="1"/>
  <c r="L47" i="9"/>
  <c r="T60" i="5" s="1"/>
  <c r="L50" i="9" l="1"/>
  <c r="T12" i="5" s="1"/>
  <c r="O11" i="10"/>
  <c r="O21" i="10" s="1"/>
  <c r="S44" i="8"/>
  <c r="T84" i="5"/>
  <c r="T68" i="5"/>
  <c r="T86" i="5" l="1"/>
  <c r="O23" i="10"/>
  <c r="T70" i="5"/>
  <c r="T80" i="5" s="1"/>
  <c r="S52" i="8"/>
  <c r="S67" i="8"/>
  <c r="S11" i="18"/>
  <c r="S33" i="18"/>
  <c r="T21" i="5"/>
  <c r="T36" i="5" s="1"/>
  <c r="M42" i="6"/>
  <c r="S40" i="8"/>
  <c r="T24" i="18" l="1"/>
  <c r="T27" i="18"/>
  <c r="T30" i="18"/>
  <c r="S56" i="8"/>
  <c r="T82" i="5"/>
  <c r="S36" i="18"/>
  <c r="T23" i="18"/>
  <c r="T29" i="18"/>
  <c r="T26" i="18"/>
  <c r="M10" i="13" l="1"/>
  <c r="M29" i="13" l="1"/>
  <c r="M20" i="13"/>
  <c r="S58" i="8" l="1"/>
  <c r="S60" i="8" s="1"/>
  <c r="S64" i="8" s="1"/>
  <c r="M22" i="13"/>
  <c r="M34" i="13" s="1"/>
  <c r="M25" i="13"/>
  <c r="M27" i="13" s="1"/>
  <c r="M30" i="13" s="1"/>
  <c r="M33" i="13"/>
  <c r="M36" i="13" s="1"/>
  <c r="M16" i="6" l="1"/>
  <c r="U53" i="5" s="1"/>
  <c r="S21" i="17"/>
  <c r="S25" i="17" s="1"/>
  <c r="M10" i="6"/>
  <c r="M20" i="6" s="1"/>
  <c r="M41" i="6" s="1"/>
  <c r="U75" i="5"/>
  <c r="U77" i="5" l="1"/>
  <c r="P19" i="10"/>
  <c r="BO116" i="16"/>
  <c r="BO95" i="16"/>
  <c r="J32" i="17"/>
  <c r="J33" i="17"/>
  <c r="BO74" i="16"/>
  <c r="J31" i="17"/>
  <c r="M50" i="6"/>
  <c r="M55" i="6" s="1"/>
  <c r="M11" i="9" s="1"/>
  <c r="M15" i="9" s="1"/>
  <c r="M17" i="9" l="1"/>
  <c r="U59" i="5" s="1"/>
  <c r="BQ74" i="16"/>
  <c r="BO79" i="16"/>
  <c r="BO83" i="16" s="1"/>
  <c r="BO87" i="16" s="1"/>
  <c r="BQ116" i="16"/>
  <c r="BO121" i="16"/>
  <c r="BO125" i="16" s="1"/>
  <c r="BO129" i="16" s="1"/>
  <c r="C17" i="16"/>
  <c r="L17" i="16"/>
  <c r="E17" i="16"/>
  <c r="N17" i="16"/>
  <c r="J17" i="16"/>
  <c r="G17" i="16"/>
  <c r="G15" i="16"/>
  <c r="J15" i="16"/>
  <c r="E15" i="16"/>
  <c r="L15" i="16"/>
  <c r="C15" i="16"/>
  <c r="N15" i="16"/>
  <c r="P25" i="10"/>
  <c r="T32" i="18"/>
  <c r="E13" i="16"/>
  <c r="L13" i="16"/>
  <c r="G13" i="16"/>
  <c r="J13" i="16"/>
  <c r="N13" i="16"/>
  <c r="C13" i="16"/>
  <c r="BQ95" i="16"/>
  <c r="BO100" i="16"/>
  <c r="BO104" i="16" s="1"/>
  <c r="BO108" i="16" s="1"/>
  <c r="M19" i="9" l="1"/>
  <c r="S24" i="16"/>
  <c r="S28" i="16"/>
  <c r="C25" i="16"/>
  <c r="L25" i="16"/>
  <c r="T36" i="16"/>
  <c r="T40" i="16"/>
  <c r="T25" i="16"/>
  <c r="E27" i="16"/>
  <c r="T29" i="16"/>
  <c r="S42" i="16"/>
  <c r="J29" i="16"/>
  <c r="S38" i="16"/>
  <c r="S26" i="16"/>
  <c r="C29" i="16"/>
  <c r="S30" i="16"/>
  <c r="BS74" i="16"/>
  <c r="BQ79" i="16"/>
  <c r="BQ83" i="16" s="1"/>
  <c r="BQ87" i="16" s="1"/>
  <c r="U36" i="16"/>
  <c r="U40" i="16"/>
  <c r="N25" i="16"/>
  <c r="T24" i="16"/>
  <c r="E25" i="16"/>
  <c r="T28" i="16"/>
  <c r="N27" i="16"/>
  <c r="U37" i="16"/>
  <c r="U41" i="16"/>
  <c r="S37" i="16"/>
  <c r="S41" i="16"/>
  <c r="J27" i="16"/>
  <c r="N29" i="16"/>
  <c r="U38" i="16"/>
  <c r="U42" i="16"/>
  <c r="M21" i="9"/>
  <c r="U61" i="5" s="1"/>
  <c r="P12" i="10" s="1"/>
  <c r="S40" i="16"/>
  <c r="S36" i="16"/>
  <c r="J25" i="16"/>
  <c r="S25" i="16"/>
  <c r="S29" i="16"/>
  <c r="C27" i="16"/>
  <c r="G27" i="16"/>
  <c r="U29" i="16"/>
  <c r="U25" i="16"/>
  <c r="T26" i="16"/>
  <c r="E29" i="16"/>
  <c r="T30" i="16"/>
  <c r="BS116" i="16"/>
  <c r="BQ121" i="16"/>
  <c r="BQ125" i="16" s="1"/>
  <c r="BQ129" i="16" s="1"/>
  <c r="P10" i="10"/>
  <c r="BS95" i="16"/>
  <c r="BQ100" i="16"/>
  <c r="BQ104" i="16" s="1"/>
  <c r="BQ108" i="16" s="1"/>
  <c r="G25" i="16"/>
  <c r="U24" i="16"/>
  <c r="U28" i="16"/>
  <c r="T12" i="18"/>
  <c r="T13" i="18"/>
  <c r="L27" i="16"/>
  <c r="T37" i="16"/>
  <c r="T41" i="16"/>
  <c r="U26" i="16"/>
  <c r="G29" i="16"/>
  <c r="U30" i="16"/>
  <c r="L29" i="16"/>
  <c r="T38" i="16"/>
  <c r="T42" i="16"/>
  <c r="M23" i="9" l="1"/>
  <c r="BV116" i="16"/>
  <c r="BS121" i="16"/>
  <c r="BS125" i="16" s="1"/>
  <c r="BS129" i="16" s="1"/>
  <c r="M25" i="9"/>
  <c r="U62" i="5" s="1"/>
  <c r="P13" i="10" s="1"/>
  <c r="BV95" i="16"/>
  <c r="BS100" i="16"/>
  <c r="BS104" i="16" s="1"/>
  <c r="BS108" i="16" s="1"/>
  <c r="BV74" i="16"/>
  <c r="BS79" i="16"/>
  <c r="BS83" i="16" s="1"/>
  <c r="BS87" i="16" s="1"/>
  <c r="M27" i="9" l="1"/>
  <c r="BX95" i="16"/>
  <c r="BV100" i="16"/>
  <c r="BV104" i="16" s="1"/>
  <c r="BV108" i="16" s="1"/>
  <c r="M29" i="9"/>
  <c r="U63" i="5" s="1"/>
  <c r="P14" i="10" s="1"/>
  <c r="BX116" i="16"/>
  <c r="BV121" i="16"/>
  <c r="BV125" i="16" s="1"/>
  <c r="BV129" i="16" s="1"/>
  <c r="BX74" i="16"/>
  <c r="BV79" i="16"/>
  <c r="BV83" i="16" s="1"/>
  <c r="BV87" i="16" s="1"/>
  <c r="BZ74" i="16" l="1"/>
  <c r="BZ79" i="16" s="1"/>
  <c r="BZ83" i="16" s="1"/>
  <c r="BZ87" i="16" s="1"/>
  <c r="BX79" i="16"/>
  <c r="BX83" i="16" s="1"/>
  <c r="BX87" i="16" s="1"/>
  <c r="BZ116" i="16"/>
  <c r="BZ121" i="16" s="1"/>
  <c r="BZ125" i="16" s="1"/>
  <c r="BZ129" i="16" s="1"/>
  <c r="BX121" i="16"/>
  <c r="BX125" i="16" s="1"/>
  <c r="BX129" i="16" s="1"/>
  <c r="BZ95" i="16"/>
  <c r="BZ100" i="16" s="1"/>
  <c r="BZ104" i="16" s="1"/>
  <c r="BZ108" i="16" s="1"/>
  <c r="BX100" i="16"/>
  <c r="BX104" i="16" s="1"/>
  <c r="BX108" i="16" s="1"/>
  <c r="M31" i="9"/>
  <c r="M33" i="9" l="1"/>
  <c r="U64" i="5" s="1"/>
  <c r="P15" i="10" s="1"/>
  <c r="M35" i="9" l="1"/>
  <c r="M37" i="9"/>
  <c r="U65" i="5" s="1"/>
  <c r="P16" i="10" s="1"/>
  <c r="M39" i="9" l="1"/>
  <c r="M41" i="9"/>
  <c r="U66" i="5" s="1"/>
  <c r="P17" i="10" s="1"/>
  <c r="M43" i="9" l="1"/>
  <c r="M46" i="9" s="1"/>
  <c r="M47" i="9"/>
  <c r="U60" i="5" s="1"/>
  <c r="M48" i="9"/>
  <c r="M50" i="9" l="1"/>
  <c r="U12" i="5" s="1"/>
  <c r="U21" i="5" s="1"/>
  <c r="U36" i="5" s="1"/>
  <c r="T36" i="18" s="1"/>
  <c r="P11" i="10"/>
  <c r="P21" i="10" s="1"/>
  <c r="U68" i="5"/>
  <c r="U84" i="5"/>
  <c r="T11" i="18" l="1"/>
  <c r="T33" i="18"/>
  <c r="U86" i="5"/>
  <c r="P23" i="10"/>
  <c r="U70" i="5"/>
  <c r="U80" i="5" s="1"/>
  <c r="U82" i="5" s="1"/>
  <c r="A83" i="5" s="1"/>
  <c r="A1" i="1" l="1"/>
  <c r="A1" i="5" s="1"/>
  <c r="A1" i="8" s="1"/>
  <c r="A1" i="6" s="1"/>
  <c r="A1" i="9" s="1"/>
  <c r="A1" i="11" s="1"/>
  <c r="A1" i="12" s="1"/>
  <c r="A1" i="4" s="1"/>
  <c r="A1" i="2" s="1"/>
  <c r="A1" i="3" s="1"/>
  <c r="A1" i="18" s="1"/>
  <c r="A1" i="19" s="1"/>
  <c r="A1" i="10" s="1"/>
  <c r="A1" i="13" s="1"/>
  <c r="A1" i="17" s="1"/>
  <c r="A1" i="16" s="1"/>
  <c r="A1" i="14" s="1"/>
  <c r="A1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Hank Reardon</author>
  </authors>
  <commentList>
    <comment ref="N36" authorId="0" shapeId="0" xr:uid="{00000000-0006-0000-0000-000001000000}">
      <text>
        <r>
          <rPr>
            <b/>
            <sz val="8"/>
            <color indexed="81"/>
            <rFont val="Tahoma"/>
          </rPr>
          <t>Hank Reardon:</t>
        </r>
        <r>
          <rPr>
            <sz val="8"/>
            <color indexed="81"/>
            <rFont val="Tahoma"/>
          </rPr>
          <t xml:space="preserve">
I</t>
        </r>
        <r>
          <rPr>
            <b/>
            <sz val="8"/>
            <color indexed="81"/>
            <rFont val="Tahoma"/>
            <family val="2"/>
          </rPr>
          <t>ndividual asset write-ups must be itemized and inputted manually on the Balance Sheet.  Then sum up the write-ups and input on this page in cell Q35</t>
        </r>
      </text>
    </comment>
    <comment ref="J45" authorId="0" shapeId="0" xr:uid="{00000000-0006-0000-0000-000002000000}">
      <text>
        <r>
          <rPr>
            <b/>
            <sz val="8"/>
            <color indexed="81"/>
            <rFont val="Tahoma"/>
          </rPr>
          <t>Hank Reardon:</t>
        </r>
        <r>
          <rPr>
            <sz val="8"/>
            <color indexed="81"/>
            <rFont val="Tahoma"/>
          </rPr>
          <t xml:space="preserve">
</t>
        </r>
        <r>
          <rPr>
            <b/>
            <sz val="8"/>
            <color indexed="81"/>
            <rFont val="Tahoma"/>
            <family val="2"/>
          </rPr>
          <t>Use this switch to break the circ created by average interest expense on Income Statement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Hank Reardon</author>
  </authors>
  <commentList>
    <comment ref="A59" authorId="0" shapeId="0" xr:uid="{00000000-0006-0000-0100-000001000000}">
      <text>
        <r>
          <rPr>
            <b/>
            <sz val="8"/>
            <color indexed="81"/>
            <rFont val="Tahoma"/>
          </rPr>
          <t>Hank Reardon:</t>
        </r>
        <r>
          <rPr>
            <sz val="8"/>
            <color indexed="81"/>
            <rFont val="Tahoma"/>
          </rPr>
          <t xml:space="preserve">
Includes short term current portion of debt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P. Burns</author>
  </authors>
  <commentList>
    <comment ref="A16" authorId="0" shapeId="0" xr:uid="{00000000-0006-0000-0200-000001000000}">
      <text>
        <r>
          <rPr>
            <b/>
            <sz val="8"/>
            <color indexed="81"/>
            <rFont val="Tahoma"/>
          </rPr>
          <t>John P. Burns:</t>
        </r>
        <r>
          <rPr>
            <sz val="8"/>
            <color indexed="81"/>
            <rFont val="Tahoma"/>
          </rPr>
          <t xml:space="preserve">
</t>
        </r>
        <r>
          <rPr>
            <b/>
            <sz val="8"/>
            <color indexed="81"/>
            <rFont val="Tahoma"/>
            <family val="2"/>
          </rPr>
          <t>Must exclude Depreciation and Amortization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P. Burns</author>
  </authors>
  <commentList>
    <comment ref="A42" authorId="0" shapeId="0" xr:uid="{00000000-0006-0000-0300-000001000000}">
      <text>
        <r>
          <rPr>
            <b/>
            <sz val="8"/>
            <color indexed="81"/>
            <rFont val="Tahoma"/>
          </rPr>
          <t>John P. Burns:</t>
        </r>
        <r>
          <rPr>
            <sz val="8"/>
            <color indexed="81"/>
            <rFont val="Tahoma"/>
          </rPr>
          <t xml:space="preserve">
Check this out later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P. Burns</author>
  </authors>
  <commentList>
    <comment ref="D10" authorId="0" shapeId="0" xr:uid="{00000000-0006-0000-0500-000001000000}">
      <text>
        <r>
          <rPr>
            <b/>
            <sz val="10"/>
            <color indexed="81"/>
            <rFont val="Tahoma"/>
            <family val="2"/>
          </rPr>
          <t>John P. Burns:</t>
        </r>
        <r>
          <rPr>
            <sz val="10"/>
            <color indexed="81"/>
            <rFont val="Tahoma"/>
            <family val="2"/>
          </rPr>
          <t xml:space="preserve">
Be sure that PP&amp;E here is gross, but that PP&amp;E minus Land is depreciated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Hank Reardon</author>
  </authors>
  <commentList>
    <comment ref="A18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Hank Reardon:
The effects of all asset sales must be hardwired to the balance sheet accounts impacted by the transaction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Hank Reardon</author>
  </authors>
  <commentList>
    <comment ref="A18" authorId="0" shapeId="0" xr:uid="{00000000-0006-0000-0D00-000001000000}">
      <text>
        <r>
          <rPr>
            <b/>
            <sz val="8"/>
            <color indexed="81"/>
            <rFont val="Tahoma"/>
          </rPr>
          <t>Hank Reardon:</t>
        </r>
        <r>
          <rPr>
            <sz val="8"/>
            <color indexed="81"/>
            <rFont val="Tahoma"/>
          </rPr>
          <t xml:space="preserve">
If Goodwill is tax deductible, all cells in this row will be zero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P. Burns</author>
  </authors>
  <commentList>
    <comment ref="P7" authorId="0" shapeId="0" xr:uid="{00000000-0006-0000-1000-000001000000}">
      <text>
        <r>
          <rPr>
            <b/>
            <sz val="10"/>
            <color indexed="81"/>
            <rFont val="Tahoma"/>
            <family val="2"/>
          </rPr>
          <t>John P. Burns:</t>
        </r>
        <r>
          <rPr>
            <sz val="10"/>
            <color indexed="81"/>
            <rFont val="Tahoma"/>
            <family val="2"/>
          </rPr>
          <t xml:space="preserve">
Manual Setting is found below this page - page down to set manual inputs</t>
        </r>
      </text>
    </comment>
  </commentList>
</comments>
</file>

<file path=xl/sharedStrings.xml><?xml version="1.0" encoding="utf-8"?>
<sst xmlns="http://schemas.openxmlformats.org/spreadsheetml/2006/main" count="523" uniqueCount="418">
  <si>
    <t>Transaction Structure</t>
  </si>
  <si>
    <t>Uses of Funds</t>
  </si>
  <si>
    <t>Equity Purchase Price</t>
  </si>
  <si>
    <t>Debt Retired</t>
  </si>
  <si>
    <t>Debt Assumed</t>
  </si>
  <si>
    <t>Cash Infusion</t>
  </si>
  <si>
    <t>Transaction Costs</t>
  </si>
  <si>
    <t>Total Uses</t>
  </si>
  <si>
    <t>Current Stock Price</t>
  </si>
  <si>
    <t>Offer Premium</t>
  </si>
  <si>
    <t>Offer Price Per Share</t>
  </si>
  <si>
    <t>Shares Outstanding (MM)</t>
  </si>
  <si>
    <t>Sources of Funds</t>
  </si>
  <si>
    <t>Existing Debt</t>
  </si>
  <si>
    <t>Bank Revolver</t>
  </si>
  <si>
    <t>Senior Bank Term "A"</t>
  </si>
  <si>
    <t>Senior Bank Term "B"</t>
  </si>
  <si>
    <t>Other Long-Term Debt</t>
  </si>
  <si>
    <t>Senior Subordinated Debt</t>
  </si>
  <si>
    <t>Junior Subordinated Debt</t>
  </si>
  <si>
    <t>Seller Note</t>
  </si>
  <si>
    <t>Preferred Stock</t>
  </si>
  <si>
    <t>Common Equity:</t>
  </si>
  <si>
    <t>Sponsor Equity</t>
  </si>
  <si>
    <t>Management Equity</t>
  </si>
  <si>
    <t>New Equity</t>
  </si>
  <si>
    <t>Excess Cash on Balance Sheet</t>
  </si>
  <si>
    <t>Total Sources</t>
  </si>
  <si>
    <t>%</t>
  </si>
  <si>
    <t>IRR</t>
  </si>
  <si>
    <t>Acquisition Multiples</t>
  </si>
  <si>
    <t>Exit Multiples</t>
  </si>
  <si>
    <t>Exit Year</t>
  </si>
  <si>
    <t>Exit EBITDA Multiple</t>
  </si>
  <si>
    <t>Exit P/E</t>
  </si>
  <si>
    <t>Exit Book Multiple</t>
  </si>
  <si>
    <t>Equity Allocation</t>
  </si>
  <si>
    <t>Undiluted</t>
  </si>
  <si>
    <t>Fully-Diluted</t>
  </si>
  <si>
    <t>Leverage Assumptions</t>
  </si>
  <si>
    <t>Sr. Debt / EBITDA</t>
  </si>
  <si>
    <t>Sr. Debt / (EBITDA - Capex)</t>
  </si>
  <si>
    <t>Closing</t>
  </si>
  <si>
    <t>Total Debt / EBITDA</t>
  </si>
  <si>
    <t>Total Debt / (EBITDA - Capex)</t>
  </si>
  <si>
    <t>Coverage Assumptions</t>
  </si>
  <si>
    <t>EBITDA / Sr. Interest Expense</t>
  </si>
  <si>
    <t>(EBITDA - Capex) / Sr. Int. Exp.</t>
  </si>
  <si>
    <t>EBITDA / Total Interest Expense</t>
  </si>
  <si>
    <t>(EBITDA - Capex) / Total Int. Exp.</t>
  </si>
  <si>
    <t>Goodwill Calculation</t>
  </si>
  <si>
    <t>Purchase Price of Equity</t>
  </si>
  <si>
    <t>Plus:</t>
  </si>
  <si>
    <t>Existing Goodwill</t>
  </si>
  <si>
    <t>Less:</t>
  </si>
  <si>
    <t>Net Worth</t>
  </si>
  <si>
    <t>Asset Write-Up</t>
  </si>
  <si>
    <t>Deferred Taxes</t>
  </si>
  <si>
    <t>Goodwill</t>
  </si>
  <si>
    <t>Performance Assumptions</t>
  </si>
  <si>
    <t>Performance Case</t>
  </si>
  <si>
    <t>Case Selection:</t>
  </si>
  <si>
    <t>Historical</t>
  </si>
  <si>
    <t>Consolidated Sales Growth</t>
  </si>
  <si>
    <t>1 =</t>
  </si>
  <si>
    <t>2 =</t>
  </si>
  <si>
    <t>3 =</t>
  </si>
  <si>
    <t>Income Statement Assumptions and Historical Performance</t>
  </si>
  <si>
    <t>Projected</t>
  </si>
  <si>
    <t>Base</t>
  </si>
  <si>
    <t>Optimistic</t>
  </si>
  <si>
    <t>Pessimistic</t>
  </si>
  <si>
    <t>Gross Margin</t>
  </si>
  <si>
    <t>Operating Expenses / Sales:</t>
  </si>
  <si>
    <t>SG&amp;A</t>
  </si>
  <si>
    <t>Other Expense #4</t>
  </si>
  <si>
    <t>Interest (Coupon) Rates</t>
  </si>
  <si>
    <t>Interest Income</t>
  </si>
  <si>
    <t>Tax Rates:</t>
  </si>
  <si>
    <t>Federal Tax Rate</t>
  </si>
  <si>
    <t>State Tax Rate</t>
  </si>
  <si>
    <t>Effective Tax Rate</t>
  </si>
  <si>
    <t>Working Capital Assumptions</t>
  </si>
  <si>
    <t>Current Assets:</t>
  </si>
  <si>
    <t>Historical and Projected Balance Sheet</t>
  </si>
  <si>
    <t>ASSETS</t>
  </si>
  <si>
    <t>Cash &amp; Marketable Securities</t>
  </si>
  <si>
    <t>Accounts Receivable</t>
  </si>
  <si>
    <t>Inventories</t>
  </si>
  <si>
    <t>Prepaid Expenses</t>
  </si>
  <si>
    <t>Prepaid Income Taxes</t>
  </si>
  <si>
    <t>Other Current Assets #1</t>
  </si>
  <si>
    <t>Other Current Assets #2</t>
  </si>
  <si>
    <t>Other Current Assets #3</t>
  </si>
  <si>
    <t>Total Current Assets</t>
  </si>
  <si>
    <t>-</t>
  </si>
  <si>
    <t>+</t>
  </si>
  <si>
    <t>NonCurrent Assets:</t>
  </si>
  <si>
    <t>Net PP&amp;E</t>
  </si>
  <si>
    <t>New Goodwill</t>
  </si>
  <si>
    <t>Other NC Assets #1</t>
  </si>
  <si>
    <t>Other NC Assets #2</t>
  </si>
  <si>
    <t>Other NC Assets #3</t>
  </si>
  <si>
    <t>Total NonCurrent Assets</t>
  </si>
  <si>
    <t>TOTAL ASSETS</t>
  </si>
  <si>
    <t>LIABILITIES &amp; EQUITY</t>
  </si>
  <si>
    <t>Current Liabilities:</t>
  </si>
  <si>
    <t>Accounts Payable</t>
  </si>
  <si>
    <t>Accrued Expenses</t>
  </si>
  <si>
    <t>Dividend Payable</t>
  </si>
  <si>
    <t>Income Tax Payable</t>
  </si>
  <si>
    <t>Other Current Liabilities #1</t>
  </si>
  <si>
    <t>Other Current Liabilities #2</t>
  </si>
  <si>
    <t>Other Current Liabilities #3</t>
  </si>
  <si>
    <t>Total Current Liabilities</t>
  </si>
  <si>
    <t>Other Deferred Liability #1</t>
  </si>
  <si>
    <t>Other Deferred Liability #2</t>
  </si>
  <si>
    <t>Minority Interest</t>
  </si>
  <si>
    <t>Long Term Debt:</t>
  </si>
  <si>
    <t>Total Long Term Debt</t>
  </si>
  <si>
    <t>TOTAL LIABILITIES</t>
  </si>
  <si>
    <t>Net Worth:</t>
  </si>
  <si>
    <t xml:space="preserve">  - Preferred</t>
  </si>
  <si>
    <t>Equity  - Common</t>
  </si>
  <si>
    <t>Retained Earnings</t>
  </si>
  <si>
    <t>TOTAL LIABILITIES &amp; EQUITY</t>
  </si>
  <si>
    <t>TOTAL NET WORTH</t>
  </si>
  <si>
    <t>Balance Sheet Check</t>
  </si>
  <si>
    <t>Projected Cash Flow Summary</t>
  </si>
  <si>
    <t>Net To Retained Earnings</t>
  </si>
  <si>
    <t>Non-Cash Adjustments:</t>
  </si>
  <si>
    <t>Consolidated D&amp;A</t>
  </si>
  <si>
    <t>Funds From Operations</t>
  </si>
  <si>
    <t>Working Capital Source (Use):</t>
  </si>
  <si>
    <t>(Increase) In Net Working Capital</t>
  </si>
  <si>
    <t>Cash From Operations</t>
  </si>
  <si>
    <t>Existing Cash On Balance Sheet</t>
  </si>
  <si>
    <t>Capital Expenditures</t>
  </si>
  <si>
    <t>Cash Available For Debt Repayment</t>
  </si>
  <si>
    <t>Historical and Projected Income Statement</t>
  </si>
  <si>
    <t>Net Sales</t>
  </si>
  <si>
    <t>Cost Of Goods Sold</t>
  </si>
  <si>
    <t>Operating Expenses:</t>
  </si>
  <si>
    <t>Subtotal</t>
  </si>
  <si>
    <t>Consolidated EBITDA</t>
  </si>
  <si>
    <t>Consolidated EBIT (Pre-Transaction)</t>
  </si>
  <si>
    <t>Transaction Amortization</t>
  </si>
  <si>
    <t>New Goodwill Amortization</t>
  </si>
  <si>
    <t>Consolidated EBIT (Post-Transaction)</t>
  </si>
  <si>
    <t>Interest Expense:</t>
  </si>
  <si>
    <t>Total Interest Expense</t>
  </si>
  <si>
    <t>Average Interest (1=Yes, 0=No)</t>
  </si>
  <si>
    <t>Gain (Loss) On Asset Sales</t>
  </si>
  <si>
    <t>Net Income Before Taxes</t>
  </si>
  <si>
    <t>Provision For Income Taxes</t>
  </si>
  <si>
    <t>Other Assumptions / Switches</t>
  </si>
  <si>
    <t>Circ Breaker</t>
  </si>
  <si>
    <t>Net Income</t>
  </si>
  <si>
    <t>Preferred Dividends</t>
  </si>
  <si>
    <t>Preferred Dividend</t>
  </si>
  <si>
    <t>Net Income To Common Shareholders</t>
  </si>
  <si>
    <t>Senior Debt (1=Yes, 0=No)</t>
  </si>
  <si>
    <t>Senior Interest Expense</t>
  </si>
  <si>
    <t>Junior Interest Expense</t>
  </si>
  <si>
    <t>Years PIK</t>
  </si>
  <si>
    <t>Projected Debt Repayment Schedule</t>
  </si>
  <si>
    <t>(FYE January; $ in millions)</t>
  </si>
  <si>
    <t>Cash Minimum</t>
  </si>
  <si>
    <t>Amt. Of Cash Min.</t>
  </si>
  <si>
    <t>Asset-Backed Addition To Revolver</t>
  </si>
  <si>
    <t>Mandatory (1=Mandatory. 0=Auto)</t>
  </si>
  <si>
    <t>Year #…</t>
  </si>
  <si>
    <t>Current and Projected Capital Structure Summary</t>
  </si>
  <si>
    <t>Book Capitalization</t>
  </si>
  <si>
    <t>** Note - Change on Income Statement</t>
  </si>
  <si>
    <t>Total Debt</t>
  </si>
  <si>
    <t>Book Equity</t>
  </si>
  <si>
    <t>Borrowing Base</t>
  </si>
  <si>
    <t>Senior Debt ?**</t>
  </si>
  <si>
    <t>Total Borrowing Base</t>
  </si>
  <si>
    <t>% of Borrowing Base Utilized</t>
  </si>
  <si>
    <t>Revolver Debt</t>
  </si>
  <si>
    <t>Asset-Backed Revolver</t>
  </si>
  <si>
    <t>0 = No</t>
  </si>
  <si>
    <t>1 = Yes</t>
  </si>
  <si>
    <t>Additions To Cash</t>
  </si>
  <si>
    <t>% of A/R and Inventory Increase, which increases Asset-Backed Revolver, if active</t>
  </si>
  <si>
    <t>(I.e., if set equal to % of borrowing base utilzed, this percentage will remain constant over time)</t>
  </si>
  <si>
    <t>% of Working Capital Increase To Revolver</t>
  </si>
  <si>
    <t>Book Depreciation Schedule</t>
  </si>
  <si>
    <t>Land</t>
  </si>
  <si>
    <t>Beginning</t>
  </si>
  <si>
    <t>Amount</t>
  </si>
  <si>
    <t>Period</t>
  </si>
  <si>
    <t>Existing Equipment</t>
  </si>
  <si>
    <t>Gross PP&amp;E</t>
  </si>
  <si>
    <t>Category 1</t>
  </si>
  <si>
    <t>Category 2</t>
  </si>
  <si>
    <t>Category 3</t>
  </si>
  <si>
    <t>Category 4</t>
  </si>
  <si>
    <t>Category 5</t>
  </si>
  <si>
    <t>Total</t>
  </si>
  <si>
    <t>Salvage</t>
  </si>
  <si>
    <t>Depreciation Method</t>
  </si>
  <si>
    <t>Depreciation Period</t>
  </si>
  <si>
    <t>Year</t>
  </si>
  <si>
    <t>Capital</t>
  </si>
  <si>
    <t>Expenditure</t>
  </si>
  <si>
    <t>BOOK DEPRECIATION</t>
  </si>
  <si>
    <t>TRANSACTION COST AMORTIZATION</t>
  </si>
  <si>
    <t>YEARS -</t>
  </si>
  <si>
    <t>GOODWILL AMORTIZATION</t>
  </si>
  <si>
    <t>(0=Not Tax-Deductible,1=Tax-Deductible)</t>
  </si>
  <si>
    <t>Computed or Manual Depreciation</t>
  </si>
  <si>
    <t>Goodwill Amortization Tax-Deductible</t>
  </si>
  <si>
    <t>(0=Computed,1=Manual)</t>
  </si>
  <si>
    <t>Tax Depreciation Schedule</t>
  </si>
  <si>
    <t>Income Tax Calculation</t>
  </si>
  <si>
    <t>Plus: Book Depreciation</t>
  </si>
  <si>
    <t>Less: Tax Depreciation</t>
  </si>
  <si>
    <t>Less: Book Gain On Assets Sold</t>
  </si>
  <si>
    <t>Plus: Goodwill Amortization</t>
  </si>
  <si>
    <t>Pre-NOL Taxable Income</t>
  </si>
  <si>
    <t>NOL Used To Shelter Income</t>
  </si>
  <si>
    <t>NOL Carryforward</t>
  </si>
  <si>
    <t>Current Taxable Income</t>
  </si>
  <si>
    <t>Current Tax Expense</t>
  </si>
  <si>
    <t>Total Book Tax</t>
  </si>
  <si>
    <t>Beginning NOL's</t>
  </si>
  <si>
    <t>Current NOL</t>
  </si>
  <si>
    <t>NOL Carryforward Utilized</t>
  </si>
  <si>
    <t>Ending NOL</t>
  </si>
  <si>
    <t>Estimated Weighted Average Cost of Capital Calculation</t>
  </si>
  <si>
    <t>Interest Rate</t>
  </si>
  <si>
    <t>Wtd. Rate</t>
  </si>
  <si>
    <t>Estimated Cost of Debt:</t>
  </si>
  <si>
    <t>Pre-Tax</t>
  </si>
  <si>
    <t>After-Tax</t>
  </si>
  <si>
    <t>Estimated Cost of Preferred:</t>
  </si>
  <si>
    <t>Estimated Cost of Equity Capital:</t>
  </si>
  <si>
    <t>Total Book Equity Capital</t>
  </si>
  <si>
    <t>Risk-Free Rate (10 Yr T-Note)</t>
  </si>
  <si>
    <t>Market Risk Premium</t>
  </si>
  <si>
    <t>Unlevered Beta</t>
  </si>
  <si>
    <t>Target Debt / Equity Ratio</t>
  </si>
  <si>
    <t>Relevered Beta</t>
  </si>
  <si>
    <t>CAPM Cost of Equity</t>
  </si>
  <si>
    <t>Proportions</t>
  </si>
  <si>
    <t>Total Preferred</t>
  </si>
  <si>
    <t>Total Equity</t>
  </si>
  <si>
    <t>Total Book Capitalization</t>
  </si>
  <si>
    <t>Rate</t>
  </si>
  <si>
    <t>Wtd. Factor</t>
  </si>
  <si>
    <t>Atfer Tax Cost of Debt</t>
  </si>
  <si>
    <t>Cost of Preferred</t>
  </si>
  <si>
    <t>Cost of Equity</t>
  </si>
  <si>
    <t>Weighted Average Cost of Capital</t>
  </si>
  <si>
    <t>Weighted Average Cost Of Capital Calculation</t>
  </si>
  <si>
    <t>(0 = Computed, 1 = Manual)</t>
  </si>
  <si>
    <t>After-Tax Cost of Debt</t>
  </si>
  <si>
    <t>Debt / Equity</t>
  </si>
  <si>
    <t>1+ D / E</t>
  </si>
  <si>
    <t>Calculation Given Target D / E</t>
  </si>
  <si>
    <t>Debt / Value</t>
  </si>
  <si>
    <t>Beta Calculation</t>
  </si>
  <si>
    <t>Unlevered Beta = Adjusted (Levered) Beta * [MVE / (Market Cap - (T * Book Value Of Debt))]</t>
  </si>
  <si>
    <t>Relevered Beta = Unlevered Beta / [MVE / (Market Cap - (T * Book Value of Debt))]</t>
  </si>
  <si>
    <t>Levered Beta</t>
  </si>
  <si>
    <t>$ of Outstanding Shares</t>
  </si>
  <si>
    <t>Market Value Of Equity</t>
  </si>
  <si>
    <t>Pre-Transaction LT Debt</t>
  </si>
  <si>
    <t>Market Capitalization</t>
  </si>
  <si>
    <t>Tax Rate</t>
  </si>
  <si>
    <t>Post-Transaction Book Cap.</t>
  </si>
  <si>
    <t>E / V Percentage</t>
  </si>
  <si>
    <t>Book Debt Value</t>
  </si>
  <si>
    <t>Book Equity Value</t>
  </si>
  <si>
    <t>Book Capitalization At Closing:</t>
  </si>
  <si>
    <t>Proportion Setting:</t>
  </si>
  <si>
    <t>Returns Calculation</t>
  </si>
  <si>
    <t>EXIT YEAR:</t>
  </si>
  <si>
    <t>Dilution</t>
  </si>
  <si>
    <t>Investment</t>
  </si>
  <si>
    <t>Partial</t>
  </si>
  <si>
    <t>Full</t>
  </si>
  <si>
    <t>Management Performance Option</t>
  </si>
  <si>
    <t>Total Initial Equity Investment</t>
  </si>
  <si>
    <t>Total Overall Investment</t>
  </si>
  <si>
    <t>Exit Proceeds And Allocation</t>
  </si>
  <si>
    <t>Exit Year EBITDA</t>
  </si>
  <si>
    <t>x EBITDA Multiple</t>
  </si>
  <si>
    <t>Exit Valuation</t>
  </si>
  <si>
    <t>Conversion Costs</t>
  </si>
  <si>
    <t>Plus:  Excess Cash</t>
  </si>
  <si>
    <t>Less: Total Remaining Debt</t>
  </si>
  <si>
    <t>Net Proceeds To Allocate</t>
  </si>
  <si>
    <t>Allocation</t>
  </si>
  <si>
    <t>Gross</t>
  </si>
  <si>
    <t>Conversion</t>
  </si>
  <si>
    <t>Costs</t>
  </si>
  <si>
    <t>Net</t>
  </si>
  <si>
    <t>Totals</t>
  </si>
  <si>
    <t>Returns</t>
  </si>
  <si>
    <t>Interest</t>
  </si>
  <si>
    <t>Participation</t>
  </si>
  <si>
    <t xml:space="preserve">IRR = </t>
  </si>
  <si>
    <t>Dividends</t>
  </si>
  <si>
    <t>Guess Rate:</t>
  </si>
  <si>
    <t>Discounted Cash Flow Analysis</t>
  </si>
  <si>
    <t>Free Cash Flow Summary</t>
  </si>
  <si>
    <t>EBIT</t>
  </si>
  <si>
    <t>Plus: Depreciation &amp; Amortization</t>
  </si>
  <si>
    <t>Unlevered Cash Flow</t>
  </si>
  <si>
    <t>Minus:</t>
  </si>
  <si>
    <t>Free Cash Flow</t>
  </si>
  <si>
    <t>Transaction Fees:</t>
  </si>
  <si>
    <t>Advisory</t>
  </si>
  <si>
    <t>Financing</t>
  </si>
  <si>
    <t>Total Equity Allocation</t>
  </si>
  <si>
    <t>Average Life</t>
  </si>
  <si>
    <t>Other Assumptions:</t>
  </si>
  <si>
    <t>Other Assets #2</t>
  </si>
  <si>
    <t>Other Assets #1</t>
  </si>
  <si>
    <t>Other Assets #3</t>
  </si>
  <si>
    <t>Ratio Analysis</t>
  </si>
  <si>
    <t>Total Debt / Equity</t>
  </si>
  <si>
    <t>Total Debt / Tangible Equity</t>
  </si>
  <si>
    <t>Capital Structure</t>
  </si>
  <si>
    <t>Leverage Ratios</t>
  </si>
  <si>
    <t>Senior Debt / EBITDA</t>
  </si>
  <si>
    <t>Total Senior Debt</t>
  </si>
  <si>
    <t>Senior Debt</t>
  </si>
  <si>
    <t>Note: Change Senior / Sub Status</t>
  </si>
  <si>
    <t>on the Income Statement Page</t>
  </si>
  <si>
    <t>Senior Debt / (EBITDA-CapEx)</t>
  </si>
  <si>
    <t>Total Debt / (EBITDA-CapEx)</t>
  </si>
  <si>
    <t>Interest Coverage</t>
  </si>
  <si>
    <t>EBITDA / Senior Interest</t>
  </si>
  <si>
    <t>EBITDA / Total Interest</t>
  </si>
  <si>
    <t>(EBITDA-CapEx) / Senior Interest</t>
  </si>
  <si>
    <t>(EBITDA-CapEx) / Total Interest</t>
  </si>
  <si>
    <t>EBIT / Senior Interest</t>
  </si>
  <si>
    <t>EBIT / Total Interest</t>
  </si>
  <si>
    <t>Return on Average Common Equity</t>
  </si>
  <si>
    <t>EBIT / Average Capitalization</t>
  </si>
  <si>
    <t>Total Capitalization</t>
  </si>
  <si>
    <t>Asset Turnover (Sales)</t>
  </si>
  <si>
    <t>Common Equity</t>
  </si>
  <si>
    <t>Capitalization</t>
  </si>
  <si>
    <t>Total Assets</t>
  </si>
  <si>
    <t>Inventory Turnover (COGS)</t>
  </si>
  <si>
    <t>Days Receivable (Sales)</t>
  </si>
  <si>
    <t>Days Inventory (Sales)</t>
  </si>
  <si>
    <t>Days Payable (Sales)</t>
  </si>
  <si>
    <t>Account Receivables</t>
  </si>
  <si>
    <t>Account Payables</t>
  </si>
  <si>
    <t>Sales Growth</t>
  </si>
  <si>
    <t>Operating Results</t>
  </si>
  <si>
    <t>EBITDA Margin</t>
  </si>
  <si>
    <t>EBIT Margin</t>
  </si>
  <si>
    <t>Total Debt / Book Capitalization</t>
  </si>
  <si>
    <t>CapEx</t>
  </si>
  <si>
    <t>Normalized</t>
  </si>
  <si>
    <t>EBITDA Multiple Method</t>
  </si>
  <si>
    <t>Perpetuity Growth Method</t>
  </si>
  <si>
    <t>Multiple Range</t>
  </si>
  <si>
    <t>Discount Rate Range</t>
  </si>
  <si>
    <t>DCF Assumptions</t>
  </si>
  <si>
    <t>Perpetuity Range</t>
  </si>
  <si>
    <t>DISCOUNT RATE</t>
  </si>
  <si>
    <t>Future Value of Terminal</t>
  </si>
  <si>
    <t>Total Enterprise Value</t>
  </si>
  <si>
    <t>Less: Net Debt</t>
  </si>
  <si>
    <t>Equity Value</t>
  </si>
  <si>
    <t>Fully-Diluted Shares Outstanding</t>
  </si>
  <si>
    <t>Equity Value Per Share</t>
  </si>
  <si>
    <t>Present Value of FCFF (1999 - 2008)</t>
  </si>
  <si>
    <t>Present Value of Terminal</t>
  </si>
  <si>
    <t>Net Debt</t>
  </si>
  <si>
    <t>Total Equity Value</t>
  </si>
  <si>
    <t>(0=Not Deductible,1=Deductible)</t>
  </si>
  <si>
    <t>(0=SLN,1=Sum of Years)</t>
  </si>
  <si>
    <t>Asset Sale Assumptions</t>
  </si>
  <si>
    <t>Projected Asset Sales</t>
  </si>
  <si>
    <t>Estimated Sale Proceeds</t>
  </si>
  <si>
    <t>Tax Basis of Asset</t>
  </si>
  <si>
    <t>Gain (Loss) On Asset Sale</t>
  </si>
  <si>
    <t>Book Basis Of Asset</t>
  </si>
  <si>
    <t>Allocation To Balance Sheet</t>
  </si>
  <si>
    <t>Plus: Tax Gain (Loss) On Assets Sold</t>
  </si>
  <si>
    <t>Perpertuity Growth Method</t>
  </si>
  <si>
    <t>Free Cash Flow Calculation</t>
  </si>
  <si>
    <t>PV of Terminal Value (EBITDA)</t>
  </si>
  <si>
    <t>Tax Rate:</t>
  </si>
  <si>
    <t>PV of Terminal Value (Perpetuity)</t>
  </si>
  <si>
    <t>FV of Terminal Value (EBITDA)</t>
  </si>
  <si>
    <t>FV of Terminal Value (Perpetuity)</t>
  </si>
  <si>
    <t>Total Equity Value Per Share</t>
  </si>
  <si>
    <t>Number of Shares</t>
  </si>
  <si>
    <t>Cash Flow % of TEV</t>
  </si>
  <si>
    <t>Terminal Value % of TEV</t>
  </si>
  <si>
    <t>Percentage Breakdown of DCF Analysis</t>
  </si>
  <si>
    <t>Working Capital and Balance Sheet Assumptions</t>
  </si>
  <si>
    <t>Use Excess Cash</t>
  </si>
  <si>
    <t>Inc/(Dec) in All NC Assets</t>
  </si>
  <si>
    <t>(Inc)/Dec in All NC Liabilties</t>
  </si>
  <si>
    <t>Other Expense #1</t>
  </si>
  <si>
    <t>Other Expense #2</t>
  </si>
  <si>
    <t>Other Expense #3</t>
  </si>
  <si>
    <t>Liquidity Ratios</t>
  </si>
  <si>
    <t>Current Ratio</t>
  </si>
  <si>
    <t>Acid Test Ratio</t>
  </si>
  <si>
    <t>Pretax Profit To Sales</t>
  </si>
  <si>
    <t>Inc/(Dec) in Working Capital</t>
  </si>
  <si>
    <t>(Inc)/Dec in All NC Assets</t>
  </si>
  <si>
    <t>Inc/(Dec) in All NC Liabilties</t>
  </si>
  <si>
    <t>Manual Interest Rates and Proportions</t>
  </si>
  <si>
    <t>Project Template_Leverage Buyout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</si>
</sst>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&quot;$&quot;#,##0.00_);[Red]\(&quot;$&quot;#,##0.00\)"/>
    <numFmt numFmtId="164" formatCode="#,##0.0_);[Red]\(#,##0.0\)"/>
    <numFmt numFmtId="165" formatCode="&quot;$&quot;#,##0.0_);[Red]\(&quot;$&quot;#,##0.0\)"/>
    <numFmt numFmtId="166" formatCode="0.0%"/>
    <numFmt numFmtId="167" formatCode="0.0_);[Red]\(0.0\)"/>
    <numFmt numFmtId="168" formatCode="&quot;Yes&quot;;[Red]&quot;Error&quot;;&quot;No&quot;"/>
    <numFmt numFmtId="169" formatCode="&quot;Senior&quot;;[Red]&quot;Error&quot;;&quot;Subordinated&quot;"/>
    <numFmt numFmtId="170" formatCode="&quot;Mandatory&quot;;[Red]&quot;Error&quot;;&quot;Automatic&quot;"/>
    <numFmt numFmtId="171" formatCode=";;;"/>
    <numFmt numFmtId="172" formatCode="&quot;Manual&quot;;[Red]&quot;Error&quot;;&quot;Computed&quot;"/>
    <numFmt numFmtId="173" formatCode="0.00_);[Red]\(0.00\)"/>
    <numFmt numFmtId="174" formatCode="&quot;Manual WACC&quot;;[Red]&quot;Error&quot;;&quot;Computed WACC&quot;"/>
    <numFmt numFmtId="175" formatCode="0.0\x"/>
    <numFmt numFmtId="176" formatCode="0.0"/>
    <numFmt numFmtId="177" formatCode="0.0000_);[Red]\(0.0000\)"/>
  </numFmts>
  <fonts count="22" x14ac:knownFonts="1">
    <font>
      <sz val="10"/>
      <name val="Arial"/>
    </font>
    <font>
      <sz val="12"/>
      <name val="Arial"/>
      <family val="2"/>
    </font>
    <font>
      <sz val="8"/>
      <color indexed="81"/>
      <name val="Tahoma"/>
    </font>
    <font>
      <b/>
      <sz val="8"/>
      <color indexed="81"/>
      <name val="Tahoma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u/>
      <sz val="12"/>
      <name val="Arial"/>
      <family val="2"/>
    </font>
    <font>
      <sz val="12"/>
      <color indexed="12"/>
      <name val="Arial"/>
      <family val="2"/>
    </font>
    <font>
      <b/>
      <sz val="12"/>
      <color indexed="12"/>
      <name val="Arial"/>
      <family val="2"/>
    </font>
    <font>
      <i/>
      <sz val="12"/>
      <name val="Arial"/>
      <family val="2"/>
    </font>
    <font>
      <sz val="12"/>
      <color indexed="10"/>
      <name val="Arial"/>
      <family val="2"/>
    </font>
    <font>
      <b/>
      <sz val="12"/>
      <color indexed="10"/>
      <name val="Arial"/>
      <family val="2"/>
    </font>
    <font>
      <u/>
      <sz val="12"/>
      <name val="Arial"/>
      <family val="2"/>
    </font>
    <font>
      <b/>
      <sz val="16"/>
      <color indexed="12"/>
      <name val="Arial"/>
      <family val="2"/>
    </font>
    <font>
      <sz val="16"/>
      <name val="Arial"/>
      <family val="2"/>
    </font>
    <font>
      <b/>
      <i/>
      <sz val="16"/>
      <color indexed="12"/>
      <name val="Arial"/>
      <family val="2"/>
    </font>
    <font>
      <b/>
      <sz val="16"/>
      <name val="Arial"/>
      <family val="2"/>
    </font>
    <font>
      <b/>
      <i/>
      <sz val="12"/>
      <color indexed="10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1">
    <xf numFmtId="0" fontId="0" fillId="0" borderId="0" xfId="0"/>
    <xf numFmtId="0" fontId="1" fillId="2" borderId="0" xfId="0" applyFont="1" applyFill="1"/>
    <xf numFmtId="0" fontId="5" fillId="2" borderId="0" xfId="0" applyFont="1" applyFill="1" applyAlignment="1">
      <alignment horizontal="center"/>
    </xf>
    <xf numFmtId="0" fontId="1" fillId="2" borderId="1" xfId="0" applyFont="1" applyFill="1" applyBorder="1"/>
    <xf numFmtId="0" fontId="5" fillId="2" borderId="0" xfId="0" applyFont="1" applyFill="1"/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2" borderId="0" xfId="0" applyFont="1" applyFill="1" applyBorder="1"/>
    <xf numFmtId="0" fontId="5" fillId="3" borderId="2" xfId="0" applyFont="1" applyFill="1" applyBorder="1"/>
    <xf numFmtId="0" fontId="5" fillId="3" borderId="3" xfId="0" applyFont="1" applyFill="1" applyBorder="1"/>
    <xf numFmtId="0" fontId="5" fillId="3" borderId="4" xfId="0" applyFont="1" applyFill="1" applyBorder="1"/>
    <xf numFmtId="0" fontId="7" fillId="2" borderId="0" xfId="0" applyFont="1" applyFill="1"/>
    <xf numFmtId="166" fontId="1" fillId="2" borderId="0" xfId="0" applyNumberFormat="1" applyFont="1" applyFill="1"/>
    <xf numFmtId="166" fontId="8" fillId="2" borderId="0" xfId="0" applyNumberFormat="1" applyFont="1" applyFill="1"/>
    <xf numFmtId="0" fontId="9" fillId="2" borderId="0" xfId="0" applyFont="1" applyFill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Alignment="1">
      <alignment horizontal="right"/>
    </xf>
    <xf numFmtId="0" fontId="1" fillId="2" borderId="5" xfId="0" applyFont="1" applyFill="1" applyBorder="1"/>
    <xf numFmtId="0" fontId="1" fillId="2" borderId="6" xfId="0" applyFont="1" applyFill="1" applyBorder="1"/>
    <xf numFmtId="164" fontId="1" fillId="2" borderId="0" xfId="0" applyNumberFormat="1" applyFont="1" applyFill="1" applyBorder="1"/>
    <xf numFmtId="165" fontId="1" fillId="2" borderId="6" xfId="0" applyNumberFormat="1" applyFont="1" applyFill="1" applyBorder="1"/>
    <xf numFmtId="0" fontId="8" fillId="2" borderId="5" xfId="0" applyFont="1" applyFill="1" applyBorder="1"/>
    <xf numFmtId="165" fontId="8" fillId="2" borderId="0" xfId="0" applyNumberFormat="1" applyFont="1" applyFill="1" applyBorder="1"/>
    <xf numFmtId="166" fontId="1" fillId="2" borderId="6" xfId="0" applyNumberFormat="1" applyFont="1" applyFill="1" applyBorder="1"/>
    <xf numFmtId="164" fontId="8" fillId="2" borderId="0" xfId="0" applyNumberFormat="1" applyFont="1" applyFill="1" applyBorder="1"/>
    <xf numFmtId="0" fontId="1" fillId="2" borderId="0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4" fontId="1" fillId="2" borderId="7" xfId="0" applyNumberFormat="1" applyFont="1" applyFill="1" applyBorder="1"/>
    <xf numFmtId="0" fontId="5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166" fontId="8" fillId="2" borderId="6" xfId="0" applyNumberFormat="1" applyFont="1" applyFill="1" applyBorder="1"/>
    <xf numFmtId="164" fontId="8" fillId="2" borderId="9" xfId="0" applyNumberFormat="1" applyFont="1" applyFill="1" applyBorder="1"/>
    <xf numFmtId="166" fontId="1" fillId="2" borderId="7" xfId="0" applyNumberFormat="1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166" fontId="8" fillId="2" borderId="0" xfId="0" applyNumberFormat="1" applyFont="1" applyFill="1" applyBorder="1"/>
    <xf numFmtId="164" fontId="1" fillId="2" borderId="6" xfId="0" applyNumberFormat="1" applyFont="1" applyFill="1" applyBorder="1"/>
    <xf numFmtId="166" fontId="1" fillId="2" borderId="0" xfId="0" applyNumberFormat="1" applyFont="1" applyFill="1" applyBorder="1"/>
    <xf numFmtId="166" fontId="1" fillId="2" borderId="9" xfId="0" applyNumberFormat="1" applyFont="1" applyFill="1" applyBorder="1"/>
    <xf numFmtId="0" fontId="9" fillId="2" borderId="1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166" fontId="9" fillId="2" borderId="12" xfId="0" applyNumberFormat="1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8" fillId="2" borderId="0" xfId="0" applyFont="1" applyFill="1" applyAlignment="1">
      <alignment horizontal="left" indent="1"/>
    </xf>
    <xf numFmtId="165" fontId="8" fillId="2" borderId="0" xfId="0" applyNumberFormat="1" applyFont="1" applyFill="1"/>
    <xf numFmtId="165" fontId="1" fillId="2" borderId="0" xfId="0" applyNumberFormat="1" applyFont="1" applyFill="1"/>
    <xf numFmtId="164" fontId="8" fillId="2" borderId="0" xfId="0" applyNumberFormat="1" applyFont="1" applyFill="1"/>
    <xf numFmtId="164" fontId="1" fillId="2" borderId="0" xfId="0" applyNumberFormat="1" applyFont="1" applyFill="1"/>
    <xf numFmtId="164" fontId="1" fillId="2" borderId="9" xfId="0" applyNumberFormat="1" applyFont="1" applyFill="1" applyBorder="1"/>
    <xf numFmtId="0" fontId="8" fillId="2" borderId="0" xfId="0" applyFont="1" applyFill="1"/>
    <xf numFmtId="165" fontId="5" fillId="2" borderId="0" xfId="0" applyNumberFormat="1" applyFont="1" applyFill="1"/>
    <xf numFmtId="165" fontId="5" fillId="2" borderId="13" xfId="0" applyNumberFormat="1" applyFont="1" applyFill="1" applyBorder="1"/>
    <xf numFmtId="0" fontId="1" fillId="2" borderId="13" xfId="0" applyFont="1" applyFill="1" applyBorder="1"/>
    <xf numFmtId="0" fontId="1" fillId="2" borderId="0" xfId="0" applyFont="1" applyFill="1" applyAlignment="1">
      <alignment horizontal="left" indent="1"/>
    </xf>
    <xf numFmtId="0" fontId="1" fillId="2" borderId="0" xfId="0" applyFont="1" applyFill="1" applyAlignment="1">
      <alignment horizontal="left" indent="4"/>
    </xf>
    <xf numFmtId="165" fontId="5" fillId="2" borderId="14" xfId="0" applyNumberFormat="1" applyFont="1" applyFill="1" applyBorder="1"/>
    <xf numFmtId="0" fontId="1" fillId="2" borderId="14" xfId="0" applyFont="1" applyFill="1" applyBorder="1"/>
    <xf numFmtId="0" fontId="5" fillId="2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5" fillId="2" borderId="2" xfId="0" applyFont="1" applyFill="1" applyBorder="1"/>
    <xf numFmtId="0" fontId="5" fillId="2" borderId="4" xfId="0" applyFont="1" applyFill="1" applyBorder="1"/>
    <xf numFmtId="0" fontId="5" fillId="2" borderId="0" xfId="0" applyFont="1" applyFill="1" applyAlignment="1">
      <alignment horizontal="left" indent="3"/>
    </xf>
    <xf numFmtId="0" fontId="7" fillId="2" borderId="10" xfId="0" applyFont="1" applyFill="1" applyBorder="1"/>
    <xf numFmtId="0" fontId="1" fillId="2" borderId="15" xfId="0" applyFont="1" applyFill="1" applyBorder="1"/>
    <xf numFmtId="0" fontId="5" fillId="2" borderId="5" xfId="0" applyFont="1" applyFill="1" applyBorder="1"/>
    <xf numFmtId="165" fontId="1" fillId="2" borderId="0" xfId="0" applyNumberFormat="1" applyFont="1" applyFill="1" applyBorder="1"/>
    <xf numFmtId="166" fontId="1" fillId="3" borderId="0" xfId="0" applyNumberFormat="1" applyFont="1" applyFill="1" applyBorder="1"/>
    <xf numFmtId="166" fontId="1" fillId="3" borderId="6" xfId="0" applyNumberFormat="1" applyFont="1" applyFill="1" applyBorder="1"/>
    <xf numFmtId="0" fontId="9" fillId="2" borderId="5" xfId="0" applyFont="1" applyFill="1" applyBorder="1" applyAlignment="1">
      <alignment horizontal="left" indent="2"/>
    </xf>
    <xf numFmtId="10" fontId="5" fillId="2" borderId="12" xfId="0" applyNumberFormat="1" applyFont="1" applyFill="1" applyBorder="1" applyAlignment="1">
      <alignment horizontal="center"/>
    </xf>
    <xf numFmtId="10" fontId="5" fillId="2" borderId="0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left" indent="2"/>
    </xf>
    <xf numFmtId="165" fontId="1" fillId="2" borderId="9" xfId="0" applyNumberFormat="1" applyFont="1" applyFill="1" applyBorder="1"/>
    <xf numFmtId="0" fontId="1" fillId="2" borderId="5" xfId="0" applyFont="1" applyFill="1" applyBorder="1" applyAlignment="1">
      <alignment horizontal="left" indent="3"/>
    </xf>
    <xf numFmtId="164" fontId="11" fillId="2" borderId="0" xfId="0" applyNumberFormat="1" applyFont="1" applyFill="1" applyBorder="1"/>
    <xf numFmtId="0" fontId="7" fillId="2" borderId="5" xfId="0" applyFont="1" applyFill="1" applyBorder="1"/>
    <xf numFmtId="165" fontId="8" fillId="2" borderId="6" xfId="0" applyNumberFormat="1" applyFont="1" applyFill="1" applyBorder="1"/>
    <xf numFmtId="166" fontId="1" fillId="2" borderId="13" xfId="0" applyNumberFormat="1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" fillId="2" borderId="19" xfId="0" applyFont="1" applyFill="1" applyBorder="1"/>
    <xf numFmtId="0" fontId="1" fillId="2" borderId="20" xfId="0" applyFont="1" applyFill="1" applyBorder="1"/>
    <xf numFmtId="0" fontId="1" fillId="3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 indent="2"/>
    </xf>
    <xf numFmtId="166" fontId="5" fillId="2" borderId="13" xfId="0" applyNumberFormat="1" applyFont="1" applyFill="1" applyBorder="1"/>
    <xf numFmtId="10" fontId="1" fillId="2" borderId="9" xfId="0" applyNumberFormat="1" applyFont="1" applyFill="1" applyBorder="1"/>
    <xf numFmtId="0" fontId="1" fillId="2" borderId="21" xfId="0" applyFont="1" applyFill="1" applyBorder="1"/>
    <xf numFmtId="0" fontId="1" fillId="2" borderId="22" xfId="0" applyFont="1" applyFill="1" applyBorder="1"/>
    <xf numFmtId="165" fontId="1" fillId="2" borderId="13" xfId="0" applyNumberFormat="1" applyFont="1" applyFill="1" applyBorder="1"/>
    <xf numFmtId="0" fontId="1" fillId="2" borderId="0" xfId="0" applyFont="1" applyFill="1" applyAlignment="1">
      <alignment horizontal="right"/>
    </xf>
    <xf numFmtId="0" fontId="1" fillId="3" borderId="3" xfId="0" applyFont="1" applyFill="1" applyBorder="1"/>
    <xf numFmtId="10" fontId="1" fillId="2" borderId="0" xfId="0" applyNumberFormat="1" applyFont="1" applyFill="1" applyBorder="1"/>
    <xf numFmtId="0" fontId="1" fillId="4" borderId="16" xfId="0" applyFont="1" applyFill="1" applyBorder="1"/>
    <xf numFmtId="0" fontId="1" fillId="4" borderId="17" xfId="0" applyFont="1" applyFill="1" applyBorder="1"/>
    <xf numFmtId="10" fontId="8" fillId="4" borderId="17" xfId="0" applyNumberFormat="1" applyFont="1" applyFill="1" applyBorder="1"/>
    <xf numFmtId="0" fontId="1" fillId="4" borderId="18" xfId="0" applyFont="1" applyFill="1" applyBorder="1"/>
    <xf numFmtId="10" fontId="5" fillId="3" borderId="23" xfId="0" applyNumberFormat="1" applyFont="1" applyFill="1" applyBorder="1"/>
    <xf numFmtId="0" fontId="1" fillId="4" borderId="19" xfId="0" applyFont="1" applyFill="1" applyBorder="1"/>
    <xf numFmtId="0" fontId="1" fillId="4" borderId="0" xfId="0" applyFont="1" applyFill="1" applyBorder="1"/>
    <xf numFmtId="10" fontId="8" fillId="4" borderId="0" xfId="0" applyNumberFormat="1" applyFont="1" applyFill="1" applyBorder="1"/>
    <xf numFmtId="0" fontId="1" fillId="4" borderId="20" xfId="0" applyFont="1" applyFill="1" applyBorder="1"/>
    <xf numFmtId="173" fontId="1" fillId="4" borderId="0" xfId="0" applyNumberFormat="1" applyFont="1" applyFill="1" applyBorder="1"/>
    <xf numFmtId="166" fontId="1" fillId="4" borderId="0" xfId="0" applyNumberFormat="1" applyFont="1" applyFill="1" applyBorder="1"/>
    <xf numFmtId="40" fontId="1" fillId="4" borderId="9" xfId="0" applyNumberFormat="1" applyFont="1" applyFill="1" applyBorder="1"/>
    <xf numFmtId="172" fontId="5" fillId="2" borderId="0" xfId="0" applyNumberFormat="1" applyFont="1" applyFill="1" applyBorder="1" applyAlignment="1">
      <alignment horizontal="center"/>
    </xf>
    <xf numFmtId="0" fontId="1" fillId="4" borderId="21" xfId="0" applyFont="1" applyFill="1" applyBorder="1"/>
    <xf numFmtId="0" fontId="5" fillId="4" borderId="1" xfId="0" applyFont="1" applyFill="1" applyBorder="1" applyAlignment="1">
      <alignment horizontal="left" indent="1"/>
    </xf>
    <xf numFmtId="0" fontId="1" fillId="4" borderId="1" xfId="0" applyFont="1" applyFill="1" applyBorder="1"/>
    <xf numFmtId="10" fontId="5" fillId="4" borderId="1" xfId="0" applyNumberFormat="1" applyFont="1" applyFill="1" applyBorder="1"/>
    <xf numFmtId="0" fontId="1" fillId="4" borderId="22" xfId="0" applyFont="1" applyFill="1" applyBorder="1"/>
    <xf numFmtId="0" fontId="7" fillId="2" borderId="16" xfId="0" applyFont="1" applyFill="1" applyBorder="1"/>
    <xf numFmtId="0" fontId="7" fillId="2" borderId="19" xfId="0" applyFont="1" applyFill="1" applyBorder="1"/>
    <xf numFmtId="0" fontId="9" fillId="2" borderId="12" xfId="0" applyFont="1" applyFill="1" applyBorder="1" applyAlignment="1">
      <alignment horizontal="right"/>
    </xf>
    <xf numFmtId="8" fontId="1" fillId="2" borderId="0" xfId="0" applyNumberFormat="1" applyFont="1" applyFill="1" applyBorder="1" applyAlignment="1">
      <alignment horizontal="right"/>
    </xf>
    <xf numFmtId="167" fontId="1" fillId="2" borderId="9" xfId="0" applyNumberFormat="1" applyFont="1" applyFill="1" applyBorder="1" applyAlignment="1">
      <alignment horizontal="right"/>
    </xf>
    <xf numFmtId="0" fontId="1" fillId="2" borderId="0" xfId="0" applyFont="1" applyFill="1" applyBorder="1" applyAlignment="1">
      <alignment horizontal="right"/>
    </xf>
    <xf numFmtId="165" fontId="1" fillId="2" borderId="0" xfId="0" applyNumberFormat="1" applyFont="1" applyFill="1" applyBorder="1" applyAlignment="1">
      <alignment horizontal="right"/>
    </xf>
    <xf numFmtId="0" fontId="5" fillId="4" borderId="24" xfId="0" applyFont="1" applyFill="1" applyBorder="1"/>
    <xf numFmtId="0" fontId="1" fillId="4" borderId="3" xfId="0" applyFont="1" applyFill="1" applyBorder="1"/>
    <xf numFmtId="173" fontId="5" fillId="4" borderId="3" xfId="0" applyNumberFormat="1" applyFont="1" applyFill="1" applyBorder="1"/>
    <xf numFmtId="0" fontId="5" fillId="4" borderId="3" xfId="0" applyFont="1" applyFill="1" applyBorder="1"/>
    <xf numFmtId="173" fontId="5" fillId="4" borderId="4" xfId="0" applyNumberFormat="1" applyFont="1" applyFill="1" applyBorder="1"/>
    <xf numFmtId="164" fontId="11" fillId="2" borderId="0" xfId="0" applyNumberFormat="1" applyFont="1" applyFill="1"/>
    <xf numFmtId="164" fontId="1" fillId="2" borderId="13" xfId="0" applyNumberFormat="1" applyFont="1" applyFill="1" applyBorder="1"/>
    <xf numFmtId="165" fontId="9" fillId="2" borderId="12" xfId="0" applyNumberFormat="1" applyFont="1" applyFill="1" applyBorder="1"/>
    <xf numFmtId="0" fontId="5" fillId="2" borderId="1" xfId="0" applyFont="1" applyFill="1" applyBorder="1" applyAlignment="1">
      <alignment horizontal="center"/>
    </xf>
    <xf numFmtId="171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5" fillId="3" borderId="0" xfId="0" applyFont="1" applyFill="1"/>
    <xf numFmtId="0" fontId="1" fillId="3" borderId="0" xfId="0" applyFont="1" applyFill="1"/>
    <xf numFmtId="164" fontId="5" fillId="3" borderId="0" xfId="0" applyNumberFormat="1" applyFont="1" applyFill="1"/>
    <xf numFmtId="164" fontId="9" fillId="3" borderId="0" xfId="0" applyNumberFormat="1" applyFont="1" applyFill="1"/>
    <xf numFmtId="0" fontId="5" fillId="2" borderId="9" xfId="0" applyFont="1" applyFill="1" applyBorder="1"/>
    <xf numFmtId="164" fontId="5" fillId="2" borderId="9" xfId="0" applyNumberFormat="1" applyFont="1" applyFill="1" applyBorder="1"/>
    <xf numFmtId="166" fontId="5" fillId="2" borderId="12" xfId="0" applyNumberFormat="1" applyFont="1" applyFill="1" applyBorder="1"/>
    <xf numFmtId="8" fontId="8" fillId="2" borderId="0" xfId="0" applyNumberFormat="1" applyFont="1" applyFill="1"/>
    <xf numFmtId="8" fontId="1" fillId="2" borderId="0" xfId="0" applyNumberFormat="1" applyFont="1" applyFill="1"/>
    <xf numFmtId="8" fontId="8" fillId="2" borderId="12" xfId="0" applyNumberFormat="1" applyFont="1" applyFill="1" applyBorder="1"/>
    <xf numFmtId="0" fontId="5" fillId="3" borderId="12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169" fontId="5" fillId="4" borderId="25" xfId="0" applyNumberFormat="1" applyFont="1" applyFill="1" applyBorder="1" applyAlignment="1">
      <alignment horizontal="center"/>
    </xf>
    <xf numFmtId="169" fontId="5" fillId="4" borderId="26" xfId="0" applyNumberFormat="1" applyFont="1" applyFill="1" applyBorder="1" applyAlignment="1">
      <alignment horizontal="center"/>
    </xf>
    <xf numFmtId="169" fontId="5" fillId="4" borderId="27" xfId="0" applyNumberFormat="1" applyFont="1" applyFill="1" applyBorder="1" applyAlignment="1">
      <alignment horizontal="center"/>
    </xf>
    <xf numFmtId="169" fontId="1" fillId="2" borderId="0" xfId="0" applyNumberFormat="1" applyFont="1" applyFill="1" applyAlignment="1">
      <alignment horizontal="center"/>
    </xf>
    <xf numFmtId="166" fontId="9" fillId="2" borderId="27" xfId="0" applyNumberFormat="1" applyFont="1" applyFill="1" applyBorder="1" applyAlignment="1">
      <alignment horizontal="center"/>
    </xf>
    <xf numFmtId="0" fontId="5" fillId="4" borderId="5" xfId="0" applyFont="1" applyFill="1" applyBorder="1"/>
    <xf numFmtId="0" fontId="1" fillId="4" borderId="6" xfId="0" applyFont="1" applyFill="1" applyBorder="1"/>
    <xf numFmtId="168" fontId="9" fillId="4" borderId="12" xfId="0" applyNumberFormat="1" applyFont="1" applyFill="1" applyBorder="1" applyAlignment="1">
      <alignment horizontal="center"/>
    </xf>
    <xf numFmtId="0" fontId="1" fillId="4" borderId="9" xfId="0" applyFont="1" applyFill="1" applyBorder="1"/>
    <xf numFmtId="0" fontId="1" fillId="4" borderId="7" xfId="0" applyFont="1" applyFill="1" applyBorder="1"/>
    <xf numFmtId="0" fontId="5" fillId="2" borderId="7" xfId="0" applyFont="1" applyFill="1" applyBorder="1"/>
    <xf numFmtId="0" fontId="9" fillId="4" borderId="26" xfId="0" applyFont="1" applyFill="1" applyBorder="1" applyAlignment="1">
      <alignment horizontal="center"/>
    </xf>
    <xf numFmtId="0" fontId="9" fillId="4" borderId="27" xfId="0" applyFont="1" applyFill="1" applyBorder="1" applyAlignment="1">
      <alignment horizontal="center"/>
    </xf>
    <xf numFmtId="164" fontId="5" fillId="2" borderId="3" xfId="0" applyNumberFormat="1" applyFont="1" applyFill="1" applyBorder="1"/>
    <xf numFmtId="0" fontId="9" fillId="2" borderId="0" xfId="0" applyFont="1" applyFill="1"/>
    <xf numFmtId="0" fontId="1" fillId="2" borderId="0" xfId="0" applyFont="1" applyFill="1" applyAlignment="1">
      <alignment horizontal="left" indent="2"/>
    </xf>
    <xf numFmtId="164" fontId="5" fillId="2" borderId="0" xfId="0" applyNumberFormat="1" applyFont="1" applyFill="1"/>
    <xf numFmtId="0" fontId="1" fillId="5" borderId="5" xfId="0" applyFont="1" applyFill="1" applyBorder="1"/>
    <xf numFmtId="0" fontId="1" fillId="5" borderId="0" xfId="0" applyFont="1" applyFill="1" applyBorder="1"/>
    <xf numFmtId="0" fontId="1" fillId="5" borderId="6" xfId="0" applyFont="1" applyFill="1" applyBorder="1"/>
    <xf numFmtId="0" fontId="1" fillId="5" borderId="5" xfId="0" applyFont="1" applyFill="1" applyBorder="1" applyAlignment="1"/>
    <xf numFmtId="0" fontId="1" fillId="5" borderId="0" xfId="0" applyFont="1" applyFill="1" applyBorder="1" applyAlignment="1"/>
    <xf numFmtId="0" fontId="1" fillId="5" borderId="6" xfId="0" applyFont="1" applyFill="1" applyBorder="1" applyAlignment="1"/>
    <xf numFmtId="0" fontId="12" fillId="5" borderId="5" xfId="0" applyFont="1" applyFill="1" applyBorder="1" applyAlignment="1">
      <alignment horizontal="center"/>
    </xf>
    <xf numFmtId="0" fontId="12" fillId="5" borderId="0" xfId="0" applyFont="1" applyFill="1" applyBorder="1" applyAlignment="1">
      <alignment horizontal="center"/>
    </xf>
    <xf numFmtId="168" fontId="5" fillId="5" borderId="0" xfId="0" applyNumberFormat="1" applyFont="1" applyFill="1" applyBorder="1" applyAlignment="1">
      <alignment horizontal="center"/>
    </xf>
    <xf numFmtId="168" fontId="5" fillId="5" borderId="6" xfId="0" applyNumberFormat="1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169" fontId="5" fillId="4" borderId="6" xfId="0" applyNumberFormat="1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169" fontId="5" fillId="4" borderId="7" xfId="0" applyNumberFormat="1" applyFont="1" applyFill="1" applyBorder="1" applyAlignment="1">
      <alignment horizontal="center"/>
    </xf>
    <xf numFmtId="0" fontId="5" fillId="4" borderId="0" xfId="0" applyFont="1" applyFill="1"/>
    <xf numFmtId="0" fontId="1" fillId="4" borderId="0" xfId="0" applyFont="1" applyFill="1"/>
    <xf numFmtId="165" fontId="5" fillId="4" borderId="0" xfId="0" applyNumberFormat="1" applyFont="1" applyFill="1"/>
    <xf numFmtId="167" fontId="1" fillId="2" borderId="0" xfId="0" applyNumberFormat="1" applyFont="1" applyFill="1"/>
    <xf numFmtId="169" fontId="1" fillId="4" borderId="26" xfId="0" applyNumberFormat="1" applyFont="1" applyFill="1" applyBorder="1" applyAlignment="1">
      <alignment horizontal="center"/>
    </xf>
    <xf numFmtId="169" fontId="1" fillId="4" borderId="27" xfId="0" applyNumberFormat="1" applyFont="1" applyFill="1" applyBorder="1" applyAlignment="1">
      <alignment horizontal="center"/>
    </xf>
    <xf numFmtId="175" fontId="1" fillId="2" borderId="0" xfId="0" applyNumberFormat="1" applyFont="1" applyFill="1"/>
    <xf numFmtId="175" fontId="8" fillId="2" borderId="9" xfId="0" applyNumberFormat="1" applyFont="1" applyFill="1" applyBorder="1" applyAlignment="1">
      <alignment horizontal="right"/>
    </xf>
    <xf numFmtId="175" fontId="9" fillId="2" borderId="12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175" fontId="5" fillId="2" borderId="9" xfId="0" applyNumberFormat="1" applyFont="1" applyFill="1" applyBorder="1" applyAlignment="1">
      <alignment horizontal="center"/>
    </xf>
    <xf numFmtId="166" fontId="5" fillId="2" borderId="9" xfId="0" applyNumberFormat="1" applyFont="1" applyFill="1" applyBorder="1" applyAlignment="1">
      <alignment horizontal="center"/>
    </xf>
    <xf numFmtId="166" fontId="9" fillId="2" borderId="9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indent="2"/>
    </xf>
    <xf numFmtId="0" fontId="5" fillId="2" borderId="11" xfId="0" applyFont="1" applyFill="1" applyBorder="1" applyAlignment="1">
      <alignment horizontal="center"/>
    </xf>
    <xf numFmtId="175" fontId="5" fillId="2" borderId="8" xfId="0" applyNumberFormat="1" applyFont="1" applyFill="1" applyBorder="1" applyAlignment="1">
      <alignment horizontal="center"/>
    </xf>
    <xf numFmtId="175" fontId="5" fillId="2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166" fontId="5" fillId="2" borderId="7" xfId="0" applyNumberFormat="1" applyFont="1" applyFill="1" applyBorder="1" applyAlignment="1">
      <alignment horizontal="center"/>
    </xf>
    <xf numFmtId="8" fontId="1" fillId="2" borderId="5" xfId="0" applyNumberFormat="1" applyFont="1" applyFill="1" applyBorder="1"/>
    <xf numFmtId="8" fontId="1" fillId="2" borderId="0" xfId="0" applyNumberFormat="1" applyFont="1" applyFill="1" applyBorder="1"/>
    <xf numFmtId="8" fontId="1" fillId="2" borderId="6" xfId="0" applyNumberFormat="1" applyFont="1" applyFill="1" applyBorder="1"/>
    <xf numFmtId="164" fontId="1" fillId="2" borderId="5" xfId="0" applyNumberFormat="1" applyFont="1" applyFill="1" applyBorder="1"/>
    <xf numFmtId="164" fontId="1" fillId="2" borderId="8" xfId="0" applyNumberFormat="1" applyFont="1" applyFill="1" applyBorder="1"/>
    <xf numFmtId="167" fontId="1" fillId="2" borderId="0" xfId="0" applyNumberFormat="1" applyFont="1" applyFill="1" applyBorder="1"/>
    <xf numFmtId="8" fontId="1" fillId="2" borderId="8" xfId="0" applyNumberFormat="1" applyFont="1" applyFill="1" applyBorder="1"/>
    <xf numFmtId="8" fontId="1" fillId="2" borderId="9" xfId="0" applyNumberFormat="1" applyFont="1" applyFill="1" applyBorder="1"/>
    <xf numFmtId="8" fontId="1" fillId="2" borderId="7" xfId="0" applyNumberFormat="1" applyFont="1" applyFill="1" applyBorder="1"/>
    <xf numFmtId="167" fontId="1" fillId="2" borderId="8" xfId="0" applyNumberFormat="1" applyFont="1" applyFill="1" applyBorder="1"/>
    <xf numFmtId="167" fontId="1" fillId="2" borderId="9" xfId="0" applyNumberFormat="1" applyFont="1" applyFill="1" applyBorder="1"/>
    <xf numFmtId="167" fontId="1" fillId="2" borderId="7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1" fillId="2" borderId="0" xfId="0" applyFont="1" applyFill="1" applyAlignment="1">
      <alignment horizontal="left" indent="5"/>
    </xf>
    <xf numFmtId="175" fontId="1" fillId="2" borderId="9" xfId="0" applyNumberFormat="1" applyFont="1" applyFill="1" applyBorder="1" applyAlignment="1">
      <alignment horizontal="center"/>
    </xf>
    <xf numFmtId="166" fontId="8" fillId="2" borderId="9" xfId="0" applyNumberFormat="1" applyFont="1" applyFill="1" applyBorder="1" applyAlignment="1">
      <alignment horizontal="center"/>
    </xf>
    <xf numFmtId="166" fontId="1" fillId="2" borderId="9" xfId="0" applyNumberFormat="1" applyFont="1" applyFill="1" applyBorder="1" applyAlignment="1">
      <alignment horizontal="center"/>
    </xf>
    <xf numFmtId="175" fontId="1" fillId="2" borderId="5" xfId="0" applyNumberFormat="1" applyFont="1" applyFill="1" applyBorder="1"/>
    <xf numFmtId="175" fontId="13" fillId="2" borderId="0" xfId="0" applyNumberFormat="1" applyFont="1" applyFill="1" applyBorder="1" applyAlignment="1">
      <alignment horizontal="center"/>
    </xf>
    <xf numFmtId="175" fontId="13" fillId="2" borderId="6" xfId="0" applyNumberFormat="1" applyFont="1" applyFill="1" applyBorder="1" applyAlignment="1">
      <alignment horizontal="center"/>
    </xf>
    <xf numFmtId="166" fontId="13" fillId="2" borderId="0" xfId="0" applyNumberFormat="1" applyFont="1" applyFill="1" applyBorder="1" applyAlignment="1">
      <alignment horizontal="center"/>
    </xf>
    <xf numFmtId="166" fontId="13" fillId="2" borderId="15" xfId="0" applyNumberFormat="1" applyFont="1" applyFill="1" applyBorder="1" applyAlignment="1">
      <alignment horizontal="center"/>
    </xf>
    <xf numFmtId="166" fontId="13" fillId="2" borderId="6" xfId="0" applyNumberFormat="1" applyFont="1" applyFill="1" applyBorder="1" applyAlignment="1">
      <alignment horizontal="center"/>
    </xf>
    <xf numFmtId="10" fontId="1" fillId="2" borderId="5" xfId="0" applyNumberFormat="1" applyFont="1" applyFill="1" applyBorder="1"/>
    <xf numFmtId="167" fontId="5" fillId="2" borderId="12" xfId="0" applyNumberFormat="1" applyFont="1" applyFill="1" applyBorder="1" applyAlignment="1">
      <alignment horizontal="center"/>
    </xf>
    <xf numFmtId="0" fontId="15" fillId="2" borderId="0" xfId="0" applyFont="1" applyFill="1"/>
    <xf numFmtId="0" fontId="16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3" fillId="2" borderId="5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 indent="2"/>
    </xf>
    <xf numFmtId="0" fontId="13" fillId="2" borderId="5" xfId="0" applyFont="1" applyFill="1" applyBorder="1"/>
    <xf numFmtId="0" fontId="1" fillId="2" borderId="8" xfId="0" applyFont="1" applyFill="1" applyBorder="1" applyAlignment="1">
      <alignment horizontal="left" indent="2"/>
    </xf>
    <xf numFmtId="0" fontId="15" fillId="2" borderId="0" xfId="0" applyFont="1" applyFill="1" applyAlignment="1">
      <alignment horizontal="left"/>
    </xf>
    <xf numFmtId="0" fontId="5" fillId="2" borderId="16" xfId="0" applyFont="1" applyFill="1" applyBorder="1"/>
    <xf numFmtId="0" fontId="5" fillId="3" borderId="28" xfId="0" applyFont="1" applyFill="1" applyBorder="1" applyAlignment="1">
      <alignment horizontal="center"/>
    </xf>
    <xf numFmtId="0" fontId="5" fillId="3" borderId="29" xfId="0" applyFont="1" applyFill="1" applyBorder="1"/>
    <xf numFmtId="0" fontId="5" fillId="3" borderId="29" xfId="0" applyFont="1" applyFill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10" fontId="1" fillId="2" borderId="20" xfId="0" applyNumberFormat="1" applyFont="1" applyFill="1" applyBorder="1"/>
    <xf numFmtId="10" fontId="1" fillId="2" borderId="31" xfId="0" applyNumberFormat="1" applyFont="1" applyFill="1" applyBorder="1"/>
    <xf numFmtId="10" fontId="1" fillId="2" borderId="32" xfId="0" applyNumberFormat="1" applyFont="1" applyFill="1" applyBorder="1"/>
    <xf numFmtId="0" fontId="5" fillId="2" borderId="0" xfId="0" applyFont="1" applyFill="1" applyBorder="1" applyAlignment="1">
      <alignment horizontal="right"/>
    </xf>
    <xf numFmtId="0" fontId="5" fillId="2" borderId="19" xfId="0" applyFont="1" applyFill="1" applyBorder="1"/>
    <xf numFmtId="165" fontId="1" fillId="3" borderId="10" xfId="0" applyNumberFormat="1" applyFont="1" applyFill="1" applyBorder="1"/>
    <xf numFmtId="166" fontId="1" fillId="3" borderId="11" xfId="0" applyNumberFormat="1" applyFont="1" applyFill="1" applyBorder="1"/>
    <xf numFmtId="166" fontId="1" fillId="3" borderId="15" xfId="0" applyNumberFormat="1" applyFont="1" applyFill="1" applyBorder="1"/>
    <xf numFmtId="164" fontId="1" fillId="3" borderId="5" xfId="0" applyNumberFormat="1" applyFont="1" applyFill="1" applyBorder="1"/>
    <xf numFmtId="164" fontId="1" fillId="3" borderId="8" xfId="0" applyNumberFormat="1" applyFont="1" applyFill="1" applyBorder="1"/>
    <xf numFmtId="166" fontId="1" fillId="3" borderId="9" xfId="0" applyNumberFormat="1" applyFont="1" applyFill="1" applyBorder="1"/>
    <xf numFmtId="166" fontId="8" fillId="3" borderId="9" xfId="0" applyNumberFormat="1" applyFont="1" applyFill="1" applyBorder="1"/>
    <xf numFmtId="166" fontId="1" fillId="3" borderId="7" xfId="0" applyNumberFormat="1" applyFont="1" applyFill="1" applyBorder="1"/>
    <xf numFmtId="0" fontId="12" fillId="2" borderId="0" xfId="0" applyFont="1" applyFill="1"/>
    <xf numFmtId="176" fontId="1" fillId="2" borderId="0" xfId="0" applyNumberFormat="1" applyFont="1" applyFill="1"/>
    <xf numFmtId="171" fontId="18" fillId="2" borderId="0" xfId="0" applyNumberFormat="1" applyFont="1" applyFill="1"/>
    <xf numFmtId="166" fontId="5" fillId="2" borderId="12" xfId="0" applyNumberFormat="1" applyFont="1" applyFill="1" applyBorder="1" applyAlignment="1">
      <alignment horizontal="center"/>
    </xf>
    <xf numFmtId="0" fontId="18" fillId="2" borderId="0" xfId="0" applyFont="1" applyFill="1" applyAlignment="1">
      <alignment horizontal="left" indent="2"/>
    </xf>
    <xf numFmtId="165" fontId="5" fillId="2" borderId="12" xfId="0" applyNumberFormat="1" applyFont="1" applyFill="1" applyBorder="1" applyAlignment="1">
      <alignment horizontal="center"/>
    </xf>
    <xf numFmtId="165" fontId="21" fillId="2" borderId="12" xfId="0" applyNumberFormat="1" applyFont="1" applyFill="1" applyBorder="1"/>
    <xf numFmtId="0" fontId="12" fillId="2" borderId="0" xfId="0" applyFont="1" applyFill="1" applyAlignment="1" applyProtection="1">
      <alignment horizontal="left"/>
      <protection locked="0"/>
    </xf>
    <xf numFmtId="0" fontId="1" fillId="2" borderId="0" xfId="0" applyFont="1" applyFill="1" applyAlignment="1" applyProtection="1">
      <alignment horizontal="left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right"/>
      <protection locked="0"/>
    </xf>
    <xf numFmtId="0" fontId="1" fillId="2" borderId="0" xfId="0" applyFont="1" applyFill="1" applyProtection="1">
      <protection locked="0"/>
    </xf>
    <xf numFmtId="0" fontId="18" fillId="2" borderId="0" xfId="0" applyFont="1" applyFill="1" applyAlignment="1" applyProtection="1">
      <alignment horizontal="left"/>
      <protection locked="0"/>
    </xf>
    <xf numFmtId="0" fontId="15" fillId="2" borderId="0" xfId="0" applyFont="1" applyFill="1" applyProtection="1">
      <protection locked="0"/>
    </xf>
    <xf numFmtId="0" fontId="14" fillId="2" borderId="0" xfId="0" applyFont="1" applyFill="1" applyAlignment="1" applyProtection="1">
      <alignment horizontal="center"/>
      <protection locked="0"/>
    </xf>
    <xf numFmtId="0" fontId="16" fillId="2" borderId="0" xfId="0" applyFont="1" applyFill="1" applyAlignment="1" applyProtection="1">
      <alignment horizontal="center"/>
      <protection locked="0"/>
    </xf>
    <xf numFmtId="0" fontId="1" fillId="2" borderId="1" xfId="0" applyFont="1" applyFill="1" applyBorder="1" applyProtection="1">
      <protection locked="0"/>
    </xf>
    <xf numFmtId="0" fontId="1" fillId="2" borderId="0" xfId="0" applyFont="1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0" fillId="2" borderId="0" xfId="0" applyFont="1" applyFill="1" applyProtection="1">
      <protection locked="0"/>
    </xf>
    <xf numFmtId="0" fontId="9" fillId="2" borderId="0" xfId="0" applyFont="1" applyFill="1" applyBorder="1" applyProtection="1">
      <protection locked="0"/>
    </xf>
    <xf numFmtId="0" fontId="10" fillId="2" borderId="0" xfId="0" applyFont="1" applyFill="1" applyAlignment="1" applyProtection="1">
      <alignment horizontal="right"/>
      <protection locked="0"/>
    </xf>
    <xf numFmtId="0" fontId="8" fillId="2" borderId="0" xfId="0" applyFont="1" applyFill="1" applyBorder="1" applyProtection="1">
      <protection locked="0"/>
    </xf>
    <xf numFmtId="0" fontId="5" fillId="3" borderId="33" xfId="0" applyFont="1" applyFill="1" applyBorder="1" applyAlignment="1" applyProtection="1">
      <alignment horizontal="center"/>
      <protection locked="0"/>
    </xf>
    <xf numFmtId="0" fontId="5" fillId="3" borderId="34" xfId="0" applyFont="1" applyFill="1" applyBorder="1" applyAlignment="1" applyProtection="1">
      <alignment horizontal="center"/>
      <protection locked="0"/>
    </xf>
    <xf numFmtId="0" fontId="1" fillId="2" borderId="5" xfId="0" applyFont="1" applyFill="1" applyBorder="1" applyProtection="1">
      <protection locked="0"/>
    </xf>
    <xf numFmtId="0" fontId="1" fillId="2" borderId="6" xfId="0" applyFont="1" applyFill="1" applyBorder="1" applyProtection="1">
      <protection locked="0"/>
    </xf>
    <xf numFmtId="164" fontId="1" fillId="2" borderId="0" xfId="0" applyNumberFormat="1" applyFont="1" applyFill="1" applyBorder="1" applyProtection="1">
      <protection locked="0"/>
    </xf>
    <xf numFmtId="165" fontId="1" fillId="2" borderId="6" xfId="0" applyNumberFormat="1" applyFont="1" applyFill="1" applyBorder="1" applyProtection="1">
      <protection locked="0"/>
    </xf>
    <xf numFmtId="0" fontId="8" fillId="2" borderId="5" xfId="0" applyFont="1" applyFill="1" applyBorder="1" applyProtection="1">
      <protection locked="0"/>
    </xf>
    <xf numFmtId="165" fontId="8" fillId="2" borderId="0" xfId="0" applyNumberFormat="1" applyFont="1" applyFill="1" applyBorder="1" applyProtection="1">
      <protection locked="0"/>
    </xf>
    <xf numFmtId="166" fontId="1" fillId="2" borderId="6" xfId="0" applyNumberFormat="1" applyFont="1" applyFill="1" applyBorder="1" applyProtection="1">
      <protection locked="0"/>
    </xf>
    <xf numFmtId="164" fontId="8" fillId="2" borderId="6" xfId="0" applyNumberFormat="1" applyFont="1" applyFill="1" applyBorder="1" applyProtection="1">
      <protection locked="0"/>
    </xf>
    <xf numFmtId="164" fontId="8" fillId="2" borderId="0" xfId="0" applyNumberFormat="1" applyFont="1" applyFill="1" applyBorder="1" applyProtection="1">
      <protection locked="0"/>
    </xf>
    <xf numFmtId="173" fontId="1" fillId="2" borderId="0" xfId="0" applyNumberFormat="1" applyFont="1" applyFill="1" applyBorder="1" applyProtection="1">
      <protection locked="0"/>
    </xf>
    <xf numFmtId="173" fontId="1" fillId="2" borderId="6" xfId="0" applyNumberFormat="1" applyFont="1" applyFill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0" fontId="1" fillId="2" borderId="9" xfId="0" applyFont="1" applyFill="1" applyBorder="1" applyProtection="1">
      <protection locked="0"/>
    </xf>
    <xf numFmtId="165" fontId="5" fillId="2" borderId="35" xfId="0" applyNumberFormat="1" applyFont="1" applyFill="1" applyBorder="1" applyProtection="1">
      <protection locked="0"/>
    </xf>
    <xf numFmtId="0" fontId="1" fillId="2" borderId="10" xfId="0" applyFont="1" applyFill="1" applyBorder="1" applyProtection="1">
      <protection locked="0"/>
    </xf>
    <xf numFmtId="0" fontId="1" fillId="2" borderId="11" xfId="0" applyFont="1" applyFill="1" applyBorder="1" applyProtection="1">
      <protection locked="0"/>
    </xf>
    <xf numFmtId="8" fontId="8" fillId="2" borderId="15" xfId="0" applyNumberFormat="1" applyFont="1" applyFill="1" applyBorder="1" applyProtection="1">
      <protection locked="0"/>
    </xf>
    <xf numFmtId="166" fontId="8" fillId="2" borderId="6" xfId="0" applyNumberFormat="1" applyFont="1" applyFill="1" applyBorder="1" applyProtection="1">
      <protection locked="0"/>
    </xf>
    <xf numFmtId="8" fontId="1" fillId="2" borderId="35" xfId="0" applyNumberFormat="1" applyFont="1" applyFill="1" applyBorder="1" applyProtection="1">
      <protection locked="0"/>
    </xf>
    <xf numFmtId="0" fontId="8" fillId="2" borderId="5" xfId="0" applyFont="1" applyFill="1" applyBorder="1" applyAlignment="1" applyProtection="1">
      <alignment horizontal="left" indent="1"/>
      <protection locked="0"/>
    </xf>
    <xf numFmtId="167" fontId="8" fillId="2" borderId="6" xfId="0" applyNumberFormat="1" applyFont="1" applyFill="1" applyBorder="1" applyProtection="1">
      <protection locked="0"/>
    </xf>
    <xf numFmtId="164" fontId="1" fillId="2" borderId="9" xfId="0" applyNumberFormat="1" applyFont="1" applyFill="1" applyBorder="1" applyProtection="1">
      <protection locked="0"/>
    </xf>
    <xf numFmtId="166" fontId="1" fillId="2" borderId="7" xfId="0" applyNumberFormat="1" applyFont="1" applyFill="1" applyBorder="1" applyProtection="1">
      <protection locked="0"/>
    </xf>
    <xf numFmtId="165" fontId="5" fillId="2" borderId="14" xfId="0" applyNumberFormat="1" applyFont="1" applyFill="1" applyBorder="1" applyProtection="1">
      <protection locked="0"/>
    </xf>
    <xf numFmtId="166" fontId="5" fillId="2" borderId="35" xfId="0" applyNumberFormat="1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1" fillId="2" borderId="7" xfId="0" applyFont="1" applyFill="1" applyBorder="1" applyProtection="1">
      <protection locked="0"/>
    </xf>
    <xf numFmtId="175" fontId="1" fillId="2" borderId="6" xfId="0" applyNumberFormat="1" applyFont="1" applyFill="1" applyBorder="1" applyProtection="1">
      <protection locked="0"/>
    </xf>
    <xf numFmtId="0" fontId="1" fillId="3" borderId="33" xfId="0" applyFont="1" applyFill="1" applyBorder="1" applyProtection="1">
      <protection locked="0"/>
    </xf>
    <xf numFmtId="166" fontId="8" fillId="2" borderId="0" xfId="0" applyNumberFormat="1" applyFont="1" applyFill="1" applyBorder="1" applyProtection="1">
      <protection locked="0"/>
    </xf>
    <xf numFmtId="175" fontId="1" fillId="2" borderId="7" xfId="0" applyNumberFormat="1" applyFont="1" applyFill="1" applyBorder="1" applyProtection="1">
      <protection locked="0"/>
    </xf>
    <xf numFmtId="0" fontId="1" fillId="2" borderId="5" xfId="0" applyFont="1" applyFill="1" applyBorder="1" applyAlignment="1" applyProtection="1">
      <alignment horizontal="left" indent="1"/>
      <protection locked="0"/>
    </xf>
    <xf numFmtId="164" fontId="1" fillId="2" borderId="6" xfId="0" applyNumberFormat="1" applyFont="1" applyFill="1" applyBorder="1" applyProtection="1">
      <protection locked="0"/>
    </xf>
    <xf numFmtId="166" fontId="1" fillId="2" borderId="0" xfId="0" applyNumberFormat="1" applyFont="1" applyFill="1" applyBorder="1" applyProtection="1">
      <protection locked="0"/>
    </xf>
    <xf numFmtId="0" fontId="9" fillId="2" borderId="12" xfId="0" applyFont="1" applyFill="1" applyBorder="1" applyProtection="1">
      <protection locked="0"/>
    </xf>
    <xf numFmtId="166" fontId="1" fillId="2" borderId="9" xfId="0" applyNumberFormat="1" applyFont="1" applyFill="1" applyBorder="1" applyProtection="1">
      <protection locked="0"/>
    </xf>
    <xf numFmtId="166" fontId="5" fillId="2" borderId="14" xfId="0" applyNumberFormat="1" applyFont="1" applyFill="1" applyBorder="1" applyProtection="1">
      <protection locked="0"/>
    </xf>
    <xf numFmtId="0" fontId="5" fillId="3" borderId="36" xfId="0" applyFont="1" applyFill="1" applyBorder="1" applyProtection="1">
      <protection locked="0"/>
    </xf>
    <xf numFmtId="0" fontId="1" fillId="3" borderId="34" xfId="0" applyFont="1" applyFill="1" applyBorder="1" applyProtection="1">
      <protection locked="0"/>
    </xf>
    <xf numFmtId="175" fontId="1" fillId="2" borderId="0" xfId="0" applyNumberFormat="1" applyFont="1" applyFill="1" applyBorder="1" applyProtection="1">
      <protection locked="0"/>
    </xf>
    <xf numFmtId="0" fontId="9" fillId="2" borderId="12" xfId="0" applyFont="1" applyFill="1" applyBorder="1" applyAlignment="1" applyProtection="1">
      <alignment horizontal="center"/>
      <protection locked="0"/>
    </xf>
    <xf numFmtId="175" fontId="1" fillId="2" borderId="9" xfId="0" applyNumberFormat="1" applyFont="1" applyFill="1" applyBorder="1" applyProtection="1">
      <protection locked="0"/>
    </xf>
    <xf numFmtId="165" fontId="9" fillId="2" borderId="12" xfId="0" applyNumberFormat="1" applyFont="1" applyFill="1" applyBorder="1" applyAlignment="1" applyProtection="1">
      <alignment horizontal="center"/>
      <protection locked="0"/>
    </xf>
    <xf numFmtId="166" fontId="9" fillId="2" borderId="12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center"/>
    </xf>
    <xf numFmtId="0" fontId="5" fillId="2" borderId="0" xfId="0" applyFont="1" applyFill="1" applyAlignment="1" applyProtection="1">
      <alignment horizontal="right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3" borderId="36" xfId="0" applyFont="1" applyFill="1" applyBorder="1" applyAlignment="1" applyProtection="1">
      <alignment horizontal="center"/>
      <protection locked="0"/>
    </xf>
    <xf numFmtId="0" fontId="5" fillId="3" borderId="33" xfId="0" applyFont="1" applyFill="1" applyBorder="1" applyAlignment="1" applyProtection="1">
      <alignment horizontal="center"/>
      <protection locked="0"/>
    </xf>
    <xf numFmtId="0" fontId="5" fillId="3" borderId="34" xfId="0" applyFont="1" applyFill="1" applyBorder="1" applyAlignment="1" applyProtection="1">
      <alignment horizontal="center"/>
      <protection locked="0"/>
    </xf>
    <xf numFmtId="166" fontId="1" fillId="2" borderId="5" xfId="0" applyNumberFormat="1" applyFont="1" applyFill="1" applyBorder="1" applyAlignment="1" applyProtection="1">
      <alignment horizontal="center"/>
      <protection locked="0"/>
    </xf>
    <xf numFmtId="166" fontId="1" fillId="2" borderId="0" xfId="0" applyNumberFormat="1" applyFont="1" applyFill="1" applyBorder="1" applyAlignment="1" applyProtection="1">
      <alignment horizontal="center"/>
      <protection locked="0"/>
    </xf>
    <xf numFmtId="173" fontId="1" fillId="2" borderId="0" xfId="0" applyNumberFormat="1" applyFont="1" applyFill="1" applyBorder="1" applyAlignment="1" applyProtection="1">
      <alignment horizontal="center"/>
      <protection locked="0"/>
    </xf>
    <xf numFmtId="173" fontId="1" fillId="2" borderId="6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 applyProtection="1">
      <alignment horizontal="center"/>
      <protection locked="0"/>
    </xf>
    <xf numFmtId="0" fontId="16" fillId="2" borderId="0" xfId="0" applyFont="1" applyFill="1" applyAlignment="1" applyProtection="1">
      <alignment horizontal="center"/>
      <protection locked="0"/>
    </xf>
    <xf numFmtId="22" fontId="5" fillId="2" borderId="17" xfId="0" applyNumberFormat="1" applyFont="1" applyFill="1" applyBorder="1" applyAlignment="1" applyProtection="1">
      <alignment horizontal="right"/>
      <protection locked="0"/>
    </xf>
    <xf numFmtId="0" fontId="17" fillId="2" borderId="0" xfId="0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8" fontId="5" fillId="4" borderId="9" xfId="0" applyNumberFormat="1" applyFont="1" applyFill="1" applyBorder="1" applyAlignment="1">
      <alignment horizontal="center"/>
    </xf>
    <xf numFmtId="168" fontId="5" fillId="4" borderId="7" xfId="0" applyNumberFormat="1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168" fontId="5" fillId="4" borderId="0" xfId="0" applyNumberFormat="1" applyFont="1" applyFill="1" applyBorder="1" applyAlignment="1">
      <alignment horizontal="center"/>
    </xf>
    <xf numFmtId="168" fontId="5" fillId="4" borderId="6" xfId="0" applyNumberFormat="1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  <xf numFmtId="170" fontId="5" fillId="4" borderId="0" xfId="0" applyNumberFormat="1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166" fontId="9" fillId="2" borderId="2" xfId="0" applyNumberFormat="1" applyFont="1" applyFill="1" applyBorder="1" applyAlignment="1">
      <alignment horizontal="center"/>
    </xf>
    <xf numFmtId="166" fontId="9" fillId="2" borderId="4" xfId="0" applyNumberFormat="1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174" fontId="5" fillId="2" borderId="2" xfId="0" applyNumberFormat="1" applyFont="1" applyFill="1" applyBorder="1" applyAlignment="1">
      <alignment horizontal="center"/>
    </xf>
    <xf numFmtId="174" fontId="5" fillId="2" borderId="3" xfId="0" applyNumberFormat="1" applyFont="1" applyFill="1" applyBorder="1" applyAlignment="1">
      <alignment horizontal="center"/>
    </xf>
    <xf numFmtId="174" fontId="5" fillId="2" borderId="4" xfId="0" applyNumberFormat="1" applyFont="1" applyFill="1" applyBorder="1" applyAlignment="1">
      <alignment horizontal="center"/>
    </xf>
    <xf numFmtId="10" fontId="9" fillId="2" borderId="2" xfId="0" applyNumberFormat="1" applyFont="1" applyFill="1" applyBorder="1" applyAlignment="1">
      <alignment horizontal="center"/>
    </xf>
    <xf numFmtId="10" fontId="9" fillId="2" borderId="4" xfId="0" applyNumberFormat="1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177" fontId="9" fillId="2" borderId="2" xfId="0" applyNumberFormat="1" applyFont="1" applyFill="1" applyBorder="1" applyAlignment="1">
      <alignment horizontal="center"/>
    </xf>
    <xf numFmtId="177" fontId="9" fillId="2" borderId="4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6"/>
  <sheetViews>
    <sheetView tabSelected="1" zoomScale="75" zoomScaleNormal="75" workbookViewId="0">
      <selection activeCell="B4" sqref="B4:Q4"/>
    </sheetView>
  </sheetViews>
  <sheetFormatPr defaultRowHeight="15" x14ac:dyDescent="0.2"/>
  <cols>
    <col min="1" max="1" width="4.28515625" style="268" customWidth="1"/>
    <col min="2" max="3" width="9.140625" style="268"/>
    <col min="4" max="4" width="16" style="268" customWidth="1"/>
    <col min="5" max="5" width="14" style="268" customWidth="1"/>
    <col min="6" max="6" width="9.85546875" style="268" customWidth="1"/>
    <col min="7" max="7" width="10.42578125" style="268" customWidth="1"/>
    <col min="8" max="9" width="9.140625" style="268"/>
    <col min="10" max="10" width="13" style="268" customWidth="1"/>
    <col min="11" max="11" width="12.140625" style="268" customWidth="1"/>
    <col min="12" max="12" width="15.28515625" style="268" customWidth="1"/>
    <col min="13" max="13" width="5.85546875" style="268" customWidth="1"/>
    <col min="14" max="15" width="9.140625" style="268"/>
    <col min="16" max="16" width="12.42578125" style="268" customWidth="1"/>
    <col min="17" max="17" width="13.28515625" style="268" bestFit="1" customWidth="1"/>
    <col min="18" max="16384" width="9.140625" style="268"/>
  </cols>
  <sheetData>
    <row r="1" spans="1:18" ht="20.25" customHeight="1" x14ac:dyDescent="0.25">
      <c r="A1" s="264" t="str">
        <f ca="1">Balance_Sheet!A83&amp;IF(L45=0," --- Circ Breaker Is On"," --- Circ Breaker Is Off")&amp;IF(L47=0," --- Cash Min Switch Is Off"," --- Cash Min Switch Is On")</f>
        <v>Model Is Balanced --- Circ Breaker Is On --- Cash Min Switch Is Off</v>
      </c>
      <c r="B1" s="265"/>
      <c r="C1" s="265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327"/>
      <c r="P1" s="327"/>
      <c r="Q1" s="328"/>
      <c r="R1" s="266"/>
    </row>
    <row r="2" spans="1:18" ht="20.25" customHeight="1" x14ac:dyDescent="0.25">
      <c r="A2" s="269" t="str">
        <f>IF(L45=0,"NOTE - Remember To Switch Off Circ Breaker Once Data Has Been Entered and Select Iteration","")</f>
        <v>NOTE - Remember To Switch Off Circ Breaker Once Data Has Been Entered and Select Iteration</v>
      </c>
      <c r="B2" s="265"/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327"/>
      <c r="P2" s="327"/>
      <c r="Q2" s="328"/>
      <c r="R2" s="266"/>
    </row>
    <row r="3" spans="1:18" s="270" customFormat="1" ht="18" customHeight="1" x14ac:dyDescent="0.3">
      <c r="B3" s="338" t="s">
        <v>417</v>
      </c>
      <c r="C3" s="338"/>
      <c r="D3" s="338"/>
      <c r="E3" s="338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271"/>
    </row>
    <row r="4" spans="1:18" s="270" customFormat="1" ht="20.25" x14ac:dyDescent="0.3">
      <c r="B4" s="339" t="s">
        <v>0</v>
      </c>
      <c r="C4" s="339"/>
      <c r="D4" s="339"/>
      <c r="E4" s="339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39"/>
      <c r="R4" s="272"/>
    </row>
    <row r="5" spans="1:18" ht="5.25" customHeight="1" thickBot="1" x14ac:dyDescent="0.25">
      <c r="B5" s="273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4"/>
    </row>
    <row r="6" spans="1:18" ht="14.25" customHeight="1" x14ac:dyDescent="0.25">
      <c r="B6" s="275" t="str">
        <f ca="1">Inc_Stmt_Assumptions!A5</f>
        <v>Performance Case: Base</v>
      </c>
      <c r="P6" s="340">
        <f ca="1">NOW()</f>
        <v>43313.921109722221</v>
      </c>
      <c r="Q6" s="340"/>
    </row>
    <row r="7" spans="1:18" s="276" customFormat="1" ht="14.25" customHeight="1" x14ac:dyDescent="0.25">
      <c r="B7" s="277" t="s">
        <v>166</v>
      </c>
      <c r="O7" s="278"/>
      <c r="P7" s="278"/>
      <c r="Q7" s="267" t="str">
        <f ca="1">CELL("filename")</f>
        <v>C:\Users\admin\Desktop\[Leverage Buyout Model Template.xlsm]Sources_Uses</v>
      </c>
    </row>
    <row r="8" spans="1:18" s="276" customFormat="1" ht="14.25" customHeight="1" thickBot="1" x14ac:dyDescent="0.25">
      <c r="B8" s="279"/>
    </row>
    <row r="9" spans="1:18" ht="16.5" thickBot="1" x14ac:dyDescent="0.3">
      <c r="B9" s="331" t="s">
        <v>1</v>
      </c>
      <c r="C9" s="332"/>
      <c r="D9" s="332"/>
      <c r="E9" s="333"/>
      <c r="G9" s="331" t="s">
        <v>12</v>
      </c>
      <c r="H9" s="332"/>
      <c r="I9" s="332"/>
      <c r="J9" s="332"/>
      <c r="K9" s="332"/>
      <c r="L9" s="281" t="s">
        <v>28</v>
      </c>
      <c r="N9" s="331" t="s">
        <v>29</v>
      </c>
      <c r="O9" s="332"/>
      <c r="P9" s="332" t="s">
        <v>319</v>
      </c>
      <c r="Q9" s="333"/>
    </row>
    <row r="10" spans="1:18" x14ac:dyDescent="0.2">
      <c r="B10" s="282"/>
      <c r="C10" s="274"/>
      <c r="D10" s="274"/>
      <c r="E10" s="283"/>
      <c r="G10" s="282"/>
      <c r="H10" s="274"/>
      <c r="I10" s="274"/>
      <c r="J10" s="274"/>
      <c r="K10" s="284"/>
      <c r="L10" s="283"/>
      <c r="N10" s="282"/>
      <c r="O10" s="274"/>
      <c r="P10" s="274"/>
      <c r="Q10" s="283"/>
    </row>
    <row r="11" spans="1:18" x14ac:dyDescent="0.2">
      <c r="B11" s="282" t="s">
        <v>2</v>
      </c>
      <c r="C11" s="274"/>
      <c r="D11" s="274"/>
      <c r="E11" s="285">
        <f>E24</f>
        <v>0</v>
      </c>
      <c r="G11" s="286" t="s">
        <v>13</v>
      </c>
      <c r="H11" s="274"/>
      <c r="I11" s="274"/>
      <c r="J11" s="274"/>
      <c r="K11" s="287">
        <v>0</v>
      </c>
      <c r="L11" s="288">
        <f t="shared" ref="L11:L19" si="0">IF(K11&gt;0,K11/$K$26,0)</f>
        <v>0</v>
      </c>
      <c r="N11" s="334" t="str">
        <f>IF(K11&gt;0,Inc_Stmt_Assumptions!J29,"")</f>
        <v/>
      </c>
      <c r="O11" s="335"/>
      <c r="P11" s="274"/>
      <c r="Q11" s="283"/>
    </row>
    <row r="12" spans="1:18" x14ac:dyDescent="0.2">
      <c r="B12" s="282" t="s">
        <v>3</v>
      </c>
      <c r="C12" s="274"/>
      <c r="D12" s="274"/>
      <c r="E12" s="289">
        <f>Balance_Sheet!H59</f>
        <v>0</v>
      </c>
      <c r="G12" s="286" t="s">
        <v>14</v>
      </c>
      <c r="H12" s="274"/>
      <c r="I12" s="274"/>
      <c r="J12" s="274"/>
      <c r="K12" s="290">
        <v>0</v>
      </c>
      <c r="L12" s="288">
        <f t="shared" si="0"/>
        <v>0</v>
      </c>
      <c r="N12" s="334" t="str">
        <f>IF(AND(K12&gt;0,Inc_Stmt_Assumptions!J30&gt;0),Inc_Stmt_Assumptions!J30,"")</f>
        <v/>
      </c>
      <c r="O12" s="335"/>
      <c r="P12" s="291"/>
      <c r="Q12" s="292"/>
    </row>
    <row r="13" spans="1:18" x14ac:dyDescent="0.2">
      <c r="B13" s="282" t="s">
        <v>4</v>
      </c>
      <c r="C13" s="274"/>
      <c r="D13" s="274"/>
      <c r="E13" s="289">
        <v>0</v>
      </c>
      <c r="G13" s="286" t="s">
        <v>15</v>
      </c>
      <c r="H13" s="274"/>
      <c r="I13" s="274"/>
      <c r="J13" s="274"/>
      <c r="K13" s="290">
        <v>0</v>
      </c>
      <c r="L13" s="288">
        <f t="shared" si="0"/>
        <v>0</v>
      </c>
      <c r="N13" s="334" t="str">
        <f>IF(AND(K13&gt;0,Inc_Stmt_Assumptions!J31&gt;0),Inc_Stmt_Assumptions!J31,"")</f>
        <v/>
      </c>
      <c r="O13" s="335"/>
      <c r="P13" s="336" t="str">
        <f>IF(AND(K13&gt;0,Inc_Stmt_Assumptions!J31&gt;0),(SUM(Income_Statement!J45:S45))/(K13*Inc_Stmt_Assumptions!J31),"")</f>
        <v/>
      </c>
      <c r="Q13" s="337"/>
    </row>
    <row r="14" spans="1:18" x14ac:dyDescent="0.2">
      <c r="B14" s="282" t="s">
        <v>5</v>
      </c>
      <c r="C14" s="274"/>
      <c r="D14" s="274"/>
      <c r="E14" s="289">
        <v>0</v>
      </c>
      <c r="G14" s="286" t="s">
        <v>16</v>
      </c>
      <c r="H14" s="274"/>
      <c r="I14" s="274"/>
      <c r="J14" s="274"/>
      <c r="K14" s="290">
        <v>0</v>
      </c>
      <c r="L14" s="288">
        <f t="shared" si="0"/>
        <v>0</v>
      </c>
      <c r="N14" s="334" t="str">
        <f>IF(AND(K14&gt;0,Inc_Stmt_Assumptions!J32&gt;0),Inc_Stmt_Assumptions!J32,"")</f>
        <v/>
      </c>
      <c r="O14" s="335"/>
      <c r="P14" s="336" t="str">
        <f>IF(AND(K14&gt;0,Inc_Stmt_Assumptions!J32&gt;0),(SUM(Income_Statement!J46:S46))/(K14*Inc_Stmt_Assumptions!J32),"")</f>
        <v/>
      </c>
      <c r="Q14" s="337"/>
    </row>
    <row r="15" spans="1:18" x14ac:dyDescent="0.2">
      <c r="B15" s="282" t="s">
        <v>6</v>
      </c>
      <c r="C15" s="274"/>
      <c r="D15" s="274"/>
      <c r="E15" s="293">
        <f>(E11*L51)+SUM(K11:K19)*L52</f>
        <v>0</v>
      </c>
      <c r="G15" s="286" t="s">
        <v>17</v>
      </c>
      <c r="H15" s="274"/>
      <c r="I15" s="274"/>
      <c r="J15" s="274"/>
      <c r="K15" s="290">
        <v>0</v>
      </c>
      <c r="L15" s="288">
        <f t="shared" si="0"/>
        <v>0</v>
      </c>
      <c r="N15" s="334" t="str">
        <f>IF(AND(K15&gt;0,Inc_Stmt_Assumptions!J33&gt;0),Inc_Stmt_Assumptions!J33,"")</f>
        <v/>
      </c>
      <c r="O15" s="335"/>
      <c r="P15" s="336" t="str">
        <f>IF(AND(K15&gt;0,Inc_Stmt_Assumptions!J33&gt;0),(SUM(Income_Statement!J47:S47))/(K15*Inc_Stmt_Assumptions!J33),"")</f>
        <v/>
      </c>
      <c r="Q15" s="337"/>
    </row>
    <row r="16" spans="1:18" x14ac:dyDescent="0.2">
      <c r="B16" s="282"/>
      <c r="C16" s="274"/>
      <c r="D16" s="274"/>
      <c r="E16" s="283"/>
      <c r="G16" s="286" t="s">
        <v>18</v>
      </c>
      <c r="H16" s="274"/>
      <c r="I16" s="274"/>
      <c r="J16" s="274"/>
      <c r="K16" s="290">
        <v>0</v>
      </c>
      <c r="L16" s="288">
        <f t="shared" si="0"/>
        <v>0</v>
      </c>
      <c r="N16" s="334" t="str">
        <f>IF(AND(K16&gt;0,Returns_Calculation!I14&gt;0),Returns_Calculation!I14,"")</f>
        <v/>
      </c>
      <c r="O16" s="335"/>
      <c r="P16" s="336" t="str">
        <f>IF(AND(K16&gt;0,Inc_Stmt_Assumptions!J34&gt;0),(SUM(Income_Statement!J48:S48))/(K16*Inc_Stmt_Assumptions!J34),"")</f>
        <v/>
      </c>
      <c r="Q16" s="337"/>
    </row>
    <row r="17" spans="2:17" ht="15.75" customHeight="1" thickBot="1" x14ac:dyDescent="0.3">
      <c r="B17" s="294" t="s">
        <v>7</v>
      </c>
      <c r="C17" s="295"/>
      <c r="D17" s="295"/>
      <c r="E17" s="296">
        <f>SUM(E11:E15)</f>
        <v>0</v>
      </c>
      <c r="G17" s="286" t="s">
        <v>19</v>
      </c>
      <c r="H17" s="274"/>
      <c r="I17" s="274"/>
      <c r="J17" s="274"/>
      <c r="K17" s="290">
        <v>0</v>
      </c>
      <c r="L17" s="288">
        <f t="shared" si="0"/>
        <v>0</v>
      </c>
      <c r="N17" s="334" t="str">
        <f>IF(AND(K17&gt;0,Returns_Calculation!I20&gt;0),Returns_Calculation!I20,"")</f>
        <v/>
      </c>
      <c r="O17" s="335"/>
      <c r="P17" s="336" t="str">
        <f>IF(AND(K17&gt;0,Inc_Stmt_Assumptions!J35&gt;0),(SUM(Income_Statement!J49:S49))/(K17*Inc_Stmt_Assumptions!J35),"")</f>
        <v/>
      </c>
      <c r="Q17" s="337"/>
    </row>
    <row r="18" spans="2:17" ht="15.75" customHeight="1" thickTop="1" x14ac:dyDescent="0.2">
      <c r="B18" s="274"/>
      <c r="C18" s="274"/>
      <c r="D18" s="274"/>
      <c r="E18" s="274"/>
      <c r="G18" s="286" t="s">
        <v>20</v>
      </c>
      <c r="H18" s="274"/>
      <c r="I18" s="274"/>
      <c r="J18" s="274"/>
      <c r="K18" s="290">
        <v>0</v>
      </c>
      <c r="L18" s="288">
        <f t="shared" si="0"/>
        <v>0</v>
      </c>
      <c r="N18" s="334" t="str">
        <f>IF(AND(K18&gt;0,Inc_Stmt_Assumptions!J36&gt;0),Inc_Stmt_Assumptions!J36,"")</f>
        <v/>
      </c>
      <c r="O18" s="335"/>
      <c r="P18" s="336" t="str">
        <f>IF(AND(K18&gt;0,Inc_Stmt_Assumptions!J36&gt;0),(SUM(Income_Statement!J50:S50))/(K18*Inc_Stmt_Assumptions!J36),"")</f>
        <v/>
      </c>
      <c r="Q18" s="337"/>
    </row>
    <row r="19" spans="2:17" ht="15.75" customHeight="1" x14ac:dyDescent="0.2">
      <c r="B19" s="297" t="s">
        <v>8</v>
      </c>
      <c r="C19" s="298"/>
      <c r="D19" s="298"/>
      <c r="E19" s="299">
        <v>0</v>
      </c>
      <c r="G19" s="286" t="s">
        <v>21</v>
      </c>
      <c r="H19" s="274"/>
      <c r="I19" s="274"/>
      <c r="J19" s="274"/>
      <c r="K19" s="290">
        <v>0</v>
      </c>
      <c r="L19" s="288">
        <f t="shared" si="0"/>
        <v>0</v>
      </c>
      <c r="N19" s="334" t="str">
        <f>IF(AND(K19&gt;0,Returns_Calculation!I26&gt;0),Returns_Calculation!I26,"")</f>
        <v/>
      </c>
      <c r="O19" s="335"/>
      <c r="P19" s="291"/>
      <c r="Q19" s="292"/>
    </row>
    <row r="20" spans="2:17" ht="15.75" customHeight="1" x14ac:dyDescent="0.2">
      <c r="B20" s="282" t="s">
        <v>9</v>
      </c>
      <c r="C20" s="274"/>
      <c r="D20" s="274"/>
      <c r="E20" s="300">
        <v>0.25</v>
      </c>
      <c r="G20" s="286" t="s">
        <v>22</v>
      </c>
      <c r="H20" s="274"/>
      <c r="I20" s="274"/>
      <c r="J20" s="274"/>
      <c r="K20" s="284"/>
      <c r="L20" s="288"/>
      <c r="N20" s="282"/>
      <c r="O20" s="274"/>
      <c r="P20" s="291"/>
      <c r="Q20" s="292"/>
    </row>
    <row r="21" spans="2:17" ht="15.75" customHeight="1" thickBot="1" x14ac:dyDescent="0.25">
      <c r="B21" s="282" t="s">
        <v>10</v>
      </c>
      <c r="C21" s="274"/>
      <c r="D21" s="274"/>
      <c r="E21" s="301">
        <f>E19*(1+E20)</f>
        <v>0</v>
      </c>
      <c r="G21" s="302" t="s">
        <v>23</v>
      </c>
      <c r="H21" s="274"/>
      <c r="I21" s="274"/>
      <c r="J21" s="274"/>
      <c r="K21" s="284">
        <f>E17-SUM(K11:K19)-K22-K23-K24</f>
        <v>0</v>
      </c>
      <c r="L21" s="288">
        <f>IF(K21&gt;0,K21/$K$26,0)</f>
        <v>0</v>
      </c>
      <c r="N21" s="334" t="str">
        <f>IF(AND(K21&gt;0,Returns_Calculation!I43&gt;0),Returns_Calculation!I43,"")</f>
        <v/>
      </c>
      <c r="O21" s="335"/>
      <c r="P21" s="291"/>
      <c r="Q21" s="292"/>
    </row>
    <row r="22" spans="2:17" ht="15.75" customHeight="1" thickTop="1" x14ac:dyDescent="0.2">
      <c r="B22" s="282"/>
      <c r="C22" s="274"/>
      <c r="D22" s="274"/>
      <c r="E22" s="283"/>
      <c r="G22" s="302" t="s">
        <v>24</v>
      </c>
      <c r="H22" s="274"/>
      <c r="I22" s="274"/>
      <c r="J22" s="274"/>
      <c r="K22" s="290">
        <v>0</v>
      </c>
      <c r="L22" s="288">
        <f>IF(K22&gt;0,K22/$K$26,0)</f>
        <v>0</v>
      </c>
      <c r="N22" s="334" t="str">
        <f>IF(AND(K22&gt;0,Returns_Calculation!I49&gt;0),Returns_Calculation!I49,"")</f>
        <v/>
      </c>
      <c r="O22" s="335"/>
      <c r="P22" s="291"/>
      <c r="Q22" s="292"/>
    </row>
    <row r="23" spans="2:17" ht="15.75" customHeight="1" x14ac:dyDescent="0.2">
      <c r="B23" s="282" t="s">
        <v>11</v>
      </c>
      <c r="C23" s="274"/>
      <c r="D23" s="274"/>
      <c r="E23" s="303">
        <v>0</v>
      </c>
      <c r="G23" s="302" t="s">
        <v>25</v>
      </c>
      <c r="H23" s="274"/>
      <c r="I23" s="274"/>
      <c r="J23" s="274"/>
      <c r="K23" s="290">
        <v>0</v>
      </c>
      <c r="L23" s="288">
        <f>IF(K23&gt;0,K23/$K$26,0)</f>
        <v>0</v>
      </c>
      <c r="N23" s="334" t="str">
        <f>IF(AND(K23&gt;0,Returns_Calculation!I54&gt;0),Returns_Calculation!I54,"")</f>
        <v/>
      </c>
      <c r="O23" s="335"/>
      <c r="P23" s="291"/>
      <c r="Q23" s="292"/>
    </row>
    <row r="24" spans="2:17" ht="15.75" customHeight="1" thickBot="1" x14ac:dyDescent="0.3">
      <c r="B24" s="294" t="s">
        <v>2</v>
      </c>
      <c r="C24" s="295"/>
      <c r="D24" s="295"/>
      <c r="E24" s="296">
        <f>E23*E21</f>
        <v>0</v>
      </c>
      <c r="G24" s="286" t="s">
        <v>26</v>
      </c>
      <c r="H24" s="274"/>
      <c r="I24" s="274"/>
      <c r="J24" s="274"/>
      <c r="K24" s="304">
        <f>IF(L53=0,0,Balance_Sheet!H12)</f>
        <v>0</v>
      </c>
      <c r="L24" s="305">
        <f>IF(K24&gt;0,K24/$K$26,0)</f>
        <v>0</v>
      </c>
      <c r="N24" s="282"/>
      <c r="O24" s="274"/>
      <c r="P24" s="274"/>
      <c r="Q24" s="283"/>
    </row>
    <row r="25" spans="2:17" ht="15.75" customHeight="1" thickTop="1" thickBot="1" x14ac:dyDescent="0.25">
      <c r="B25" s="274"/>
      <c r="C25" s="274"/>
      <c r="D25" s="274"/>
      <c r="E25" s="274"/>
      <c r="G25" s="286"/>
      <c r="H25" s="274"/>
      <c r="I25" s="274"/>
      <c r="J25" s="274"/>
      <c r="K25" s="274"/>
      <c r="L25" s="288"/>
      <c r="N25" s="282"/>
      <c r="O25" s="274"/>
      <c r="P25" s="274"/>
      <c r="Q25" s="283"/>
    </row>
    <row r="26" spans="2:17" ht="15.75" customHeight="1" thickBot="1" x14ac:dyDescent="0.3">
      <c r="B26" s="331" t="s">
        <v>30</v>
      </c>
      <c r="C26" s="332"/>
      <c r="D26" s="332"/>
      <c r="E26" s="333"/>
      <c r="G26" s="294" t="s">
        <v>27</v>
      </c>
      <c r="H26" s="295"/>
      <c r="I26" s="295"/>
      <c r="J26" s="295"/>
      <c r="K26" s="306">
        <f>SUM(K11:K24)</f>
        <v>0</v>
      </c>
      <c r="L26" s="307">
        <f>IF(K26&gt;0,K26/$K$26,0)</f>
        <v>0</v>
      </c>
      <c r="N26" s="308"/>
      <c r="O26" s="295"/>
      <c r="P26" s="295"/>
      <c r="Q26" s="309"/>
    </row>
    <row r="27" spans="2:17" ht="15.75" customHeight="1" x14ac:dyDescent="0.2">
      <c r="B27" s="282"/>
      <c r="C27" s="274"/>
      <c r="D27" s="274"/>
      <c r="E27" s="283"/>
    </row>
    <row r="28" spans="2:17" ht="15.75" customHeight="1" thickBot="1" x14ac:dyDescent="0.25">
      <c r="B28" s="282" t="str">
        <f>Income_Statement!H8&amp;" EBITDA"</f>
        <v>1999 EBITDA</v>
      </c>
      <c r="C28" s="274"/>
      <c r="D28" s="274"/>
      <c r="E28" s="310">
        <f>IF(Income_Statement!H27&gt;0,(($E$17-$K$24)/Income_Statement!H27),0)</f>
        <v>0</v>
      </c>
    </row>
    <row r="29" spans="2:17" ht="15.75" customHeight="1" thickBot="1" x14ac:dyDescent="0.3">
      <c r="B29" s="282" t="str">
        <f>"EST. "&amp;Balance_Sheet!L8&amp;" EBITDA"</f>
        <v>EST. 2000 EBITDA</v>
      </c>
      <c r="C29" s="274"/>
      <c r="D29" s="274"/>
      <c r="E29" s="310">
        <f ca="1">IF(Income_Statement!J27&gt;0,(($E$17-$K$24)/Income_Statement!J27),0)</f>
        <v>0</v>
      </c>
      <c r="G29" s="331" t="s">
        <v>36</v>
      </c>
      <c r="H29" s="332"/>
      <c r="I29" s="332"/>
      <c r="J29" s="311"/>
      <c r="K29" s="280" t="s">
        <v>37</v>
      </c>
      <c r="L29" s="281" t="s">
        <v>38</v>
      </c>
      <c r="N29" s="331" t="s">
        <v>50</v>
      </c>
      <c r="O29" s="332"/>
      <c r="P29" s="332"/>
      <c r="Q29" s="333"/>
    </row>
    <row r="30" spans="2:17" ht="15.75" customHeight="1" x14ac:dyDescent="0.2">
      <c r="B30" s="282" t="str">
        <f>Income_Statement!H8&amp;" P/E"</f>
        <v>1999 P/E</v>
      </c>
      <c r="C30" s="274"/>
      <c r="D30" s="274"/>
      <c r="E30" s="310">
        <f>IF(Income_Statement!H64&gt;0,(($E$11)/Income_Statement!H64),0)</f>
        <v>0</v>
      </c>
      <c r="G30" s="282"/>
      <c r="H30" s="274"/>
      <c r="I30" s="274"/>
      <c r="J30" s="274"/>
      <c r="K30" s="274"/>
      <c r="L30" s="283"/>
      <c r="N30" s="282"/>
      <c r="O30" s="274"/>
      <c r="P30" s="274"/>
      <c r="Q30" s="283"/>
    </row>
    <row r="31" spans="2:17" ht="15.75" customHeight="1" x14ac:dyDescent="0.2">
      <c r="B31" s="282" t="str">
        <f>"EST. "&amp;Balance_Sheet!L8&amp;" P/E"</f>
        <v>EST. 2000 P/E</v>
      </c>
      <c r="C31" s="274"/>
      <c r="D31" s="274"/>
      <c r="E31" s="310">
        <f ca="1">IF(Income_Statement!J64&gt;0,(($E$11)/Income_Statement!J64),0)</f>
        <v>0</v>
      </c>
      <c r="G31" s="282" t="str">
        <f>G16</f>
        <v>Senior Subordinated Debt</v>
      </c>
      <c r="H31" s="274"/>
      <c r="I31" s="274"/>
      <c r="J31" s="274"/>
      <c r="K31" s="312">
        <v>0</v>
      </c>
      <c r="L31" s="288">
        <f>Returns_Calculation!F16</f>
        <v>0</v>
      </c>
      <c r="N31" s="282" t="s">
        <v>51</v>
      </c>
      <c r="O31" s="274"/>
      <c r="P31" s="274"/>
      <c r="Q31" s="285">
        <f>E24</f>
        <v>0</v>
      </c>
    </row>
    <row r="32" spans="2:17" ht="15.75" customHeight="1" x14ac:dyDescent="0.2">
      <c r="B32" s="282" t="str">
        <f>"To "&amp;Balance_Sheet!H8&amp;" Book"</f>
        <v>To 1999 Book</v>
      </c>
      <c r="C32" s="274"/>
      <c r="D32" s="274"/>
      <c r="E32" s="310">
        <f>IF(Balance_Sheet!H77&gt;0,(E11-K24)/Balance_Sheet!H77,0)</f>
        <v>0</v>
      </c>
      <c r="G32" s="282" t="str">
        <f>G17</f>
        <v>Junior Subordinated Debt</v>
      </c>
      <c r="H32" s="274"/>
      <c r="I32" s="274"/>
      <c r="J32" s="274"/>
      <c r="K32" s="312">
        <v>0</v>
      </c>
      <c r="L32" s="288">
        <f>Returns_Calculation!F17</f>
        <v>0</v>
      </c>
      <c r="N32" s="282" t="s">
        <v>52</v>
      </c>
      <c r="O32" s="274"/>
      <c r="P32" s="274"/>
      <c r="Q32" s="283"/>
    </row>
    <row r="33" spans="2:17" ht="15.75" customHeight="1" x14ac:dyDescent="0.2">
      <c r="B33" s="308" t="str">
        <f>"To EST. "&amp;Balance_Sheet!L8&amp;" Book"</f>
        <v>To EST. 2000 Book</v>
      </c>
      <c r="C33" s="295"/>
      <c r="D33" s="295"/>
      <c r="E33" s="313">
        <f ca="1">IF(Balance_Sheet!L77&gt;0,(E11-K24)/Balance_Sheet!L77,0)</f>
        <v>0</v>
      </c>
      <c r="G33" s="282" t="str">
        <f>G18</f>
        <v>Seller Note</v>
      </c>
      <c r="H33" s="274"/>
      <c r="I33" s="274"/>
      <c r="J33" s="274"/>
      <c r="K33" s="312">
        <v>0</v>
      </c>
      <c r="L33" s="288">
        <f>Returns_Calculation!F19</f>
        <v>0</v>
      </c>
      <c r="N33" s="314" t="s">
        <v>53</v>
      </c>
      <c r="O33" s="274"/>
      <c r="P33" s="274"/>
      <c r="Q33" s="315">
        <f>Balance_Sheet!H27</f>
        <v>0</v>
      </c>
    </row>
    <row r="34" spans="2:17" ht="15.75" customHeight="1" thickBot="1" x14ac:dyDescent="0.25">
      <c r="G34" s="282" t="str">
        <f>G19</f>
        <v>Preferred Stock</v>
      </c>
      <c r="H34" s="274"/>
      <c r="I34" s="274"/>
      <c r="J34" s="274"/>
      <c r="K34" s="312">
        <v>0</v>
      </c>
      <c r="L34" s="288">
        <f>Returns_Calculation!F18</f>
        <v>0</v>
      </c>
      <c r="N34" s="282" t="s">
        <v>54</v>
      </c>
      <c r="O34" s="274"/>
      <c r="P34" s="274"/>
      <c r="Q34" s="283"/>
    </row>
    <row r="35" spans="2:17" ht="15.75" customHeight="1" thickBot="1" x14ac:dyDescent="0.3">
      <c r="B35" s="331" t="s">
        <v>31</v>
      </c>
      <c r="C35" s="332"/>
      <c r="D35" s="332"/>
      <c r="E35" s="333"/>
      <c r="G35" s="282" t="str">
        <f>G21</f>
        <v>Sponsor Equity</v>
      </c>
      <c r="H35" s="274"/>
      <c r="I35" s="274"/>
      <c r="J35" s="274"/>
      <c r="K35" s="316">
        <f>Returns_Calculation!D12</f>
        <v>0</v>
      </c>
      <c r="L35" s="288">
        <f>Returns_Calculation!F12</f>
        <v>0</v>
      </c>
      <c r="N35" s="314" t="s">
        <v>55</v>
      </c>
      <c r="O35" s="274"/>
      <c r="P35" s="274"/>
      <c r="Q35" s="315">
        <f>Balance_Sheet!H77</f>
        <v>0</v>
      </c>
    </row>
    <row r="36" spans="2:17" ht="15.75" customHeight="1" x14ac:dyDescent="0.2">
      <c r="B36" s="282"/>
      <c r="C36" s="274"/>
      <c r="D36" s="274"/>
      <c r="E36" s="283"/>
      <c r="G36" s="282" t="str">
        <f>G22</f>
        <v>Management Equity</v>
      </c>
      <c r="H36" s="274"/>
      <c r="I36" s="274"/>
      <c r="J36" s="274"/>
      <c r="K36" s="316">
        <f>Returns_Calculation!D13</f>
        <v>0</v>
      </c>
      <c r="L36" s="288">
        <f>Returns_Calculation!F13</f>
        <v>0</v>
      </c>
      <c r="N36" s="314" t="s">
        <v>56</v>
      </c>
      <c r="O36" s="274"/>
      <c r="P36" s="274"/>
      <c r="Q36" s="289">
        <v>0</v>
      </c>
    </row>
    <row r="37" spans="2:17" ht="15.75" customHeight="1" x14ac:dyDescent="0.25">
      <c r="B37" s="282" t="s">
        <v>32</v>
      </c>
      <c r="C37" s="274"/>
      <c r="D37" s="274"/>
      <c r="E37" s="317">
        <v>2002</v>
      </c>
      <c r="G37" s="282" t="str">
        <f>G23</f>
        <v>New Equity</v>
      </c>
      <c r="H37" s="274"/>
      <c r="I37" s="274"/>
      <c r="J37" s="274"/>
      <c r="K37" s="318">
        <f>Returns_Calculation!D14</f>
        <v>0</v>
      </c>
      <c r="L37" s="305">
        <f>Returns_Calculation!F14</f>
        <v>0</v>
      </c>
      <c r="N37" s="314" t="s">
        <v>57</v>
      </c>
      <c r="O37" s="274"/>
      <c r="P37" s="274"/>
      <c r="Q37" s="293">
        <f>Balance_Sheet!H53</f>
        <v>0</v>
      </c>
    </row>
    <row r="38" spans="2:17" ht="15.75" customHeight="1" x14ac:dyDescent="0.2">
      <c r="B38" s="282" t="s">
        <v>33</v>
      </c>
      <c r="C38" s="274"/>
      <c r="D38" s="274"/>
      <c r="E38" s="310">
        <f>Returns_Calculation!C28</f>
        <v>6</v>
      </c>
      <c r="G38" s="282"/>
      <c r="H38" s="274"/>
      <c r="I38" s="274"/>
      <c r="J38" s="274"/>
      <c r="K38" s="274"/>
      <c r="L38" s="283"/>
      <c r="N38" s="282"/>
      <c r="O38" s="274"/>
      <c r="P38" s="274"/>
      <c r="Q38" s="283"/>
    </row>
    <row r="39" spans="2:17" ht="15.75" customHeight="1" thickBot="1" x14ac:dyDescent="0.3">
      <c r="B39" s="282" t="s">
        <v>34</v>
      </c>
      <c r="C39" s="274"/>
      <c r="D39" s="274"/>
      <c r="E39" s="310">
        <f ca="1">IF(AND(E36&gt;0,OFFSET(Income_Statement!H64,0,EXIT_YEAR-Income_Statement!J8,1,1)&lt;&gt;0),Returns_Calculation!B38/OFFSET(Income_Statement!H64,0,EXIT_YEAR-Income_Statement!J8,1,1),0)</f>
        <v>0</v>
      </c>
      <c r="G39" s="294" t="s">
        <v>318</v>
      </c>
      <c r="H39" s="295"/>
      <c r="I39" s="295"/>
      <c r="J39" s="295"/>
      <c r="K39" s="319">
        <f>SUM(K31:K37)</f>
        <v>0</v>
      </c>
      <c r="L39" s="307">
        <f>SUM(L31:L37)</f>
        <v>0</v>
      </c>
      <c r="N39" s="294" t="s">
        <v>58</v>
      </c>
      <c r="O39" s="295"/>
      <c r="P39" s="295"/>
      <c r="Q39" s="296">
        <f>Q31+Q33-SUM(Q35:Q37)</f>
        <v>0</v>
      </c>
    </row>
    <row r="40" spans="2:17" ht="15.75" customHeight="1" thickTop="1" x14ac:dyDescent="0.2">
      <c r="B40" s="308" t="s">
        <v>35</v>
      </c>
      <c r="C40" s="295"/>
      <c r="D40" s="295"/>
      <c r="E40" s="313">
        <f ca="1">IF(AND(E36&gt;0,OFFSET(Balance_Sheet!K77,0,EXIT_YEAR-Balance_Sheet!L40,1,1)&lt;&gt;0),Returns_Calculation!B38/OFFSET(Balance_Sheet!K77,0,EXIT_YEAR-Balance_Sheet!L40,1,1),0)</f>
        <v>0</v>
      </c>
    </row>
    <row r="41" spans="2:17" ht="15.75" customHeight="1" thickBot="1" x14ac:dyDescent="0.25"/>
    <row r="42" spans="2:17" ht="15.75" customHeight="1" thickBot="1" x14ac:dyDescent="0.3">
      <c r="B42" s="320" t="s">
        <v>39</v>
      </c>
      <c r="C42" s="311"/>
      <c r="D42" s="311"/>
      <c r="E42" s="280">
        <f>Ratio_Analysis!H8</f>
        <v>1999</v>
      </c>
      <c r="F42" s="280">
        <f>Ratio_Analysis!K8</f>
        <v>2000</v>
      </c>
      <c r="G42" s="280">
        <f>Ratio_Analysis!L8</f>
        <v>2001</v>
      </c>
      <c r="H42" s="281">
        <f>Ratio_Analysis!M8</f>
        <v>2002</v>
      </c>
      <c r="J42" s="320" t="s">
        <v>155</v>
      </c>
      <c r="K42" s="311"/>
      <c r="L42" s="311"/>
      <c r="M42" s="311"/>
      <c r="N42" s="311"/>
      <c r="O42" s="311"/>
      <c r="P42" s="311"/>
      <c r="Q42" s="321"/>
    </row>
    <row r="43" spans="2:17" ht="15.75" customHeight="1" x14ac:dyDescent="0.2">
      <c r="B43" s="282"/>
      <c r="C43" s="274"/>
      <c r="D43" s="274"/>
      <c r="E43" s="274"/>
      <c r="F43" s="274"/>
      <c r="G43" s="274"/>
      <c r="H43" s="283"/>
      <c r="J43" s="282"/>
      <c r="L43" s="274"/>
      <c r="M43" s="274"/>
      <c r="N43" s="274"/>
      <c r="O43" s="274"/>
      <c r="P43" s="274"/>
      <c r="Q43" s="283"/>
    </row>
    <row r="44" spans="2:17" ht="15.75" customHeight="1" x14ac:dyDescent="0.25">
      <c r="B44" s="282" t="s">
        <v>40</v>
      </c>
      <c r="C44" s="274"/>
      <c r="D44" s="274"/>
      <c r="E44" s="322">
        <f>Ratio_Analysis!H16</f>
        <v>0</v>
      </c>
      <c r="F44" s="322">
        <f ca="1">Ratio_Analysis!K16</f>
        <v>0</v>
      </c>
      <c r="G44" s="322">
        <f ca="1">Ratio_Analysis!L16</f>
        <v>0</v>
      </c>
      <c r="H44" s="310">
        <f ca="1">Ratio_Analysis!M16</f>
        <v>0</v>
      </c>
      <c r="J44" s="282" t="s">
        <v>60</v>
      </c>
      <c r="L44" s="323">
        <v>1</v>
      </c>
      <c r="M44" s="329" t="str">
        <f ca="1">OFFSET(Performance_Assumptions!B12,Case,0,1,1)</f>
        <v>Base</v>
      </c>
      <c r="N44" s="330"/>
      <c r="O44" s="274"/>
      <c r="P44" s="274"/>
      <c r="Q44" s="283"/>
    </row>
    <row r="45" spans="2:17" ht="15.75" customHeight="1" x14ac:dyDescent="0.25">
      <c r="B45" s="282" t="s">
        <v>41</v>
      </c>
      <c r="C45" s="274"/>
      <c r="D45" s="274"/>
      <c r="E45" s="322">
        <f>Ratio_Analysis!H17</f>
        <v>0</v>
      </c>
      <c r="F45" s="322">
        <f ca="1">Ratio_Analysis!K17</f>
        <v>0</v>
      </c>
      <c r="G45" s="322">
        <f ca="1">Ratio_Analysis!L17</f>
        <v>0</v>
      </c>
      <c r="H45" s="310">
        <f ca="1">Ratio_Analysis!M17</f>
        <v>0</v>
      </c>
      <c r="J45" s="282" t="s">
        <v>156</v>
      </c>
      <c r="L45" s="323">
        <v>0</v>
      </c>
      <c r="M45" s="329" t="str">
        <f>IF(L45=1,"Off","On")</f>
        <v>On</v>
      </c>
      <c r="N45" s="330"/>
      <c r="O45" s="274"/>
      <c r="P45" s="274"/>
      <c r="Q45" s="283"/>
    </row>
    <row r="46" spans="2:17" ht="15.75" customHeight="1" x14ac:dyDescent="0.25">
      <c r="B46" s="282" t="s">
        <v>43</v>
      </c>
      <c r="C46" s="274"/>
      <c r="D46" s="274"/>
      <c r="E46" s="322">
        <f>Ratio_Analysis!H19</f>
        <v>0</v>
      </c>
      <c r="F46" s="322">
        <f ca="1">Ratio_Analysis!K19</f>
        <v>0</v>
      </c>
      <c r="G46" s="322">
        <f ca="1">Ratio_Analysis!L19</f>
        <v>0</v>
      </c>
      <c r="H46" s="310">
        <f ca="1">Ratio_Analysis!M19</f>
        <v>0</v>
      </c>
      <c r="J46" s="282" t="s">
        <v>159</v>
      </c>
      <c r="L46" s="323">
        <v>0</v>
      </c>
      <c r="M46" s="329" t="str">
        <f>IF(L46=0,"% of Par","$ Amount")</f>
        <v>% of Par</v>
      </c>
      <c r="N46" s="330"/>
      <c r="O46" s="274"/>
      <c r="P46" s="274"/>
      <c r="Q46" s="283"/>
    </row>
    <row r="47" spans="2:17" ht="15.75" customHeight="1" x14ac:dyDescent="0.25">
      <c r="B47" s="308" t="s">
        <v>44</v>
      </c>
      <c r="C47" s="295"/>
      <c r="D47" s="295"/>
      <c r="E47" s="324">
        <f>Ratio_Analysis!H20</f>
        <v>0</v>
      </c>
      <c r="F47" s="324">
        <f ca="1">Ratio_Analysis!K20</f>
        <v>0</v>
      </c>
      <c r="G47" s="324">
        <f ca="1">Ratio_Analysis!L20</f>
        <v>0</v>
      </c>
      <c r="H47" s="313">
        <f ca="1">Ratio_Analysis!M20</f>
        <v>0</v>
      </c>
      <c r="J47" s="282" t="s">
        <v>167</v>
      </c>
      <c r="L47" s="323">
        <v>0</v>
      </c>
      <c r="M47" s="329" t="str">
        <f>IF(L47=1,"On","Off")</f>
        <v>Off</v>
      </c>
      <c r="N47" s="330"/>
      <c r="O47" s="274"/>
      <c r="P47" s="274"/>
      <c r="Q47" s="283"/>
    </row>
    <row r="48" spans="2:17" ht="15.75" customHeight="1" thickBot="1" x14ac:dyDescent="0.3">
      <c r="J48" s="282" t="s">
        <v>168</v>
      </c>
      <c r="L48" s="325">
        <v>10</v>
      </c>
      <c r="M48" s="274"/>
      <c r="O48" s="274"/>
      <c r="P48" s="274"/>
      <c r="Q48" s="283"/>
    </row>
    <row r="49" spans="2:17" ht="15.75" customHeight="1" thickBot="1" x14ac:dyDescent="0.3">
      <c r="B49" s="320" t="s">
        <v>45</v>
      </c>
      <c r="C49" s="311"/>
      <c r="D49" s="311"/>
      <c r="E49" s="280">
        <f>E42</f>
        <v>1999</v>
      </c>
      <c r="F49" s="280">
        <f>F42</f>
        <v>2000</v>
      </c>
      <c r="G49" s="280">
        <f>G42</f>
        <v>2001</v>
      </c>
      <c r="H49" s="281">
        <f>H42</f>
        <v>2002</v>
      </c>
      <c r="J49" s="282"/>
      <c r="L49" s="274"/>
      <c r="M49" s="274"/>
      <c r="O49" s="274"/>
      <c r="P49" s="274"/>
      <c r="Q49" s="283"/>
    </row>
    <row r="50" spans="2:17" ht="15.75" customHeight="1" x14ac:dyDescent="0.2">
      <c r="B50" s="282"/>
      <c r="C50" s="274"/>
      <c r="D50" s="274"/>
      <c r="E50" s="274"/>
      <c r="F50" s="274"/>
      <c r="G50" s="274"/>
      <c r="H50" s="283"/>
      <c r="J50" s="282" t="s">
        <v>315</v>
      </c>
      <c r="L50" s="274"/>
      <c r="M50" s="274"/>
      <c r="O50" s="274"/>
      <c r="P50" s="274"/>
      <c r="Q50" s="283"/>
    </row>
    <row r="51" spans="2:17" ht="15.75" customHeight="1" x14ac:dyDescent="0.25">
      <c r="B51" s="282" t="s">
        <v>46</v>
      </c>
      <c r="C51" s="274"/>
      <c r="D51" s="274"/>
      <c r="E51" s="322">
        <f>Ratio_Analysis!H23</f>
        <v>0</v>
      </c>
      <c r="F51" s="322">
        <f>Ratio_Analysis!K23</f>
        <v>0</v>
      </c>
      <c r="G51" s="322">
        <f ca="1">Ratio_Analysis!L23</f>
        <v>0</v>
      </c>
      <c r="H51" s="310">
        <f ca="1">Ratio_Analysis!M23</f>
        <v>0</v>
      </c>
      <c r="J51" s="314" t="s">
        <v>316</v>
      </c>
      <c r="L51" s="326">
        <v>0.01</v>
      </c>
      <c r="M51" s="274"/>
      <c r="O51" s="274"/>
      <c r="P51" s="274"/>
      <c r="Q51" s="283"/>
    </row>
    <row r="52" spans="2:17" ht="15.75" customHeight="1" x14ac:dyDescent="0.25">
      <c r="B52" s="282" t="s">
        <v>47</v>
      </c>
      <c r="C52" s="274"/>
      <c r="D52" s="274"/>
      <c r="E52" s="322">
        <f>Ratio_Analysis!H26</f>
        <v>0</v>
      </c>
      <c r="F52" s="322">
        <f>Ratio_Analysis!K26</f>
        <v>0</v>
      </c>
      <c r="G52" s="322">
        <f ca="1">Ratio_Analysis!L26</f>
        <v>0</v>
      </c>
      <c r="H52" s="310">
        <f ca="1">Ratio_Analysis!M26</f>
        <v>0</v>
      </c>
      <c r="J52" s="314" t="s">
        <v>317</v>
      </c>
      <c r="L52" s="326">
        <v>0.03</v>
      </c>
      <c r="M52" s="274"/>
      <c r="O52" s="274"/>
      <c r="P52" s="274"/>
      <c r="Q52" s="283"/>
    </row>
    <row r="53" spans="2:17" ht="15.75" customHeight="1" x14ac:dyDescent="0.25">
      <c r="B53" s="282" t="s">
        <v>48</v>
      </c>
      <c r="C53" s="274"/>
      <c r="D53" s="274"/>
      <c r="E53" s="322">
        <f>Ratio_Analysis!H24</f>
        <v>0</v>
      </c>
      <c r="F53" s="322">
        <f>Ratio_Analysis!K24</f>
        <v>0</v>
      </c>
      <c r="G53" s="322">
        <f ca="1">Ratio_Analysis!L24</f>
        <v>0</v>
      </c>
      <c r="H53" s="310">
        <f ca="1">Ratio_Analysis!M24</f>
        <v>0</v>
      </c>
      <c r="J53" s="282" t="s">
        <v>403</v>
      </c>
      <c r="L53" s="323">
        <v>0</v>
      </c>
      <c r="M53" s="329" t="str">
        <f>IF(L53=1,"Yes","No")</f>
        <v>No</v>
      </c>
      <c r="N53" s="330"/>
      <c r="O53" s="274"/>
      <c r="P53" s="274"/>
      <c r="Q53" s="283"/>
    </row>
    <row r="54" spans="2:17" ht="15.75" customHeight="1" x14ac:dyDescent="0.2">
      <c r="B54" s="308" t="s">
        <v>49</v>
      </c>
      <c r="C54" s="295"/>
      <c r="D54" s="295"/>
      <c r="E54" s="324">
        <f>Ratio_Analysis!H27</f>
        <v>0</v>
      </c>
      <c r="F54" s="324">
        <f>Ratio_Analysis!K27</f>
        <v>0</v>
      </c>
      <c r="G54" s="324">
        <f ca="1">Ratio_Analysis!L27</f>
        <v>0</v>
      </c>
      <c r="H54" s="313">
        <f ca="1">Ratio_Analysis!M27</f>
        <v>0</v>
      </c>
      <c r="J54" s="308"/>
      <c r="K54" s="295"/>
      <c r="L54" s="295"/>
      <c r="M54" s="295"/>
      <c r="N54" s="295"/>
      <c r="O54" s="295"/>
      <c r="P54" s="295"/>
      <c r="Q54" s="309"/>
    </row>
    <row r="55" spans="2:17" ht="15.75" customHeight="1" x14ac:dyDescent="0.2"/>
    <row r="56" spans="2:17" ht="15.75" customHeight="1" x14ac:dyDescent="0.2"/>
  </sheetData>
  <mergeCells count="34">
    <mergeCell ref="N21:O21"/>
    <mergeCell ref="N18:O18"/>
    <mergeCell ref="N19:O19"/>
    <mergeCell ref="N12:O12"/>
    <mergeCell ref="N13:O13"/>
    <mergeCell ref="N15:O15"/>
    <mergeCell ref="P18:Q18"/>
    <mergeCell ref="N16:O16"/>
    <mergeCell ref="N17:O17"/>
    <mergeCell ref="N14:O14"/>
    <mergeCell ref="B3:Q3"/>
    <mergeCell ref="B4:Q4"/>
    <mergeCell ref="P6:Q6"/>
    <mergeCell ref="B35:E35"/>
    <mergeCell ref="N9:O9"/>
    <mergeCell ref="B9:E9"/>
    <mergeCell ref="G9:K9"/>
    <mergeCell ref="B26:E26"/>
    <mergeCell ref="N29:Q29"/>
    <mergeCell ref="P9:Q9"/>
    <mergeCell ref="N11:O11"/>
    <mergeCell ref="G29:I29"/>
    <mergeCell ref="N22:O22"/>
    <mergeCell ref="N23:O23"/>
    <mergeCell ref="P13:Q13"/>
    <mergeCell ref="P14:Q14"/>
    <mergeCell ref="P15:Q15"/>
    <mergeCell ref="P16:Q16"/>
    <mergeCell ref="P17:Q17"/>
    <mergeCell ref="M53:N53"/>
    <mergeCell ref="M44:N44"/>
    <mergeCell ref="M45:N45"/>
    <mergeCell ref="M46:N46"/>
    <mergeCell ref="M47:N47"/>
  </mergeCells>
  <phoneticPr fontId="0" type="noConversion"/>
  <printOptions horizontalCentered="1" verticalCentered="1"/>
  <pageMargins left="0.75" right="0.75" top="1" bottom="1" header="0.5" footer="0.5"/>
  <pageSetup scale="69" orientation="landscape" horizontalDpi="300" verticalDpi="300" r:id="rId1"/>
  <headerFooter alignWithMargins="0">
    <oddHeader>&amp;L&amp;D&amp;T&amp;C&amp;P&amp;N&amp;R&amp;F&amp;A</oddHead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88"/>
  <sheetViews>
    <sheetView zoomScale="75" zoomScaleNormal="75" workbookViewId="0">
      <pane xSplit="3" ySplit="8" topLeftCell="D9" activePane="bottomRight" state="frozen"/>
      <selection activeCell="D6" sqref="D6"/>
      <selection pane="topRight" activeCell="D6" sqref="D6"/>
      <selection pane="bottomLeft" activeCell="D6" sqref="D6"/>
      <selection pane="bottomRight" activeCell="D9" sqref="D9"/>
    </sheetView>
  </sheetViews>
  <sheetFormatPr defaultRowHeight="15" x14ac:dyDescent="0.2"/>
  <cols>
    <col min="1" max="1" width="13" style="1" customWidth="1"/>
    <col min="2" max="2" width="17.7109375" style="1" customWidth="1"/>
    <col min="3" max="21" width="13" style="1" customWidth="1"/>
    <col min="22" max="22" width="4.140625" style="1" customWidth="1"/>
    <col min="23" max="23" width="17.7109375" style="1" customWidth="1"/>
    <col min="24" max="16384" width="9.140625" style="1"/>
  </cols>
  <sheetData>
    <row r="1" spans="1:21" ht="20.25" customHeight="1" x14ac:dyDescent="0.25">
      <c r="A1" s="257" t="str">
        <f ca="1">Sources_Uses!A1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1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21" s="231" customFormat="1" ht="20.25" x14ac:dyDescent="0.3">
      <c r="A3" s="342" t="s">
        <v>84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</row>
    <row r="4" spans="1:21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21" ht="15.75" x14ac:dyDescent="0.25">
      <c r="A5" s="4" t="str">
        <f ca="1">"Performance Case: "&amp;Sources_Uses!M44</f>
        <v>Performance Case: Base</v>
      </c>
    </row>
    <row r="6" spans="1:21" x14ac:dyDescent="0.2">
      <c r="A6" s="1" t="str">
        <f>Sources_Uses!B7</f>
        <v>(FYE January; $ in millions)</v>
      </c>
    </row>
    <row r="7" spans="1:21" x14ac:dyDescent="0.2">
      <c r="D7" s="343" t="s">
        <v>62</v>
      </c>
      <c r="E7" s="343"/>
      <c r="F7" s="343"/>
      <c r="G7" s="343"/>
      <c r="H7" s="343"/>
      <c r="I7" s="46"/>
      <c r="J7" s="46"/>
      <c r="K7" s="46"/>
      <c r="L7" s="343" t="s">
        <v>68</v>
      </c>
      <c r="M7" s="343"/>
      <c r="N7" s="343"/>
      <c r="O7" s="343"/>
      <c r="P7" s="343"/>
      <c r="Q7" s="343"/>
      <c r="R7" s="343"/>
      <c r="S7" s="343"/>
      <c r="T7" s="343"/>
      <c r="U7" s="343"/>
    </row>
    <row r="8" spans="1:21" ht="15.75" x14ac:dyDescent="0.25">
      <c r="D8" s="47">
        <v>1995</v>
      </c>
      <c r="E8" s="6">
        <f>D8+1</f>
        <v>1996</v>
      </c>
      <c r="F8" s="6">
        <f>E8+1</f>
        <v>1997</v>
      </c>
      <c r="G8" s="6">
        <f>F8+1</f>
        <v>1998</v>
      </c>
      <c r="H8" s="7">
        <f>G8+1</f>
        <v>1999</v>
      </c>
      <c r="I8" s="48" t="s">
        <v>95</v>
      </c>
      <c r="J8" s="49" t="s">
        <v>96</v>
      </c>
      <c r="K8" s="50" t="s">
        <v>42</v>
      </c>
      <c r="L8" s="5">
        <f>H8+1</f>
        <v>2000</v>
      </c>
      <c r="M8" s="6">
        <f>L8+1</f>
        <v>2001</v>
      </c>
      <c r="N8" s="6">
        <f t="shared" ref="N8:U8" si="0">M8+1</f>
        <v>2002</v>
      </c>
      <c r="O8" s="6">
        <f t="shared" si="0"/>
        <v>2003</v>
      </c>
      <c r="P8" s="6">
        <f t="shared" si="0"/>
        <v>2004</v>
      </c>
      <c r="Q8" s="6">
        <f t="shared" si="0"/>
        <v>2005</v>
      </c>
      <c r="R8" s="6">
        <f t="shared" si="0"/>
        <v>2006</v>
      </c>
      <c r="S8" s="6">
        <f t="shared" si="0"/>
        <v>2007</v>
      </c>
      <c r="T8" s="6">
        <f t="shared" si="0"/>
        <v>2008</v>
      </c>
      <c r="U8" s="7">
        <f t="shared" si="0"/>
        <v>2009</v>
      </c>
    </row>
    <row r="9" spans="1:21" ht="15.75" x14ac:dyDescent="0.25">
      <c r="A9" s="344" t="s">
        <v>85</v>
      </c>
      <c r="B9" s="344"/>
      <c r="D9" s="51"/>
      <c r="E9" s="52"/>
      <c r="F9" s="52"/>
      <c r="G9" s="52"/>
      <c r="H9" s="52"/>
      <c r="I9" s="52"/>
      <c r="J9" s="26"/>
      <c r="K9" s="26"/>
      <c r="L9" s="8"/>
      <c r="M9" s="8"/>
      <c r="N9" s="8"/>
      <c r="O9" s="8"/>
      <c r="P9" s="8"/>
      <c r="Q9" s="8"/>
      <c r="R9" s="8"/>
      <c r="S9" s="8"/>
      <c r="T9" s="8"/>
      <c r="U9" s="8"/>
    </row>
    <row r="11" spans="1:21" ht="15.75" x14ac:dyDescent="0.25">
      <c r="A11" s="4" t="s">
        <v>83</v>
      </c>
    </row>
    <row r="12" spans="1:21" x14ac:dyDescent="0.2">
      <c r="A12" s="53" t="s">
        <v>86</v>
      </c>
      <c r="D12" s="54">
        <v>0</v>
      </c>
      <c r="E12" s="54">
        <v>0</v>
      </c>
      <c r="F12" s="54">
        <v>0</v>
      </c>
      <c r="G12" s="54">
        <v>0</v>
      </c>
      <c r="H12" s="54">
        <v>0</v>
      </c>
      <c r="I12" s="55">
        <f>IF(Sources_Uses!L53=0,0,-H12)</f>
        <v>0</v>
      </c>
      <c r="J12" s="55">
        <f>Sources_Uses!E14</f>
        <v>0</v>
      </c>
      <c r="K12" s="55">
        <f t="shared" ref="K12:K19" si="1">SUM(H12:J12)</f>
        <v>0</v>
      </c>
      <c r="L12" s="55">
        <f ca="1">Debt_Repayment!D50</f>
        <v>0</v>
      </c>
      <c r="M12" s="55">
        <f ca="1">Debt_Repayment!E50</f>
        <v>0</v>
      </c>
      <c r="N12" s="55">
        <f ca="1">Debt_Repayment!F50</f>
        <v>0</v>
      </c>
      <c r="O12" s="55">
        <f ca="1">Debt_Repayment!G50</f>
        <v>0</v>
      </c>
      <c r="P12" s="55">
        <f ca="1">Debt_Repayment!H50</f>
        <v>0</v>
      </c>
      <c r="Q12" s="55">
        <f ca="1">Debt_Repayment!I50</f>
        <v>0</v>
      </c>
      <c r="R12" s="55">
        <f ca="1">Debt_Repayment!J50</f>
        <v>0</v>
      </c>
      <c r="S12" s="55">
        <f ca="1">Debt_Repayment!K50</f>
        <v>0</v>
      </c>
      <c r="T12" s="55">
        <f ca="1">Debt_Repayment!L50</f>
        <v>0</v>
      </c>
      <c r="U12" s="55">
        <f ca="1">Debt_Repayment!M50</f>
        <v>0</v>
      </c>
    </row>
    <row r="13" spans="1:21" x14ac:dyDescent="0.2">
      <c r="A13" s="53" t="s">
        <v>87</v>
      </c>
      <c r="D13" s="56">
        <v>0</v>
      </c>
      <c r="E13" s="56">
        <v>0</v>
      </c>
      <c r="F13" s="56">
        <v>0</v>
      </c>
      <c r="G13" s="56">
        <v>0</v>
      </c>
      <c r="H13" s="56">
        <v>0</v>
      </c>
      <c r="I13" s="56">
        <v>0</v>
      </c>
      <c r="J13" s="56">
        <v>0</v>
      </c>
      <c r="K13" s="57">
        <f t="shared" si="1"/>
        <v>0</v>
      </c>
      <c r="L13" s="57">
        <f ca="1">Income_Statement!J$10*WC_BS_Assumptions!J11</f>
        <v>0</v>
      </c>
      <c r="M13" s="57">
        <f ca="1">Income_Statement!K$10*WC_BS_Assumptions!K11</f>
        <v>0</v>
      </c>
      <c r="N13" s="57">
        <f ca="1">Income_Statement!L$10*WC_BS_Assumptions!L11</f>
        <v>0</v>
      </c>
      <c r="O13" s="57">
        <f ca="1">Income_Statement!M$10*WC_BS_Assumptions!M11</f>
        <v>0</v>
      </c>
      <c r="P13" s="57">
        <f ca="1">Income_Statement!N$10*WC_BS_Assumptions!N11</f>
        <v>0</v>
      </c>
      <c r="Q13" s="57">
        <f ca="1">Income_Statement!O$10*WC_BS_Assumptions!O11</f>
        <v>0</v>
      </c>
      <c r="R13" s="57">
        <f ca="1">Income_Statement!P$10*WC_BS_Assumptions!P11</f>
        <v>0</v>
      </c>
      <c r="S13" s="57">
        <f ca="1">Income_Statement!Q$10*WC_BS_Assumptions!Q11</f>
        <v>0</v>
      </c>
      <c r="T13" s="57">
        <f ca="1">Income_Statement!R$10*WC_BS_Assumptions!R11</f>
        <v>0</v>
      </c>
      <c r="U13" s="57">
        <f ca="1">Income_Statement!S$10*WC_BS_Assumptions!S11</f>
        <v>0</v>
      </c>
    </row>
    <row r="14" spans="1:21" x14ac:dyDescent="0.2">
      <c r="A14" s="53" t="s">
        <v>88</v>
      </c>
      <c r="D14" s="56">
        <v>0</v>
      </c>
      <c r="E14" s="56">
        <v>0</v>
      </c>
      <c r="F14" s="56">
        <v>0</v>
      </c>
      <c r="G14" s="56">
        <v>0</v>
      </c>
      <c r="H14" s="56">
        <v>0</v>
      </c>
      <c r="I14" s="56">
        <v>0</v>
      </c>
      <c r="J14" s="56">
        <v>0</v>
      </c>
      <c r="K14" s="57">
        <f t="shared" si="1"/>
        <v>0</v>
      </c>
      <c r="L14" s="57">
        <f ca="1">Income_Statement!J$10*WC_BS_Assumptions!J12</f>
        <v>0</v>
      </c>
      <c r="M14" s="57">
        <f ca="1">Income_Statement!K$10*WC_BS_Assumptions!K12</f>
        <v>0</v>
      </c>
      <c r="N14" s="57">
        <f ca="1">Income_Statement!L$10*WC_BS_Assumptions!L12</f>
        <v>0</v>
      </c>
      <c r="O14" s="57">
        <f ca="1">Income_Statement!M$10*WC_BS_Assumptions!M12</f>
        <v>0</v>
      </c>
      <c r="P14" s="57">
        <f ca="1">Income_Statement!N$10*WC_BS_Assumptions!N12</f>
        <v>0</v>
      </c>
      <c r="Q14" s="57">
        <f ca="1">Income_Statement!O$10*WC_BS_Assumptions!O12</f>
        <v>0</v>
      </c>
      <c r="R14" s="57">
        <f ca="1">Income_Statement!P$10*WC_BS_Assumptions!P12</f>
        <v>0</v>
      </c>
      <c r="S14" s="57">
        <f ca="1">Income_Statement!Q$10*WC_BS_Assumptions!Q12</f>
        <v>0</v>
      </c>
      <c r="T14" s="57">
        <f ca="1">Income_Statement!R$10*WC_BS_Assumptions!R12</f>
        <v>0</v>
      </c>
      <c r="U14" s="57">
        <f ca="1">Income_Statement!S$10*WC_BS_Assumptions!S12</f>
        <v>0</v>
      </c>
    </row>
    <row r="15" spans="1:21" x14ac:dyDescent="0.2">
      <c r="A15" s="53" t="s">
        <v>89</v>
      </c>
      <c r="D15" s="56">
        <v>0</v>
      </c>
      <c r="E15" s="56">
        <v>0</v>
      </c>
      <c r="F15" s="56">
        <v>0</v>
      </c>
      <c r="G15" s="56">
        <v>0</v>
      </c>
      <c r="H15" s="56">
        <v>0</v>
      </c>
      <c r="I15" s="56">
        <v>0</v>
      </c>
      <c r="J15" s="56">
        <v>0</v>
      </c>
      <c r="K15" s="57">
        <f t="shared" si="1"/>
        <v>0</v>
      </c>
      <c r="L15" s="57">
        <f ca="1">Income_Statement!J$10*WC_BS_Assumptions!J13</f>
        <v>0</v>
      </c>
      <c r="M15" s="57">
        <f ca="1">Income_Statement!K$10*WC_BS_Assumptions!K13</f>
        <v>0</v>
      </c>
      <c r="N15" s="57">
        <f ca="1">Income_Statement!L$10*WC_BS_Assumptions!L13</f>
        <v>0</v>
      </c>
      <c r="O15" s="57">
        <f ca="1">Income_Statement!M$10*WC_BS_Assumptions!M13</f>
        <v>0</v>
      </c>
      <c r="P15" s="57">
        <f ca="1">Income_Statement!N$10*WC_BS_Assumptions!N13</f>
        <v>0</v>
      </c>
      <c r="Q15" s="57">
        <f ca="1">Income_Statement!O$10*WC_BS_Assumptions!O13</f>
        <v>0</v>
      </c>
      <c r="R15" s="57">
        <f ca="1">Income_Statement!P$10*WC_BS_Assumptions!P13</f>
        <v>0</v>
      </c>
      <c r="S15" s="57">
        <f ca="1">Income_Statement!Q$10*WC_BS_Assumptions!Q13</f>
        <v>0</v>
      </c>
      <c r="T15" s="57">
        <f ca="1">Income_Statement!R$10*WC_BS_Assumptions!R13</f>
        <v>0</v>
      </c>
      <c r="U15" s="57">
        <f ca="1">Income_Statement!S$10*WC_BS_Assumptions!S13</f>
        <v>0</v>
      </c>
    </row>
    <row r="16" spans="1:21" x14ac:dyDescent="0.2">
      <c r="A16" s="53" t="s">
        <v>90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0</v>
      </c>
      <c r="J16" s="56">
        <v>0</v>
      </c>
      <c r="K16" s="57">
        <f t="shared" si="1"/>
        <v>0</v>
      </c>
      <c r="L16" s="57">
        <f ca="1">Income_Statement!J$10*WC_BS_Assumptions!J14</f>
        <v>0</v>
      </c>
      <c r="M16" s="57">
        <f ca="1">Income_Statement!K$10*WC_BS_Assumptions!K14</f>
        <v>0</v>
      </c>
      <c r="N16" s="57">
        <f ca="1">Income_Statement!L$10*WC_BS_Assumptions!L14</f>
        <v>0</v>
      </c>
      <c r="O16" s="57">
        <f ca="1">Income_Statement!M$10*WC_BS_Assumptions!M14</f>
        <v>0</v>
      </c>
      <c r="P16" s="57">
        <f ca="1">Income_Statement!N$10*WC_BS_Assumptions!N14</f>
        <v>0</v>
      </c>
      <c r="Q16" s="57">
        <f ca="1">Income_Statement!O$10*WC_BS_Assumptions!O14</f>
        <v>0</v>
      </c>
      <c r="R16" s="57">
        <f ca="1">Income_Statement!P$10*WC_BS_Assumptions!P14</f>
        <v>0</v>
      </c>
      <c r="S16" s="57">
        <f ca="1">Income_Statement!Q$10*WC_BS_Assumptions!Q14</f>
        <v>0</v>
      </c>
      <c r="T16" s="57">
        <f ca="1">Income_Statement!R$10*WC_BS_Assumptions!R14</f>
        <v>0</v>
      </c>
      <c r="U16" s="57">
        <f ca="1">Income_Statement!S$10*WC_BS_Assumptions!S14</f>
        <v>0</v>
      </c>
    </row>
    <row r="17" spans="1:21" x14ac:dyDescent="0.2">
      <c r="A17" s="53" t="s">
        <v>91</v>
      </c>
      <c r="D17" s="56">
        <v>0</v>
      </c>
      <c r="E17" s="56">
        <v>0</v>
      </c>
      <c r="F17" s="56">
        <v>0</v>
      </c>
      <c r="G17" s="56">
        <v>0</v>
      </c>
      <c r="H17" s="56">
        <v>0</v>
      </c>
      <c r="I17" s="56">
        <v>0</v>
      </c>
      <c r="J17" s="56">
        <v>0</v>
      </c>
      <c r="K17" s="57">
        <f t="shared" si="1"/>
        <v>0</v>
      </c>
      <c r="L17" s="57">
        <f ca="1">Income_Statement!J$10*WC_BS_Assumptions!J15</f>
        <v>0</v>
      </c>
      <c r="M17" s="57">
        <f ca="1">Income_Statement!K$10*WC_BS_Assumptions!K15</f>
        <v>0</v>
      </c>
      <c r="N17" s="57">
        <f ca="1">Income_Statement!L$10*WC_BS_Assumptions!L15</f>
        <v>0</v>
      </c>
      <c r="O17" s="57">
        <f ca="1">Income_Statement!M$10*WC_BS_Assumptions!M15</f>
        <v>0</v>
      </c>
      <c r="P17" s="57">
        <f ca="1">Income_Statement!N$10*WC_BS_Assumptions!N15</f>
        <v>0</v>
      </c>
      <c r="Q17" s="57">
        <f ca="1">Income_Statement!O$10*WC_BS_Assumptions!O15</f>
        <v>0</v>
      </c>
      <c r="R17" s="57">
        <f ca="1">Income_Statement!P$10*WC_BS_Assumptions!P15</f>
        <v>0</v>
      </c>
      <c r="S17" s="57">
        <f ca="1">Income_Statement!Q$10*WC_BS_Assumptions!Q15</f>
        <v>0</v>
      </c>
      <c r="T17" s="57">
        <f ca="1">Income_Statement!R$10*WC_BS_Assumptions!R15</f>
        <v>0</v>
      </c>
      <c r="U17" s="57">
        <f ca="1">Income_Statement!S$10*WC_BS_Assumptions!S15</f>
        <v>0</v>
      </c>
    </row>
    <row r="18" spans="1:21" x14ac:dyDescent="0.2">
      <c r="A18" s="53" t="s">
        <v>92</v>
      </c>
      <c r="D18" s="56">
        <v>0</v>
      </c>
      <c r="E18" s="56">
        <v>0</v>
      </c>
      <c r="F18" s="56">
        <v>0</v>
      </c>
      <c r="G18" s="56">
        <v>0</v>
      </c>
      <c r="H18" s="56">
        <v>0</v>
      </c>
      <c r="I18" s="56">
        <v>0</v>
      </c>
      <c r="J18" s="56">
        <v>0</v>
      </c>
      <c r="K18" s="57">
        <f t="shared" si="1"/>
        <v>0</v>
      </c>
      <c r="L18" s="57">
        <f ca="1">Income_Statement!J$10*WC_BS_Assumptions!J16</f>
        <v>0</v>
      </c>
      <c r="M18" s="57">
        <f ca="1">Income_Statement!K$10*WC_BS_Assumptions!K16</f>
        <v>0</v>
      </c>
      <c r="N18" s="57">
        <f ca="1">Income_Statement!L$10*WC_BS_Assumptions!L16</f>
        <v>0</v>
      </c>
      <c r="O18" s="57">
        <f ca="1">Income_Statement!M$10*WC_BS_Assumptions!M16</f>
        <v>0</v>
      </c>
      <c r="P18" s="57">
        <f ca="1">Income_Statement!N$10*WC_BS_Assumptions!N16</f>
        <v>0</v>
      </c>
      <c r="Q18" s="57">
        <f ca="1">Income_Statement!O$10*WC_BS_Assumptions!O16</f>
        <v>0</v>
      </c>
      <c r="R18" s="57">
        <f ca="1">Income_Statement!P$10*WC_BS_Assumptions!P16</f>
        <v>0</v>
      </c>
      <c r="S18" s="57">
        <f ca="1">Income_Statement!Q$10*WC_BS_Assumptions!Q16</f>
        <v>0</v>
      </c>
      <c r="T18" s="57">
        <f ca="1">Income_Statement!R$10*WC_BS_Assumptions!R16</f>
        <v>0</v>
      </c>
      <c r="U18" s="57">
        <f ca="1">Income_Statement!S$10*WC_BS_Assumptions!S16</f>
        <v>0</v>
      </c>
    </row>
    <row r="19" spans="1:21" x14ac:dyDescent="0.2">
      <c r="A19" s="53" t="s">
        <v>93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58">
        <f t="shared" si="1"/>
        <v>0</v>
      </c>
      <c r="L19" s="58">
        <f ca="1">Income_Statement!J$10*WC_BS_Assumptions!J17</f>
        <v>0</v>
      </c>
      <c r="M19" s="58">
        <f ca="1">Income_Statement!K$10*WC_BS_Assumptions!K17</f>
        <v>0</v>
      </c>
      <c r="N19" s="58">
        <f ca="1">Income_Statement!L$10*WC_BS_Assumptions!L17</f>
        <v>0</v>
      </c>
      <c r="O19" s="58">
        <f ca="1">Income_Statement!M$10*WC_BS_Assumptions!M17</f>
        <v>0</v>
      </c>
      <c r="P19" s="58">
        <f ca="1">Income_Statement!N$10*WC_BS_Assumptions!N17</f>
        <v>0</v>
      </c>
      <c r="Q19" s="58">
        <f ca="1">Income_Statement!O$10*WC_BS_Assumptions!O17</f>
        <v>0</v>
      </c>
      <c r="R19" s="58">
        <f ca="1">Income_Statement!P$10*WC_BS_Assumptions!P17</f>
        <v>0</v>
      </c>
      <c r="S19" s="58">
        <f ca="1">Income_Statement!Q$10*WC_BS_Assumptions!Q17</f>
        <v>0</v>
      </c>
      <c r="T19" s="58">
        <f ca="1">Income_Statement!R$10*WC_BS_Assumptions!R17</f>
        <v>0</v>
      </c>
      <c r="U19" s="58">
        <f ca="1">Income_Statement!S$10*WC_BS_Assumptions!S17</f>
        <v>0</v>
      </c>
    </row>
    <row r="20" spans="1:21" x14ac:dyDescent="0.2">
      <c r="A20" s="59"/>
    </row>
    <row r="21" spans="1:21" ht="15.75" x14ac:dyDescent="0.25">
      <c r="A21" s="4" t="s">
        <v>94</v>
      </c>
      <c r="D21" s="60">
        <f>SUM(D12:D19)</f>
        <v>0</v>
      </c>
      <c r="E21" s="60">
        <f>SUM(E12:E19)</f>
        <v>0</v>
      </c>
      <c r="F21" s="60">
        <f>SUM(F12:F19)</f>
        <v>0</v>
      </c>
      <c r="G21" s="60">
        <f>SUM(G12:G19)</f>
        <v>0</v>
      </c>
      <c r="H21" s="60">
        <f>SUM(H12:H19)</f>
        <v>0</v>
      </c>
      <c r="I21" s="60"/>
      <c r="J21" s="60"/>
      <c r="K21" s="60">
        <f t="shared" ref="K21:U21" si="2">SUM(K12:K19)</f>
        <v>0</v>
      </c>
      <c r="L21" s="60">
        <f t="shared" ca="1" si="2"/>
        <v>0</v>
      </c>
      <c r="M21" s="60">
        <f t="shared" ca="1" si="2"/>
        <v>0</v>
      </c>
      <c r="N21" s="60">
        <f t="shared" ca="1" si="2"/>
        <v>0</v>
      </c>
      <c r="O21" s="60">
        <f t="shared" ca="1" si="2"/>
        <v>0</v>
      </c>
      <c r="P21" s="60">
        <f t="shared" ca="1" si="2"/>
        <v>0</v>
      </c>
      <c r="Q21" s="60">
        <f t="shared" ca="1" si="2"/>
        <v>0</v>
      </c>
      <c r="R21" s="60">
        <f t="shared" ca="1" si="2"/>
        <v>0</v>
      </c>
      <c r="S21" s="60">
        <f t="shared" ca="1" si="2"/>
        <v>0</v>
      </c>
      <c r="T21" s="60">
        <f t="shared" ca="1" si="2"/>
        <v>0</v>
      </c>
      <c r="U21" s="60">
        <f t="shared" ca="1" si="2"/>
        <v>0</v>
      </c>
    </row>
    <row r="22" spans="1:21" x14ac:dyDescent="0.2">
      <c r="A22" s="59"/>
    </row>
    <row r="23" spans="1:21" ht="15.75" x14ac:dyDescent="0.25">
      <c r="A23" s="4" t="s">
        <v>97</v>
      </c>
      <c r="L23" s="57"/>
    </row>
    <row r="24" spans="1:21" x14ac:dyDescent="0.2">
      <c r="A24" s="53" t="s">
        <v>98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5">
        <f t="shared" ref="K24:K32" si="3">SUM(H24:J24)</f>
        <v>0</v>
      </c>
      <c r="L24" s="55">
        <f>K24+Cash_Flow!D44-Income_Statement!J29</f>
        <v>0</v>
      </c>
      <c r="M24" s="55">
        <f>L24+Cash_Flow!E44-Income_Statement!K29</f>
        <v>0</v>
      </c>
      <c r="N24" s="55">
        <f>M24+Cash_Flow!F44-Income_Statement!L29</f>
        <v>0</v>
      </c>
      <c r="O24" s="55">
        <f>N24+Cash_Flow!G44-Income_Statement!M29</f>
        <v>0</v>
      </c>
      <c r="P24" s="55">
        <f>O24+Cash_Flow!H44-Income_Statement!N29</f>
        <v>0</v>
      </c>
      <c r="Q24" s="55">
        <f>P24+Cash_Flow!I44-Income_Statement!O29</f>
        <v>0</v>
      </c>
      <c r="R24" s="55">
        <f>Q24+Cash_Flow!J44-Income_Statement!P29</f>
        <v>0</v>
      </c>
      <c r="S24" s="55">
        <f>R24+Cash_Flow!K44-Income_Statement!Q29</f>
        <v>0</v>
      </c>
      <c r="T24" s="55">
        <f>S24+Cash_Flow!L44-Income_Statement!R29</f>
        <v>0</v>
      </c>
      <c r="U24" s="55">
        <f>T24+Cash_Flow!M44-Income_Statement!S29</f>
        <v>0</v>
      </c>
    </row>
    <row r="25" spans="1:21" x14ac:dyDescent="0.2">
      <c r="A25" s="53" t="s">
        <v>322</v>
      </c>
      <c r="D25" s="56">
        <v>0</v>
      </c>
      <c r="E25" s="56">
        <v>0</v>
      </c>
      <c r="F25" s="56">
        <v>0</v>
      </c>
      <c r="G25" s="56">
        <v>0</v>
      </c>
      <c r="H25" s="56">
        <v>0</v>
      </c>
      <c r="I25" s="56">
        <v>0</v>
      </c>
      <c r="J25" s="56">
        <v>0</v>
      </c>
      <c r="K25" s="57">
        <f t="shared" si="3"/>
        <v>0</v>
      </c>
      <c r="L25" s="57">
        <f ca="1">Income_Statement!J$10*WC_BS_Assumptions!J29</f>
        <v>0</v>
      </c>
      <c r="M25" s="57">
        <f ca="1">Income_Statement!K$10*WC_BS_Assumptions!K29</f>
        <v>0</v>
      </c>
      <c r="N25" s="57">
        <f ca="1">Income_Statement!L$10*WC_BS_Assumptions!L29</f>
        <v>0</v>
      </c>
      <c r="O25" s="57">
        <f ca="1">Income_Statement!M$10*WC_BS_Assumptions!M29</f>
        <v>0</v>
      </c>
      <c r="P25" s="57">
        <f ca="1">Income_Statement!N$10*WC_BS_Assumptions!N29</f>
        <v>0</v>
      </c>
      <c r="Q25" s="57">
        <f ca="1">Income_Statement!O$10*WC_BS_Assumptions!O29</f>
        <v>0</v>
      </c>
      <c r="R25" s="57">
        <f ca="1">Income_Statement!P$10*WC_BS_Assumptions!P29</f>
        <v>0</v>
      </c>
      <c r="S25" s="57">
        <f ca="1">Income_Statement!Q$10*WC_BS_Assumptions!Q29</f>
        <v>0</v>
      </c>
      <c r="T25" s="57">
        <f ca="1">Income_Statement!R$10*WC_BS_Assumptions!R29</f>
        <v>0</v>
      </c>
      <c r="U25" s="57">
        <f ca="1">Income_Statement!S$10*WC_BS_Assumptions!S29</f>
        <v>0</v>
      </c>
    </row>
    <row r="26" spans="1:21" x14ac:dyDescent="0.2">
      <c r="A26" s="53" t="s">
        <v>321</v>
      </c>
      <c r="D26" s="56">
        <v>0</v>
      </c>
      <c r="E26" s="56">
        <v>0</v>
      </c>
      <c r="F26" s="56">
        <v>0</v>
      </c>
      <c r="G26" s="56">
        <v>0</v>
      </c>
      <c r="H26" s="56">
        <v>0</v>
      </c>
      <c r="I26" s="56">
        <v>0</v>
      </c>
      <c r="J26" s="56">
        <v>0</v>
      </c>
      <c r="K26" s="57">
        <f t="shared" si="3"/>
        <v>0</v>
      </c>
      <c r="L26" s="57">
        <f ca="1">Income_Statement!J$10*WC_BS_Assumptions!J30</f>
        <v>0</v>
      </c>
      <c r="M26" s="57">
        <f ca="1">Income_Statement!K$10*WC_BS_Assumptions!K30</f>
        <v>0</v>
      </c>
      <c r="N26" s="57">
        <f ca="1">Income_Statement!L$10*WC_BS_Assumptions!L30</f>
        <v>0</v>
      </c>
      <c r="O26" s="57">
        <f ca="1">Income_Statement!M$10*WC_BS_Assumptions!M30</f>
        <v>0</v>
      </c>
      <c r="P26" s="57">
        <f ca="1">Income_Statement!N$10*WC_BS_Assumptions!N30</f>
        <v>0</v>
      </c>
      <c r="Q26" s="57">
        <f ca="1">Income_Statement!O$10*WC_BS_Assumptions!O30</f>
        <v>0</v>
      </c>
      <c r="R26" s="57">
        <f ca="1">Income_Statement!P$10*WC_BS_Assumptions!P30</f>
        <v>0</v>
      </c>
      <c r="S26" s="57">
        <f ca="1">Income_Statement!Q$10*WC_BS_Assumptions!Q30</f>
        <v>0</v>
      </c>
      <c r="T26" s="57">
        <f ca="1">Income_Statement!R$10*WC_BS_Assumptions!R30</f>
        <v>0</v>
      </c>
      <c r="U26" s="57">
        <f ca="1">Income_Statement!S$10*WC_BS_Assumptions!S30</f>
        <v>0</v>
      </c>
    </row>
    <row r="27" spans="1:21" x14ac:dyDescent="0.2">
      <c r="A27" s="53" t="s">
        <v>323</v>
      </c>
      <c r="D27" s="56">
        <v>0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7">
        <f t="shared" si="3"/>
        <v>0</v>
      </c>
      <c r="L27" s="57">
        <f ca="1">Income_Statement!J$10*WC_BS_Assumptions!J31</f>
        <v>0</v>
      </c>
      <c r="M27" s="57">
        <f ca="1">Income_Statement!K$10*WC_BS_Assumptions!K31</f>
        <v>0</v>
      </c>
      <c r="N27" s="57">
        <f ca="1">Income_Statement!L$10*WC_BS_Assumptions!L31</f>
        <v>0</v>
      </c>
      <c r="O27" s="57">
        <f ca="1">Income_Statement!M$10*WC_BS_Assumptions!M31</f>
        <v>0</v>
      </c>
      <c r="P27" s="57">
        <f ca="1">Income_Statement!N$10*WC_BS_Assumptions!N31</f>
        <v>0</v>
      </c>
      <c r="Q27" s="57">
        <f ca="1">Income_Statement!O$10*WC_BS_Assumptions!O31</f>
        <v>0</v>
      </c>
      <c r="R27" s="57">
        <f ca="1">Income_Statement!P$10*WC_BS_Assumptions!P31</f>
        <v>0</v>
      </c>
      <c r="S27" s="57">
        <f ca="1">Income_Statement!Q$10*WC_BS_Assumptions!Q31</f>
        <v>0</v>
      </c>
      <c r="T27" s="57">
        <f ca="1">Income_Statement!R$10*WC_BS_Assumptions!R31</f>
        <v>0</v>
      </c>
      <c r="U27" s="57">
        <f ca="1">Income_Statement!S$10*WC_BS_Assumptions!S31</f>
        <v>0</v>
      </c>
    </row>
    <row r="28" spans="1:21" x14ac:dyDescent="0.2">
      <c r="A28" s="53" t="s">
        <v>6</v>
      </c>
      <c r="D28" s="56">
        <v>0</v>
      </c>
      <c r="E28" s="56">
        <v>0</v>
      </c>
      <c r="F28" s="56">
        <v>0</v>
      </c>
      <c r="G28" s="56">
        <v>0</v>
      </c>
      <c r="H28" s="56">
        <v>0</v>
      </c>
      <c r="I28" s="56">
        <v>0</v>
      </c>
      <c r="J28" s="57">
        <f>Sources_Uses!E15</f>
        <v>0</v>
      </c>
      <c r="K28" s="57">
        <f t="shared" si="3"/>
        <v>0</v>
      </c>
      <c r="L28" s="57">
        <f>K28-Book_Depreciation!J47</f>
        <v>0</v>
      </c>
      <c r="M28" s="57">
        <f>L28-Book_Depreciation!K47</f>
        <v>0</v>
      </c>
      <c r="N28" s="57">
        <f>M28-Book_Depreciation!L47</f>
        <v>0</v>
      </c>
      <c r="O28" s="57">
        <f>N28-Book_Depreciation!M47</f>
        <v>0</v>
      </c>
      <c r="P28" s="57">
        <f>O28-Book_Depreciation!N47</f>
        <v>0</v>
      </c>
      <c r="Q28" s="57">
        <f>P28-Book_Depreciation!O47</f>
        <v>0</v>
      </c>
      <c r="R28" s="57">
        <f>Q28-Book_Depreciation!P47</f>
        <v>0</v>
      </c>
      <c r="S28" s="57">
        <f>R28-Book_Depreciation!Q47</f>
        <v>0</v>
      </c>
      <c r="T28" s="57">
        <f>S28-Book_Depreciation!R47</f>
        <v>0</v>
      </c>
      <c r="U28" s="57">
        <f>T28-Book_Depreciation!S47</f>
        <v>0</v>
      </c>
    </row>
    <row r="29" spans="1:21" x14ac:dyDescent="0.2">
      <c r="A29" s="53" t="s">
        <v>99</v>
      </c>
      <c r="D29" s="56">
        <v>0</v>
      </c>
      <c r="E29" s="56">
        <v>0</v>
      </c>
      <c r="F29" s="56">
        <v>0</v>
      </c>
      <c r="G29" s="56">
        <v>0</v>
      </c>
      <c r="H29" s="56">
        <v>0</v>
      </c>
      <c r="I29" s="56">
        <v>0</v>
      </c>
      <c r="J29" s="57">
        <f>Sources_Uses!Q39</f>
        <v>0</v>
      </c>
      <c r="K29" s="57">
        <f t="shared" si="3"/>
        <v>0</v>
      </c>
      <c r="L29" s="57">
        <f>K29-Book_Depreciation!J49</f>
        <v>0</v>
      </c>
      <c r="M29" s="57">
        <f>L29-Book_Depreciation!K49</f>
        <v>0</v>
      </c>
      <c r="N29" s="57">
        <f>M29-Book_Depreciation!L49</f>
        <v>0</v>
      </c>
      <c r="O29" s="57">
        <f>N29-Book_Depreciation!M49</f>
        <v>0</v>
      </c>
      <c r="P29" s="57">
        <f>O29-Book_Depreciation!N49</f>
        <v>0</v>
      </c>
      <c r="Q29" s="57">
        <f>P29-Book_Depreciation!O49</f>
        <v>0</v>
      </c>
      <c r="R29" s="57">
        <f>Q29-Book_Depreciation!P49</f>
        <v>0</v>
      </c>
      <c r="S29" s="57">
        <f>R29-Book_Depreciation!Q49</f>
        <v>0</v>
      </c>
      <c r="T29" s="57">
        <f>S29-Book_Depreciation!R49</f>
        <v>0</v>
      </c>
      <c r="U29" s="57">
        <f>T29-Book_Depreciation!S49</f>
        <v>0</v>
      </c>
    </row>
    <row r="30" spans="1:21" x14ac:dyDescent="0.2">
      <c r="A30" s="53" t="s">
        <v>100</v>
      </c>
      <c r="D30" s="56">
        <v>0</v>
      </c>
      <c r="E30" s="56">
        <v>0</v>
      </c>
      <c r="F30" s="56">
        <v>0</v>
      </c>
      <c r="G30" s="56">
        <v>0</v>
      </c>
      <c r="H30" s="56">
        <v>0</v>
      </c>
      <c r="I30" s="56">
        <v>0</v>
      </c>
      <c r="J30" s="56">
        <v>0</v>
      </c>
      <c r="K30" s="57">
        <f t="shared" si="3"/>
        <v>0</v>
      </c>
      <c r="L30" s="57">
        <f ca="1">Income_Statement!J$10*WC_BS_Assumptions!J32</f>
        <v>0</v>
      </c>
      <c r="M30" s="57">
        <f ca="1">Income_Statement!K$10*WC_BS_Assumptions!K32</f>
        <v>0</v>
      </c>
      <c r="N30" s="57">
        <f ca="1">Income_Statement!L$10*WC_BS_Assumptions!L32</f>
        <v>0</v>
      </c>
      <c r="O30" s="57">
        <f ca="1">Income_Statement!M$10*WC_BS_Assumptions!M32</f>
        <v>0</v>
      </c>
      <c r="P30" s="57">
        <f ca="1">Income_Statement!N$10*WC_BS_Assumptions!N32</f>
        <v>0</v>
      </c>
      <c r="Q30" s="57">
        <f ca="1">Income_Statement!O$10*WC_BS_Assumptions!O32</f>
        <v>0</v>
      </c>
      <c r="R30" s="57">
        <f ca="1">Income_Statement!P$10*WC_BS_Assumptions!P32</f>
        <v>0</v>
      </c>
      <c r="S30" s="57">
        <f ca="1">Income_Statement!Q$10*WC_BS_Assumptions!Q32</f>
        <v>0</v>
      </c>
      <c r="T30" s="57">
        <f ca="1">Income_Statement!R$10*WC_BS_Assumptions!R32</f>
        <v>0</v>
      </c>
      <c r="U30" s="57">
        <f ca="1">Income_Statement!S$10*WC_BS_Assumptions!S32</f>
        <v>0</v>
      </c>
    </row>
    <row r="31" spans="1:21" x14ac:dyDescent="0.2">
      <c r="A31" s="53" t="s">
        <v>101</v>
      </c>
      <c r="D31" s="56">
        <v>0</v>
      </c>
      <c r="E31" s="56">
        <v>0</v>
      </c>
      <c r="F31" s="56">
        <v>0</v>
      </c>
      <c r="G31" s="56">
        <v>0</v>
      </c>
      <c r="H31" s="56">
        <v>0</v>
      </c>
      <c r="I31" s="56">
        <v>0</v>
      </c>
      <c r="J31" s="56">
        <v>0</v>
      </c>
      <c r="K31" s="57">
        <f t="shared" si="3"/>
        <v>0</v>
      </c>
      <c r="L31" s="57">
        <f ca="1">Income_Statement!J$10*WC_BS_Assumptions!J33</f>
        <v>0</v>
      </c>
      <c r="M31" s="57">
        <f ca="1">Income_Statement!K$10*WC_BS_Assumptions!K33</f>
        <v>0</v>
      </c>
      <c r="N31" s="57">
        <f ca="1">Income_Statement!L$10*WC_BS_Assumptions!L33</f>
        <v>0</v>
      </c>
      <c r="O31" s="57">
        <f ca="1">Income_Statement!M$10*WC_BS_Assumptions!M33</f>
        <v>0</v>
      </c>
      <c r="P31" s="57">
        <f ca="1">Income_Statement!N$10*WC_BS_Assumptions!N33</f>
        <v>0</v>
      </c>
      <c r="Q31" s="57">
        <f ca="1">Income_Statement!O$10*WC_BS_Assumptions!O33</f>
        <v>0</v>
      </c>
      <c r="R31" s="57">
        <f ca="1">Income_Statement!P$10*WC_BS_Assumptions!P33</f>
        <v>0</v>
      </c>
      <c r="S31" s="57">
        <f ca="1">Income_Statement!Q$10*WC_BS_Assumptions!Q33</f>
        <v>0</v>
      </c>
      <c r="T31" s="57">
        <f ca="1">Income_Statement!R$10*WC_BS_Assumptions!R33</f>
        <v>0</v>
      </c>
      <c r="U31" s="57">
        <f ca="1">Income_Statement!S$10*WC_BS_Assumptions!S33</f>
        <v>0</v>
      </c>
    </row>
    <row r="32" spans="1:21" x14ac:dyDescent="0.2">
      <c r="A32" s="53" t="s">
        <v>102</v>
      </c>
      <c r="D32" s="34">
        <v>0</v>
      </c>
      <c r="E32" s="34">
        <v>0</v>
      </c>
      <c r="F32" s="34">
        <v>0</v>
      </c>
      <c r="G32" s="34">
        <v>0</v>
      </c>
      <c r="H32" s="34">
        <v>0</v>
      </c>
      <c r="I32" s="34">
        <v>0</v>
      </c>
      <c r="J32" s="34">
        <v>0</v>
      </c>
      <c r="K32" s="58">
        <f t="shared" si="3"/>
        <v>0</v>
      </c>
      <c r="L32" s="58">
        <f ca="1">Income_Statement!J$10*WC_BS_Assumptions!J34</f>
        <v>0</v>
      </c>
      <c r="M32" s="58">
        <f ca="1">Income_Statement!K$10*WC_BS_Assumptions!K34</f>
        <v>0</v>
      </c>
      <c r="N32" s="58">
        <f ca="1">Income_Statement!L$10*WC_BS_Assumptions!L34</f>
        <v>0</v>
      </c>
      <c r="O32" s="58">
        <f ca="1">Income_Statement!M$10*WC_BS_Assumptions!M34</f>
        <v>0</v>
      </c>
      <c r="P32" s="58">
        <f ca="1">Income_Statement!N$10*WC_BS_Assumptions!N34</f>
        <v>0</v>
      </c>
      <c r="Q32" s="58">
        <f ca="1">Income_Statement!O$10*WC_BS_Assumptions!O34</f>
        <v>0</v>
      </c>
      <c r="R32" s="58">
        <f ca="1">Income_Statement!P$10*WC_BS_Assumptions!P34</f>
        <v>0</v>
      </c>
      <c r="S32" s="58">
        <f ca="1">Income_Statement!Q$10*WC_BS_Assumptions!Q34</f>
        <v>0</v>
      </c>
      <c r="T32" s="58">
        <f ca="1">Income_Statement!R$10*WC_BS_Assumptions!R34</f>
        <v>0</v>
      </c>
      <c r="U32" s="58">
        <f ca="1">Income_Statement!S$10*WC_BS_Assumptions!S34</f>
        <v>0</v>
      </c>
    </row>
    <row r="34" spans="1:21" ht="15.75" x14ac:dyDescent="0.25">
      <c r="A34" s="4" t="s">
        <v>103</v>
      </c>
      <c r="D34" s="60">
        <f>SUM(D24:D32)</f>
        <v>0</v>
      </c>
      <c r="E34" s="60">
        <f>SUM(E24:E32)</f>
        <v>0</v>
      </c>
      <c r="F34" s="60">
        <f>SUM(F24:F32)</f>
        <v>0</v>
      </c>
      <c r="G34" s="60">
        <f>SUM(G24:G32)</f>
        <v>0</v>
      </c>
      <c r="H34" s="60">
        <f>SUM(H24:H32)</f>
        <v>0</v>
      </c>
      <c r="K34" s="60">
        <f t="shared" ref="K34:U34" si="4">SUM(K24:K32)</f>
        <v>0</v>
      </c>
      <c r="L34" s="60">
        <f t="shared" ca="1" si="4"/>
        <v>0</v>
      </c>
      <c r="M34" s="60">
        <f t="shared" ca="1" si="4"/>
        <v>0</v>
      </c>
      <c r="N34" s="60">
        <f t="shared" ca="1" si="4"/>
        <v>0</v>
      </c>
      <c r="O34" s="60">
        <f t="shared" ca="1" si="4"/>
        <v>0</v>
      </c>
      <c r="P34" s="60">
        <f t="shared" ca="1" si="4"/>
        <v>0</v>
      </c>
      <c r="Q34" s="60">
        <f t="shared" ca="1" si="4"/>
        <v>0</v>
      </c>
      <c r="R34" s="60">
        <f t="shared" ca="1" si="4"/>
        <v>0</v>
      </c>
      <c r="S34" s="60">
        <f t="shared" ca="1" si="4"/>
        <v>0</v>
      </c>
      <c r="T34" s="60">
        <f t="shared" ca="1" si="4"/>
        <v>0</v>
      </c>
      <c r="U34" s="60">
        <f t="shared" ca="1" si="4"/>
        <v>0</v>
      </c>
    </row>
    <row r="36" spans="1:21" ht="16.5" thickBot="1" x14ac:dyDescent="0.3">
      <c r="A36" s="344" t="s">
        <v>104</v>
      </c>
      <c r="B36" s="344"/>
      <c r="D36" s="61">
        <f>D34+D21</f>
        <v>0</v>
      </c>
      <c r="E36" s="61">
        <f>E34+E21</f>
        <v>0</v>
      </c>
      <c r="F36" s="61">
        <f>F34+F21</f>
        <v>0</v>
      </c>
      <c r="G36" s="61">
        <f>G34+G21</f>
        <v>0</v>
      </c>
      <c r="H36" s="61">
        <f>H34+H21</f>
        <v>0</v>
      </c>
      <c r="I36" s="62"/>
      <c r="J36" s="62"/>
      <c r="K36" s="61">
        <f t="shared" ref="K36:U36" si="5">K34+K21</f>
        <v>0</v>
      </c>
      <c r="L36" s="61">
        <f t="shared" ca="1" si="5"/>
        <v>0</v>
      </c>
      <c r="M36" s="61">
        <f t="shared" ca="1" si="5"/>
        <v>0</v>
      </c>
      <c r="N36" s="61">
        <f t="shared" ca="1" si="5"/>
        <v>0</v>
      </c>
      <c r="O36" s="61">
        <f t="shared" ca="1" si="5"/>
        <v>0</v>
      </c>
      <c r="P36" s="61">
        <f t="shared" ca="1" si="5"/>
        <v>0</v>
      </c>
      <c r="Q36" s="61">
        <f t="shared" ca="1" si="5"/>
        <v>0</v>
      </c>
      <c r="R36" s="61">
        <f t="shared" ca="1" si="5"/>
        <v>0</v>
      </c>
      <c r="S36" s="61">
        <f t="shared" ca="1" si="5"/>
        <v>0</v>
      </c>
      <c r="T36" s="61">
        <f t="shared" ca="1" si="5"/>
        <v>0</v>
      </c>
      <c r="U36" s="61">
        <f t="shared" ca="1" si="5"/>
        <v>0</v>
      </c>
    </row>
    <row r="37" spans="1:21" ht="15.75" thickTop="1" x14ac:dyDescent="0.2"/>
    <row r="39" spans="1:21" x14ac:dyDescent="0.2">
      <c r="D39" s="343" t="s">
        <v>62</v>
      </c>
      <c r="E39" s="343"/>
      <c r="F39" s="343"/>
      <c r="G39" s="343"/>
      <c r="H39" s="343"/>
      <c r="I39" s="46"/>
      <c r="J39" s="46"/>
      <c r="K39" s="46"/>
      <c r="L39" s="343" t="s">
        <v>68</v>
      </c>
      <c r="M39" s="343"/>
      <c r="N39" s="343"/>
      <c r="O39" s="343"/>
      <c r="P39" s="343"/>
      <c r="Q39" s="343"/>
      <c r="R39" s="343"/>
      <c r="S39" s="343"/>
      <c r="T39" s="343"/>
      <c r="U39" s="343"/>
    </row>
    <row r="40" spans="1:21" ht="15.75" x14ac:dyDescent="0.25">
      <c r="A40" s="344" t="s">
        <v>105</v>
      </c>
      <c r="B40" s="344"/>
      <c r="D40" s="5">
        <f>D8</f>
        <v>1995</v>
      </c>
      <c r="E40" s="6">
        <f>D40+1</f>
        <v>1996</v>
      </c>
      <c r="F40" s="6">
        <f>E40+1</f>
        <v>1997</v>
      </c>
      <c r="G40" s="6">
        <f>F40+1</f>
        <v>1998</v>
      </c>
      <c r="H40" s="7">
        <f>G40+1</f>
        <v>1999</v>
      </c>
      <c r="I40" s="48" t="s">
        <v>95</v>
      </c>
      <c r="J40" s="49" t="s">
        <v>96</v>
      </c>
      <c r="K40" s="50" t="s">
        <v>42</v>
      </c>
      <c r="L40" s="5">
        <f>H40+1</f>
        <v>2000</v>
      </c>
      <c r="M40" s="6">
        <f>L40+1</f>
        <v>2001</v>
      </c>
      <c r="N40" s="6">
        <f t="shared" ref="N40:U40" si="6">M40+1</f>
        <v>2002</v>
      </c>
      <c r="O40" s="6">
        <f t="shared" si="6"/>
        <v>2003</v>
      </c>
      <c r="P40" s="6">
        <f t="shared" si="6"/>
        <v>2004</v>
      </c>
      <c r="Q40" s="6">
        <f t="shared" si="6"/>
        <v>2005</v>
      </c>
      <c r="R40" s="6">
        <f t="shared" si="6"/>
        <v>2006</v>
      </c>
      <c r="S40" s="6">
        <f t="shared" si="6"/>
        <v>2007</v>
      </c>
      <c r="T40" s="6">
        <f t="shared" si="6"/>
        <v>2008</v>
      </c>
      <c r="U40" s="7">
        <f t="shared" si="6"/>
        <v>2009</v>
      </c>
    </row>
    <row r="42" spans="1:21" ht="15.75" x14ac:dyDescent="0.25">
      <c r="A42" s="4" t="s">
        <v>106</v>
      </c>
    </row>
    <row r="43" spans="1:21" x14ac:dyDescent="0.2">
      <c r="A43" s="53" t="s">
        <v>107</v>
      </c>
      <c r="D43" s="54">
        <v>0</v>
      </c>
      <c r="E43" s="54">
        <v>0</v>
      </c>
      <c r="F43" s="54">
        <v>0</v>
      </c>
      <c r="G43" s="54">
        <v>0</v>
      </c>
      <c r="H43" s="54">
        <v>0</v>
      </c>
      <c r="I43" s="54">
        <v>0</v>
      </c>
      <c r="J43" s="54">
        <v>0</v>
      </c>
      <c r="K43" s="55">
        <f t="shared" ref="K43:K49" si="7">SUM(H43:J43)</f>
        <v>0</v>
      </c>
      <c r="L43" s="55">
        <f ca="1">Income_Statement!J$10*WC_BS_Assumptions!J20</f>
        <v>0</v>
      </c>
      <c r="M43" s="55">
        <f ca="1">Income_Statement!K$10*WC_BS_Assumptions!K20</f>
        <v>0</v>
      </c>
      <c r="N43" s="55">
        <f ca="1">Income_Statement!L$10*WC_BS_Assumptions!L20</f>
        <v>0</v>
      </c>
      <c r="O43" s="55">
        <f ca="1">Income_Statement!M$10*WC_BS_Assumptions!M20</f>
        <v>0</v>
      </c>
      <c r="P43" s="55">
        <f ca="1">Income_Statement!N$10*WC_BS_Assumptions!N20</f>
        <v>0</v>
      </c>
      <c r="Q43" s="55">
        <f ca="1">Income_Statement!O$10*WC_BS_Assumptions!O20</f>
        <v>0</v>
      </c>
      <c r="R43" s="55">
        <f ca="1">Income_Statement!P$10*WC_BS_Assumptions!P20</f>
        <v>0</v>
      </c>
      <c r="S43" s="55">
        <f ca="1">Income_Statement!Q$10*WC_BS_Assumptions!Q20</f>
        <v>0</v>
      </c>
      <c r="T43" s="55">
        <f ca="1">Income_Statement!R$10*WC_BS_Assumptions!R20</f>
        <v>0</v>
      </c>
      <c r="U43" s="55">
        <f ca="1">Income_Statement!S$10*WC_BS_Assumptions!S20</f>
        <v>0</v>
      </c>
    </row>
    <row r="44" spans="1:21" x14ac:dyDescent="0.2">
      <c r="A44" s="53" t="s">
        <v>108</v>
      </c>
      <c r="D44" s="56">
        <v>0</v>
      </c>
      <c r="E44" s="56">
        <v>0</v>
      </c>
      <c r="F44" s="56">
        <v>0</v>
      </c>
      <c r="G44" s="56">
        <v>0</v>
      </c>
      <c r="H44" s="56">
        <v>0</v>
      </c>
      <c r="I44" s="56">
        <v>0</v>
      </c>
      <c r="J44" s="56">
        <v>0</v>
      </c>
      <c r="K44" s="57">
        <f t="shared" si="7"/>
        <v>0</v>
      </c>
      <c r="L44" s="57">
        <f ca="1">Income_Statement!J$10*WC_BS_Assumptions!J21</f>
        <v>0</v>
      </c>
      <c r="M44" s="57">
        <f ca="1">Income_Statement!K$10*WC_BS_Assumptions!K21</f>
        <v>0</v>
      </c>
      <c r="N44" s="57">
        <f ca="1">Income_Statement!L$10*WC_BS_Assumptions!L21</f>
        <v>0</v>
      </c>
      <c r="O44" s="57">
        <f ca="1">Income_Statement!M$10*WC_BS_Assumptions!M21</f>
        <v>0</v>
      </c>
      <c r="P44" s="57">
        <f ca="1">Income_Statement!N$10*WC_BS_Assumptions!N21</f>
        <v>0</v>
      </c>
      <c r="Q44" s="57">
        <f ca="1">Income_Statement!O$10*WC_BS_Assumptions!O21</f>
        <v>0</v>
      </c>
      <c r="R44" s="57">
        <f ca="1">Income_Statement!P$10*WC_BS_Assumptions!P21</f>
        <v>0</v>
      </c>
      <c r="S44" s="57">
        <f ca="1">Income_Statement!Q$10*WC_BS_Assumptions!Q21</f>
        <v>0</v>
      </c>
      <c r="T44" s="57">
        <f ca="1">Income_Statement!R$10*WC_BS_Assumptions!R21</f>
        <v>0</v>
      </c>
      <c r="U44" s="57">
        <f ca="1">Income_Statement!S$10*WC_BS_Assumptions!S21</f>
        <v>0</v>
      </c>
    </row>
    <row r="45" spans="1:21" x14ac:dyDescent="0.2">
      <c r="A45" s="53" t="s">
        <v>109</v>
      </c>
      <c r="D45" s="56">
        <v>0</v>
      </c>
      <c r="E45" s="56">
        <v>0</v>
      </c>
      <c r="F45" s="56">
        <v>0</v>
      </c>
      <c r="G45" s="56">
        <v>0</v>
      </c>
      <c r="H45" s="56">
        <v>0</v>
      </c>
      <c r="I45" s="56">
        <v>0</v>
      </c>
      <c r="J45" s="56">
        <v>0</v>
      </c>
      <c r="K45" s="57">
        <f t="shared" si="7"/>
        <v>0</v>
      </c>
      <c r="L45" s="57">
        <f ca="1">Income_Statement!J$10*WC_BS_Assumptions!J22</f>
        <v>0</v>
      </c>
      <c r="M45" s="57">
        <f ca="1">Income_Statement!K$10*WC_BS_Assumptions!K22</f>
        <v>0</v>
      </c>
      <c r="N45" s="57">
        <f ca="1">Income_Statement!L$10*WC_BS_Assumptions!L22</f>
        <v>0</v>
      </c>
      <c r="O45" s="57">
        <f ca="1">Income_Statement!M$10*WC_BS_Assumptions!M22</f>
        <v>0</v>
      </c>
      <c r="P45" s="57">
        <f ca="1">Income_Statement!N$10*WC_BS_Assumptions!N22</f>
        <v>0</v>
      </c>
      <c r="Q45" s="57">
        <f ca="1">Income_Statement!O$10*WC_BS_Assumptions!O22</f>
        <v>0</v>
      </c>
      <c r="R45" s="57">
        <f ca="1">Income_Statement!P$10*WC_BS_Assumptions!P22</f>
        <v>0</v>
      </c>
      <c r="S45" s="57">
        <f ca="1">Income_Statement!Q$10*WC_BS_Assumptions!Q22</f>
        <v>0</v>
      </c>
      <c r="T45" s="57">
        <f ca="1">Income_Statement!R$10*WC_BS_Assumptions!R22</f>
        <v>0</v>
      </c>
      <c r="U45" s="57">
        <f ca="1">Income_Statement!S$10*WC_BS_Assumptions!S22</f>
        <v>0</v>
      </c>
    </row>
    <row r="46" spans="1:21" x14ac:dyDescent="0.2">
      <c r="A46" s="53" t="s">
        <v>110</v>
      </c>
      <c r="D46" s="56">
        <v>0</v>
      </c>
      <c r="E46" s="56">
        <v>0</v>
      </c>
      <c r="F46" s="56">
        <v>0</v>
      </c>
      <c r="G46" s="56">
        <v>0</v>
      </c>
      <c r="H46" s="56">
        <v>0</v>
      </c>
      <c r="I46" s="56">
        <v>0</v>
      </c>
      <c r="J46" s="56">
        <v>0</v>
      </c>
      <c r="K46" s="57">
        <f t="shared" si="7"/>
        <v>0</v>
      </c>
      <c r="L46" s="57">
        <f ca="1">Income_Statement!J$10*WC_BS_Assumptions!J23</f>
        <v>0</v>
      </c>
      <c r="M46" s="57">
        <f ca="1">Income_Statement!K$10*WC_BS_Assumptions!K23</f>
        <v>0</v>
      </c>
      <c r="N46" s="57">
        <f ca="1">Income_Statement!L$10*WC_BS_Assumptions!L23</f>
        <v>0</v>
      </c>
      <c r="O46" s="57">
        <f ca="1">Income_Statement!M$10*WC_BS_Assumptions!M23</f>
        <v>0</v>
      </c>
      <c r="P46" s="57">
        <f ca="1">Income_Statement!N$10*WC_BS_Assumptions!N23</f>
        <v>0</v>
      </c>
      <c r="Q46" s="57">
        <f ca="1">Income_Statement!O$10*WC_BS_Assumptions!O23</f>
        <v>0</v>
      </c>
      <c r="R46" s="57">
        <f ca="1">Income_Statement!P$10*WC_BS_Assumptions!P23</f>
        <v>0</v>
      </c>
      <c r="S46" s="57">
        <f ca="1">Income_Statement!Q$10*WC_BS_Assumptions!Q23</f>
        <v>0</v>
      </c>
      <c r="T46" s="57">
        <f ca="1">Income_Statement!R$10*WC_BS_Assumptions!R23</f>
        <v>0</v>
      </c>
      <c r="U46" s="57">
        <f ca="1">Income_Statement!S$10*WC_BS_Assumptions!S23</f>
        <v>0</v>
      </c>
    </row>
    <row r="47" spans="1:21" x14ac:dyDescent="0.2">
      <c r="A47" s="53" t="s">
        <v>111</v>
      </c>
      <c r="D47" s="56">
        <v>0</v>
      </c>
      <c r="E47" s="56">
        <v>0</v>
      </c>
      <c r="F47" s="56">
        <v>0</v>
      </c>
      <c r="G47" s="56">
        <v>0</v>
      </c>
      <c r="H47" s="56">
        <v>0</v>
      </c>
      <c r="I47" s="56">
        <v>0</v>
      </c>
      <c r="J47" s="56">
        <v>0</v>
      </c>
      <c r="K47" s="57">
        <f t="shared" si="7"/>
        <v>0</v>
      </c>
      <c r="L47" s="57">
        <f ca="1">Income_Statement!J$10*WC_BS_Assumptions!J24</f>
        <v>0</v>
      </c>
      <c r="M47" s="57">
        <f ca="1">Income_Statement!K$10*WC_BS_Assumptions!K24</f>
        <v>0</v>
      </c>
      <c r="N47" s="57">
        <f ca="1">Income_Statement!L$10*WC_BS_Assumptions!L24</f>
        <v>0</v>
      </c>
      <c r="O47" s="57">
        <f ca="1">Income_Statement!M$10*WC_BS_Assumptions!M24</f>
        <v>0</v>
      </c>
      <c r="P47" s="57">
        <f ca="1">Income_Statement!N$10*WC_BS_Assumptions!N24</f>
        <v>0</v>
      </c>
      <c r="Q47" s="57">
        <f ca="1">Income_Statement!O$10*WC_BS_Assumptions!O24</f>
        <v>0</v>
      </c>
      <c r="R47" s="57">
        <f ca="1">Income_Statement!P$10*WC_BS_Assumptions!P24</f>
        <v>0</v>
      </c>
      <c r="S47" s="57">
        <f ca="1">Income_Statement!Q$10*WC_BS_Assumptions!Q24</f>
        <v>0</v>
      </c>
      <c r="T47" s="57">
        <f ca="1">Income_Statement!R$10*WC_BS_Assumptions!R24</f>
        <v>0</v>
      </c>
      <c r="U47" s="57">
        <f ca="1">Income_Statement!S$10*WC_BS_Assumptions!S24</f>
        <v>0</v>
      </c>
    </row>
    <row r="48" spans="1:21" x14ac:dyDescent="0.2">
      <c r="A48" s="53" t="s">
        <v>112</v>
      </c>
      <c r="D48" s="56">
        <v>0</v>
      </c>
      <c r="E48" s="56">
        <v>0</v>
      </c>
      <c r="F48" s="56">
        <v>0</v>
      </c>
      <c r="G48" s="56">
        <v>0</v>
      </c>
      <c r="H48" s="56">
        <v>0</v>
      </c>
      <c r="I48" s="56">
        <v>0</v>
      </c>
      <c r="J48" s="56">
        <v>0</v>
      </c>
      <c r="K48" s="57">
        <f t="shared" si="7"/>
        <v>0</v>
      </c>
      <c r="L48" s="57">
        <f ca="1">Income_Statement!J$10*WC_BS_Assumptions!J25</f>
        <v>0</v>
      </c>
      <c r="M48" s="57">
        <f ca="1">Income_Statement!K$10*WC_BS_Assumptions!K25</f>
        <v>0</v>
      </c>
      <c r="N48" s="57">
        <f ca="1">Income_Statement!L$10*WC_BS_Assumptions!L25</f>
        <v>0</v>
      </c>
      <c r="O48" s="57">
        <f ca="1">Income_Statement!M$10*WC_BS_Assumptions!M25</f>
        <v>0</v>
      </c>
      <c r="P48" s="57">
        <f ca="1">Income_Statement!N$10*WC_BS_Assumptions!N25</f>
        <v>0</v>
      </c>
      <c r="Q48" s="57">
        <f ca="1">Income_Statement!O$10*WC_BS_Assumptions!O25</f>
        <v>0</v>
      </c>
      <c r="R48" s="57">
        <f ca="1">Income_Statement!P$10*WC_BS_Assumptions!P25</f>
        <v>0</v>
      </c>
      <c r="S48" s="57">
        <f ca="1">Income_Statement!Q$10*WC_BS_Assumptions!Q25</f>
        <v>0</v>
      </c>
      <c r="T48" s="57">
        <f ca="1">Income_Statement!R$10*WC_BS_Assumptions!R25</f>
        <v>0</v>
      </c>
      <c r="U48" s="57">
        <f ca="1">Income_Statement!S$10*WC_BS_Assumptions!S25</f>
        <v>0</v>
      </c>
    </row>
    <row r="49" spans="1:24" x14ac:dyDescent="0.2">
      <c r="A49" s="53" t="s">
        <v>113</v>
      </c>
      <c r="D49" s="34">
        <v>0</v>
      </c>
      <c r="E49" s="34">
        <v>0</v>
      </c>
      <c r="F49" s="34">
        <v>0</v>
      </c>
      <c r="G49" s="34">
        <v>0</v>
      </c>
      <c r="H49" s="34">
        <v>0</v>
      </c>
      <c r="I49" s="34">
        <v>0</v>
      </c>
      <c r="J49" s="34">
        <v>0</v>
      </c>
      <c r="K49" s="58">
        <f t="shared" si="7"/>
        <v>0</v>
      </c>
      <c r="L49" s="58">
        <f ca="1">Income_Statement!J$10*WC_BS_Assumptions!J26</f>
        <v>0</v>
      </c>
      <c r="M49" s="58">
        <f ca="1">Income_Statement!K$10*WC_BS_Assumptions!K26</f>
        <v>0</v>
      </c>
      <c r="N49" s="58">
        <f ca="1">Income_Statement!L$10*WC_BS_Assumptions!L26</f>
        <v>0</v>
      </c>
      <c r="O49" s="58">
        <f ca="1">Income_Statement!M$10*WC_BS_Assumptions!M26</f>
        <v>0</v>
      </c>
      <c r="P49" s="58">
        <f ca="1">Income_Statement!N$10*WC_BS_Assumptions!N26</f>
        <v>0</v>
      </c>
      <c r="Q49" s="58">
        <f ca="1">Income_Statement!O$10*WC_BS_Assumptions!O26</f>
        <v>0</v>
      </c>
      <c r="R49" s="58">
        <f ca="1">Income_Statement!P$10*WC_BS_Assumptions!P26</f>
        <v>0</v>
      </c>
      <c r="S49" s="58">
        <f ca="1">Income_Statement!Q$10*WC_BS_Assumptions!Q26</f>
        <v>0</v>
      </c>
      <c r="T49" s="58">
        <f ca="1">Income_Statement!R$10*WC_BS_Assumptions!R26</f>
        <v>0</v>
      </c>
      <c r="U49" s="58">
        <f ca="1">Income_Statement!S$10*WC_BS_Assumptions!S26</f>
        <v>0</v>
      </c>
    </row>
    <row r="51" spans="1:24" ht="15.75" x14ac:dyDescent="0.25">
      <c r="A51" s="4" t="s">
        <v>114</v>
      </c>
      <c r="D51" s="60">
        <f>SUM(D41:D49)</f>
        <v>0</v>
      </c>
      <c r="E51" s="60">
        <f>SUM(E41:E49)</f>
        <v>0</v>
      </c>
      <c r="F51" s="60">
        <f>SUM(F41:F49)</f>
        <v>0</v>
      </c>
      <c r="G51" s="60">
        <f>SUM(G41:G49)</f>
        <v>0</v>
      </c>
      <c r="H51" s="60">
        <f>SUM(H41:H49)</f>
        <v>0</v>
      </c>
      <c r="K51" s="60">
        <f>SUM(K41:K49)</f>
        <v>0</v>
      </c>
      <c r="L51" s="60">
        <f ca="1">SUM(L41:L49)</f>
        <v>0</v>
      </c>
      <c r="M51" s="60">
        <f t="shared" ref="M51:U51" ca="1" si="8">SUM(M41:M49)</f>
        <v>0</v>
      </c>
      <c r="N51" s="60">
        <f t="shared" ca="1" si="8"/>
        <v>0</v>
      </c>
      <c r="O51" s="60">
        <f t="shared" ca="1" si="8"/>
        <v>0</v>
      </c>
      <c r="P51" s="60">
        <f t="shared" ca="1" si="8"/>
        <v>0</v>
      </c>
      <c r="Q51" s="60">
        <f t="shared" ca="1" si="8"/>
        <v>0</v>
      </c>
      <c r="R51" s="60">
        <f t="shared" ca="1" si="8"/>
        <v>0</v>
      </c>
      <c r="S51" s="60">
        <f t="shared" ca="1" si="8"/>
        <v>0</v>
      </c>
      <c r="T51" s="60">
        <f t="shared" ca="1" si="8"/>
        <v>0</v>
      </c>
      <c r="U51" s="60">
        <f t="shared" ca="1" si="8"/>
        <v>0</v>
      </c>
    </row>
    <row r="53" spans="1:24" x14ac:dyDescent="0.2">
      <c r="A53" s="53" t="s">
        <v>57</v>
      </c>
      <c r="D53" s="54">
        <v>0</v>
      </c>
      <c r="E53" s="54">
        <v>0</v>
      </c>
      <c r="F53" s="54">
        <v>0</v>
      </c>
      <c r="G53" s="54">
        <v>0</v>
      </c>
      <c r="H53" s="54">
        <v>0</v>
      </c>
      <c r="I53" s="54">
        <f>-H53</f>
        <v>0</v>
      </c>
      <c r="J53" s="54">
        <v>0</v>
      </c>
      <c r="K53" s="55">
        <f>SUM(H53:J53)</f>
        <v>0</v>
      </c>
      <c r="L53" s="55">
        <f ca="1">K53+Cash_Flow!D16</f>
        <v>0</v>
      </c>
      <c r="M53" s="55">
        <f ca="1">L53+Cash_Flow!E16</f>
        <v>0</v>
      </c>
      <c r="N53" s="55">
        <f ca="1">M53+Cash_Flow!F16</f>
        <v>0</v>
      </c>
      <c r="O53" s="55">
        <f ca="1">N53+Cash_Flow!G16</f>
        <v>0</v>
      </c>
      <c r="P53" s="55">
        <f ca="1">O53+Cash_Flow!H16</f>
        <v>0</v>
      </c>
      <c r="Q53" s="55">
        <f ca="1">P53+Cash_Flow!I16</f>
        <v>0</v>
      </c>
      <c r="R53" s="55">
        <f ca="1">Q53+Cash_Flow!J16</f>
        <v>0</v>
      </c>
      <c r="S53" s="55">
        <f ca="1">R53+Cash_Flow!K16</f>
        <v>0</v>
      </c>
      <c r="T53" s="55">
        <f ca="1">S53+Cash_Flow!L16</f>
        <v>0</v>
      </c>
      <c r="U53" s="55">
        <f ca="1">T53+Cash_Flow!M16</f>
        <v>0</v>
      </c>
    </row>
    <row r="54" spans="1:24" x14ac:dyDescent="0.2">
      <c r="A54" s="53" t="s">
        <v>115</v>
      </c>
      <c r="D54" s="56">
        <v>0</v>
      </c>
      <c r="E54" s="56">
        <v>0</v>
      </c>
      <c r="F54" s="56">
        <v>0</v>
      </c>
      <c r="G54" s="56">
        <v>0</v>
      </c>
      <c r="H54" s="56">
        <v>0</v>
      </c>
      <c r="I54" s="56">
        <f>-H54</f>
        <v>0</v>
      </c>
      <c r="J54" s="56">
        <v>0</v>
      </c>
      <c r="K54" s="57">
        <f>SUM(H54:J54)</f>
        <v>0</v>
      </c>
      <c r="L54" s="57">
        <f>K54+Cash_Flow!D17</f>
        <v>0</v>
      </c>
      <c r="M54" s="57">
        <f>L54+Cash_Flow!E17</f>
        <v>0</v>
      </c>
      <c r="N54" s="57">
        <f>M54+Cash_Flow!F17</f>
        <v>0</v>
      </c>
      <c r="O54" s="57">
        <f>N54+Cash_Flow!G17</f>
        <v>0</v>
      </c>
      <c r="P54" s="57">
        <f>O54+Cash_Flow!H17</f>
        <v>0</v>
      </c>
      <c r="Q54" s="57">
        <f>P54+Cash_Flow!I17</f>
        <v>0</v>
      </c>
      <c r="R54" s="57">
        <f>Q54+Cash_Flow!J17</f>
        <v>0</v>
      </c>
      <c r="S54" s="57">
        <f>R54+Cash_Flow!K17</f>
        <v>0</v>
      </c>
      <c r="T54" s="57">
        <f>S54+Cash_Flow!L17</f>
        <v>0</v>
      </c>
      <c r="U54" s="57">
        <f>T54+Cash_Flow!M17</f>
        <v>0</v>
      </c>
    </row>
    <row r="55" spans="1:24" x14ac:dyDescent="0.2">
      <c r="A55" s="53" t="s">
        <v>116</v>
      </c>
      <c r="D55" s="56">
        <v>0</v>
      </c>
      <c r="E55" s="56">
        <v>0</v>
      </c>
      <c r="F55" s="56">
        <v>0</v>
      </c>
      <c r="G55" s="56">
        <v>0</v>
      </c>
      <c r="H55" s="56">
        <v>0</v>
      </c>
      <c r="I55" s="56">
        <f>-H55</f>
        <v>0</v>
      </c>
      <c r="J55" s="56">
        <v>0</v>
      </c>
      <c r="K55" s="57">
        <f>SUM(H55:J55)</f>
        <v>0</v>
      </c>
      <c r="L55" s="57">
        <f ca="1">Income_Statement!J$10*WC_BS_Assumptions!J36</f>
        <v>0</v>
      </c>
      <c r="M55" s="57">
        <f ca="1">Income_Statement!K$10*WC_BS_Assumptions!K36</f>
        <v>0</v>
      </c>
      <c r="N55" s="57">
        <f ca="1">Income_Statement!L$10*WC_BS_Assumptions!L36</f>
        <v>0</v>
      </c>
      <c r="O55" s="57">
        <f ca="1">Income_Statement!M$10*WC_BS_Assumptions!M36</f>
        <v>0</v>
      </c>
      <c r="P55" s="57">
        <f ca="1">Income_Statement!N$10*WC_BS_Assumptions!N36</f>
        <v>0</v>
      </c>
      <c r="Q55" s="57">
        <f ca="1">Income_Statement!O$10*WC_BS_Assumptions!O36</f>
        <v>0</v>
      </c>
      <c r="R55" s="57">
        <f ca="1">Income_Statement!P$10*WC_BS_Assumptions!P36</f>
        <v>0</v>
      </c>
      <c r="S55" s="57">
        <f ca="1">Income_Statement!Q$10*WC_BS_Assumptions!Q36</f>
        <v>0</v>
      </c>
      <c r="T55" s="57">
        <f ca="1">Income_Statement!R$10*WC_BS_Assumptions!R36</f>
        <v>0</v>
      </c>
      <c r="U55" s="57">
        <f ca="1">Income_Statement!S$10*WC_BS_Assumptions!S36</f>
        <v>0</v>
      </c>
    </row>
    <row r="56" spans="1:24" x14ac:dyDescent="0.2">
      <c r="A56" s="53" t="s">
        <v>117</v>
      </c>
      <c r="D56" s="56">
        <v>0</v>
      </c>
      <c r="E56" s="56">
        <v>0</v>
      </c>
      <c r="F56" s="56">
        <v>0</v>
      </c>
      <c r="G56" s="56">
        <v>0</v>
      </c>
      <c r="H56" s="56">
        <v>0</v>
      </c>
      <c r="I56" s="56">
        <v>0</v>
      </c>
      <c r="J56" s="56">
        <v>0</v>
      </c>
      <c r="K56" s="57">
        <f>SUM(H56:J56)</f>
        <v>0</v>
      </c>
      <c r="L56" s="57">
        <f ca="1">Income_Statement!J$10*WC_BS_Assumptions!J37</f>
        <v>0</v>
      </c>
      <c r="M56" s="57">
        <f ca="1">Income_Statement!K$10*WC_BS_Assumptions!K37</f>
        <v>0</v>
      </c>
      <c r="N56" s="57">
        <f ca="1">Income_Statement!L$10*WC_BS_Assumptions!L37</f>
        <v>0</v>
      </c>
      <c r="O56" s="57">
        <f ca="1">Income_Statement!M$10*WC_BS_Assumptions!M37</f>
        <v>0</v>
      </c>
      <c r="P56" s="57">
        <f ca="1">Income_Statement!N$10*WC_BS_Assumptions!N37</f>
        <v>0</v>
      </c>
      <c r="Q56" s="57">
        <f ca="1">Income_Statement!O$10*WC_BS_Assumptions!O37</f>
        <v>0</v>
      </c>
      <c r="R56" s="57">
        <f ca="1">Income_Statement!P$10*WC_BS_Assumptions!P37</f>
        <v>0</v>
      </c>
      <c r="S56" s="57">
        <f ca="1">Income_Statement!Q$10*WC_BS_Assumptions!Q37</f>
        <v>0</v>
      </c>
      <c r="T56" s="57">
        <f ca="1">Income_Statement!R$10*WC_BS_Assumptions!R37</f>
        <v>0</v>
      </c>
      <c r="U56" s="57">
        <f ca="1">Income_Statement!S$10*WC_BS_Assumptions!S37</f>
        <v>0</v>
      </c>
    </row>
    <row r="58" spans="1:24" ht="15.75" x14ac:dyDescent="0.25">
      <c r="A58" s="4" t="s">
        <v>118</v>
      </c>
      <c r="W58" s="150" t="s">
        <v>331</v>
      </c>
      <c r="X58" s="1" t="s">
        <v>332</v>
      </c>
    </row>
    <row r="59" spans="1:24" x14ac:dyDescent="0.2">
      <c r="A59" s="63" t="str">
        <f>Sources_Uses!G11</f>
        <v>Existing Debt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5">
        <f t="shared" ref="I59:I66" si="9">-H59</f>
        <v>0</v>
      </c>
      <c r="J59" s="55">
        <f>Sources_Uses!K11</f>
        <v>0</v>
      </c>
      <c r="K59" s="55">
        <f t="shared" ref="K59:K66" si="10">SUM(H59:J59)</f>
        <v>0</v>
      </c>
      <c r="L59" s="55">
        <f ca="1">K59+Debt_Repayment!D17</f>
        <v>0</v>
      </c>
      <c r="M59" s="55">
        <f ca="1">L59+Debt_Repayment!E17</f>
        <v>0</v>
      </c>
      <c r="N59" s="55">
        <f ca="1">M59+Debt_Repayment!F17</f>
        <v>0</v>
      </c>
      <c r="O59" s="55">
        <f ca="1">N59+Debt_Repayment!G17</f>
        <v>0</v>
      </c>
      <c r="P59" s="55">
        <f ca="1">O59+Debt_Repayment!H17</f>
        <v>0</v>
      </c>
      <c r="Q59" s="55">
        <f ca="1">P59+Debt_Repayment!I17</f>
        <v>0</v>
      </c>
      <c r="R59" s="55">
        <f ca="1">Q59+Debt_Repayment!J17</f>
        <v>0</v>
      </c>
      <c r="S59" s="55">
        <f ca="1">R59+Debt_Repayment!K17</f>
        <v>0</v>
      </c>
      <c r="T59" s="55">
        <f ca="1">S59+Debt_Repayment!L17</f>
        <v>0</v>
      </c>
      <c r="U59" s="55">
        <f ca="1">T59+Debt_Repayment!M17</f>
        <v>0</v>
      </c>
      <c r="W59" s="188">
        <f>Income_Statement!AB43</f>
        <v>1</v>
      </c>
      <c r="X59" s="1" t="s">
        <v>333</v>
      </c>
    </row>
    <row r="60" spans="1:24" x14ac:dyDescent="0.2">
      <c r="A60" s="63" t="str">
        <f>Sources_Uses!G12</f>
        <v>Bank Revolver</v>
      </c>
      <c r="D60" s="56">
        <v>0</v>
      </c>
      <c r="E60" s="56">
        <v>0</v>
      </c>
      <c r="F60" s="56">
        <v>0</v>
      </c>
      <c r="G60" s="56">
        <v>0</v>
      </c>
      <c r="H60" s="56">
        <v>0</v>
      </c>
      <c r="I60" s="57">
        <f t="shared" si="9"/>
        <v>0</v>
      </c>
      <c r="J60" s="57">
        <f>Sources_Uses!K12</f>
        <v>0</v>
      </c>
      <c r="K60" s="57">
        <f t="shared" si="10"/>
        <v>0</v>
      </c>
      <c r="L60" s="57">
        <f ca="1">K60+SUM(Debt_Repayment!D47:D48)+Debt_Repayment!D13</f>
        <v>0</v>
      </c>
      <c r="M60" s="57">
        <f ca="1">L60+SUM(Debt_Repayment!E47:E48)+Debt_Repayment!E13</f>
        <v>0</v>
      </c>
      <c r="N60" s="57">
        <f ca="1">M60+SUM(Debt_Repayment!F47:F48)+Debt_Repayment!F13</f>
        <v>0</v>
      </c>
      <c r="O60" s="57">
        <f ca="1">N60+SUM(Debt_Repayment!G47:G48)+Debt_Repayment!G13</f>
        <v>0</v>
      </c>
      <c r="P60" s="57">
        <f ca="1">O60+SUM(Debt_Repayment!H47:H48)+Debt_Repayment!H13</f>
        <v>0</v>
      </c>
      <c r="Q60" s="57">
        <f ca="1">P60+SUM(Debt_Repayment!I47:I48)+Debt_Repayment!I13</f>
        <v>0</v>
      </c>
      <c r="R60" s="57">
        <f ca="1">Q60+SUM(Debt_Repayment!J47:J48)+Debt_Repayment!J13</f>
        <v>0</v>
      </c>
      <c r="S60" s="57">
        <f ca="1">R60+SUM(Debt_Repayment!K47:K48)+Debt_Repayment!K13</f>
        <v>0</v>
      </c>
      <c r="T60" s="57">
        <f ca="1">S60+SUM(Debt_Repayment!L47:L48)+Debt_Repayment!L13</f>
        <v>0</v>
      </c>
      <c r="U60" s="57">
        <f ca="1">T60+SUM(Debt_Repayment!M47:M48)+Debt_Repayment!M13</f>
        <v>0</v>
      </c>
      <c r="W60" s="188">
        <f>Income_Statement!AB44</f>
        <v>1</v>
      </c>
    </row>
    <row r="61" spans="1:24" x14ac:dyDescent="0.2">
      <c r="A61" s="63" t="str">
        <f>Sources_Uses!G13</f>
        <v>Senior Bank Term "A"</v>
      </c>
      <c r="D61" s="56">
        <v>0</v>
      </c>
      <c r="E61" s="56">
        <v>0</v>
      </c>
      <c r="F61" s="56">
        <v>0</v>
      </c>
      <c r="G61" s="56">
        <v>0</v>
      </c>
      <c r="H61" s="56">
        <v>0</v>
      </c>
      <c r="I61" s="57">
        <f t="shared" si="9"/>
        <v>0</v>
      </c>
      <c r="J61" s="57">
        <f>Sources_Uses!K13</f>
        <v>0</v>
      </c>
      <c r="K61" s="57">
        <f t="shared" si="10"/>
        <v>0</v>
      </c>
      <c r="L61" s="57">
        <f ca="1">K61+Debt_Repayment!D21</f>
        <v>0</v>
      </c>
      <c r="M61" s="57">
        <f ca="1">L61+Debt_Repayment!E21</f>
        <v>0</v>
      </c>
      <c r="N61" s="57">
        <f ca="1">M61+Debt_Repayment!F21</f>
        <v>0</v>
      </c>
      <c r="O61" s="57">
        <f ca="1">N61+Debt_Repayment!G21</f>
        <v>0</v>
      </c>
      <c r="P61" s="57">
        <f ca="1">O61+Debt_Repayment!H21</f>
        <v>0</v>
      </c>
      <c r="Q61" s="57">
        <f ca="1">P61+Debt_Repayment!I21</f>
        <v>0</v>
      </c>
      <c r="R61" s="57">
        <f ca="1">Q61+Debt_Repayment!J21</f>
        <v>0</v>
      </c>
      <c r="S61" s="57">
        <f ca="1">R61+Debt_Repayment!K21</f>
        <v>0</v>
      </c>
      <c r="T61" s="57">
        <f ca="1">S61+Debt_Repayment!L21</f>
        <v>0</v>
      </c>
      <c r="U61" s="57">
        <f ca="1">T61+Debt_Repayment!M21</f>
        <v>0</v>
      </c>
      <c r="W61" s="188">
        <f>Income_Statement!AB45</f>
        <v>1</v>
      </c>
    </row>
    <row r="62" spans="1:24" x14ac:dyDescent="0.2">
      <c r="A62" s="63" t="str">
        <f>Sources_Uses!G14</f>
        <v>Senior Bank Term "B"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7">
        <f t="shared" si="9"/>
        <v>0</v>
      </c>
      <c r="J62" s="57">
        <f>Sources_Uses!K14</f>
        <v>0</v>
      </c>
      <c r="K62" s="57">
        <f t="shared" si="10"/>
        <v>0</v>
      </c>
      <c r="L62" s="57">
        <f ca="1">K62+Debt_Repayment!D25</f>
        <v>0</v>
      </c>
      <c r="M62" s="57">
        <f ca="1">L62+Debt_Repayment!E25</f>
        <v>0</v>
      </c>
      <c r="N62" s="57">
        <f ca="1">M62+Debt_Repayment!F25</f>
        <v>0</v>
      </c>
      <c r="O62" s="57">
        <f ca="1">N62+Debt_Repayment!G25</f>
        <v>0</v>
      </c>
      <c r="P62" s="57">
        <f ca="1">O62+Debt_Repayment!H25</f>
        <v>0</v>
      </c>
      <c r="Q62" s="57">
        <f ca="1">P62+Debt_Repayment!I25</f>
        <v>0</v>
      </c>
      <c r="R62" s="57">
        <f ca="1">Q62+Debt_Repayment!J25</f>
        <v>0</v>
      </c>
      <c r="S62" s="57">
        <f ca="1">R62+Debt_Repayment!K25</f>
        <v>0</v>
      </c>
      <c r="T62" s="57">
        <f ca="1">S62+Debt_Repayment!L25</f>
        <v>0</v>
      </c>
      <c r="U62" s="57">
        <f ca="1">T62+Debt_Repayment!M25</f>
        <v>0</v>
      </c>
      <c r="W62" s="188">
        <f>Income_Statement!AB46</f>
        <v>1</v>
      </c>
    </row>
    <row r="63" spans="1:24" x14ac:dyDescent="0.2">
      <c r="A63" s="63" t="str">
        <f>Sources_Uses!G15</f>
        <v>Other Long-Term Debt</v>
      </c>
      <c r="D63" s="56">
        <v>0</v>
      </c>
      <c r="E63" s="56">
        <v>0</v>
      </c>
      <c r="F63" s="56">
        <v>0</v>
      </c>
      <c r="G63" s="56">
        <v>0</v>
      </c>
      <c r="H63" s="56">
        <v>0</v>
      </c>
      <c r="I63" s="57">
        <f t="shared" si="9"/>
        <v>0</v>
      </c>
      <c r="J63" s="57">
        <f>Sources_Uses!K15</f>
        <v>0</v>
      </c>
      <c r="K63" s="57">
        <f t="shared" si="10"/>
        <v>0</v>
      </c>
      <c r="L63" s="57">
        <f ca="1">K63+Debt_Repayment!D29</f>
        <v>0</v>
      </c>
      <c r="M63" s="57">
        <f ca="1">L63+Debt_Repayment!E29</f>
        <v>0</v>
      </c>
      <c r="N63" s="57">
        <f ca="1">M63+Debt_Repayment!F29</f>
        <v>0</v>
      </c>
      <c r="O63" s="57">
        <f ca="1">N63+Debt_Repayment!G29</f>
        <v>0</v>
      </c>
      <c r="P63" s="57">
        <f ca="1">O63+Debt_Repayment!H29</f>
        <v>0</v>
      </c>
      <c r="Q63" s="57">
        <f ca="1">P63+Debt_Repayment!I29</f>
        <v>0</v>
      </c>
      <c r="R63" s="57">
        <f ca="1">Q63+Debt_Repayment!J29</f>
        <v>0</v>
      </c>
      <c r="S63" s="57">
        <f ca="1">R63+Debt_Repayment!K29</f>
        <v>0</v>
      </c>
      <c r="T63" s="57">
        <f ca="1">S63+Debt_Repayment!L29</f>
        <v>0</v>
      </c>
      <c r="U63" s="57">
        <f ca="1">T63+Debt_Repayment!M29</f>
        <v>0</v>
      </c>
      <c r="W63" s="188">
        <f>Income_Statement!AB47</f>
        <v>0</v>
      </c>
    </row>
    <row r="64" spans="1:24" x14ac:dyDescent="0.2">
      <c r="A64" s="63" t="str">
        <f>Sources_Uses!G16</f>
        <v>Senior Subordinated Debt</v>
      </c>
      <c r="D64" s="56">
        <v>0</v>
      </c>
      <c r="E64" s="56">
        <v>0</v>
      </c>
      <c r="F64" s="56">
        <v>0</v>
      </c>
      <c r="G64" s="56">
        <v>0</v>
      </c>
      <c r="H64" s="56">
        <v>0</v>
      </c>
      <c r="I64" s="57">
        <f t="shared" si="9"/>
        <v>0</v>
      </c>
      <c r="J64" s="57">
        <f>Sources_Uses!K16</f>
        <v>0</v>
      </c>
      <c r="K64" s="57">
        <f t="shared" si="10"/>
        <v>0</v>
      </c>
      <c r="L64" s="57">
        <f ca="1">K64+Debt_Repayment!D33</f>
        <v>0</v>
      </c>
      <c r="M64" s="57">
        <f ca="1">L64+Debt_Repayment!E33</f>
        <v>0</v>
      </c>
      <c r="N64" s="57">
        <f ca="1">M64+Debt_Repayment!F33</f>
        <v>0</v>
      </c>
      <c r="O64" s="57">
        <f ca="1">N64+Debt_Repayment!G33</f>
        <v>0</v>
      </c>
      <c r="P64" s="57">
        <f ca="1">O64+Debt_Repayment!H33</f>
        <v>0</v>
      </c>
      <c r="Q64" s="57">
        <f ca="1">P64+Debt_Repayment!I33</f>
        <v>0</v>
      </c>
      <c r="R64" s="57">
        <f ca="1">Q64+Debt_Repayment!J33</f>
        <v>0</v>
      </c>
      <c r="S64" s="57">
        <f ca="1">R64+Debt_Repayment!K33</f>
        <v>0</v>
      </c>
      <c r="T64" s="57">
        <f ca="1">S64+Debt_Repayment!L33</f>
        <v>0</v>
      </c>
      <c r="U64" s="57">
        <f ca="1">T64+Debt_Repayment!M33</f>
        <v>0</v>
      </c>
      <c r="W64" s="188">
        <f>Income_Statement!AB48</f>
        <v>0</v>
      </c>
    </row>
    <row r="65" spans="1:23" x14ac:dyDescent="0.2">
      <c r="A65" s="63" t="str">
        <f>Sources_Uses!G17</f>
        <v>Junior Subordinated Debt</v>
      </c>
      <c r="D65" s="25">
        <v>0</v>
      </c>
      <c r="E65" s="25">
        <v>0</v>
      </c>
      <c r="F65" s="25">
        <v>0</v>
      </c>
      <c r="G65" s="25">
        <v>0</v>
      </c>
      <c r="H65" s="25">
        <v>0</v>
      </c>
      <c r="I65" s="20">
        <f t="shared" si="9"/>
        <v>0</v>
      </c>
      <c r="J65" s="20">
        <f>Sources_Uses!K17</f>
        <v>0</v>
      </c>
      <c r="K65" s="20">
        <f t="shared" si="10"/>
        <v>0</v>
      </c>
      <c r="L65" s="20">
        <f ca="1">K65+Debt_Repayment!D37+Cash_Flow!D17</f>
        <v>0</v>
      </c>
      <c r="M65" s="20">
        <f ca="1">L65+Debt_Repayment!E37+Cash_Flow!E17</f>
        <v>0</v>
      </c>
      <c r="N65" s="20">
        <f ca="1">M65+Debt_Repayment!F37+Cash_Flow!F17</f>
        <v>0</v>
      </c>
      <c r="O65" s="20">
        <f ca="1">N65+Debt_Repayment!G37+Cash_Flow!G17</f>
        <v>0</v>
      </c>
      <c r="P65" s="20">
        <f ca="1">O65+Debt_Repayment!H37+Cash_Flow!H17</f>
        <v>0</v>
      </c>
      <c r="Q65" s="20">
        <f ca="1">P65+Debt_Repayment!I37+Cash_Flow!I17</f>
        <v>0</v>
      </c>
      <c r="R65" s="20">
        <f ca="1">Q65+Debt_Repayment!J37+Cash_Flow!J17</f>
        <v>0</v>
      </c>
      <c r="S65" s="20">
        <f ca="1">R65+Debt_Repayment!K37+Cash_Flow!K17</f>
        <v>0</v>
      </c>
      <c r="T65" s="20">
        <f ca="1">S65+Debt_Repayment!L37+Cash_Flow!L17</f>
        <v>0</v>
      </c>
      <c r="U65" s="20">
        <f ca="1">T65+Debt_Repayment!M37+Cash_Flow!M17</f>
        <v>0</v>
      </c>
      <c r="W65" s="188">
        <f>Income_Statement!AB49</f>
        <v>0</v>
      </c>
    </row>
    <row r="66" spans="1:23" x14ac:dyDescent="0.2">
      <c r="A66" s="63" t="str">
        <f>Sources_Uses!G18</f>
        <v>Seller Note</v>
      </c>
      <c r="D66" s="34">
        <v>0</v>
      </c>
      <c r="E66" s="34">
        <v>0</v>
      </c>
      <c r="F66" s="34">
        <v>0</v>
      </c>
      <c r="G66" s="34">
        <v>0</v>
      </c>
      <c r="H66" s="34">
        <v>0</v>
      </c>
      <c r="I66" s="58">
        <f t="shared" si="9"/>
        <v>0</v>
      </c>
      <c r="J66" s="58">
        <f>Sources_Uses!K18</f>
        <v>0</v>
      </c>
      <c r="K66" s="58">
        <f t="shared" si="10"/>
        <v>0</v>
      </c>
      <c r="L66" s="58">
        <f ca="1">K66+Debt_Repayment!D41</f>
        <v>0</v>
      </c>
      <c r="M66" s="58">
        <f ca="1">L66+Debt_Repayment!E41</f>
        <v>0</v>
      </c>
      <c r="N66" s="58">
        <f ca="1">M66+Debt_Repayment!F41</f>
        <v>0</v>
      </c>
      <c r="O66" s="58">
        <f ca="1">N66+Debt_Repayment!G41</f>
        <v>0</v>
      </c>
      <c r="P66" s="58">
        <f ca="1">O66+Debt_Repayment!H41</f>
        <v>0</v>
      </c>
      <c r="Q66" s="58">
        <f ca="1">P66+Debt_Repayment!I41</f>
        <v>0</v>
      </c>
      <c r="R66" s="58">
        <f ca="1">Q66+Debt_Repayment!J41</f>
        <v>0</v>
      </c>
      <c r="S66" s="58">
        <f ca="1">R66+Debt_Repayment!K41</f>
        <v>0</v>
      </c>
      <c r="T66" s="58">
        <f ca="1">S66+Debt_Repayment!L41</f>
        <v>0</v>
      </c>
      <c r="U66" s="58">
        <f ca="1">T66+Debt_Repayment!M41</f>
        <v>0</v>
      </c>
      <c r="W66" s="189">
        <f>Income_Statement!AB50</f>
        <v>0</v>
      </c>
    </row>
    <row r="68" spans="1:23" ht="15.75" x14ac:dyDescent="0.25">
      <c r="A68" s="4" t="s">
        <v>119</v>
      </c>
      <c r="D68" s="60">
        <f>SUM(D59:D66)</f>
        <v>0</v>
      </c>
      <c r="E68" s="60">
        <f>SUM(E59:E66)</f>
        <v>0</v>
      </c>
      <c r="F68" s="60">
        <f>SUM(F59:F66)</f>
        <v>0</v>
      </c>
      <c r="G68" s="60">
        <f>SUM(G59:G66)</f>
        <v>0</v>
      </c>
      <c r="H68" s="60">
        <f>SUM(H59:H66)</f>
        <v>0</v>
      </c>
      <c r="I68" s="60"/>
      <c r="J68" s="60"/>
      <c r="K68" s="60">
        <f>SUM(K59:K66)</f>
        <v>0</v>
      </c>
      <c r="L68" s="60">
        <f t="shared" ref="L68:U68" ca="1" si="11">SUM(L59:L66)</f>
        <v>0</v>
      </c>
      <c r="M68" s="60">
        <f t="shared" ca="1" si="11"/>
        <v>0</v>
      </c>
      <c r="N68" s="60">
        <f t="shared" ca="1" si="11"/>
        <v>0</v>
      </c>
      <c r="O68" s="60">
        <f t="shared" ca="1" si="11"/>
        <v>0</v>
      </c>
      <c r="P68" s="60">
        <f t="shared" ca="1" si="11"/>
        <v>0</v>
      </c>
      <c r="Q68" s="60">
        <f t="shared" ca="1" si="11"/>
        <v>0</v>
      </c>
      <c r="R68" s="60">
        <f t="shared" ca="1" si="11"/>
        <v>0</v>
      </c>
      <c r="S68" s="60">
        <f t="shared" ca="1" si="11"/>
        <v>0</v>
      </c>
      <c r="T68" s="60">
        <f t="shared" ca="1" si="11"/>
        <v>0</v>
      </c>
      <c r="U68" s="60">
        <f t="shared" ca="1" si="11"/>
        <v>0</v>
      </c>
    </row>
    <row r="70" spans="1:23" ht="16.5" thickBot="1" x14ac:dyDescent="0.3">
      <c r="A70" s="344" t="s">
        <v>120</v>
      </c>
      <c r="B70" s="344"/>
      <c r="D70" s="61">
        <f>D51+D53+D54+D55+D56+D68</f>
        <v>0</v>
      </c>
      <c r="E70" s="61">
        <f>E51+E53+E54+E55+E56+E68</f>
        <v>0</v>
      </c>
      <c r="F70" s="61">
        <f>F51+F53+F54+F55+F56+F68</f>
        <v>0</v>
      </c>
      <c r="G70" s="61">
        <f>G51+G53+G54+G55+G56+G68</f>
        <v>0</v>
      </c>
      <c r="H70" s="61">
        <f>H51+H53+H54+H55+H56+H68</f>
        <v>0</v>
      </c>
      <c r="I70" s="61"/>
      <c r="J70" s="61"/>
      <c r="K70" s="61">
        <f t="shared" ref="K70:U70" si="12">K51+K53+K54+K55+K56+K68</f>
        <v>0</v>
      </c>
      <c r="L70" s="61">
        <f t="shared" ca="1" si="12"/>
        <v>0</v>
      </c>
      <c r="M70" s="61">
        <f t="shared" ca="1" si="12"/>
        <v>0</v>
      </c>
      <c r="N70" s="61">
        <f t="shared" ca="1" si="12"/>
        <v>0</v>
      </c>
      <c r="O70" s="61">
        <f t="shared" ca="1" si="12"/>
        <v>0</v>
      </c>
      <c r="P70" s="61">
        <f t="shared" ca="1" si="12"/>
        <v>0</v>
      </c>
      <c r="Q70" s="61">
        <f t="shared" ca="1" si="12"/>
        <v>0</v>
      </c>
      <c r="R70" s="61">
        <f t="shared" ca="1" si="12"/>
        <v>0</v>
      </c>
      <c r="S70" s="61">
        <f t="shared" ca="1" si="12"/>
        <v>0</v>
      </c>
      <c r="T70" s="61">
        <f t="shared" ca="1" si="12"/>
        <v>0</v>
      </c>
      <c r="U70" s="61">
        <f t="shared" ca="1" si="12"/>
        <v>0</v>
      </c>
    </row>
    <row r="71" spans="1:23" ht="15.75" thickTop="1" x14ac:dyDescent="0.2"/>
    <row r="72" spans="1:23" ht="15.75" x14ac:dyDescent="0.25">
      <c r="A72" s="4" t="s">
        <v>121</v>
      </c>
    </row>
    <row r="73" spans="1:23" x14ac:dyDescent="0.2">
      <c r="A73" s="63" t="s">
        <v>123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5">
        <f>-H73</f>
        <v>0</v>
      </c>
      <c r="J73" s="55">
        <f>Sources_Uses!K21+Sources_Uses!K22+Sources_Uses!K23</f>
        <v>0</v>
      </c>
      <c r="K73" s="55">
        <f>SUM(H73:J73)</f>
        <v>0</v>
      </c>
      <c r="L73" s="55">
        <f>K73</f>
        <v>0</v>
      </c>
      <c r="M73" s="55">
        <f t="shared" ref="M73:U73" si="13">L73</f>
        <v>0</v>
      </c>
      <c r="N73" s="55">
        <f t="shared" si="13"/>
        <v>0</v>
      </c>
      <c r="O73" s="55">
        <f t="shared" si="13"/>
        <v>0</v>
      </c>
      <c r="P73" s="55">
        <f t="shared" si="13"/>
        <v>0</v>
      </c>
      <c r="Q73" s="55">
        <f t="shared" si="13"/>
        <v>0</v>
      </c>
      <c r="R73" s="55">
        <f t="shared" si="13"/>
        <v>0</v>
      </c>
      <c r="S73" s="55">
        <f t="shared" si="13"/>
        <v>0</v>
      </c>
      <c r="T73" s="55">
        <f t="shared" si="13"/>
        <v>0</v>
      </c>
      <c r="U73" s="55">
        <f t="shared" si="13"/>
        <v>0</v>
      </c>
    </row>
    <row r="74" spans="1:23" x14ac:dyDescent="0.2">
      <c r="A74" s="64" t="s">
        <v>122</v>
      </c>
      <c r="D74" s="25">
        <v>0</v>
      </c>
      <c r="E74" s="25">
        <v>0</v>
      </c>
      <c r="F74" s="25">
        <v>0</v>
      </c>
      <c r="G74" s="25">
        <v>0</v>
      </c>
      <c r="H74" s="25">
        <v>0</v>
      </c>
      <c r="I74" s="20">
        <f>-H74</f>
        <v>0</v>
      </c>
      <c r="J74" s="20">
        <f>Sources_Uses!K19</f>
        <v>0</v>
      </c>
      <c r="K74" s="20">
        <f>SUM(H74:J74)</f>
        <v>0</v>
      </c>
      <c r="L74" s="20">
        <f>K74+Cash_Flow!D18+Debt_Repayment!D44</f>
        <v>0</v>
      </c>
      <c r="M74" s="20">
        <f>L74+Cash_Flow!E18+Debt_Repayment!E44</f>
        <v>0</v>
      </c>
      <c r="N74" s="20">
        <f>M74+Cash_Flow!F18+Debt_Repayment!F44</f>
        <v>0</v>
      </c>
      <c r="O74" s="20">
        <f>N74+Cash_Flow!G18+Debt_Repayment!G44</f>
        <v>0</v>
      </c>
      <c r="P74" s="20">
        <f>O74+Cash_Flow!H18+Debt_Repayment!H44</f>
        <v>0</v>
      </c>
      <c r="Q74" s="20">
        <f>P74+Cash_Flow!I18+Debt_Repayment!I44</f>
        <v>0</v>
      </c>
      <c r="R74" s="20">
        <f>Q74+Cash_Flow!J18+Debt_Repayment!J44</f>
        <v>0</v>
      </c>
      <c r="S74" s="20">
        <f>R74+Cash_Flow!K18+Debt_Repayment!K44</f>
        <v>0</v>
      </c>
      <c r="T74" s="20">
        <f>S74+Cash_Flow!L18+Debt_Repayment!L44</f>
        <v>0</v>
      </c>
      <c r="U74" s="20">
        <f>T74+Cash_Flow!M18+Debt_Repayment!M44</f>
        <v>0</v>
      </c>
    </row>
    <row r="75" spans="1:23" x14ac:dyDescent="0.2">
      <c r="A75" s="63" t="s">
        <v>124</v>
      </c>
      <c r="D75" s="34">
        <v>0</v>
      </c>
      <c r="E75" s="34">
        <v>0</v>
      </c>
      <c r="F75" s="34">
        <v>0</v>
      </c>
      <c r="G75" s="34">
        <v>0</v>
      </c>
      <c r="H75" s="34">
        <v>0</v>
      </c>
      <c r="I75" s="58">
        <f>-H75</f>
        <v>0</v>
      </c>
      <c r="J75" s="34">
        <v>0</v>
      </c>
      <c r="K75" s="58">
        <f>SUM(H75:J75)</f>
        <v>0</v>
      </c>
      <c r="L75" s="58">
        <f ca="1">K75+Income_Statement!J64</f>
        <v>0</v>
      </c>
      <c r="M75" s="58">
        <f ca="1">L75+Income_Statement!K64</f>
        <v>0</v>
      </c>
      <c r="N75" s="58">
        <f ca="1">M75+Income_Statement!L64</f>
        <v>0</v>
      </c>
      <c r="O75" s="58">
        <f ca="1">N75+Income_Statement!M64</f>
        <v>0</v>
      </c>
      <c r="P75" s="58">
        <f ca="1">O75+Income_Statement!N64</f>
        <v>0</v>
      </c>
      <c r="Q75" s="58">
        <f ca="1">P75+Income_Statement!O64</f>
        <v>0</v>
      </c>
      <c r="R75" s="58">
        <f ca="1">Q75+Income_Statement!P64</f>
        <v>0</v>
      </c>
      <c r="S75" s="58">
        <f ca="1">R75+Income_Statement!Q64</f>
        <v>0</v>
      </c>
      <c r="T75" s="58">
        <f ca="1">S75+Income_Statement!R64</f>
        <v>0</v>
      </c>
      <c r="U75" s="58">
        <f ca="1">T75+Income_Statement!S64</f>
        <v>0</v>
      </c>
    </row>
    <row r="77" spans="1:23" ht="16.5" thickBot="1" x14ac:dyDescent="0.3">
      <c r="A77" s="344" t="s">
        <v>126</v>
      </c>
      <c r="B77" s="344"/>
      <c r="D77" s="61">
        <f>SUM(D73:D75)</f>
        <v>0</v>
      </c>
      <c r="E77" s="61">
        <f>SUM(E73:E75)</f>
        <v>0</v>
      </c>
      <c r="F77" s="61">
        <f>SUM(F73:F75)</f>
        <v>0</v>
      </c>
      <c r="G77" s="61">
        <f>SUM(G73:G75)</f>
        <v>0</v>
      </c>
      <c r="H77" s="61">
        <f>SUM(H73:H75)</f>
        <v>0</v>
      </c>
      <c r="I77" s="62"/>
      <c r="J77" s="62"/>
      <c r="K77" s="61">
        <f t="shared" ref="K77:U77" si="14">SUM(K73:K75)</f>
        <v>0</v>
      </c>
      <c r="L77" s="61">
        <f t="shared" ca="1" si="14"/>
        <v>0</v>
      </c>
      <c r="M77" s="61">
        <f t="shared" ca="1" si="14"/>
        <v>0</v>
      </c>
      <c r="N77" s="61">
        <f t="shared" ca="1" si="14"/>
        <v>0</v>
      </c>
      <c r="O77" s="61">
        <f t="shared" ca="1" si="14"/>
        <v>0</v>
      </c>
      <c r="P77" s="61">
        <f t="shared" ca="1" si="14"/>
        <v>0</v>
      </c>
      <c r="Q77" s="61">
        <f t="shared" ca="1" si="14"/>
        <v>0</v>
      </c>
      <c r="R77" s="61">
        <f t="shared" ca="1" si="14"/>
        <v>0</v>
      </c>
      <c r="S77" s="61">
        <f t="shared" ca="1" si="14"/>
        <v>0</v>
      </c>
      <c r="T77" s="61">
        <f t="shared" ca="1" si="14"/>
        <v>0</v>
      </c>
      <c r="U77" s="61">
        <f t="shared" ca="1" si="14"/>
        <v>0</v>
      </c>
    </row>
    <row r="78" spans="1:23" ht="15.75" thickTop="1" x14ac:dyDescent="0.2"/>
    <row r="80" spans="1:23" ht="16.5" thickBot="1" x14ac:dyDescent="0.3">
      <c r="A80" s="344" t="s">
        <v>125</v>
      </c>
      <c r="B80" s="344"/>
      <c r="D80" s="65">
        <f>D77+D70</f>
        <v>0</v>
      </c>
      <c r="E80" s="65">
        <f>E77+E70</f>
        <v>0</v>
      </c>
      <c r="F80" s="65">
        <f>F77+F70</f>
        <v>0</v>
      </c>
      <c r="G80" s="65">
        <f>G77+G70</f>
        <v>0</v>
      </c>
      <c r="H80" s="65">
        <f>H77+H70</f>
        <v>0</v>
      </c>
      <c r="I80" s="66"/>
      <c r="J80" s="66"/>
      <c r="K80" s="65">
        <f>K77+K70</f>
        <v>0</v>
      </c>
      <c r="L80" s="65">
        <f t="shared" ref="L80:U80" ca="1" si="15">L77+L70</f>
        <v>0</v>
      </c>
      <c r="M80" s="65">
        <f t="shared" ca="1" si="15"/>
        <v>0</v>
      </c>
      <c r="N80" s="65">
        <f t="shared" ca="1" si="15"/>
        <v>0</v>
      </c>
      <c r="O80" s="65">
        <f t="shared" ca="1" si="15"/>
        <v>0</v>
      </c>
      <c r="P80" s="65">
        <f t="shared" ca="1" si="15"/>
        <v>0</v>
      </c>
      <c r="Q80" s="65">
        <f t="shared" ca="1" si="15"/>
        <v>0</v>
      </c>
      <c r="R80" s="65">
        <f t="shared" ca="1" si="15"/>
        <v>0</v>
      </c>
      <c r="S80" s="65">
        <f t="shared" ca="1" si="15"/>
        <v>0</v>
      </c>
      <c r="T80" s="65">
        <f t="shared" ca="1" si="15"/>
        <v>0</v>
      </c>
      <c r="U80" s="65">
        <f t="shared" ca="1" si="15"/>
        <v>0</v>
      </c>
    </row>
    <row r="81" spans="1:21" ht="15.75" thickTop="1" x14ac:dyDescent="0.2"/>
    <row r="82" spans="1:21" x14ac:dyDescent="0.2">
      <c r="A82" s="1" t="s">
        <v>127</v>
      </c>
      <c r="D82" s="55">
        <f>ROUND(D36-D80,1)</f>
        <v>0</v>
      </c>
      <c r="E82" s="55">
        <f>ROUND(E36-E80,1)</f>
        <v>0</v>
      </c>
      <c r="F82" s="55">
        <f>ROUND(F36-F80,1)</f>
        <v>0</v>
      </c>
      <c r="G82" s="55">
        <f>ROUND(G36-G80,1)</f>
        <v>0</v>
      </c>
      <c r="H82" s="55">
        <f>ROUND(H36-H80,1)</f>
        <v>0</v>
      </c>
      <c r="K82" s="55">
        <f t="shared" ref="K82:U82" si="16">ROUND(K36-K80,1)</f>
        <v>0</v>
      </c>
      <c r="L82" s="55">
        <f t="shared" ca="1" si="16"/>
        <v>0</v>
      </c>
      <c r="M82" s="55">
        <f t="shared" ca="1" si="16"/>
        <v>0</v>
      </c>
      <c r="N82" s="55">
        <f t="shared" ca="1" si="16"/>
        <v>0</v>
      </c>
      <c r="O82" s="55">
        <f t="shared" ca="1" si="16"/>
        <v>0</v>
      </c>
      <c r="P82" s="55">
        <f t="shared" ca="1" si="16"/>
        <v>0</v>
      </c>
      <c r="Q82" s="55">
        <f t="shared" ca="1" si="16"/>
        <v>0</v>
      </c>
      <c r="R82" s="55">
        <f t="shared" ca="1" si="16"/>
        <v>0</v>
      </c>
      <c r="S82" s="55">
        <f t="shared" ca="1" si="16"/>
        <v>0</v>
      </c>
      <c r="T82" s="55">
        <f t="shared" ca="1" si="16"/>
        <v>0</v>
      </c>
      <c r="U82" s="55">
        <f t="shared" ca="1" si="16"/>
        <v>0</v>
      </c>
    </row>
    <row r="83" spans="1:21" x14ac:dyDescent="0.2">
      <c r="A83" s="259" t="str">
        <f ca="1">IF(SUM(D82:U82)=0,"Model Is Balanced","Model Not In Balance")</f>
        <v>Model Is Balanced</v>
      </c>
    </row>
    <row r="84" spans="1:21" ht="15.75" x14ac:dyDescent="0.25">
      <c r="A84" s="184" t="s">
        <v>330</v>
      </c>
      <c r="B84" s="185"/>
      <c r="C84" s="185"/>
      <c r="D84" s="186">
        <f>SUMIF($W$59:$W$66,1,D59:D66)</f>
        <v>0</v>
      </c>
      <c r="E84" s="186">
        <f>SUMIF($W$59:$W$66,1,E59:E66)</f>
        <v>0</v>
      </c>
      <c r="F84" s="186">
        <f>SUMIF($W$59:$W$66,1,F59:F66)</f>
        <v>0</v>
      </c>
      <c r="G84" s="186">
        <f>SUMIF($W$59:$W$66,1,G59:G66)</f>
        <v>0</v>
      </c>
      <c r="H84" s="186">
        <f>SUMIF($W$59:$W$66,1,H59:H66)</f>
        <v>0</v>
      </c>
      <c r="I84" s="185"/>
      <c r="J84" s="185"/>
      <c r="K84" s="186">
        <f t="shared" ref="K84:U84" si="17">SUMIF($W$59:$W$66,1,K59:K66)</f>
        <v>0</v>
      </c>
      <c r="L84" s="186">
        <f t="shared" ca="1" si="17"/>
        <v>0</v>
      </c>
      <c r="M84" s="186">
        <f t="shared" ca="1" si="17"/>
        <v>0</v>
      </c>
      <c r="N84" s="186">
        <f t="shared" ca="1" si="17"/>
        <v>0</v>
      </c>
      <c r="O84" s="186">
        <f t="shared" ca="1" si="17"/>
        <v>0</v>
      </c>
      <c r="P84" s="186">
        <f t="shared" ca="1" si="17"/>
        <v>0</v>
      </c>
      <c r="Q84" s="186">
        <f t="shared" ca="1" si="17"/>
        <v>0</v>
      </c>
      <c r="R84" s="186">
        <f t="shared" ca="1" si="17"/>
        <v>0</v>
      </c>
      <c r="S84" s="186">
        <f t="shared" ca="1" si="17"/>
        <v>0</v>
      </c>
      <c r="T84" s="186">
        <f t="shared" ca="1" si="17"/>
        <v>0</v>
      </c>
      <c r="U84" s="186">
        <f t="shared" ca="1" si="17"/>
        <v>0</v>
      </c>
    </row>
    <row r="86" spans="1:21" ht="15.75" x14ac:dyDescent="0.25">
      <c r="A86" s="184" t="s">
        <v>345</v>
      </c>
      <c r="B86" s="185"/>
      <c r="C86" s="185"/>
      <c r="D86" s="186">
        <f>D68+D77</f>
        <v>0</v>
      </c>
      <c r="E86" s="186">
        <f>E68+E77</f>
        <v>0</v>
      </c>
      <c r="F86" s="186">
        <f>F68+F77</f>
        <v>0</v>
      </c>
      <c r="G86" s="186">
        <f>G68+G77</f>
        <v>0</v>
      </c>
      <c r="H86" s="186">
        <f>H68+H77</f>
        <v>0</v>
      </c>
      <c r="I86" s="185"/>
      <c r="J86" s="185"/>
      <c r="K86" s="186">
        <f t="shared" ref="K86:U86" si="18">K68+K77</f>
        <v>0</v>
      </c>
      <c r="L86" s="186">
        <f t="shared" ca="1" si="18"/>
        <v>0</v>
      </c>
      <c r="M86" s="186">
        <f t="shared" ca="1" si="18"/>
        <v>0</v>
      </c>
      <c r="N86" s="186">
        <f t="shared" ca="1" si="18"/>
        <v>0</v>
      </c>
      <c r="O86" s="186">
        <f t="shared" ca="1" si="18"/>
        <v>0</v>
      </c>
      <c r="P86" s="186">
        <f t="shared" ca="1" si="18"/>
        <v>0</v>
      </c>
      <c r="Q86" s="186">
        <f t="shared" ca="1" si="18"/>
        <v>0</v>
      </c>
      <c r="R86" s="186">
        <f t="shared" ca="1" si="18"/>
        <v>0</v>
      </c>
      <c r="S86" s="186">
        <f t="shared" ca="1" si="18"/>
        <v>0</v>
      </c>
      <c r="T86" s="186">
        <f t="shared" ca="1" si="18"/>
        <v>0</v>
      </c>
      <c r="U86" s="186">
        <f t="shared" ca="1" si="18"/>
        <v>0</v>
      </c>
    </row>
    <row r="88" spans="1:21" x14ac:dyDescent="0.2">
      <c r="M88" s="55"/>
      <c r="N88" s="55"/>
      <c r="O88" s="55"/>
      <c r="P88" s="55"/>
      <c r="Q88" s="55"/>
      <c r="R88" s="55"/>
      <c r="S88" s="55"/>
      <c r="T88" s="55"/>
      <c r="U88" s="55"/>
    </row>
  </sheetData>
  <mergeCells count="12">
    <mergeCell ref="A36:B36"/>
    <mergeCell ref="A70:B70"/>
    <mergeCell ref="D39:H39"/>
    <mergeCell ref="L39:U39"/>
    <mergeCell ref="A80:B80"/>
    <mergeCell ref="A77:B77"/>
    <mergeCell ref="A40:B40"/>
    <mergeCell ref="A2:S2"/>
    <mergeCell ref="A3:S3"/>
    <mergeCell ref="D7:H7"/>
    <mergeCell ref="L7:U7"/>
    <mergeCell ref="A9:B9"/>
  </mergeCells>
  <phoneticPr fontId="0" type="noConversion"/>
  <printOptions horizontalCentered="1" verticalCentered="1"/>
  <pageMargins left="0.75" right="0.75" top="1" bottom="1" header="0.5" footer="0.5"/>
  <pageSetup scale="44" orientation="landscape" horizontalDpi="300" verticalDpi="300" r:id="rId1"/>
  <headerFooter alignWithMargins="0">
    <oddHeader>&amp;L&amp;D&amp;T&amp;C&amp;P&amp;N&amp;R&amp;F&amp;A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B68"/>
  <sheetViews>
    <sheetView zoomScale="75" zoomScaleNormal="75" workbookViewId="0">
      <pane xSplit="3" ySplit="8" topLeftCell="D9" activePane="bottomRight" state="frozen"/>
      <selection activeCell="D6" sqref="D6"/>
      <selection pane="topRight" activeCell="D6" sqref="D6"/>
      <selection pane="bottomLeft" activeCell="D6" sqref="D6"/>
      <selection pane="bottomRight" activeCell="D9" sqref="D9"/>
    </sheetView>
  </sheetViews>
  <sheetFormatPr defaultRowHeight="15" outlineLevelRow="1" x14ac:dyDescent="0.2"/>
  <cols>
    <col min="1" max="3" width="12.5703125" style="1" customWidth="1"/>
    <col min="4" max="5" width="10.140625" style="1" customWidth="1"/>
    <col min="6" max="6" width="9.5703125" style="1" customWidth="1"/>
    <col min="7" max="7" width="10.85546875" style="1" customWidth="1"/>
    <col min="8" max="8" width="10.7109375" style="1" customWidth="1"/>
    <col min="9" max="9" width="3" style="1" customWidth="1"/>
    <col min="10" max="19" width="12.5703125" style="1" customWidth="1"/>
    <col min="20" max="20" width="3.42578125" style="1" customWidth="1"/>
    <col min="21" max="21" width="13.42578125" style="1" customWidth="1"/>
    <col min="22" max="22" width="5.28515625" style="1" customWidth="1"/>
    <col min="23" max="23" width="3.28515625" style="1" customWidth="1"/>
    <col min="24" max="24" width="12.7109375" style="1" customWidth="1"/>
    <col min="25" max="25" width="3.42578125" style="1" customWidth="1"/>
    <col min="26" max="26" width="13" style="1" customWidth="1"/>
    <col min="27" max="27" width="2.140625" style="1" customWidth="1"/>
    <col min="28" max="28" width="15.7109375" style="1" customWidth="1"/>
    <col min="29" max="16384" width="9.140625" style="1"/>
  </cols>
  <sheetData>
    <row r="1" spans="1:25" ht="20.25" customHeight="1" x14ac:dyDescent="0.25">
      <c r="A1" s="257" t="str">
        <f ca="1">Balance_Sheet!A1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5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25" s="231" customFormat="1" ht="20.25" x14ac:dyDescent="0.3">
      <c r="A3" s="342" t="s">
        <v>139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</row>
    <row r="4" spans="1:25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25" ht="15.75" x14ac:dyDescent="0.25">
      <c r="A5" s="4" t="str">
        <f ca="1">"Performance Case: "&amp;Sources_Uses!M44</f>
        <v>Performance Case: Base</v>
      </c>
    </row>
    <row r="6" spans="1:25" x14ac:dyDescent="0.2">
      <c r="A6" s="1" t="str">
        <f>Sources_Uses!B7</f>
        <v>(FYE January; $ in millions)</v>
      </c>
    </row>
    <row r="7" spans="1:25" x14ac:dyDescent="0.2">
      <c r="D7" s="343" t="s">
        <v>62</v>
      </c>
      <c r="E7" s="343"/>
      <c r="F7" s="343"/>
      <c r="G7" s="343"/>
      <c r="H7" s="343"/>
      <c r="J7" s="343" t="s">
        <v>68</v>
      </c>
      <c r="K7" s="343"/>
      <c r="L7" s="343"/>
      <c r="M7" s="343"/>
      <c r="N7" s="343"/>
      <c r="O7" s="343"/>
      <c r="P7" s="343"/>
      <c r="Q7" s="343"/>
      <c r="R7" s="343"/>
      <c r="S7" s="343"/>
      <c r="T7" s="46"/>
      <c r="Y7" s="46"/>
    </row>
    <row r="8" spans="1:25" ht="15.75" x14ac:dyDescent="0.25">
      <c r="A8" s="344"/>
      <c r="B8" s="344"/>
      <c r="D8" s="5">
        <f>Balance_Sheet!D8</f>
        <v>1995</v>
      </c>
      <c r="E8" s="6">
        <f>D8+1</f>
        <v>1996</v>
      </c>
      <c r="F8" s="6">
        <f>E8+1</f>
        <v>1997</v>
      </c>
      <c r="G8" s="6">
        <f>F8+1</f>
        <v>1998</v>
      </c>
      <c r="H8" s="7">
        <f>G8+1</f>
        <v>1999</v>
      </c>
      <c r="J8" s="5">
        <f>H8+1</f>
        <v>2000</v>
      </c>
      <c r="K8" s="6">
        <f>J8+1</f>
        <v>2001</v>
      </c>
      <c r="L8" s="6">
        <f t="shared" ref="L8:S8" si="0">K8+1</f>
        <v>2002</v>
      </c>
      <c r="M8" s="6">
        <f t="shared" si="0"/>
        <v>2003</v>
      </c>
      <c r="N8" s="6">
        <f t="shared" si="0"/>
        <v>2004</v>
      </c>
      <c r="O8" s="6">
        <f t="shared" si="0"/>
        <v>2005</v>
      </c>
      <c r="P8" s="6">
        <f t="shared" si="0"/>
        <v>2006</v>
      </c>
      <c r="Q8" s="6">
        <f t="shared" si="0"/>
        <v>2007</v>
      </c>
      <c r="R8" s="6">
        <f t="shared" si="0"/>
        <v>2008</v>
      </c>
      <c r="S8" s="7">
        <f t="shared" si="0"/>
        <v>2009</v>
      </c>
      <c r="T8" s="8"/>
      <c r="Y8" s="8"/>
    </row>
    <row r="10" spans="1:25" ht="15.75" x14ac:dyDescent="0.25">
      <c r="A10" s="165" t="s">
        <v>140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J10" s="55">
        <f ca="1">H10*(1+Inc_Stmt_Assumptions!J10)</f>
        <v>0</v>
      </c>
      <c r="K10" s="55">
        <f ca="1">J10*(1+Inc_Stmt_Assumptions!K10)</f>
        <v>0</v>
      </c>
      <c r="L10" s="55">
        <f ca="1">K10*(1+Inc_Stmt_Assumptions!L10)</f>
        <v>0</v>
      </c>
      <c r="M10" s="55">
        <f ca="1">L10*(1+Inc_Stmt_Assumptions!M10)</f>
        <v>0</v>
      </c>
      <c r="N10" s="55">
        <f ca="1">M10*(1+Inc_Stmt_Assumptions!N10)</f>
        <v>0</v>
      </c>
      <c r="O10" s="55">
        <f ca="1">N10*(1+Inc_Stmt_Assumptions!O10)</f>
        <v>0</v>
      </c>
      <c r="P10" s="55">
        <f ca="1">O10*(1+Inc_Stmt_Assumptions!P10)</f>
        <v>0</v>
      </c>
      <c r="Q10" s="55">
        <f ca="1">P10*(1+Inc_Stmt_Assumptions!Q10)</f>
        <v>0</v>
      </c>
      <c r="R10" s="55">
        <f ca="1">Q10*(1+Inc_Stmt_Assumptions!R10)</f>
        <v>0</v>
      </c>
      <c r="S10" s="55">
        <f ca="1">R10*(1+Inc_Stmt_Assumptions!S10)</f>
        <v>0</v>
      </c>
      <c r="T10" s="55"/>
      <c r="Y10" s="55"/>
    </row>
    <row r="11" spans="1:25" x14ac:dyDescent="0.2">
      <c r="A11" s="59"/>
    </row>
    <row r="12" spans="1:25" x14ac:dyDescent="0.2">
      <c r="A12" s="59" t="s">
        <v>141</v>
      </c>
      <c r="D12" s="34">
        <v>0</v>
      </c>
      <c r="E12" s="34">
        <v>0</v>
      </c>
      <c r="F12" s="34">
        <v>0</v>
      </c>
      <c r="G12" s="34">
        <v>0</v>
      </c>
      <c r="H12" s="34">
        <v>0</v>
      </c>
      <c r="J12" s="58">
        <f ca="1">J10*Inc_Stmt_Assumptions!J12</f>
        <v>0</v>
      </c>
      <c r="K12" s="58">
        <f ca="1">K10*Inc_Stmt_Assumptions!K12</f>
        <v>0</v>
      </c>
      <c r="L12" s="58">
        <f ca="1">L10*Inc_Stmt_Assumptions!L12</f>
        <v>0</v>
      </c>
      <c r="M12" s="58">
        <f ca="1">M10*Inc_Stmt_Assumptions!M12</f>
        <v>0</v>
      </c>
      <c r="N12" s="58">
        <f ca="1">N10*Inc_Stmt_Assumptions!N12</f>
        <v>0</v>
      </c>
      <c r="O12" s="58">
        <f ca="1">O10*Inc_Stmt_Assumptions!O12</f>
        <v>0</v>
      </c>
      <c r="P12" s="58">
        <f ca="1">P10*Inc_Stmt_Assumptions!P12</f>
        <v>0</v>
      </c>
      <c r="Q12" s="58">
        <f ca="1">Q10*Inc_Stmt_Assumptions!Q12</f>
        <v>0</v>
      </c>
      <c r="R12" s="58">
        <f ca="1">R10*Inc_Stmt_Assumptions!R12</f>
        <v>0</v>
      </c>
      <c r="S12" s="58">
        <f ca="1">S10*Inc_Stmt_Assumptions!S12</f>
        <v>0</v>
      </c>
      <c r="T12" s="20"/>
      <c r="Y12" s="20"/>
    </row>
    <row r="14" spans="1:25" x14ac:dyDescent="0.2">
      <c r="A14" s="59" t="s">
        <v>72</v>
      </c>
      <c r="D14" s="57">
        <f>D10-D12</f>
        <v>0</v>
      </c>
      <c r="E14" s="57">
        <f>E10-E12</f>
        <v>0</v>
      </c>
      <c r="F14" s="57">
        <f>F10-F12</f>
        <v>0</v>
      </c>
      <c r="G14" s="57">
        <f>G10-G12</f>
        <v>0</v>
      </c>
      <c r="H14" s="57">
        <f>H10-H12</f>
        <v>0</v>
      </c>
      <c r="J14" s="57">
        <f t="shared" ref="J14:S14" ca="1" si="1">J10-J12</f>
        <v>0</v>
      </c>
      <c r="K14" s="57">
        <f t="shared" ca="1" si="1"/>
        <v>0</v>
      </c>
      <c r="L14" s="57">
        <f t="shared" ca="1" si="1"/>
        <v>0</v>
      </c>
      <c r="M14" s="57">
        <f t="shared" ca="1" si="1"/>
        <v>0</v>
      </c>
      <c r="N14" s="57">
        <f t="shared" ca="1" si="1"/>
        <v>0</v>
      </c>
      <c r="O14" s="57">
        <f t="shared" ca="1" si="1"/>
        <v>0</v>
      </c>
      <c r="P14" s="57">
        <f t="shared" ca="1" si="1"/>
        <v>0</v>
      </c>
      <c r="Q14" s="57">
        <f t="shared" ca="1" si="1"/>
        <v>0</v>
      </c>
      <c r="R14" s="57">
        <f t="shared" ca="1" si="1"/>
        <v>0</v>
      </c>
      <c r="S14" s="57">
        <f t="shared" ca="1" si="1"/>
        <v>0</v>
      </c>
      <c r="T14" s="57"/>
      <c r="Y14" s="57"/>
    </row>
    <row r="16" spans="1:25" ht="15.75" x14ac:dyDescent="0.25">
      <c r="A16" s="4" t="s">
        <v>142</v>
      </c>
    </row>
    <row r="17" spans="1:25" x14ac:dyDescent="0.2">
      <c r="A17" s="53" t="s">
        <v>74</v>
      </c>
      <c r="D17" s="56">
        <v>0</v>
      </c>
      <c r="E17" s="56">
        <v>0</v>
      </c>
      <c r="F17" s="56">
        <v>0</v>
      </c>
      <c r="G17" s="56">
        <v>0</v>
      </c>
      <c r="H17" s="56">
        <v>0</v>
      </c>
      <c r="J17" s="57">
        <f ca="1">$J$10*Inc_Stmt_Assumptions!J17</f>
        <v>0</v>
      </c>
      <c r="K17" s="57">
        <f ca="1">$J$10*Inc_Stmt_Assumptions!K17</f>
        <v>0</v>
      </c>
      <c r="L17" s="57">
        <f ca="1">$J$10*Inc_Stmt_Assumptions!L17</f>
        <v>0</v>
      </c>
      <c r="M17" s="57">
        <f ca="1">$J$10*Inc_Stmt_Assumptions!M17</f>
        <v>0</v>
      </c>
      <c r="N17" s="57">
        <f ca="1">$J$10*Inc_Stmt_Assumptions!N17</f>
        <v>0</v>
      </c>
      <c r="O17" s="57">
        <f ca="1">$J$10*Inc_Stmt_Assumptions!O17</f>
        <v>0</v>
      </c>
      <c r="P17" s="57">
        <f ca="1">$J$10*Inc_Stmt_Assumptions!P17</f>
        <v>0</v>
      </c>
      <c r="Q17" s="57">
        <f ca="1">$J$10*Inc_Stmt_Assumptions!Q17</f>
        <v>0</v>
      </c>
      <c r="R17" s="57">
        <f ca="1">$J$10*Inc_Stmt_Assumptions!R17</f>
        <v>0</v>
      </c>
      <c r="S17" s="57">
        <f ca="1">$J$10*Inc_Stmt_Assumptions!S17</f>
        <v>0</v>
      </c>
      <c r="T17" s="57"/>
      <c r="Y17" s="57"/>
    </row>
    <row r="18" spans="1:25" x14ac:dyDescent="0.2">
      <c r="A18" s="53" t="s">
        <v>406</v>
      </c>
      <c r="D18" s="56">
        <v>0</v>
      </c>
      <c r="E18" s="56">
        <v>0</v>
      </c>
      <c r="F18" s="56">
        <v>0</v>
      </c>
      <c r="G18" s="56">
        <v>0</v>
      </c>
      <c r="H18" s="56">
        <v>0</v>
      </c>
      <c r="J18" s="57">
        <f ca="1">$J$10*Inc_Stmt_Assumptions!J18</f>
        <v>0</v>
      </c>
      <c r="K18" s="57">
        <f ca="1">$J$10*Inc_Stmt_Assumptions!K18</f>
        <v>0</v>
      </c>
      <c r="L18" s="57">
        <f ca="1">$J$10*Inc_Stmt_Assumptions!L18</f>
        <v>0</v>
      </c>
      <c r="M18" s="57">
        <f ca="1">$J$10*Inc_Stmt_Assumptions!M18</f>
        <v>0</v>
      </c>
      <c r="N18" s="57">
        <f ca="1">$J$10*Inc_Stmt_Assumptions!N18</f>
        <v>0</v>
      </c>
      <c r="O18" s="57">
        <f ca="1">$J$10*Inc_Stmt_Assumptions!O18</f>
        <v>0</v>
      </c>
      <c r="P18" s="57">
        <f ca="1">$J$10*Inc_Stmt_Assumptions!P18</f>
        <v>0</v>
      </c>
      <c r="Q18" s="57">
        <f ca="1">$J$10*Inc_Stmt_Assumptions!Q18</f>
        <v>0</v>
      </c>
      <c r="R18" s="57">
        <f ca="1">$J$10*Inc_Stmt_Assumptions!R18</f>
        <v>0</v>
      </c>
      <c r="S18" s="57">
        <f ca="1">$J$10*Inc_Stmt_Assumptions!S18</f>
        <v>0</v>
      </c>
      <c r="T18" s="57"/>
      <c r="Y18" s="57"/>
    </row>
    <row r="19" spans="1:25" x14ac:dyDescent="0.2">
      <c r="A19" s="53" t="s">
        <v>407</v>
      </c>
      <c r="D19" s="56">
        <v>0</v>
      </c>
      <c r="E19" s="56">
        <v>0</v>
      </c>
      <c r="F19" s="56">
        <v>0</v>
      </c>
      <c r="G19" s="56">
        <v>0</v>
      </c>
      <c r="H19" s="56">
        <v>0</v>
      </c>
      <c r="J19" s="57">
        <f ca="1">$J$10*Inc_Stmt_Assumptions!J19</f>
        <v>0</v>
      </c>
      <c r="K19" s="57">
        <f ca="1">$J$10*Inc_Stmt_Assumptions!K19</f>
        <v>0</v>
      </c>
      <c r="L19" s="57">
        <f ca="1">$J$10*Inc_Stmt_Assumptions!L19</f>
        <v>0</v>
      </c>
      <c r="M19" s="57">
        <f ca="1">$J$10*Inc_Stmt_Assumptions!M19</f>
        <v>0</v>
      </c>
      <c r="N19" s="57">
        <f ca="1">$J$10*Inc_Stmt_Assumptions!N19</f>
        <v>0</v>
      </c>
      <c r="O19" s="57">
        <f ca="1">$J$10*Inc_Stmt_Assumptions!O19</f>
        <v>0</v>
      </c>
      <c r="P19" s="57">
        <f ca="1">$J$10*Inc_Stmt_Assumptions!P19</f>
        <v>0</v>
      </c>
      <c r="Q19" s="57">
        <f ca="1">$J$10*Inc_Stmt_Assumptions!Q19</f>
        <v>0</v>
      </c>
      <c r="R19" s="57">
        <f ca="1">$J$10*Inc_Stmt_Assumptions!R19</f>
        <v>0</v>
      </c>
      <c r="S19" s="57">
        <f ca="1">$J$10*Inc_Stmt_Assumptions!S19</f>
        <v>0</v>
      </c>
      <c r="T19" s="57"/>
      <c r="Y19" s="57"/>
    </row>
    <row r="20" spans="1:25" x14ac:dyDescent="0.2">
      <c r="A20" s="53" t="s">
        <v>408</v>
      </c>
      <c r="D20" s="56">
        <v>0</v>
      </c>
      <c r="E20" s="56">
        <v>0</v>
      </c>
      <c r="F20" s="56">
        <v>0</v>
      </c>
      <c r="G20" s="56">
        <v>0</v>
      </c>
      <c r="H20" s="56">
        <v>0</v>
      </c>
      <c r="J20" s="57">
        <f ca="1">$J$10*Inc_Stmt_Assumptions!J20</f>
        <v>0</v>
      </c>
      <c r="K20" s="57">
        <f ca="1">$J$10*Inc_Stmt_Assumptions!K20</f>
        <v>0</v>
      </c>
      <c r="L20" s="57">
        <f ca="1">$J$10*Inc_Stmt_Assumptions!L20</f>
        <v>0</v>
      </c>
      <c r="M20" s="57">
        <f ca="1">$J$10*Inc_Stmt_Assumptions!M20</f>
        <v>0</v>
      </c>
      <c r="N20" s="57">
        <f ca="1">$J$10*Inc_Stmt_Assumptions!N20</f>
        <v>0</v>
      </c>
      <c r="O20" s="57">
        <f ca="1">$J$10*Inc_Stmt_Assumptions!O20</f>
        <v>0</v>
      </c>
      <c r="P20" s="57">
        <f ca="1">$J$10*Inc_Stmt_Assumptions!P20</f>
        <v>0</v>
      </c>
      <c r="Q20" s="57">
        <f ca="1">$J$10*Inc_Stmt_Assumptions!Q20</f>
        <v>0</v>
      </c>
      <c r="R20" s="57">
        <f ca="1">$J$10*Inc_Stmt_Assumptions!R20</f>
        <v>0</v>
      </c>
      <c r="S20" s="57">
        <f ca="1">$J$10*Inc_Stmt_Assumptions!S20</f>
        <v>0</v>
      </c>
      <c r="T20" s="57"/>
      <c r="Y20" s="57"/>
    </row>
    <row r="21" spans="1:25" x14ac:dyDescent="0.2">
      <c r="A21" s="53" t="s">
        <v>75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J21" s="58">
        <f ca="1">$J$10*Inc_Stmt_Assumptions!J21</f>
        <v>0</v>
      </c>
      <c r="K21" s="58">
        <f ca="1">$J$10*Inc_Stmt_Assumptions!K21</f>
        <v>0</v>
      </c>
      <c r="L21" s="58">
        <f ca="1">$J$10*Inc_Stmt_Assumptions!L21</f>
        <v>0</v>
      </c>
      <c r="M21" s="58">
        <f ca="1">$J$10*Inc_Stmt_Assumptions!M21</f>
        <v>0</v>
      </c>
      <c r="N21" s="58">
        <f ca="1">$J$10*Inc_Stmt_Assumptions!N21</f>
        <v>0</v>
      </c>
      <c r="O21" s="58">
        <f ca="1">$J$10*Inc_Stmt_Assumptions!O21</f>
        <v>0</v>
      </c>
      <c r="P21" s="58">
        <f ca="1">$J$10*Inc_Stmt_Assumptions!P21</f>
        <v>0</v>
      </c>
      <c r="Q21" s="58">
        <f ca="1">$J$10*Inc_Stmt_Assumptions!Q21</f>
        <v>0</v>
      </c>
      <c r="R21" s="58">
        <f ca="1">$J$10*Inc_Stmt_Assumptions!R21</f>
        <v>0</v>
      </c>
      <c r="S21" s="58">
        <f ca="1">$J$10*Inc_Stmt_Assumptions!S21</f>
        <v>0</v>
      </c>
      <c r="T21" s="20"/>
      <c r="Y21" s="20"/>
    </row>
    <row r="23" spans="1:25" x14ac:dyDescent="0.2">
      <c r="A23" s="166" t="s">
        <v>143</v>
      </c>
      <c r="D23" s="58">
        <f>SUM(D17:D21)</f>
        <v>0</v>
      </c>
      <c r="E23" s="58">
        <f t="shared" ref="E23:S23" si="2">SUM(E17:E21)</f>
        <v>0</v>
      </c>
      <c r="F23" s="58">
        <f t="shared" si="2"/>
        <v>0</v>
      </c>
      <c r="G23" s="58">
        <f t="shared" si="2"/>
        <v>0</v>
      </c>
      <c r="H23" s="58">
        <f t="shared" si="2"/>
        <v>0</v>
      </c>
      <c r="J23" s="58">
        <f t="shared" ca="1" si="2"/>
        <v>0</v>
      </c>
      <c r="K23" s="58">
        <f t="shared" ca="1" si="2"/>
        <v>0</v>
      </c>
      <c r="L23" s="58">
        <f t="shared" ca="1" si="2"/>
        <v>0</v>
      </c>
      <c r="M23" s="58">
        <f t="shared" ca="1" si="2"/>
        <v>0</v>
      </c>
      <c r="N23" s="58">
        <f t="shared" ca="1" si="2"/>
        <v>0</v>
      </c>
      <c r="O23" s="58">
        <f t="shared" ca="1" si="2"/>
        <v>0</v>
      </c>
      <c r="P23" s="58">
        <f t="shared" ca="1" si="2"/>
        <v>0</v>
      </c>
      <c r="Q23" s="58">
        <f t="shared" ca="1" si="2"/>
        <v>0</v>
      </c>
      <c r="R23" s="58">
        <f t="shared" ca="1" si="2"/>
        <v>0</v>
      </c>
      <c r="S23" s="58">
        <f t="shared" ca="1" si="2"/>
        <v>0</v>
      </c>
      <c r="T23" s="20"/>
      <c r="Y23" s="20"/>
    </row>
    <row r="25" spans="1:25" hidden="1" outlineLevel="1" x14ac:dyDescent="0.2">
      <c r="A25" s="1" t="s">
        <v>117</v>
      </c>
      <c r="D25" s="56">
        <v>0</v>
      </c>
      <c r="E25" s="56">
        <v>0</v>
      </c>
      <c r="F25" s="56">
        <v>0</v>
      </c>
      <c r="G25" s="56">
        <v>0</v>
      </c>
      <c r="H25" s="56">
        <v>0</v>
      </c>
      <c r="J25" s="56">
        <v>0</v>
      </c>
      <c r="K25" s="56">
        <v>0</v>
      </c>
      <c r="L25" s="56">
        <v>0</v>
      </c>
      <c r="M25" s="56">
        <v>0</v>
      </c>
      <c r="N25" s="56">
        <v>0</v>
      </c>
      <c r="O25" s="56">
        <v>0</v>
      </c>
      <c r="P25" s="56">
        <v>0</v>
      </c>
      <c r="Q25" s="56">
        <v>0</v>
      </c>
      <c r="R25" s="56">
        <v>0</v>
      </c>
      <c r="S25" s="56">
        <v>0</v>
      </c>
    </row>
    <row r="26" spans="1:25" hidden="1" outlineLevel="1" x14ac:dyDescent="0.2"/>
    <row r="27" spans="1:25" ht="15.75" collapsed="1" x14ac:dyDescent="0.25">
      <c r="A27" s="4" t="s">
        <v>144</v>
      </c>
      <c r="D27" s="167">
        <f>D14-D23-D25</f>
        <v>0</v>
      </c>
      <c r="E27" s="167">
        <f t="shared" ref="E27:S27" si="3">E14-E23-E25</f>
        <v>0</v>
      </c>
      <c r="F27" s="167">
        <f t="shared" si="3"/>
        <v>0</v>
      </c>
      <c r="G27" s="167">
        <f t="shared" si="3"/>
        <v>0</v>
      </c>
      <c r="H27" s="167">
        <f t="shared" si="3"/>
        <v>0</v>
      </c>
      <c r="J27" s="167">
        <f t="shared" ca="1" si="3"/>
        <v>0</v>
      </c>
      <c r="K27" s="167">
        <f t="shared" ca="1" si="3"/>
        <v>0</v>
      </c>
      <c r="L27" s="167">
        <f t="shared" ca="1" si="3"/>
        <v>0</v>
      </c>
      <c r="M27" s="167">
        <f t="shared" ca="1" si="3"/>
        <v>0</v>
      </c>
      <c r="N27" s="167">
        <f t="shared" ca="1" si="3"/>
        <v>0</v>
      </c>
      <c r="O27" s="167">
        <f t="shared" ca="1" si="3"/>
        <v>0</v>
      </c>
      <c r="P27" s="167">
        <f t="shared" ca="1" si="3"/>
        <v>0</v>
      </c>
      <c r="Q27" s="167">
        <f t="shared" ca="1" si="3"/>
        <v>0</v>
      </c>
      <c r="R27" s="167">
        <f t="shared" ca="1" si="3"/>
        <v>0</v>
      </c>
      <c r="S27" s="167">
        <f t="shared" ca="1" si="3"/>
        <v>0</v>
      </c>
      <c r="T27" s="57"/>
      <c r="Y27" s="57"/>
    </row>
    <row r="29" spans="1:25" ht="15.75" x14ac:dyDescent="0.25">
      <c r="A29" s="4" t="s">
        <v>131</v>
      </c>
      <c r="D29" s="34">
        <v>0</v>
      </c>
      <c r="E29" s="34">
        <v>0</v>
      </c>
      <c r="F29" s="34">
        <f>-F20</f>
        <v>0</v>
      </c>
      <c r="G29" s="34">
        <f>-G20</f>
        <v>0</v>
      </c>
      <c r="H29" s="34">
        <f>-H20</f>
        <v>0</v>
      </c>
      <c r="J29" s="58">
        <f>Book_Depreciation!J45</f>
        <v>0</v>
      </c>
      <c r="K29" s="58">
        <f>Book_Depreciation!K45</f>
        <v>0</v>
      </c>
      <c r="L29" s="58">
        <f>Book_Depreciation!L45</f>
        <v>0</v>
      </c>
      <c r="M29" s="58">
        <f>Book_Depreciation!M45</f>
        <v>0</v>
      </c>
      <c r="N29" s="58">
        <f>Book_Depreciation!N45</f>
        <v>0</v>
      </c>
      <c r="O29" s="58">
        <f>Book_Depreciation!O45</f>
        <v>0</v>
      </c>
      <c r="P29" s="58">
        <f>Book_Depreciation!P45</f>
        <v>0</v>
      </c>
      <c r="Q29" s="58">
        <f>Book_Depreciation!Q45</f>
        <v>0</v>
      </c>
      <c r="R29" s="58">
        <f>Book_Depreciation!R45</f>
        <v>0</v>
      </c>
      <c r="S29" s="58">
        <f>Book_Depreciation!S45</f>
        <v>0</v>
      </c>
      <c r="T29" s="84"/>
      <c r="Y29" s="84"/>
    </row>
    <row r="31" spans="1:25" ht="15.75" x14ac:dyDescent="0.25">
      <c r="A31" s="4" t="s">
        <v>145</v>
      </c>
      <c r="D31" s="167">
        <f>D27-D29</f>
        <v>0</v>
      </c>
      <c r="E31" s="167">
        <f t="shared" ref="E31:S31" si="4">E27-E29</f>
        <v>0</v>
      </c>
      <c r="F31" s="167">
        <f t="shared" si="4"/>
        <v>0</v>
      </c>
      <c r="G31" s="167">
        <f t="shared" si="4"/>
        <v>0</v>
      </c>
      <c r="H31" s="167">
        <f t="shared" si="4"/>
        <v>0</v>
      </c>
      <c r="J31" s="167">
        <f t="shared" ca="1" si="4"/>
        <v>0</v>
      </c>
      <c r="K31" s="167">
        <f t="shared" ca="1" si="4"/>
        <v>0</v>
      </c>
      <c r="L31" s="167">
        <f t="shared" ca="1" si="4"/>
        <v>0</v>
      </c>
      <c r="M31" s="167">
        <f t="shared" ca="1" si="4"/>
        <v>0</v>
      </c>
      <c r="N31" s="167">
        <f t="shared" ca="1" si="4"/>
        <v>0</v>
      </c>
      <c r="O31" s="167">
        <f t="shared" ca="1" si="4"/>
        <v>0</v>
      </c>
      <c r="P31" s="167">
        <f t="shared" ca="1" si="4"/>
        <v>0</v>
      </c>
      <c r="Q31" s="167">
        <f t="shared" ca="1" si="4"/>
        <v>0</v>
      </c>
      <c r="R31" s="167">
        <f t="shared" ca="1" si="4"/>
        <v>0</v>
      </c>
      <c r="S31" s="167">
        <f t="shared" ca="1" si="4"/>
        <v>0</v>
      </c>
      <c r="T31" s="57"/>
      <c r="Y31" s="57"/>
    </row>
    <row r="33" spans="1:28" x14ac:dyDescent="0.2">
      <c r="A33" s="59" t="s">
        <v>146</v>
      </c>
      <c r="D33" s="56">
        <v>0</v>
      </c>
      <c r="E33" s="56">
        <v>0</v>
      </c>
      <c r="F33" s="56">
        <v>0</v>
      </c>
      <c r="G33" s="56">
        <v>0</v>
      </c>
      <c r="H33" s="56">
        <v>0</v>
      </c>
      <c r="J33" s="57">
        <f>Book_Depreciation!J47</f>
        <v>0</v>
      </c>
      <c r="K33" s="57">
        <f>Book_Depreciation!K47</f>
        <v>0</v>
      </c>
      <c r="L33" s="57">
        <f>Book_Depreciation!L47</f>
        <v>0</v>
      </c>
      <c r="M33" s="57">
        <f>Book_Depreciation!M47</f>
        <v>0</v>
      </c>
      <c r="N33" s="57">
        <f>Book_Depreciation!N47</f>
        <v>0</v>
      </c>
      <c r="O33" s="57">
        <f>Book_Depreciation!O47</f>
        <v>0</v>
      </c>
      <c r="P33" s="57">
        <f>Book_Depreciation!P47</f>
        <v>0</v>
      </c>
      <c r="Q33" s="57">
        <f>Book_Depreciation!Q47</f>
        <v>0</v>
      </c>
      <c r="R33" s="57">
        <f>Book_Depreciation!R47</f>
        <v>0</v>
      </c>
      <c r="S33" s="57">
        <f>Book_Depreciation!S47</f>
        <v>0</v>
      </c>
      <c r="T33" s="133"/>
      <c r="Y33" s="133"/>
    </row>
    <row r="34" spans="1:28" x14ac:dyDescent="0.2">
      <c r="A34" s="59" t="s">
        <v>147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J34" s="58">
        <f>Book_Depreciation!J49</f>
        <v>0</v>
      </c>
      <c r="K34" s="58">
        <f>Book_Depreciation!K49</f>
        <v>0</v>
      </c>
      <c r="L34" s="58">
        <f>Book_Depreciation!L49</f>
        <v>0</v>
      </c>
      <c r="M34" s="58">
        <f>Book_Depreciation!M49</f>
        <v>0</v>
      </c>
      <c r="N34" s="58">
        <f>Book_Depreciation!N49</f>
        <v>0</v>
      </c>
      <c r="O34" s="58">
        <f>Book_Depreciation!O49</f>
        <v>0</v>
      </c>
      <c r="P34" s="58">
        <f>Book_Depreciation!P49</f>
        <v>0</v>
      </c>
      <c r="Q34" s="58">
        <f>Book_Depreciation!Q49</f>
        <v>0</v>
      </c>
      <c r="R34" s="58">
        <f>Book_Depreciation!R49</f>
        <v>0</v>
      </c>
      <c r="S34" s="58">
        <f>Book_Depreciation!S49</f>
        <v>0</v>
      </c>
      <c r="T34" s="84"/>
      <c r="Y34" s="84"/>
    </row>
    <row r="36" spans="1:28" x14ac:dyDescent="0.2">
      <c r="A36" s="166" t="s">
        <v>143</v>
      </c>
      <c r="D36" s="58">
        <f>D33+D34</f>
        <v>0</v>
      </c>
      <c r="E36" s="58">
        <f>E33+E34</f>
        <v>0</v>
      </c>
      <c r="F36" s="58">
        <f>F33+F34</f>
        <v>0</v>
      </c>
      <c r="G36" s="58">
        <f>G33+G34</f>
        <v>0</v>
      </c>
      <c r="H36" s="58">
        <f>H33+H34</f>
        <v>0</v>
      </c>
      <c r="J36" s="58">
        <f t="shared" ref="J36:S36" si="5">J33+J34</f>
        <v>0</v>
      </c>
      <c r="K36" s="58">
        <f t="shared" si="5"/>
        <v>0</v>
      </c>
      <c r="L36" s="58">
        <f t="shared" si="5"/>
        <v>0</v>
      </c>
      <c r="M36" s="58">
        <f t="shared" si="5"/>
        <v>0</v>
      </c>
      <c r="N36" s="58">
        <f t="shared" si="5"/>
        <v>0</v>
      </c>
      <c r="O36" s="58">
        <f t="shared" si="5"/>
        <v>0</v>
      </c>
      <c r="P36" s="58">
        <f t="shared" si="5"/>
        <v>0</v>
      </c>
      <c r="Q36" s="58">
        <f t="shared" si="5"/>
        <v>0</v>
      </c>
      <c r="R36" s="58">
        <f t="shared" si="5"/>
        <v>0</v>
      </c>
      <c r="S36" s="58">
        <f t="shared" si="5"/>
        <v>0</v>
      </c>
      <c r="T36" s="20"/>
      <c r="Y36" s="20"/>
    </row>
    <row r="38" spans="1:28" ht="15.75" x14ac:dyDescent="0.25">
      <c r="A38" s="4" t="s">
        <v>148</v>
      </c>
      <c r="D38" s="167">
        <f>D31-D36</f>
        <v>0</v>
      </c>
      <c r="E38" s="167">
        <f>E31-E36</f>
        <v>0</v>
      </c>
      <c r="F38" s="167">
        <f>F31-F36</f>
        <v>0</v>
      </c>
      <c r="G38" s="167">
        <f>G31-G36</f>
        <v>0</v>
      </c>
      <c r="H38" s="167">
        <f>H31-H36</f>
        <v>0</v>
      </c>
      <c r="J38" s="167">
        <f t="shared" ref="J38:S38" ca="1" si="6">J31-J36</f>
        <v>0</v>
      </c>
      <c r="K38" s="167">
        <f t="shared" ca="1" si="6"/>
        <v>0</v>
      </c>
      <c r="L38" s="167">
        <f t="shared" ca="1" si="6"/>
        <v>0</v>
      </c>
      <c r="M38" s="167">
        <f t="shared" ca="1" si="6"/>
        <v>0</v>
      </c>
      <c r="N38" s="167">
        <f t="shared" ca="1" si="6"/>
        <v>0</v>
      </c>
      <c r="O38" s="167">
        <f t="shared" ca="1" si="6"/>
        <v>0</v>
      </c>
      <c r="P38" s="167">
        <f t="shared" ca="1" si="6"/>
        <v>0</v>
      </c>
      <c r="Q38" s="167">
        <f t="shared" ca="1" si="6"/>
        <v>0</v>
      </c>
      <c r="R38" s="167">
        <f t="shared" ca="1" si="6"/>
        <v>0</v>
      </c>
      <c r="S38" s="167">
        <f t="shared" ca="1" si="6"/>
        <v>0</v>
      </c>
      <c r="T38" s="57"/>
      <c r="Y38" s="57"/>
    </row>
    <row r="39" spans="1:28" ht="15.75" x14ac:dyDescent="0.25">
      <c r="U39" s="349" t="s">
        <v>151</v>
      </c>
      <c r="V39" s="350"/>
      <c r="W39" s="350"/>
      <c r="X39" s="351"/>
      <c r="Z39" s="349" t="s">
        <v>161</v>
      </c>
      <c r="AA39" s="350"/>
      <c r="AB39" s="351"/>
    </row>
    <row r="40" spans="1:28" ht="15.75" x14ac:dyDescent="0.25">
      <c r="A40" s="68" t="s">
        <v>77</v>
      </c>
      <c r="D40" s="56">
        <v>0</v>
      </c>
      <c r="E40" s="56">
        <v>0</v>
      </c>
      <c r="F40" s="56">
        <v>0</v>
      </c>
      <c r="G40" s="56">
        <v>0</v>
      </c>
      <c r="H40" s="56">
        <v>0</v>
      </c>
      <c r="J40" s="57">
        <f>Inc_Stmt_Assumptions!J28*IF(Income_Statement!$U$40=1,AVERAGE(Balance_Sheet!L12,Balance_Sheet!K12),Balance_Sheet!K12)</f>
        <v>0</v>
      </c>
      <c r="K40" s="57">
        <f ca="1">Inc_Stmt_Assumptions!K28*IF(Income_Statement!$U$40=1,AVERAGE(Balance_Sheet!M12,Balance_Sheet!L12),Balance_Sheet!L12)</f>
        <v>0</v>
      </c>
      <c r="L40" s="57">
        <f ca="1">Inc_Stmt_Assumptions!L28*IF(Income_Statement!$U$40=1,AVERAGE(Balance_Sheet!N12,Balance_Sheet!M12),Balance_Sheet!M12)</f>
        <v>0</v>
      </c>
      <c r="M40" s="57">
        <f ca="1">Inc_Stmt_Assumptions!M28*IF(Income_Statement!$U$40=1,AVERAGE(Balance_Sheet!O12,Balance_Sheet!N12),Balance_Sheet!N12)</f>
        <v>0</v>
      </c>
      <c r="N40" s="57">
        <f ca="1">Inc_Stmt_Assumptions!N28*IF(Income_Statement!$U$40=1,AVERAGE(Balance_Sheet!P12,Balance_Sheet!O12),Balance_Sheet!O12)</f>
        <v>0</v>
      </c>
      <c r="O40" s="57">
        <f ca="1">Inc_Stmt_Assumptions!O28*IF(Income_Statement!$U$40=1,AVERAGE(Balance_Sheet!Q12,Balance_Sheet!P12),Balance_Sheet!P12)</f>
        <v>0</v>
      </c>
      <c r="P40" s="57">
        <f ca="1">Inc_Stmt_Assumptions!P28*IF(Income_Statement!$U$40=1,AVERAGE(Balance_Sheet!R12,Balance_Sheet!Q12),Balance_Sheet!Q12)</f>
        <v>0</v>
      </c>
      <c r="Q40" s="57">
        <f ca="1">Inc_Stmt_Assumptions!Q28*IF(Income_Statement!$U$40=1,AVERAGE(Balance_Sheet!S12,Balance_Sheet!R12),Balance_Sheet!R12)</f>
        <v>0</v>
      </c>
      <c r="R40" s="57">
        <f ca="1">Inc_Stmt_Assumptions!R28*IF(Income_Statement!$U$40=1,AVERAGE(Balance_Sheet!T12,Balance_Sheet!S12),Balance_Sheet!S12)</f>
        <v>0</v>
      </c>
      <c r="S40" s="57">
        <f ca="1">Inc_Stmt_Assumptions!S28*IF(Income_Statement!$U$40=1,AVERAGE(Balance_Sheet!U12,Balance_Sheet!T12),Balance_Sheet!T12)</f>
        <v>0</v>
      </c>
      <c r="T40" s="57"/>
      <c r="U40" s="347">
        <f>Sources_Uses!$L$45</f>
        <v>0</v>
      </c>
      <c r="V40" s="348"/>
      <c r="W40" s="352">
        <f>U40</f>
        <v>0</v>
      </c>
      <c r="X40" s="353"/>
      <c r="Y40" s="57"/>
      <c r="Z40" s="168"/>
      <c r="AA40" s="169"/>
      <c r="AB40" s="170"/>
    </row>
    <row r="41" spans="1:28" x14ac:dyDescent="0.2">
      <c r="U41" s="171"/>
      <c r="V41" s="172"/>
      <c r="W41" s="172"/>
      <c r="X41" s="173"/>
      <c r="Z41" s="168"/>
      <c r="AA41" s="169"/>
      <c r="AB41" s="170"/>
    </row>
    <row r="42" spans="1:28" ht="15.75" x14ac:dyDescent="0.25">
      <c r="A42" s="4" t="s">
        <v>149</v>
      </c>
      <c r="U42" s="174"/>
      <c r="V42" s="175"/>
      <c r="W42" s="176"/>
      <c r="X42" s="177"/>
      <c r="Z42" s="168"/>
      <c r="AA42" s="169"/>
      <c r="AB42" s="170"/>
    </row>
    <row r="43" spans="1:28" ht="15.75" x14ac:dyDescent="0.25">
      <c r="A43" s="63" t="str">
        <f>Sources_Uses!G11</f>
        <v>Existing Debt</v>
      </c>
      <c r="D43" s="56">
        <v>0</v>
      </c>
      <c r="E43" s="56">
        <v>0</v>
      </c>
      <c r="F43" s="56">
        <v>0</v>
      </c>
      <c r="G43" s="56">
        <v>0</v>
      </c>
      <c r="H43" s="56">
        <v>0</v>
      </c>
      <c r="J43" s="57">
        <f>Inc_Stmt_Assumptions!J29*IF(Income_Statement!$U43=1,AVERAGE(Balance_Sheet!L59,Balance_Sheet!K59),Balance_Sheet!K59)</f>
        <v>0</v>
      </c>
      <c r="K43" s="57">
        <f ca="1">Inc_Stmt_Assumptions!K29*IF(Income_Statement!$U43=1,AVERAGE(Balance_Sheet!M59,Balance_Sheet!L59),Balance_Sheet!L59)</f>
        <v>0</v>
      </c>
      <c r="L43" s="57">
        <f ca="1">Inc_Stmt_Assumptions!L29*IF(Income_Statement!$U43=1,AVERAGE(Balance_Sheet!N59,Balance_Sheet!M59),Balance_Sheet!M59)</f>
        <v>0</v>
      </c>
      <c r="M43" s="57">
        <f ca="1">Inc_Stmt_Assumptions!M29*IF(Income_Statement!$U43=1,AVERAGE(Balance_Sheet!O59,Balance_Sheet!N59),Balance_Sheet!N59)</f>
        <v>0</v>
      </c>
      <c r="N43" s="57">
        <f ca="1">Inc_Stmt_Assumptions!N29*IF(Income_Statement!$U43=1,AVERAGE(Balance_Sheet!P59,Balance_Sheet!O59),Balance_Sheet!O59)</f>
        <v>0</v>
      </c>
      <c r="O43" s="57">
        <f ca="1">Inc_Stmt_Assumptions!O29*IF(Income_Statement!$U43=1,AVERAGE(Balance_Sheet!Q59,Balance_Sheet!P59),Balance_Sheet!P59)</f>
        <v>0</v>
      </c>
      <c r="P43" s="57">
        <f ca="1">Inc_Stmt_Assumptions!P29*IF(Income_Statement!$U43=1,AVERAGE(Balance_Sheet!R59,Balance_Sheet!Q59),Balance_Sheet!Q59)</f>
        <v>0</v>
      </c>
      <c r="Q43" s="57">
        <f ca="1">Inc_Stmt_Assumptions!Q29*IF(Income_Statement!$U43=1,AVERAGE(Balance_Sheet!S59,Balance_Sheet!R59),Balance_Sheet!R59)</f>
        <v>0</v>
      </c>
      <c r="R43" s="57">
        <f ca="1">Inc_Stmt_Assumptions!R29*IF(Income_Statement!$U43=1,AVERAGE(Balance_Sheet!T59,Balance_Sheet!S59),Balance_Sheet!S59)</f>
        <v>0</v>
      </c>
      <c r="S43" s="57">
        <f ca="1">Inc_Stmt_Assumptions!S29*IF(Income_Statement!$U43=1,AVERAGE(Balance_Sheet!U59,Balance_Sheet!T59),Balance_Sheet!T59)</f>
        <v>0</v>
      </c>
      <c r="T43" s="57"/>
      <c r="U43" s="347">
        <f>Sources_Uses!$L$45</f>
        <v>0</v>
      </c>
      <c r="V43" s="348"/>
      <c r="W43" s="352">
        <f t="shared" ref="W43:W50" si="7">U43</f>
        <v>0</v>
      </c>
      <c r="X43" s="353"/>
      <c r="Y43" s="57"/>
      <c r="Z43" s="178">
        <v>1</v>
      </c>
      <c r="AA43" s="179"/>
      <c r="AB43" s="180">
        <f t="shared" ref="AB43:AB50" si="8">Z43</f>
        <v>1</v>
      </c>
    </row>
    <row r="44" spans="1:28" ht="15.75" x14ac:dyDescent="0.25">
      <c r="A44" s="63" t="str">
        <f>Sources_Uses!G12</f>
        <v>Bank Revolver</v>
      </c>
      <c r="D44" s="56">
        <v>0</v>
      </c>
      <c r="E44" s="56">
        <v>0</v>
      </c>
      <c r="F44" s="56">
        <v>0</v>
      </c>
      <c r="G44" s="56">
        <v>0</v>
      </c>
      <c r="H44" s="56">
        <v>0</v>
      </c>
      <c r="J44" s="57">
        <f>Inc_Stmt_Assumptions!J30*IF(Income_Statement!$U44=1,AVERAGE(Balance_Sheet!L60,Balance_Sheet!K60),Balance_Sheet!K60)</f>
        <v>0</v>
      </c>
      <c r="K44" s="57">
        <f ca="1">Inc_Stmt_Assumptions!K30*IF(Income_Statement!$U44=1,AVERAGE(Balance_Sheet!M60,Balance_Sheet!L60),Balance_Sheet!L60)</f>
        <v>0</v>
      </c>
      <c r="L44" s="57">
        <f ca="1">Inc_Stmt_Assumptions!L30*IF(Income_Statement!$U44=1,AVERAGE(Balance_Sheet!N60,Balance_Sheet!M60),Balance_Sheet!M60)</f>
        <v>0</v>
      </c>
      <c r="M44" s="57">
        <f ca="1">Inc_Stmt_Assumptions!M30*IF(Income_Statement!$U44=1,AVERAGE(Balance_Sheet!O60,Balance_Sheet!N60),Balance_Sheet!N60)</f>
        <v>0</v>
      </c>
      <c r="N44" s="57">
        <f ca="1">Inc_Stmt_Assumptions!N30*IF(Income_Statement!$U44=1,AVERAGE(Balance_Sheet!P60,Balance_Sheet!O60),Balance_Sheet!O60)</f>
        <v>0</v>
      </c>
      <c r="O44" s="57">
        <f ca="1">Inc_Stmt_Assumptions!O30*IF(Income_Statement!$U44=1,AVERAGE(Balance_Sheet!Q60,Balance_Sheet!P60),Balance_Sheet!P60)</f>
        <v>0</v>
      </c>
      <c r="P44" s="57">
        <f ca="1">Inc_Stmt_Assumptions!P30*IF(Income_Statement!$U44=1,AVERAGE(Balance_Sheet!R60,Balance_Sheet!Q60),Balance_Sheet!Q60)</f>
        <v>0</v>
      </c>
      <c r="Q44" s="57">
        <f ca="1">Inc_Stmt_Assumptions!Q30*IF(Income_Statement!$U44=1,AVERAGE(Balance_Sheet!S60,Balance_Sheet!R60),Balance_Sheet!R60)</f>
        <v>0</v>
      </c>
      <c r="R44" s="57">
        <f ca="1">Inc_Stmt_Assumptions!R30*IF(Income_Statement!$U44=1,AVERAGE(Balance_Sheet!T60,Balance_Sheet!S60),Balance_Sheet!S60)</f>
        <v>0</v>
      </c>
      <c r="S44" s="57">
        <f ca="1">Inc_Stmt_Assumptions!S30*IF(Income_Statement!$U44=1,AVERAGE(Balance_Sheet!U60,Balance_Sheet!T60),Balance_Sheet!T60)</f>
        <v>0</v>
      </c>
      <c r="T44" s="57"/>
      <c r="U44" s="347">
        <f>Sources_Uses!$L$45</f>
        <v>0</v>
      </c>
      <c r="V44" s="348"/>
      <c r="W44" s="352">
        <f t="shared" si="7"/>
        <v>0</v>
      </c>
      <c r="X44" s="353"/>
      <c r="Y44" s="57"/>
      <c r="Z44" s="178">
        <v>1</v>
      </c>
      <c r="AA44" s="179"/>
      <c r="AB44" s="180">
        <f t="shared" si="8"/>
        <v>1</v>
      </c>
    </row>
    <row r="45" spans="1:28" ht="15.75" x14ac:dyDescent="0.25">
      <c r="A45" s="63" t="str">
        <f>Sources_Uses!G13</f>
        <v>Senior Bank Term "A"</v>
      </c>
      <c r="D45" s="56">
        <v>0</v>
      </c>
      <c r="E45" s="56">
        <v>0</v>
      </c>
      <c r="F45" s="56">
        <v>0</v>
      </c>
      <c r="G45" s="56">
        <v>0</v>
      </c>
      <c r="H45" s="56">
        <v>0</v>
      </c>
      <c r="J45" s="57">
        <f>Inc_Stmt_Assumptions!J31*IF(Income_Statement!$U45=1,AVERAGE(Balance_Sheet!L61,Balance_Sheet!K61),Balance_Sheet!K61)</f>
        <v>0</v>
      </c>
      <c r="K45" s="57">
        <f ca="1">Inc_Stmt_Assumptions!K31*IF(Income_Statement!$U45=1,AVERAGE(Balance_Sheet!M61,Balance_Sheet!L61),Balance_Sheet!L61)</f>
        <v>0</v>
      </c>
      <c r="L45" s="57">
        <f ca="1">Inc_Stmt_Assumptions!L31*IF(Income_Statement!$U45=1,AVERAGE(Balance_Sheet!N61,Balance_Sheet!M61),Balance_Sheet!M61)</f>
        <v>0</v>
      </c>
      <c r="M45" s="57">
        <f ca="1">Inc_Stmt_Assumptions!M31*IF(Income_Statement!$U45=1,AVERAGE(Balance_Sheet!O61,Balance_Sheet!N61),Balance_Sheet!N61)</f>
        <v>0</v>
      </c>
      <c r="N45" s="57">
        <f ca="1">Inc_Stmt_Assumptions!N31*IF(Income_Statement!$U45=1,AVERAGE(Balance_Sheet!P61,Balance_Sheet!O61),Balance_Sheet!O61)</f>
        <v>0</v>
      </c>
      <c r="O45" s="57">
        <f ca="1">Inc_Stmt_Assumptions!O31*IF(Income_Statement!$U45=1,AVERAGE(Balance_Sheet!Q61,Balance_Sheet!P61),Balance_Sheet!P61)</f>
        <v>0</v>
      </c>
      <c r="P45" s="57">
        <f ca="1">Inc_Stmt_Assumptions!P31*IF(Income_Statement!$U45=1,AVERAGE(Balance_Sheet!R61,Balance_Sheet!Q61),Balance_Sheet!Q61)</f>
        <v>0</v>
      </c>
      <c r="Q45" s="57">
        <f ca="1">Inc_Stmt_Assumptions!Q31*IF(Income_Statement!$U45=1,AVERAGE(Balance_Sheet!S61,Balance_Sheet!R61),Balance_Sheet!R61)</f>
        <v>0</v>
      </c>
      <c r="R45" s="57">
        <f ca="1">Inc_Stmt_Assumptions!R31*IF(Income_Statement!$U45=1,AVERAGE(Balance_Sheet!T61,Balance_Sheet!S61),Balance_Sheet!S61)</f>
        <v>0</v>
      </c>
      <c r="S45" s="57">
        <f ca="1">Inc_Stmt_Assumptions!S31*IF(Income_Statement!$U45=1,AVERAGE(Balance_Sheet!U61,Balance_Sheet!T61),Balance_Sheet!T61)</f>
        <v>0</v>
      </c>
      <c r="T45" s="57"/>
      <c r="U45" s="347">
        <f>Sources_Uses!$L$45</f>
        <v>0</v>
      </c>
      <c r="V45" s="348"/>
      <c r="W45" s="352">
        <f t="shared" si="7"/>
        <v>0</v>
      </c>
      <c r="X45" s="353"/>
      <c r="Y45" s="57"/>
      <c r="Z45" s="178">
        <v>1</v>
      </c>
      <c r="AA45" s="179"/>
      <c r="AB45" s="180">
        <f t="shared" si="8"/>
        <v>1</v>
      </c>
    </row>
    <row r="46" spans="1:28" ht="15.75" x14ac:dyDescent="0.25">
      <c r="A46" s="63" t="str">
        <f>Sources_Uses!G14</f>
        <v>Senior Bank Term "B"</v>
      </c>
      <c r="D46" s="56">
        <v>0</v>
      </c>
      <c r="E46" s="56">
        <v>0</v>
      </c>
      <c r="F46" s="56">
        <v>0</v>
      </c>
      <c r="G46" s="56">
        <v>0</v>
      </c>
      <c r="H46" s="56">
        <v>0</v>
      </c>
      <c r="J46" s="57">
        <f>Inc_Stmt_Assumptions!J32*IF(Income_Statement!$U46=1,AVERAGE(Balance_Sheet!L62,Balance_Sheet!K62),Balance_Sheet!K62)</f>
        <v>0</v>
      </c>
      <c r="K46" s="57">
        <f ca="1">Inc_Stmt_Assumptions!K32*IF(Income_Statement!$U46=1,AVERAGE(Balance_Sheet!M62,Balance_Sheet!L62),Balance_Sheet!L62)</f>
        <v>0</v>
      </c>
      <c r="L46" s="57">
        <f ca="1">Inc_Stmt_Assumptions!L32*IF(Income_Statement!$U46=1,AVERAGE(Balance_Sheet!N62,Balance_Sheet!M62),Balance_Sheet!M62)</f>
        <v>0</v>
      </c>
      <c r="M46" s="57">
        <f ca="1">Inc_Stmt_Assumptions!M32*IF(Income_Statement!$U46=1,AVERAGE(Balance_Sheet!O62,Balance_Sheet!N62),Balance_Sheet!N62)</f>
        <v>0</v>
      </c>
      <c r="N46" s="57">
        <f ca="1">Inc_Stmt_Assumptions!N32*IF(Income_Statement!$U46=1,AVERAGE(Balance_Sheet!P62,Balance_Sheet!O62),Balance_Sheet!O62)</f>
        <v>0</v>
      </c>
      <c r="O46" s="57">
        <f ca="1">Inc_Stmt_Assumptions!O32*IF(Income_Statement!$U46=1,AVERAGE(Balance_Sheet!Q62,Balance_Sheet!P62),Balance_Sheet!P62)</f>
        <v>0</v>
      </c>
      <c r="P46" s="57">
        <f ca="1">Inc_Stmt_Assumptions!P32*IF(Income_Statement!$U46=1,AVERAGE(Balance_Sheet!R62,Balance_Sheet!Q62),Balance_Sheet!Q62)</f>
        <v>0</v>
      </c>
      <c r="Q46" s="57">
        <f ca="1">Inc_Stmt_Assumptions!Q32*IF(Income_Statement!$U46=1,AVERAGE(Balance_Sheet!S62,Balance_Sheet!R62),Balance_Sheet!R62)</f>
        <v>0</v>
      </c>
      <c r="R46" s="57">
        <f ca="1">Inc_Stmt_Assumptions!R32*IF(Income_Statement!$U46=1,AVERAGE(Balance_Sheet!T62,Balance_Sheet!S62),Balance_Sheet!S62)</f>
        <v>0</v>
      </c>
      <c r="S46" s="57">
        <f ca="1">Inc_Stmt_Assumptions!S32*IF(Income_Statement!$U46=1,AVERAGE(Balance_Sheet!U62,Balance_Sheet!T62),Balance_Sheet!T62)</f>
        <v>0</v>
      </c>
      <c r="T46" s="57"/>
      <c r="U46" s="347">
        <f>Sources_Uses!$L$45</f>
        <v>0</v>
      </c>
      <c r="V46" s="348"/>
      <c r="W46" s="352">
        <f t="shared" si="7"/>
        <v>0</v>
      </c>
      <c r="X46" s="353"/>
      <c r="Y46" s="57"/>
      <c r="Z46" s="178">
        <v>1</v>
      </c>
      <c r="AA46" s="179"/>
      <c r="AB46" s="180">
        <f t="shared" si="8"/>
        <v>1</v>
      </c>
    </row>
    <row r="47" spans="1:28" ht="15.75" x14ac:dyDescent="0.25">
      <c r="A47" s="63" t="str">
        <f>Sources_Uses!G15</f>
        <v>Other Long-Term Debt</v>
      </c>
      <c r="D47" s="56">
        <v>0</v>
      </c>
      <c r="E47" s="56">
        <v>0</v>
      </c>
      <c r="F47" s="56">
        <v>0</v>
      </c>
      <c r="G47" s="56">
        <v>0</v>
      </c>
      <c r="H47" s="56">
        <v>0</v>
      </c>
      <c r="J47" s="57">
        <f>Inc_Stmt_Assumptions!J33*IF(Income_Statement!$U47=1,AVERAGE(Balance_Sheet!L63,Balance_Sheet!K63),Balance_Sheet!K63)</f>
        <v>0</v>
      </c>
      <c r="K47" s="57">
        <f ca="1">Inc_Stmt_Assumptions!K33*IF(Income_Statement!$U47=1,AVERAGE(Balance_Sheet!M63,Balance_Sheet!L63),Balance_Sheet!L63)</f>
        <v>0</v>
      </c>
      <c r="L47" s="57">
        <f ca="1">Inc_Stmt_Assumptions!L33*IF(Income_Statement!$U47=1,AVERAGE(Balance_Sheet!N63,Balance_Sheet!M63),Balance_Sheet!M63)</f>
        <v>0</v>
      </c>
      <c r="M47" s="57">
        <f ca="1">Inc_Stmt_Assumptions!M33*IF(Income_Statement!$U47=1,AVERAGE(Balance_Sheet!O63,Balance_Sheet!N63),Balance_Sheet!N63)</f>
        <v>0</v>
      </c>
      <c r="N47" s="57">
        <f ca="1">Inc_Stmt_Assumptions!N33*IF(Income_Statement!$U47=1,AVERAGE(Balance_Sheet!P63,Balance_Sheet!O63),Balance_Sheet!O63)</f>
        <v>0</v>
      </c>
      <c r="O47" s="57">
        <f ca="1">Inc_Stmt_Assumptions!O33*IF(Income_Statement!$U47=1,AVERAGE(Balance_Sheet!Q63,Balance_Sheet!P63),Balance_Sheet!P63)</f>
        <v>0</v>
      </c>
      <c r="P47" s="57">
        <f ca="1">Inc_Stmt_Assumptions!P33*IF(Income_Statement!$U47=1,AVERAGE(Balance_Sheet!R63,Balance_Sheet!Q63),Balance_Sheet!Q63)</f>
        <v>0</v>
      </c>
      <c r="Q47" s="57">
        <f ca="1">Inc_Stmt_Assumptions!Q33*IF(Income_Statement!$U47=1,AVERAGE(Balance_Sheet!S63,Balance_Sheet!R63),Balance_Sheet!R63)</f>
        <v>0</v>
      </c>
      <c r="R47" s="57">
        <f ca="1">Inc_Stmt_Assumptions!R33*IF(Income_Statement!$U47=1,AVERAGE(Balance_Sheet!T63,Balance_Sheet!S63),Balance_Sheet!S63)</f>
        <v>0</v>
      </c>
      <c r="S47" s="57">
        <f ca="1">Inc_Stmt_Assumptions!S33*IF(Income_Statement!$U47=1,AVERAGE(Balance_Sheet!U63,Balance_Sheet!T63),Balance_Sheet!T63)</f>
        <v>0</v>
      </c>
      <c r="T47" s="57"/>
      <c r="U47" s="347">
        <f>Sources_Uses!$L$45</f>
        <v>0</v>
      </c>
      <c r="V47" s="348"/>
      <c r="W47" s="352">
        <f t="shared" si="7"/>
        <v>0</v>
      </c>
      <c r="X47" s="353"/>
      <c r="Y47" s="57"/>
      <c r="Z47" s="178">
        <v>0</v>
      </c>
      <c r="AA47" s="179"/>
      <c r="AB47" s="180">
        <f t="shared" si="8"/>
        <v>0</v>
      </c>
    </row>
    <row r="48" spans="1:28" ht="15.75" x14ac:dyDescent="0.25">
      <c r="A48" s="63" t="str">
        <f>Sources_Uses!G16</f>
        <v>Senior Subordinated Debt</v>
      </c>
      <c r="D48" s="56">
        <v>0</v>
      </c>
      <c r="E48" s="56">
        <v>0</v>
      </c>
      <c r="F48" s="56">
        <v>0</v>
      </c>
      <c r="G48" s="56">
        <v>0</v>
      </c>
      <c r="H48" s="56">
        <v>0</v>
      </c>
      <c r="J48" s="57">
        <f>Inc_Stmt_Assumptions!J34*IF(Income_Statement!$U48=1,AVERAGE(Balance_Sheet!L64,Balance_Sheet!K64),Balance_Sheet!K64)</f>
        <v>0</v>
      </c>
      <c r="K48" s="57">
        <f ca="1">Inc_Stmt_Assumptions!K34*IF(Income_Statement!$U48=1,AVERAGE(Balance_Sheet!M64,Balance_Sheet!L64),Balance_Sheet!L64)</f>
        <v>0</v>
      </c>
      <c r="L48" s="57">
        <f ca="1">Inc_Stmt_Assumptions!L34*IF(Income_Statement!$U48=1,AVERAGE(Balance_Sheet!N64,Balance_Sheet!M64),Balance_Sheet!M64)</f>
        <v>0</v>
      </c>
      <c r="M48" s="57">
        <f ca="1">Inc_Stmt_Assumptions!M34*IF(Income_Statement!$U48=1,AVERAGE(Balance_Sheet!O64,Balance_Sheet!N64),Balance_Sheet!N64)</f>
        <v>0</v>
      </c>
      <c r="N48" s="57">
        <f ca="1">Inc_Stmt_Assumptions!N34*IF(Income_Statement!$U48=1,AVERAGE(Balance_Sheet!P64,Balance_Sheet!O64),Balance_Sheet!O64)</f>
        <v>0</v>
      </c>
      <c r="O48" s="57">
        <f ca="1">Inc_Stmt_Assumptions!O34*IF(Income_Statement!$U48=1,AVERAGE(Balance_Sheet!Q64,Balance_Sheet!P64),Balance_Sheet!P64)</f>
        <v>0</v>
      </c>
      <c r="P48" s="57">
        <f ca="1">Inc_Stmt_Assumptions!P34*IF(Income_Statement!$U48=1,AVERAGE(Balance_Sheet!R64,Balance_Sheet!Q64),Balance_Sheet!Q64)</f>
        <v>0</v>
      </c>
      <c r="Q48" s="57">
        <f ca="1">Inc_Stmt_Assumptions!Q34*IF(Income_Statement!$U48=1,AVERAGE(Balance_Sheet!S64,Balance_Sheet!R64),Balance_Sheet!R64)</f>
        <v>0</v>
      </c>
      <c r="R48" s="57">
        <f ca="1">Inc_Stmt_Assumptions!R34*IF(Income_Statement!$U48=1,AVERAGE(Balance_Sheet!T64,Balance_Sheet!S64),Balance_Sheet!S64)</f>
        <v>0</v>
      </c>
      <c r="S48" s="57">
        <f ca="1">Inc_Stmt_Assumptions!S34*IF(Income_Statement!$U48=1,AVERAGE(Balance_Sheet!U64,Balance_Sheet!T64),Balance_Sheet!T64)</f>
        <v>0</v>
      </c>
      <c r="T48" s="57"/>
      <c r="U48" s="347">
        <f>Sources_Uses!$L$45</f>
        <v>0</v>
      </c>
      <c r="V48" s="348"/>
      <c r="W48" s="352">
        <f t="shared" si="7"/>
        <v>0</v>
      </c>
      <c r="X48" s="353"/>
      <c r="Y48" s="57"/>
      <c r="Z48" s="178">
        <v>0</v>
      </c>
      <c r="AA48" s="179"/>
      <c r="AB48" s="180">
        <f t="shared" si="8"/>
        <v>0</v>
      </c>
    </row>
    <row r="49" spans="1:28" ht="15.75" x14ac:dyDescent="0.25">
      <c r="A49" s="63" t="str">
        <f>Sources_Uses!G17</f>
        <v>Junior Subordinated Debt</v>
      </c>
      <c r="D49" s="56">
        <v>0</v>
      </c>
      <c r="E49" s="56">
        <v>0</v>
      </c>
      <c r="F49" s="56">
        <v>0</v>
      </c>
      <c r="G49" s="56">
        <v>0</v>
      </c>
      <c r="H49" s="56">
        <v>0</v>
      </c>
      <c r="J49" s="57">
        <f>Inc_Stmt_Assumptions!J35*IF(Income_Statement!$U49=1,AVERAGE(Balance_Sheet!L65,Balance_Sheet!K65),Balance_Sheet!K65)</f>
        <v>0</v>
      </c>
      <c r="K49" s="57">
        <f ca="1">Inc_Stmt_Assumptions!K35*IF(Income_Statement!$U49=1,AVERAGE(Balance_Sheet!M65,Balance_Sheet!L65),Balance_Sheet!L65)</f>
        <v>0</v>
      </c>
      <c r="L49" s="57">
        <f ca="1">Inc_Stmt_Assumptions!L35*IF(Income_Statement!$U49=1,AVERAGE(Balance_Sheet!N65,Balance_Sheet!M65),Balance_Sheet!M65)</f>
        <v>0</v>
      </c>
      <c r="M49" s="57">
        <f ca="1">Inc_Stmt_Assumptions!M35*IF(Income_Statement!$U49=1,AVERAGE(Balance_Sheet!O65,Balance_Sheet!N65),Balance_Sheet!N65)</f>
        <v>0</v>
      </c>
      <c r="N49" s="57">
        <f ca="1">Inc_Stmt_Assumptions!N35*IF(Income_Statement!$U49=1,AVERAGE(Balance_Sheet!P65,Balance_Sheet!O65),Balance_Sheet!O65)</f>
        <v>0</v>
      </c>
      <c r="O49" s="57">
        <f ca="1">Inc_Stmt_Assumptions!O35*IF(Income_Statement!$U49=1,AVERAGE(Balance_Sheet!Q65,Balance_Sheet!P65),Balance_Sheet!P65)</f>
        <v>0</v>
      </c>
      <c r="P49" s="57">
        <f ca="1">Inc_Stmt_Assumptions!P35*IF(Income_Statement!$U49=1,AVERAGE(Balance_Sheet!R65,Balance_Sheet!Q65),Balance_Sheet!Q65)</f>
        <v>0</v>
      </c>
      <c r="Q49" s="57">
        <f ca="1">Inc_Stmt_Assumptions!Q35*IF(Income_Statement!$U49=1,AVERAGE(Balance_Sheet!S65,Balance_Sheet!R65),Balance_Sheet!R65)</f>
        <v>0</v>
      </c>
      <c r="R49" s="57">
        <f ca="1">Inc_Stmt_Assumptions!R35*IF(Income_Statement!$U49=1,AVERAGE(Balance_Sheet!T65,Balance_Sheet!S65),Balance_Sheet!S65)</f>
        <v>0</v>
      </c>
      <c r="S49" s="57">
        <f ca="1">Inc_Stmt_Assumptions!S35*IF(Income_Statement!$U49=1,AVERAGE(Balance_Sheet!U65,Balance_Sheet!T65),Balance_Sheet!T65)</f>
        <v>0</v>
      </c>
      <c r="T49" s="57"/>
      <c r="U49" s="347">
        <f>Sources_Uses!$L$45</f>
        <v>0</v>
      </c>
      <c r="V49" s="348"/>
      <c r="W49" s="352">
        <f t="shared" si="7"/>
        <v>0</v>
      </c>
      <c r="X49" s="353"/>
      <c r="Y49" s="57"/>
      <c r="Z49" s="178">
        <v>0</v>
      </c>
      <c r="AA49" s="179"/>
      <c r="AB49" s="180">
        <f t="shared" si="8"/>
        <v>0</v>
      </c>
    </row>
    <row r="50" spans="1:28" ht="15.75" x14ac:dyDescent="0.25">
      <c r="A50" s="63" t="str">
        <f>Sources_Uses!G18</f>
        <v>Seller Note</v>
      </c>
      <c r="D50" s="34">
        <v>0</v>
      </c>
      <c r="E50" s="34">
        <v>0</v>
      </c>
      <c r="F50" s="34">
        <v>0</v>
      </c>
      <c r="G50" s="34">
        <v>0</v>
      </c>
      <c r="H50" s="34">
        <v>0</v>
      </c>
      <c r="J50" s="58">
        <f>Inc_Stmt_Assumptions!J36*IF(Income_Statement!$U50=1,AVERAGE(Balance_Sheet!L66,Balance_Sheet!K66),Balance_Sheet!K66)</f>
        <v>0</v>
      </c>
      <c r="K50" s="58">
        <f ca="1">Inc_Stmt_Assumptions!K36*IF(Income_Statement!$U50=1,AVERAGE(Balance_Sheet!M66,Balance_Sheet!L66),Balance_Sheet!L66)</f>
        <v>0</v>
      </c>
      <c r="L50" s="58">
        <f ca="1">Inc_Stmt_Assumptions!L36*IF(Income_Statement!$U50=1,AVERAGE(Balance_Sheet!N66,Balance_Sheet!M66),Balance_Sheet!M66)</f>
        <v>0</v>
      </c>
      <c r="M50" s="58">
        <f ca="1">Inc_Stmt_Assumptions!M36*IF(Income_Statement!$U50=1,AVERAGE(Balance_Sheet!O66,Balance_Sheet!N66),Balance_Sheet!N66)</f>
        <v>0</v>
      </c>
      <c r="N50" s="58">
        <f ca="1">Inc_Stmt_Assumptions!N36*IF(Income_Statement!$U50=1,AVERAGE(Balance_Sheet!P66,Balance_Sheet!O66),Balance_Sheet!O66)</f>
        <v>0</v>
      </c>
      <c r="O50" s="58">
        <f ca="1">Inc_Stmt_Assumptions!O36*IF(Income_Statement!$U50=1,AVERAGE(Balance_Sheet!Q66,Balance_Sheet!P66),Balance_Sheet!P66)</f>
        <v>0</v>
      </c>
      <c r="P50" s="58">
        <f ca="1">Inc_Stmt_Assumptions!P36*IF(Income_Statement!$U50=1,AVERAGE(Balance_Sheet!R66,Balance_Sheet!Q66),Balance_Sheet!Q66)</f>
        <v>0</v>
      </c>
      <c r="Q50" s="58">
        <f ca="1">Inc_Stmt_Assumptions!Q36*IF(Income_Statement!$U50=1,AVERAGE(Balance_Sheet!S66,Balance_Sheet!R66),Balance_Sheet!R66)</f>
        <v>0</v>
      </c>
      <c r="R50" s="58">
        <f ca="1">Inc_Stmt_Assumptions!R36*IF(Income_Statement!$U50=1,AVERAGE(Balance_Sheet!T66,Balance_Sheet!S66),Balance_Sheet!S66)</f>
        <v>0</v>
      </c>
      <c r="S50" s="58">
        <f ca="1">Inc_Stmt_Assumptions!S36*IF(Income_Statement!$U50=1,AVERAGE(Balance_Sheet!U66,Balance_Sheet!T66),Balance_Sheet!T66)</f>
        <v>0</v>
      </c>
      <c r="T50" s="20"/>
      <c r="U50" s="354">
        <f>Sources_Uses!$L$45</f>
        <v>0</v>
      </c>
      <c r="V50" s="355"/>
      <c r="W50" s="345">
        <f t="shared" si="7"/>
        <v>0</v>
      </c>
      <c r="X50" s="346"/>
      <c r="Y50" s="20"/>
      <c r="Z50" s="181">
        <v>0</v>
      </c>
      <c r="AA50" s="182"/>
      <c r="AB50" s="183">
        <f t="shared" si="8"/>
        <v>0</v>
      </c>
    </row>
    <row r="52" spans="1:28" x14ac:dyDescent="0.2">
      <c r="A52" s="1" t="s">
        <v>150</v>
      </c>
      <c r="D52" s="57">
        <f>SUM(D43:D50)</f>
        <v>0</v>
      </c>
      <c r="E52" s="57">
        <f>SUM(E43:E50)</f>
        <v>0</v>
      </c>
      <c r="F52" s="57">
        <f>SUM(F43:F50)</f>
        <v>0</v>
      </c>
      <c r="G52" s="57">
        <f>SUM(G43:G50)</f>
        <v>0</v>
      </c>
      <c r="H52" s="57">
        <f>SUM(H43:H50)</f>
        <v>0</v>
      </c>
      <c r="J52" s="57">
        <f t="shared" ref="J52:S52" si="9">SUM(J43:J50)</f>
        <v>0</v>
      </c>
      <c r="K52" s="57">
        <f t="shared" ca="1" si="9"/>
        <v>0</v>
      </c>
      <c r="L52" s="57">
        <f t="shared" ca="1" si="9"/>
        <v>0</v>
      </c>
      <c r="M52" s="57">
        <f t="shared" ca="1" si="9"/>
        <v>0</v>
      </c>
      <c r="N52" s="57">
        <f t="shared" ca="1" si="9"/>
        <v>0</v>
      </c>
      <c r="O52" s="57">
        <f t="shared" ca="1" si="9"/>
        <v>0</v>
      </c>
      <c r="P52" s="57">
        <f t="shared" ca="1" si="9"/>
        <v>0</v>
      </c>
      <c r="Q52" s="57">
        <f t="shared" ca="1" si="9"/>
        <v>0</v>
      </c>
      <c r="R52" s="57">
        <f t="shared" ca="1" si="9"/>
        <v>0</v>
      </c>
      <c r="S52" s="57">
        <f t="shared" ca="1" si="9"/>
        <v>0</v>
      </c>
      <c r="T52" s="57"/>
      <c r="Y52" s="57"/>
    </row>
    <row r="54" spans="1:28" x14ac:dyDescent="0.2">
      <c r="A54" s="59" t="s">
        <v>152</v>
      </c>
      <c r="D54" s="56">
        <v>0</v>
      </c>
      <c r="E54" s="56">
        <v>0</v>
      </c>
      <c r="F54" s="56">
        <v>0</v>
      </c>
      <c r="G54" s="56">
        <v>0</v>
      </c>
      <c r="H54" s="56">
        <v>0</v>
      </c>
      <c r="J54" s="57">
        <f>Income_Tax_Calc!D15</f>
        <v>0</v>
      </c>
      <c r="K54" s="57">
        <f>Income_Tax_Calc!E15</f>
        <v>0</v>
      </c>
      <c r="L54" s="57">
        <f>Income_Tax_Calc!F15</f>
        <v>0</v>
      </c>
      <c r="M54" s="57">
        <f>Income_Tax_Calc!G15</f>
        <v>0</v>
      </c>
      <c r="N54" s="57">
        <f>Income_Tax_Calc!H15</f>
        <v>0</v>
      </c>
      <c r="O54" s="57">
        <f>Income_Tax_Calc!I15</f>
        <v>0</v>
      </c>
      <c r="P54" s="57">
        <f>Income_Tax_Calc!J15</f>
        <v>0</v>
      </c>
      <c r="Q54" s="57">
        <f>Income_Tax_Calc!K15</f>
        <v>0</v>
      </c>
      <c r="R54" s="57">
        <f>Income_Tax_Calc!L15</f>
        <v>0</v>
      </c>
      <c r="S54" s="57">
        <f>Income_Tax_Calc!M15</f>
        <v>0</v>
      </c>
    </row>
    <row r="56" spans="1:28" ht="15.75" x14ac:dyDescent="0.25">
      <c r="A56" s="4" t="s">
        <v>153</v>
      </c>
      <c r="D56" s="57">
        <f>D38+D40-D52+D54</f>
        <v>0</v>
      </c>
      <c r="E56" s="57">
        <f>E38+E40-E52+E54</f>
        <v>0</v>
      </c>
      <c r="F56" s="57">
        <f>F38+F40-F52+F54</f>
        <v>0</v>
      </c>
      <c r="G56" s="57">
        <f>G38+G40-G52+G54</f>
        <v>0</v>
      </c>
      <c r="H56" s="57">
        <f>H38+H40-H52+H54</f>
        <v>0</v>
      </c>
      <c r="J56" s="57">
        <f t="shared" ref="J56:S56" ca="1" si="10">J38+J40-J52+J54</f>
        <v>0</v>
      </c>
      <c r="K56" s="57">
        <f t="shared" ca="1" si="10"/>
        <v>0</v>
      </c>
      <c r="L56" s="57">
        <f t="shared" ca="1" si="10"/>
        <v>0</v>
      </c>
      <c r="M56" s="57">
        <f t="shared" ca="1" si="10"/>
        <v>0</v>
      </c>
      <c r="N56" s="57">
        <f t="shared" ca="1" si="10"/>
        <v>0</v>
      </c>
      <c r="O56" s="57">
        <f t="shared" ca="1" si="10"/>
        <v>0</v>
      </c>
      <c r="P56" s="57">
        <f t="shared" ca="1" si="10"/>
        <v>0</v>
      </c>
      <c r="Q56" s="57">
        <f t="shared" ca="1" si="10"/>
        <v>0</v>
      </c>
      <c r="R56" s="57">
        <f t="shared" ca="1" si="10"/>
        <v>0</v>
      </c>
      <c r="S56" s="57">
        <f t="shared" ca="1" si="10"/>
        <v>0</v>
      </c>
    </row>
    <row r="58" spans="1:28" x14ac:dyDescent="0.2">
      <c r="A58" s="1" t="s">
        <v>154</v>
      </c>
      <c r="D58" s="34">
        <v>0</v>
      </c>
      <c r="E58" s="34">
        <v>0</v>
      </c>
      <c r="F58" s="34">
        <v>0</v>
      </c>
      <c r="G58" s="34">
        <v>0</v>
      </c>
      <c r="H58" s="34">
        <v>0</v>
      </c>
      <c r="J58" s="58">
        <f ca="1">Income_Tax_Calc!D29</f>
        <v>0</v>
      </c>
      <c r="K58" s="58">
        <f ca="1">Income_Tax_Calc!E29</f>
        <v>0</v>
      </c>
      <c r="L58" s="58">
        <f ca="1">Income_Tax_Calc!F29</f>
        <v>0</v>
      </c>
      <c r="M58" s="58">
        <f ca="1">Income_Tax_Calc!G29</f>
        <v>0</v>
      </c>
      <c r="N58" s="58">
        <f ca="1">Income_Tax_Calc!H29</f>
        <v>0</v>
      </c>
      <c r="O58" s="58">
        <f ca="1">Income_Tax_Calc!I29</f>
        <v>0</v>
      </c>
      <c r="P58" s="58">
        <f ca="1">Income_Tax_Calc!J29</f>
        <v>0</v>
      </c>
      <c r="Q58" s="58">
        <f ca="1">Income_Tax_Calc!K29</f>
        <v>0</v>
      </c>
      <c r="R58" s="58">
        <f ca="1">Income_Tax_Calc!L29</f>
        <v>0</v>
      </c>
      <c r="S58" s="58">
        <f ca="1">Income_Tax_Calc!M29</f>
        <v>0</v>
      </c>
    </row>
    <row r="60" spans="1:28" ht="16.5" thickBot="1" x14ac:dyDescent="0.3">
      <c r="A60" s="4" t="s">
        <v>157</v>
      </c>
      <c r="D60" s="61">
        <f>D56-D58</f>
        <v>0</v>
      </c>
      <c r="E60" s="61">
        <f>E56-E58</f>
        <v>0</v>
      </c>
      <c r="F60" s="61">
        <f>F56-F58</f>
        <v>0</v>
      </c>
      <c r="G60" s="61">
        <f>G56-G58</f>
        <v>0</v>
      </c>
      <c r="H60" s="61">
        <f>H56-H58</f>
        <v>0</v>
      </c>
      <c r="J60" s="61">
        <f t="shared" ref="J60:S60" ca="1" si="11">J56-J58</f>
        <v>0</v>
      </c>
      <c r="K60" s="61">
        <f t="shared" ca="1" si="11"/>
        <v>0</v>
      </c>
      <c r="L60" s="61">
        <f t="shared" ca="1" si="11"/>
        <v>0</v>
      </c>
      <c r="M60" s="61">
        <f t="shared" ca="1" si="11"/>
        <v>0</v>
      </c>
      <c r="N60" s="61">
        <f t="shared" ca="1" si="11"/>
        <v>0</v>
      </c>
      <c r="O60" s="61">
        <f t="shared" ca="1" si="11"/>
        <v>0</v>
      </c>
      <c r="P60" s="61">
        <f t="shared" ca="1" si="11"/>
        <v>0</v>
      </c>
      <c r="Q60" s="61">
        <f t="shared" ca="1" si="11"/>
        <v>0</v>
      </c>
      <c r="R60" s="61">
        <f t="shared" ca="1" si="11"/>
        <v>0</v>
      </c>
      <c r="S60" s="61">
        <f t="shared" ca="1" si="11"/>
        <v>0</v>
      </c>
    </row>
    <row r="61" spans="1:28" ht="15.75" thickTop="1" x14ac:dyDescent="0.2"/>
    <row r="62" spans="1:28" x14ac:dyDescent="0.2">
      <c r="A62" s="59" t="s">
        <v>158</v>
      </c>
      <c r="D62" s="34">
        <v>0</v>
      </c>
      <c r="E62" s="34">
        <v>0</v>
      </c>
      <c r="F62" s="34">
        <v>0</v>
      </c>
      <c r="G62" s="34">
        <v>0</v>
      </c>
      <c r="H62" s="34">
        <v>0</v>
      </c>
      <c r="J62" s="34">
        <v>0</v>
      </c>
      <c r="K62" s="34">
        <v>0</v>
      </c>
      <c r="L62" s="34">
        <v>0</v>
      </c>
      <c r="M62" s="34">
        <v>0</v>
      </c>
      <c r="N62" s="34">
        <v>0</v>
      </c>
      <c r="O62" s="34">
        <v>0</v>
      </c>
      <c r="P62" s="34">
        <v>0</v>
      </c>
      <c r="Q62" s="34">
        <v>0</v>
      </c>
      <c r="R62" s="34">
        <v>0</v>
      </c>
      <c r="S62" s="34">
        <v>0</v>
      </c>
    </row>
    <row r="64" spans="1:28" ht="16.5" thickBot="1" x14ac:dyDescent="0.3">
      <c r="A64" s="4" t="s">
        <v>160</v>
      </c>
      <c r="D64" s="61">
        <f>D60-D62</f>
        <v>0</v>
      </c>
      <c r="E64" s="61">
        <f>E60-E62</f>
        <v>0</v>
      </c>
      <c r="F64" s="61">
        <f>F60-F62</f>
        <v>0</v>
      </c>
      <c r="G64" s="61">
        <f>G60-G62</f>
        <v>0</v>
      </c>
      <c r="H64" s="61">
        <f>H60-H62</f>
        <v>0</v>
      </c>
      <c r="J64" s="61">
        <f t="shared" ref="J64:S64" ca="1" si="12">J60-J62</f>
        <v>0</v>
      </c>
      <c r="K64" s="61">
        <f t="shared" ca="1" si="12"/>
        <v>0</v>
      </c>
      <c r="L64" s="61">
        <f t="shared" ca="1" si="12"/>
        <v>0</v>
      </c>
      <c r="M64" s="61">
        <f t="shared" ca="1" si="12"/>
        <v>0</v>
      </c>
      <c r="N64" s="61">
        <f t="shared" ca="1" si="12"/>
        <v>0</v>
      </c>
      <c r="O64" s="61">
        <f t="shared" ca="1" si="12"/>
        <v>0</v>
      </c>
      <c r="P64" s="61">
        <f t="shared" ca="1" si="12"/>
        <v>0</v>
      </c>
      <c r="Q64" s="61">
        <f t="shared" ca="1" si="12"/>
        <v>0</v>
      </c>
      <c r="R64" s="61">
        <f t="shared" ca="1" si="12"/>
        <v>0</v>
      </c>
      <c r="S64" s="61">
        <f t="shared" ca="1" si="12"/>
        <v>0</v>
      </c>
    </row>
    <row r="65" spans="1:19" ht="16.5" thickTop="1" thickBo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7" spans="1:19" ht="15.75" x14ac:dyDescent="0.25">
      <c r="A67" s="184" t="s">
        <v>162</v>
      </c>
      <c r="B67" s="185"/>
      <c r="C67" s="185"/>
      <c r="D67" s="186">
        <f>SUMIF($Z$43:$Z$50,1,D43:D50)</f>
        <v>0</v>
      </c>
      <c r="E67" s="186">
        <f>SUMIF($Z$43:$Z$50,1,E43:E50)</f>
        <v>0</v>
      </c>
      <c r="F67" s="186">
        <f>SUMIF($Z$43:$Z$50,1,F43:F50)</f>
        <v>0</v>
      </c>
      <c r="G67" s="186">
        <f>SUMIF($Z$43:$Z$50,1,G43:G50)</f>
        <v>0</v>
      </c>
      <c r="H67" s="186">
        <f>SUMIF($Z$43:$Z$50,1,H43:H50)</f>
        <v>0</v>
      </c>
      <c r="I67" s="185"/>
      <c r="J67" s="186">
        <f t="shared" ref="J67:S67" si="13">SUMIF($Z$43:$Z$50,1,J43:J50)</f>
        <v>0</v>
      </c>
      <c r="K67" s="186">
        <f t="shared" ca="1" si="13"/>
        <v>0</v>
      </c>
      <c r="L67" s="186">
        <f t="shared" ca="1" si="13"/>
        <v>0</v>
      </c>
      <c r="M67" s="186">
        <f t="shared" ca="1" si="13"/>
        <v>0</v>
      </c>
      <c r="N67" s="186">
        <f t="shared" ca="1" si="13"/>
        <v>0</v>
      </c>
      <c r="O67" s="186">
        <f t="shared" ca="1" si="13"/>
        <v>0</v>
      </c>
      <c r="P67" s="186">
        <f t="shared" ca="1" si="13"/>
        <v>0</v>
      </c>
      <c r="Q67" s="186">
        <f t="shared" ca="1" si="13"/>
        <v>0</v>
      </c>
      <c r="R67" s="186">
        <f t="shared" ca="1" si="13"/>
        <v>0</v>
      </c>
      <c r="S67" s="186">
        <f t="shared" ca="1" si="13"/>
        <v>0</v>
      </c>
    </row>
    <row r="68" spans="1:19" ht="15.75" x14ac:dyDescent="0.25">
      <c r="A68" s="184" t="s">
        <v>163</v>
      </c>
      <c r="B68" s="185"/>
      <c r="C68" s="185"/>
      <c r="D68" s="186">
        <f>SUMIF($Z$43:$Z$50,0,D44:D51)</f>
        <v>0</v>
      </c>
      <c r="E68" s="186">
        <f t="shared" ref="E68:S68" si="14">SUMIF($Z$43:$Z$50,0,E44:E51)</f>
        <v>0</v>
      </c>
      <c r="F68" s="186">
        <f t="shared" si="14"/>
        <v>0</v>
      </c>
      <c r="G68" s="186">
        <f t="shared" si="14"/>
        <v>0</v>
      </c>
      <c r="H68" s="186">
        <f t="shared" si="14"/>
        <v>0</v>
      </c>
      <c r="I68" s="185"/>
      <c r="J68" s="186">
        <f t="shared" si="14"/>
        <v>0</v>
      </c>
      <c r="K68" s="186">
        <f t="shared" ca="1" si="14"/>
        <v>0</v>
      </c>
      <c r="L68" s="186">
        <f t="shared" ca="1" si="14"/>
        <v>0</v>
      </c>
      <c r="M68" s="186">
        <f t="shared" ca="1" si="14"/>
        <v>0</v>
      </c>
      <c r="N68" s="186">
        <f t="shared" ca="1" si="14"/>
        <v>0</v>
      </c>
      <c r="O68" s="186">
        <f t="shared" ca="1" si="14"/>
        <v>0</v>
      </c>
      <c r="P68" s="186">
        <f t="shared" ca="1" si="14"/>
        <v>0</v>
      </c>
      <c r="Q68" s="186">
        <f t="shared" ca="1" si="14"/>
        <v>0</v>
      </c>
      <c r="R68" s="186">
        <f t="shared" ca="1" si="14"/>
        <v>0</v>
      </c>
      <c r="S68" s="186">
        <f t="shared" ca="1" si="14"/>
        <v>0</v>
      </c>
    </row>
  </sheetData>
  <mergeCells count="25">
    <mergeCell ref="Z39:AB39"/>
    <mergeCell ref="W40:X40"/>
    <mergeCell ref="W43:X43"/>
    <mergeCell ref="W44:X44"/>
    <mergeCell ref="U50:V50"/>
    <mergeCell ref="W46:X46"/>
    <mergeCell ref="W47:X47"/>
    <mergeCell ref="W48:X48"/>
    <mergeCell ref="W49:X49"/>
    <mergeCell ref="W45:X45"/>
    <mergeCell ref="U40:V40"/>
    <mergeCell ref="U39:X39"/>
    <mergeCell ref="A2:S2"/>
    <mergeCell ref="A3:S3"/>
    <mergeCell ref="W50:X50"/>
    <mergeCell ref="U43:V43"/>
    <mergeCell ref="U44:V44"/>
    <mergeCell ref="U45:V45"/>
    <mergeCell ref="U46:V46"/>
    <mergeCell ref="U47:V47"/>
    <mergeCell ref="U48:V48"/>
    <mergeCell ref="U49:V49"/>
    <mergeCell ref="D7:H7"/>
    <mergeCell ref="J7:S7"/>
    <mergeCell ref="A8:B8"/>
  </mergeCells>
  <phoneticPr fontId="0" type="noConversion"/>
  <printOptions horizontalCentered="1" verticalCentered="1"/>
  <pageMargins left="0.75" right="0.75" top="1" bottom="1" header="0.5" footer="0.5"/>
  <pageSetup scale="58" orientation="landscape" horizontalDpi="300" verticalDpi="300" r:id="rId1"/>
  <headerFooter alignWithMargins="0">
    <oddHeader>&amp;L&amp;D&amp;T&amp;C&amp;P&amp;N&amp;R&amp;F&amp;A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63"/>
  <sheetViews>
    <sheetView topLeftCell="A25" zoomScale="75" zoomScaleNormal="85" workbookViewId="0">
      <selection activeCell="D59" sqref="D59"/>
    </sheetView>
  </sheetViews>
  <sheetFormatPr defaultRowHeight="15" x14ac:dyDescent="0.2"/>
  <cols>
    <col min="1" max="2" width="11.5703125" style="1" customWidth="1"/>
    <col min="3" max="3" width="19.7109375" style="1" customWidth="1"/>
    <col min="4" max="10" width="11.5703125" style="1" customWidth="1"/>
    <col min="11" max="11" width="12.42578125" style="1" customWidth="1"/>
    <col min="12" max="12" width="12.28515625" style="1" customWidth="1"/>
    <col min="13" max="13" width="12.7109375" style="1" customWidth="1"/>
    <col min="14" max="14" width="4.28515625" style="1" customWidth="1"/>
    <col min="15" max="15" width="11.7109375" style="1" customWidth="1"/>
    <col min="16" max="16384" width="9.140625" style="1"/>
  </cols>
  <sheetData>
    <row r="1" spans="1:18" ht="20.25" customHeight="1" x14ac:dyDescent="0.25">
      <c r="A1" s="257" t="str">
        <f ca="1">Income_Statement!A1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</row>
    <row r="3" spans="1:18" s="231" customFormat="1" ht="20.25" x14ac:dyDescent="0.3">
      <c r="A3" s="342" t="s">
        <v>128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</row>
    <row r="4" spans="1:18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8" ht="15.75" x14ac:dyDescent="0.25">
      <c r="A5" s="4" t="str">
        <f ca="1">"Performance Case: "&amp;Sources_Uses!M44</f>
        <v>Performance Case: Base</v>
      </c>
    </row>
    <row r="6" spans="1:18" x14ac:dyDescent="0.2">
      <c r="A6" s="1" t="str">
        <f>Sources_Uses!B7</f>
        <v>(FYE January; $ in millions)</v>
      </c>
    </row>
    <row r="7" spans="1:18" x14ac:dyDescent="0.2">
      <c r="D7" s="343" t="s">
        <v>68</v>
      </c>
      <c r="E7" s="343"/>
      <c r="F7" s="343"/>
      <c r="G7" s="343"/>
      <c r="H7" s="343"/>
      <c r="I7" s="343"/>
      <c r="J7" s="343"/>
      <c r="K7" s="343"/>
      <c r="L7" s="343"/>
      <c r="M7" s="343"/>
    </row>
    <row r="8" spans="1:18" ht="15.75" x14ac:dyDescent="0.25">
      <c r="D8" s="9">
        <f>Balance_Sheet!L8</f>
        <v>2000</v>
      </c>
      <c r="E8" s="10">
        <f>D8+1</f>
        <v>2001</v>
      </c>
      <c r="F8" s="10">
        <f t="shared" ref="F8:M8" si="0">E8+1</f>
        <v>2002</v>
      </c>
      <c r="G8" s="10">
        <f t="shared" si="0"/>
        <v>2003</v>
      </c>
      <c r="H8" s="10">
        <f t="shared" si="0"/>
        <v>2004</v>
      </c>
      <c r="I8" s="10">
        <f t="shared" si="0"/>
        <v>2005</v>
      </c>
      <c r="J8" s="10">
        <f t="shared" si="0"/>
        <v>2006</v>
      </c>
      <c r="K8" s="10">
        <f t="shared" si="0"/>
        <v>2007</v>
      </c>
      <c r="L8" s="10">
        <f t="shared" si="0"/>
        <v>2008</v>
      </c>
      <c r="M8" s="11">
        <f t="shared" si="0"/>
        <v>2009</v>
      </c>
    </row>
    <row r="10" spans="1:18" ht="15.75" x14ac:dyDescent="0.25">
      <c r="A10" s="4" t="s">
        <v>129</v>
      </c>
      <c r="D10" s="55">
        <f ca="1">Income_Statement!J64</f>
        <v>0</v>
      </c>
      <c r="E10" s="55">
        <f ca="1">Income_Statement!K64</f>
        <v>0</v>
      </c>
      <c r="F10" s="55">
        <f ca="1">Income_Statement!L64</f>
        <v>0</v>
      </c>
      <c r="G10" s="55">
        <f ca="1">Income_Statement!M64</f>
        <v>0</v>
      </c>
      <c r="H10" s="55">
        <f ca="1">Income_Statement!N64</f>
        <v>0</v>
      </c>
      <c r="I10" s="55">
        <f ca="1">Income_Statement!O64</f>
        <v>0</v>
      </c>
      <c r="J10" s="55">
        <f ca="1">Income_Statement!P64</f>
        <v>0</v>
      </c>
      <c r="K10" s="55">
        <f ca="1">Income_Statement!Q64</f>
        <v>0</v>
      </c>
      <c r="L10" s="55">
        <f ca="1">Income_Statement!R64</f>
        <v>0</v>
      </c>
      <c r="M10" s="55">
        <f ca="1">Income_Statement!S64</f>
        <v>0</v>
      </c>
    </row>
    <row r="12" spans="1:18" ht="15.75" x14ac:dyDescent="0.25">
      <c r="A12" s="4" t="s">
        <v>130</v>
      </c>
    </row>
    <row r="13" spans="1:18" x14ac:dyDescent="0.2">
      <c r="A13" s="63" t="str">
        <f>Income_Statement!A29</f>
        <v>Consolidated D&amp;A</v>
      </c>
      <c r="D13" s="55">
        <f>Income_Statement!J29</f>
        <v>0</v>
      </c>
      <c r="E13" s="55">
        <f>Income_Statement!K29</f>
        <v>0</v>
      </c>
      <c r="F13" s="55">
        <f>Income_Statement!L29</f>
        <v>0</v>
      </c>
      <c r="G13" s="55">
        <f>Income_Statement!M29</f>
        <v>0</v>
      </c>
      <c r="H13" s="55">
        <f>Income_Statement!N29</f>
        <v>0</v>
      </c>
      <c r="I13" s="55">
        <f>Income_Statement!O29</f>
        <v>0</v>
      </c>
      <c r="J13" s="55">
        <f>Income_Statement!P29</f>
        <v>0</v>
      </c>
      <c r="K13" s="55">
        <f>Income_Statement!Q29</f>
        <v>0</v>
      </c>
      <c r="L13" s="55">
        <f>Income_Statement!R29</f>
        <v>0</v>
      </c>
      <c r="M13" s="55">
        <f>Income_Statement!S29</f>
        <v>0</v>
      </c>
    </row>
    <row r="14" spans="1:18" x14ac:dyDescent="0.2">
      <c r="A14" s="63" t="str">
        <f>Income_Statement!A33</f>
        <v>Transaction Amortization</v>
      </c>
      <c r="D14" s="57">
        <f>Income_Statement!J33</f>
        <v>0</v>
      </c>
      <c r="E14" s="57">
        <f>Income_Statement!K33</f>
        <v>0</v>
      </c>
      <c r="F14" s="57">
        <f>Income_Statement!L33</f>
        <v>0</v>
      </c>
      <c r="G14" s="57">
        <f>Income_Statement!M33</f>
        <v>0</v>
      </c>
      <c r="H14" s="57">
        <f>Income_Statement!N33</f>
        <v>0</v>
      </c>
      <c r="I14" s="57">
        <f>Income_Statement!O33</f>
        <v>0</v>
      </c>
      <c r="J14" s="57">
        <f>Income_Statement!P33</f>
        <v>0</v>
      </c>
      <c r="K14" s="57">
        <f>Income_Statement!Q33</f>
        <v>0</v>
      </c>
      <c r="L14" s="57">
        <f>Income_Statement!R33</f>
        <v>0</v>
      </c>
      <c r="M14" s="57">
        <f>Income_Statement!S33</f>
        <v>0</v>
      </c>
    </row>
    <row r="15" spans="1:18" x14ac:dyDescent="0.2">
      <c r="A15" s="63" t="str">
        <f>Income_Statement!A34</f>
        <v>New Goodwill Amortization</v>
      </c>
      <c r="D15" s="57">
        <f>Income_Statement!J34</f>
        <v>0</v>
      </c>
      <c r="E15" s="57">
        <f>Income_Statement!K34</f>
        <v>0</v>
      </c>
      <c r="F15" s="57">
        <f>Income_Statement!L34</f>
        <v>0</v>
      </c>
      <c r="G15" s="57">
        <f>Income_Statement!M34</f>
        <v>0</v>
      </c>
      <c r="H15" s="57">
        <f>Income_Statement!N34</f>
        <v>0</v>
      </c>
      <c r="I15" s="57">
        <f>Income_Statement!O34</f>
        <v>0</v>
      </c>
      <c r="J15" s="57">
        <f>Income_Statement!P34</f>
        <v>0</v>
      </c>
      <c r="K15" s="57">
        <f>Income_Statement!Q34</f>
        <v>0</v>
      </c>
      <c r="L15" s="57">
        <f>Income_Statement!R34</f>
        <v>0</v>
      </c>
      <c r="M15" s="57">
        <f>Income_Statement!S34</f>
        <v>0</v>
      </c>
    </row>
    <row r="16" spans="1:18" ht="15.75" x14ac:dyDescent="0.25">
      <c r="A16" s="63" t="str">
        <f>Balance_Sheet!A53</f>
        <v>Deferred Taxes</v>
      </c>
      <c r="D16" s="57">
        <f ca="1">Income_Tax_Calc!D30</f>
        <v>0</v>
      </c>
      <c r="E16" s="57">
        <f ca="1">Income_Tax_Calc!E30</f>
        <v>0</v>
      </c>
      <c r="F16" s="57">
        <f ca="1">Income_Tax_Calc!F30</f>
        <v>0</v>
      </c>
      <c r="G16" s="57">
        <f ca="1">Income_Tax_Calc!G30</f>
        <v>0</v>
      </c>
      <c r="H16" s="57">
        <f ca="1">Income_Tax_Calc!H30</f>
        <v>0</v>
      </c>
      <c r="I16" s="57">
        <f ca="1">Income_Tax_Calc!I30</f>
        <v>0</v>
      </c>
      <c r="J16" s="57">
        <f ca="1">Income_Tax_Calc!J30</f>
        <v>0</v>
      </c>
      <c r="K16" s="57">
        <f ca="1">Income_Tax_Calc!K30</f>
        <v>0</v>
      </c>
      <c r="L16" s="57">
        <f ca="1">Income_Tax_Calc!L30</f>
        <v>0</v>
      </c>
      <c r="M16" s="57">
        <f ca="1">Income_Tax_Calc!M30</f>
        <v>0</v>
      </c>
      <c r="O16" s="149" t="s">
        <v>164</v>
      </c>
    </row>
    <row r="17" spans="1:15" ht="15.75" x14ac:dyDescent="0.25">
      <c r="A17" s="63" t="str">
        <f>"Accrued "&amp;Balance_Sheet!A65&amp;" Interest"</f>
        <v>Accrued Junior Subordinated Debt Interest</v>
      </c>
      <c r="D17" s="57">
        <f>IF(D8-$D$8&gt;=$O$17,0,Income_Statement!J49)</f>
        <v>0</v>
      </c>
      <c r="E17" s="57">
        <f>IF(E8-$D$8&gt;=$O$17,0,Income_Statement!K49)</f>
        <v>0</v>
      </c>
      <c r="F17" s="57">
        <f>IF(F8-$D$8&gt;=$O$17,0,Income_Statement!L49)</f>
        <v>0</v>
      </c>
      <c r="G17" s="57">
        <f>IF(G8-$D$8&gt;=$O$17,0,Income_Statement!M49)</f>
        <v>0</v>
      </c>
      <c r="H17" s="57">
        <f>IF(H8-$D$8&gt;=$O$17,0,Income_Statement!N49)</f>
        <v>0</v>
      </c>
      <c r="I17" s="57">
        <f>IF(I8-$D$8&gt;=$O$17,0,Income_Statement!O49)</f>
        <v>0</v>
      </c>
      <c r="J17" s="57">
        <f>IF(J8-$D$8&gt;=$O$17,0,Income_Statement!P49)</f>
        <v>0</v>
      </c>
      <c r="K17" s="57">
        <f>IF(K8-$D$8&gt;=$O$17,0,Income_Statement!Q49)</f>
        <v>0</v>
      </c>
      <c r="L17" s="57">
        <f>IF(L8-$D$8&gt;=$O$17,0,Income_Statement!R49)</f>
        <v>0</v>
      </c>
      <c r="M17" s="57">
        <f>IF(M8-$D$8&gt;=$O$17,0,Income_Statement!S49)</f>
        <v>0</v>
      </c>
      <c r="O17" s="162">
        <v>0</v>
      </c>
    </row>
    <row r="18" spans="1:15" ht="15.75" x14ac:dyDescent="0.25">
      <c r="A18" s="63" t="str">
        <f>"Accrued "&amp;Income_Statement!A62</f>
        <v>Accrued Preferred Dividends</v>
      </c>
      <c r="D18" s="58">
        <f>IF(D8-$D$8&gt;=$O$18,0,Income_Statement!J62)</f>
        <v>0</v>
      </c>
      <c r="E18" s="58">
        <f>IF(E8-$D$8&gt;=$O$18,0,Income_Statement!K62)</f>
        <v>0</v>
      </c>
      <c r="F18" s="58">
        <f>IF(F8-$D$8&gt;=$O$18,0,Income_Statement!L62)</f>
        <v>0</v>
      </c>
      <c r="G18" s="58">
        <f>IF(G8-$D$8&gt;=$O$18,0,Income_Statement!M62)</f>
        <v>0</v>
      </c>
      <c r="H18" s="58">
        <f>IF(H8-$D$8&gt;=$O$18,0,Income_Statement!N62)</f>
        <v>0</v>
      </c>
      <c r="I18" s="58">
        <f>IF(I8-$D$8&gt;=$O$18,0,Income_Statement!O62)</f>
        <v>0</v>
      </c>
      <c r="J18" s="58">
        <f>IF(J8-$D$8&gt;=$O$18,0,Income_Statement!P62)</f>
        <v>0</v>
      </c>
      <c r="K18" s="58">
        <f>IF(K8-$D$8&gt;=$O$18,0,Income_Statement!Q62)</f>
        <v>0</v>
      </c>
      <c r="L18" s="58">
        <f>IF(L8-$D$8&gt;=$O$18,0,Income_Statement!R62)</f>
        <v>0</v>
      </c>
      <c r="M18" s="58">
        <f>IF(M8-$D$8&gt;=$O$18,0,Income_Statement!S62)</f>
        <v>0</v>
      </c>
      <c r="O18" s="163">
        <v>0</v>
      </c>
    </row>
    <row r="19" spans="1:15" x14ac:dyDescent="0.2">
      <c r="A19" s="63"/>
    </row>
    <row r="20" spans="1:15" ht="15.75" x14ac:dyDescent="0.25">
      <c r="A20" s="4" t="s">
        <v>132</v>
      </c>
      <c r="D20" s="60">
        <f ca="1">D10+SUM(D13:D18)</f>
        <v>0</v>
      </c>
      <c r="E20" s="60">
        <f t="shared" ref="E20:M20" ca="1" si="1">E10+SUM(E13:E18)</f>
        <v>0</v>
      </c>
      <c r="F20" s="60">
        <f t="shared" ca="1" si="1"/>
        <v>0</v>
      </c>
      <c r="G20" s="60">
        <f t="shared" ca="1" si="1"/>
        <v>0</v>
      </c>
      <c r="H20" s="60">
        <f t="shared" ca="1" si="1"/>
        <v>0</v>
      </c>
      <c r="I20" s="60">
        <f t="shared" ca="1" si="1"/>
        <v>0</v>
      </c>
      <c r="J20" s="60">
        <f t="shared" ca="1" si="1"/>
        <v>0</v>
      </c>
      <c r="K20" s="60">
        <f t="shared" ca="1" si="1"/>
        <v>0</v>
      </c>
      <c r="L20" s="60">
        <f t="shared" ca="1" si="1"/>
        <v>0</v>
      </c>
      <c r="M20" s="60">
        <f t="shared" ca="1" si="1"/>
        <v>0</v>
      </c>
    </row>
    <row r="22" spans="1:15" ht="15.75" x14ac:dyDescent="0.25">
      <c r="A22" s="4" t="s">
        <v>133</v>
      </c>
    </row>
    <row r="23" spans="1:15" x14ac:dyDescent="0.2">
      <c r="A23" s="63" t="str">
        <f>Balance_Sheet!A13</f>
        <v>Accounts Receivable</v>
      </c>
      <c r="D23" s="55">
        <f ca="1">Balance_Sheet!K13-Balance_Sheet!L13</f>
        <v>0</v>
      </c>
      <c r="E23" s="55">
        <f ca="1">Balance_Sheet!L13-Balance_Sheet!M13</f>
        <v>0</v>
      </c>
      <c r="F23" s="55">
        <f ca="1">Balance_Sheet!M13-Balance_Sheet!N13</f>
        <v>0</v>
      </c>
      <c r="G23" s="55">
        <f ca="1">Balance_Sheet!N13-Balance_Sheet!O13</f>
        <v>0</v>
      </c>
      <c r="H23" s="55">
        <f ca="1">Balance_Sheet!O13-Balance_Sheet!P13</f>
        <v>0</v>
      </c>
      <c r="I23" s="55">
        <f ca="1">Balance_Sheet!P13-Balance_Sheet!Q13</f>
        <v>0</v>
      </c>
      <c r="J23" s="55">
        <f ca="1">Balance_Sheet!Q13-Balance_Sheet!R13</f>
        <v>0</v>
      </c>
      <c r="K23" s="55">
        <f ca="1">Balance_Sheet!R13-Balance_Sheet!S13</f>
        <v>0</v>
      </c>
      <c r="L23" s="55">
        <f ca="1">Balance_Sheet!S13-Balance_Sheet!T13</f>
        <v>0</v>
      </c>
      <c r="M23" s="55">
        <f ca="1">Balance_Sheet!T13-Balance_Sheet!U13</f>
        <v>0</v>
      </c>
    </row>
    <row r="24" spans="1:15" x14ac:dyDescent="0.2">
      <c r="A24" s="63" t="str">
        <f>Balance_Sheet!A14</f>
        <v>Inventories</v>
      </c>
      <c r="D24" s="57">
        <f ca="1">Balance_Sheet!K14-Balance_Sheet!L14</f>
        <v>0</v>
      </c>
      <c r="E24" s="57">
        <f ca="1">Balance_Sheet!L14-Balance_Sheet!M14</f>
        <v>0</v>
      </c>
      <c r="F24" s="57">
        <f ca="1">Balance_Sheet!M14-Balance_Sheet!N14</f>
        <v>0</v>
      </c>
      <c r="G24" s="57">
        <f ca="1">Balance_Sheet!N14-Balance_Sheet!O14</f>
        <v>0</v>
      </c>
      <c r="H24" s="57">
        <f ca="1">Balance_Sheet!O14-Balance_Sheet!P14</f>
        <v>0</v>
      </c>
      <c r="I24" s="57">
        <f ca="1">Balance_Sheet!P14-Balance_Sheet!Q14</f>
        <v>0</v>
      </c>
      <c r="J24" s="57">
        <f ca="1">Balance_Sheet!Q14-Balance_Sheet!R14</f>
        <v>0</v>
      </c>
      <c r="K24" s="57">
        <f ca="1">Balance_Sheet!R14-Balance_Sheet!S14</f>
        <v>0</v>
      </c>
      <c r="L24" s="57">
        <f ca="1">Balance_Sheet!S14-Balance_Sheet!T14</f>
        <v>0</v>
      </c>
      <c r="M24" s="57">
        <f ca="1">Balance_Sheet!T14-Balance_Sheet!U14</f>
        <v>0</v>
      </c>
    </row>
    <row r="25" spans="1:15" x14ac:dyDescent="0.2">
      <c r="A25" s="63" t="str">
        <f>Balance_Sheet!A15</f>
        <v>Prepaid Expenses</v>
      </c>
      <c r="D25" s="57">
        <f ca="1">Balance_Sheet!K15-Balance_Sheet!L15</f>
        <v>0</v>
      </c>
      <c r="E25" s="57">
        <f ca="1">Balance_Sheet!L15-Balance_Sheet!M15</f>
        <v>0</v>
      </c>
      <c r="F25" s="57">
        <f ca="1">Balance_Sheet!M15-Balance_Sheet!N15</f>
        <v>0</v>
      </c>
      <c r="G25" s="57">
        <f ca="1">Balance_Sheet!N15-Balance_Sheet!O15</f>
        <v>0</v>
      </c>
      <c r="H25" s="57">
        <f ca="1">Balance_Sheet!O15-Balance_Sheet!P15</f>
        <v>0</v>
      </c>
      <c r="I25" s="57">
        <f ca="1">Balance_Sheet!P15-Balance_Sheet!Q15</f>
        <v>0</v>
      </c>
      <c r="J25" s="57">
        <f ca="1">Balance_Sheet!Q15-Balance_Sheet!R15</f>
        <v>0</v>
      </c>
      <c r="K25" s="57">
        <f ca="1">Balance_Sheet!R15-Balance_Sheet!S15</f>
        <v>0</v>
      </c>
      <c r="L25" s="57">
        <f ca="1">Balance_Sheet!S15-Balance_Sheet!T15</f>
        <v>0</v>
      </c>
      <c r="M25" s="57">
        <f ca="1">Balance_Sheet!T15-Balance_Sheet!U15</f>
        <v>0</v>
      </c>
    </row>
    <row r="26" spans="1:15" x14ac:dyDescent="0.2">
      <c r="A26" s="63" t="str">
        <f>Balance_Sheet!A16</f>
        <v>Prepaid Income Taxes</v>
      </c>
      <c r="D26" s="57">
        <f ca="1">Balance_Sheet!K16-Balance_Sheet!L16</f>
        <v>0</v>
      </c>
      <c r="E26" s="57">
        <f ca="1">Balance_Sheet!L16-Balance_Sheet!M16</f>
        <v>0</v>
      </c>
      <c r="F26" s="57">
        <f ca="1">Balance_Sheet!M16-Balance_Sheet!N16</f>
        <v>0</v>
      </c>
      <c r="G26" s="57">
        <f ca="1">Balance_Sheet!N16-Balance_Sheet!O16</f>
        <v>0</v>
      </c>
      <c r="H26" s="57">
        <f ca="1">Balance_Sheet!O16-Balance_Sheet!P16</f>
        <v>0</v>
      </c>
      <c r="I26" s="57">
        <f ca="1">Balance_Sheet!P16-Balance_Sheet!Q16</f>
        <v>0</v>
      </c>
      <c r="J26" s="57">
        <f ca="1">Balance_Sheet!Q16-Balance_Sheet!R16</f>
        <v>0</v>
      </c>
      <c r="K26" s="57">
        <f ca="1">Balance_Sheet!R16-Balance_Sheet!S16</f>
        <v>0</v>
      </c>
      <c r="L26" s="57">
        <f ca="1">Balance_Sheet!S16-Balance_Sheet!T16</f>
        <v>0</v>
      </c>
      <c r="M26" s="57">
        <f ca="1">Balance_Sheet!T16-Balance_Sheet!U16</f>
        <v>0</v>
      </c>
    </row>
    <row r="27" spans="1:15" x14ac:dyDescent="0.2">
      <c r="A27" s="63" t="str">
        <f>Balance_Sheet!A17</f>
        <v>Other Current Assets #1</v>
      </c>
      <c r="D27" s="57">
        <f ca="1">Balance_Sheet!K17-Balance_Sheet!L17</f>
        <v>0</v>
      </c>
      <c r="E27" s="57">
        <f ca="1">Balance_Sheet!L17-Balance_Sheet!M17</f>
        <v>0</v>
      </c>
      <c r="F27" s="57">
        <f ca="1">Balance_Sheet!M17-Balance_Sheet!N17</f>
        <v>0</v>
      </c>
      <c r="G27" s="57">
        <f ca="1">Balance_Sheet!N17-Balance_Sheet!O17</f>
        <v>0</v>
      </c>
      <c r="H27" s="57">
        <f ca="1">Balance_Sheet!O17-Balance_Sheet!P17</f>
        <v>0</v>
      </c>
      <c r="I27" s="57">
        <f ca="1">Balance_Sheet!P17-Balance_Sheet!Q17</f>
        <v>0</v>
      </c>
      <c r="J27" s="57">
        <f ca="1">Balance_Sheet!Q17-Balance_Sheet!R17</f>
        <v>0</v>
      </c>
      <c r="K27" s="57">
        <f ca="1">Balance_Sheet!R17-Balance_Sheet!S17</f>
        <v>0</v>
      </c>
      <c r="L27" s="57">
        <f ca="1">Balance_Sheet!S17-Balance_Sheet!T17</f>
        <v>0</v>
      </c>
      <c r="M27" s="57">
        <f ca="1">Balance_Sheet!T17-Balance_Sheet!U17</f>
        <v>0</v>
      </c>
    </row>
    <row r="28" spans="1:15" x14ac:dyDescent="0.2">
      <c r="A28" s="63" t="str">
        <f>Balance_Sheet!A18</f>
        <v>Other Current Assets #2</v>
      </c>
      <c r="D28" s="57">
        <f ca="1">Balance_Sheet!K18-Balance_Sheet!L18</f>
        <v>0</v>
      </c>
      <c r="E28" s="57">
        <f ca="1">Balance_Sheet!L18-Balance_Sheet!M18</f>
        <v>0</v>
      </c>
      <c r="F28" s="57">
        <f ca="1">Balance_Sheet!M18-Balance_Sheet!N18</f>
        <v>0</v>
      </c>
      <c r="G28" s="57">
        <f ca="1">Balance_Sheet!N18-Balance_Sheet!O18</f>
        <v>0</v>
      </c>
      <c r="H28" s="57">
        <f ca="1">Balance_Sheet!O18-Balance_Sheet!P18</f>
        <v>0</v>
      </c>
      <c r="I28" s="57">
        <f ca="1">Balance_Sheet!P18-Balance_Sheet!Q18</f>
        <v>0</v>
      </c>
      <c r="J28" s="57">
        <f ca="1">Balance_Sheet!Q18-Balance_Sheet!R18</f>
        <v>0</v>
      </c>
      <c r="K28" s="57">
        <f ca="1">Balance_Sheet!R18-Balance_Sheet!S18</f>
        <v>0</v>
      </c>
      <c r="L28" s="57">
        <f ca="1">Balance_Sheet!S18-Balance_Sheet!T18</f>
        <v>0</v>
      </c>
      <c r="M28" s="57">
        <f ca="1">Balance_Sheet!T18-Balance_Sheet!U18</f>
        <v>0</v>
      </c>
    </row>
    <row r="29" spans="1:15" x14ac:dyDescent="0.2">
      <c r="A29" s="63" t="str">
        <f>Balance_Sheet!A19</f>
        <v>Other Current Assets #3</v>
      </c>
      <c r="D29" s="57">
        <f ca="1">Balance_Sheet!K19-Balance_Sheet!L19</f>
        <v>0</v>
      </c>
      <c r="E29" s="57">
        <f ca="1">Balance_Sheet!L19-Balance_Sheet!M19</f>
        <v>0</v>
      </c>
      <c r="F29" s="57">
        <f ca="1">Balance_Sheet!M19-Balance_Sheet!N19</f>
        <v>0</v>
      </c>
      <c r="G29" s="57">
        <f ca="1">Balance_Sheet!N19-Balance_Sheet!O19</f>
        <v>0</v>
      </c>
      <c r="H29" s="57">
        <f ca="1">Balance_Sheet!O19-Balance_Sheet!P19</f>
        <v>0</v>
      </c>
      <c r="I29" s="57">
        <f ca="1">Balance_Sheet!P19-Balance_Sheet!Q19</f>
        <v>0</v>
      </c>
      <c r="J29" s="57">
        <f ca="1">Balance_Sheet!Q19-Balance_Sheet!R19</f>
        <v>0</v>
      </c>
      <c r="K29" s="57">
        <f ca="1">Balance_Sheet!R19-Balance_Sheet!S19</f>
        <v>0</v>
      </c>
      <c r="L29" s="57">
        <f ca="1">Balance_Sheet!S19-Balance_Sheet!T19</f>
        <v>0</v>
      </c>
      <c r="M29" s="57">
        <f ca="1">Balance_Sheet!T19-Balance_Sheet!U19</f>
        <v>0</v>
      </c>
    </row>
    <row r="30" spans="1:15" ht="5.25" customHeight="1" x14ac:dyDescent="0.2">
      <c r="A30" s="63"/>
    </row>
    <row r="31" spans="1:15" x14ac:dyDescent="0.2">
      <c r="A31" s="63" t="str">
        <f>Balance_Sheet!A43</f>
        <v>Accounts Payable</v>
      </c>
      <c r="D31" s="57">
        <f ca="1">Balance_Sheet!L43-Balance_Sheet!K43</f>
        <v>0</v>
      </c>
      <c r="E31" s="57">
        <f ca="1">Balance_Sheet!M43-Balance_Sheet!L43</f>
        <v>0</v>
      </c>
      <c r="F31" s="57">
        <f ca="1">Balance_Sheet!N43-Balance_Sheet!M43</f>
        <v>0</v>
      </c>
      <c r="G31" s="57">
        <f ca="1">Balance_Sheet!O43-Balance_Sheet!N43</f>
        <v>0</v>
      </c>
      <c r="H31" s="57">
        <f ca="1">Balance_Sheet!P43-Balance_Sheet!O43</f>
        <v>0</v>
      </c>
      <c r="I31" s="57">
        <f ca="1">Balance_Sheet!Q43-Balance_Sheet!P43</f>
        <v>0</v>
      </c>
      <c r="J31" s="57">
        <f ca="1">Balance_Sheet!R43-Balance_Sheet!Q43</f>
        <v>0</v>
      </c>
      <c r="K31" s="57">
        <f ca="1">Balance_Sheet!S43-Balance_Sheet!R43</f>
        <v>0</v>
      </c>
      <c r="L31" s="57">
        <f ca="1">Balance_Sheet!T43-Balance_Sheet!S43</f>
        <v>0</v>
      </c>
      <c r="M31" s="57">
        <f ca="1">Balance_Sheet!U43-Balance_Sheet!T43</f>
        <v>0</v>
      </c>
    </row>
    <row r="32" spans="1:15" x14ac:dyDescent="0.2">
      <c r="A32" s="63" t="str">
        <f>Balance_Sheet!A44</f>
        <v>Accrued Expenses</v>
      </c>
      <c r="D32" s="57">
        <f ca="1">Balance_Sheet!L44-Balance_Sheet!K44</f>
        <v>0</v>
      </c>
      <c r="E32" s="57">
        <f ca="1">Balance_Sheet!M44-Balance_Sheet!L44</f>
        <v>0</v>
      </c>
      <c r="F32" s="57">
        <f ca="1">Balance_Sheet!N44-Balance_Sheet!M44</f>
        <v>0</v>
      </c>
      <c r="G32" s="57">
        <f ca="1">Balance_Sheet!O44-Balance_Sheet!N44</f>
        <v>0</v>
      </c>
      <c r="H32" s="57">
        <f ca="1">Balance_Sheet!P44-Balance_Sheet!O44</f>
        <v>0</v>
      </c>
      <c r="I32" s="57">
        <f ca="1">Balance_Sheet!Q44-Balance_Sheet!P44</f>
        <v>0</v>
      </c>
      <c r="J32" s="57">
        <f ca="1">Balance_Sheet!R44-Balance_Sheet!Q44</f>
        <v>0</v>
      </c>
      <c r="K32" s="57">
        <f ca="1">Balance_Sheet!S44-Balance_Sheet!R44</f>
        <v>0</v>
      </c>
      <c r="L32" s="57">
        <f ca="1">Balance_Sheet!T44-Balance_Sheet!S44</f>
        <v>0</v>
      </c>
      <c r="M32" s="57">
        <f ca="1">Balance_Sheet!U44-Balance_Sheet!T44</f>
        <v>0</v>
      </c>
    </row>
    <row r="33" spans="1:13" x14ac:dyDescent="0.2">
      <c r="A33" s="63" t="str">
        <f>Balance_Sheet!A45</f>
        <v>Dividend Payable</v>
      </c>
      <c r="D33" s="57">
        <f ca="1">Balance_Sheet!L45-Balance_Sheet!K45</f>
        <v>0</v>
      </c>
      <c r="E33" s="57">
        <f ca="1">Balance_Sheet!M45-Balance_Sheet!L45</f>
        <v>0</v>
      </c>
      <c r="F33" s="57">
        <f ca="1">Balance_Sheet!N45-Balance_Sheet!M45</f>
        <v>0</v>
      </c>
      <c r="G33" s="57">
        <f ca="1">Balance_Sheet!O45-Balance_Sheet!N45</f>
        <v>0</v>
      </c>
      <c r="H33" s="57">
        <f ca="1">Balance_Sheet!P45-Balance_Sheet!O45</f>
        <v>0</v>
      </c>
      <c r="I33" s="57">
        <f ca="1">Balance_Sheet!Q45-Balance_Sheet!P45</f>
        <v>0</v>
      </c>
      <c r="J33" s="57">
        <f ca="1">Balance_Sheet!R45-Balance_Sheet!Q45</f>
        <v>0</v>
      </c>
      <c r="K33" s="57">
        <f ca="1">Balance_Sheet!S45-Balance_Sheet!R45</f>
        <v>0</v>
      </c>
      <c r="L33" s="57">
        <f ca="1">Balance_Sheet!T45-Balance_Sheet!S45</f>
        <v>0</v>
      </c>
      <c r="M33" s="57">
        <f ca="1">Balance_Sheet!U45-Balance_Sheet!T45</f>
        <v>0</v>
      </c>
    </row>
    <row r="34" spans="1:13" x14ac:dyDescent="0.2">
      <c r="A34" s="63" t="str">
        <f>Balance_Sheet!A46</f>
        <v>Income Tax Payable</v>
      </c>
      <c r="D34" s="57">
        <f ca="1">Balance_Sheet!L46-Balance_Sheet!K46</f>
        <v>0</v>
      </c>
      <c r="E34" s="57">
        <f ca="1">Balance_Sheet!M46-Balance_Sheet!L46</f>
        <v>0</v>
      </c>
      <c r="F34" s="57">
        <f ca="1">Balance_Sheet!N46-Balance_Sheet!M46</f>
        <v>0</v>
      </c>
      <c r="G34" s="57">
        <f ca="1">Balance_Sheet!O46-Balance_Sheet!N46</f>
        <v>0</v>
      </c>
      <c r="H34" s="57">
        <f ca="1">Balance_Sheet!P46-Balance_Sheet!O46</f>
        <v>0</v>
      </c>
      <c r="I34" s="57">
        <f ca="1">Balance_Sheet!Q46-Balance_Sheet!P46</f>
        <v>0</v>
      </c>
      <c r="J34" s="57">
        <f ca="1">Balance_Sheet!R46-Balance_Sheet!Q46</f>
        <v>0</v>
      </c>
      <c r="K34" s="57">
        <f ca="1">Balance_Sheet!S46-Balance_Sheet!R46</f>
        <v>0</v>
      </c>
      <c r="L34" s="57">
        <f ca="1">Balance_Sheet!T46-Balance_Sheet!S46</f>
        <v>0</v>
      </c>
      <c r="M34" s="57">
        <f ca="1">Balance_Sheet!U46-Balance_Sheet!T46</f>
        <v>0</v>
      </c>
    </row>
    <row r="35" spans="1:13" x14ac:dyDescent="0.2">
      <c r="A35" s="63" t="str">
        <f>Balance_Sheet!A47</f>
        <v>Other Current Liabilities #1</v>
      </c>
      <c r="D35" s="57">
        <f ca="1">Balance_Sheet!L47-Balance_Sheet!K47</f>
        <v>0</v>
      </c>
      <c r="E35" s="57">
        <f ca="1">Balance_Sheet!M47-Balance_Sheet!L47</f>
        <v>0</v>
      </c>
      <c r="F35" s="57">
        <f ca="1">Balance_Sheet!N47-Balance_Sheet!M47</f>
        <v>0</v>
      </c>
      <c r="G35" s="57">
        <f ca="1">Balance_Sheet!O47-Balance_Sheet!N47</f>
        <v>0</v>
      </c>
      <c r="H35" s="57">
        <f ca="1">Balance_Sheet!P47-Balance_Sheet!O47</f>
        <v>0</v>
      </c>
      <c r="I35" s="57">
        <f ca="1">Balance_Sheet!Q47-Balance_Sheet!P47</f>
        <v>0</v>
      </c>
      <c r="J35" s="57">
        <f ca="1">Balance_Sheet!R47-Balance_Sheet!Q47</f>
        <v>0</v>
      </c>
      <c r="K35" s="57">
        <f ca="1">Balance_Sheet!S47-Balance_Sheet!R47</f>
        <v>0</v>
      </c>
      <c r="L35" s="57">
        <f ca="1">Balance_Sheet!T47-Balance_Sheet!S47</f>
        <v>0</v>
      </c>
      <c r="M35" s="57">
        <f ca="1">Balance_Sheet!U47-Balance_Sheet!T47</f>
        <v>0</v>
      </c>
    </row>
    <row r="36" spans="1:13" x14ac:dyDescent="0.2">
      <c r="A36" s="63" t="str">
        <f>Balance_Sheet!A48</f>
        <v>Other Current Liabilities #2</v>
      </c>
      <c r="D36" s="57">
        <f ca="1">Balance_Sheet!L48-Balance_Sheet!K48</f>
        <v>0</v>
      </c>
      <c r="E36" s="57">
        <f ca="1">Balance_Sheet!M48-Balance_Sheet!L48</f>
        <v>0</v>
      </c>
      <c r="F36" s="57">
        <f ca="1">Balance_Sheet!N48-Balance_Sheet!M48</f>
        <v>0</v>
      </c>
      <c r="G36" s="57">
        <f ca="1">Balance_Sheet!O48-Balance_Sheet!N48</f>
        <v>0</v>
      </c>
      <c r="H36" s="57">
        <f ca="1">Balance_Sheet!P48-Balance_Sheet!O48</f>
        <v>0</v>
      </c>
      <c r="I36" s="57">
        <f ca="1">Balance_Sheet!Q48-Balance_Sheet!P48</f>
        <v>0</v>
      </c>
      <c r="J36" s="57">
        <f ca="1">Balance_Sheet!R48-Balance_Sheet!Q48</f>
        <v>0</v>
      </c>
      <c r="K36" s="57">
        <f ca="1">Balance_Sheet!S48-Balance_Sheet!R48</f>
        <v>0</v>
      </c>
      <c r="L36" s="57">
        <f ca="1">Balance_Sheet!T48-Balance_Sheet!S48</f>
        <v>0</v>
      </c>
      <c r="M36" s="57">
        <f ca="1">Balance_Sheet!U48-Balance_Sheet!T48</f>
        <v>0</v>
      </c>
    </row>
    <row r="37" spans="1:13" x14ac:dyDescent="0.2">
      <c r="A37" s="63" t="str">
        <f>Balance_Sheet!A49</f>
        <v>Other Current Liabilities #3</v>
      </c>
      <c r="D37" s="58">
        <f ca="1">Balance_Sheet!L49-Balance_Sheet!K49</f>
        <v>0</v>
      </c>
      <c r="E37" s="58">
        <f ca="1">Balance_Sheet!M49-Balance_Sheet!L49</f>
        <v>0</v>
      </c>
      <c r="F37" s="58">
        <f ca="1">Balance_Sheet!N49-Balance_Sheet!M49</f>
        <v>0</v>
      </c>
      <c r="G37" s="58">
        <f ca="1">Balance_Sheet!O49-Balance_Sheet!N49</f>
        <v>0</v>
      </c>
      <c r="H37" s="58">
        <f ca="1">Balance_Sheet!P49-Balance_Sheet!O49</f>
        <v>0</v>
      </c>
      <c r="I37" s="58">
        <f ca="1">Balance_Sheet!Q49-Balance_Sheet!P49</f>
        <v>0</v>
      </c>
      <c r="J37" s="58">
        <f ca="1">Balance_Sheet!R49-Balance_Sheet!Q49</f>
        <v>0</v>
      </c>
      <c r="K37" s="58">
        <f ca="1">Balance_Sheet!S49-Balance_Sheet!R49</f>
        <v>0</v>
      </c>
      <c r="L37" s="58">
        <f ca="1">Balance_Sheet!T49-Balance_Sheet!S49</f>
        <v>0</v>
      </c>
      <c r="M37" s="58">
        <f ca="1">Balance_Sheet!U49-Balance_Sheet!T49</f>
        <v>0</v>
      </c>
    </row>
    <row r="39" spans="1:13" ht="15.75" x14ac:dyDescent="0.25">
      <c r="A39" s="4" t="s">
        <v>134</v>
      </c>
      <c r="D39" s="164">
        <f ca="1">SUM(D23:D37)</f>
        <v>0</v>
      </c>
      <c r="E39" s="164">
        <f t="shared" ref="E39:M39" ca="1" si="2">SUM(E23:E37)</f>
        <v>0</v>
      </c>
      <c r="F39" s="164">
        <f t="shared" ca="1" si="2"/>
        <v>0</v>
      </c>
      <c r="G39" s="164">
        <f t="shared" ca="1" si="2"/>
        <v>0</v>
      </c>
      <c r="H39" s="164">
        <f t="shared" ca="1" si="2"/>
        <v>0</v>
      </c>
      <c r="I39" s="164">
        <f t="shared" ca="1" si="2"/>
        <v>0</v>
      </c>
      <c r="J39" s="164">
        <f t="shared" ca="1" si="2"/>
        <v>0</v>
      </c>
      <c r="K39" s="164">
        <f t="shared" ca="1" si="2"/>
        <v>0</v>
      </c>
      <c r="L39" s="164">
        <f t="shared" ca="1" si="2"/>
        <v>0</v>
      </c>
      <c r="M39" s="164">
        <f t="shared" ca="1" si="2"/>
        <v>0</v>
      </c>
    </row>
    <row r="41" spans="1:13" ht="15.75" x14ac:dyDescent="0.25">
      <c r="A41" s="4" t="s">
        <v>135</v>
      </c>
      <c r="D41" s="57">
        <f ca="1">D39+D20</f>
        <v>0</v>
      </c>
      <c r="E41" s="57">
        <f t="shared" ref="E41:M41" ca="1" si="3">E39+E20</f>
        <v>0</v>
      </c>
      <c r="F41" s="57">
        <f t="shared" ca="1" si="3"/>
        <v>0</v>
      </c>
      <c r="G41" s="57">
        <f t="shared" ca="1" si="3"/>
        <v>0</v>
      </c>
      <c r="H41" s="57">
        <f t="shared" ca="1" si="3"/>
        <v>0</v>
      </c>
      <c r="I41" s="57">
        <f t="shared" ca="1" si="3"/>
        <v>0</v>
      </c>
      <c r="J41" s="57">
        <f t="shared" ca="1" si="3"/>
        <v>0</v>
      </c>
      <c r="K41" s="57">
        <f t="shared" ca="1" si="3"/>
        <v>0</v>
      </c>
      <c r="L41" s="57">
        <f t="shared" ca="1" si="3"/>
        <v>0</v>
      </c>
      <c r="M41" s="57">
        <f t="shared" ca="1" si="3"/>
        <v>0</v>
      </c>
    </row>
    <row r="42" spans="1:13" ht="15.75" x14ac:dyDescent="0.25">
      <c r="A42" s="4" t="s">
        <v>136</v>
      </c>
      <c r="D42" s="57">
        <f>Balance_Sheet!K12</f>
        <v>0</v>
      </c>
      <c r="E42" s="57">
        <f ca="1">Balance_Sheet!L12</f>
        <v>0</v>
      </c>
      <c r="F42" s="57">
        <f ca="1">Balance_Sheet!M12</f>
        <v>0</v>
      </c>
      <c r="G42" s="57">
        <f ca="1">Balance_Sheet!N12</f>
        <v>0</v>
      </c>
      <c r="H42" s="57">
        <f ca="1">Balance_Sheet!O12</f>
        <v>0</v>
      </c>
      <c r="I42" s="57">
        <f ca="1">Balance_Sheet!P12</f>
        <v>0</v>
      </c>
      <c r="J42" s="57">
        <f ca="1">Balance_Sheet!Q12</f>
        <v>0</v>
      </c>
      <c r="K42" s="57">
        <f ca="1">Balance_Sheet!R12</f>
        <v>0</v>
      </c>
      <c r="L42" s="57">
        <f ca="1">Balance_Sheet!S12</f>
        <v>0</v>
      </c>
      <c r="M42" s="57">
        <f ca="1">Balance_Sheet!T12</f>
        <v>0</v>
      </c>
    </row>
    <row r="44" spans="1:13" x14ac:dyDescent="0.2">
      <c r="A44" s="63" t="s">
        <v>137</v>
      </c>
      <c r="D44" s="55">
        <f t="array" ref="D44:M44">TRANSPOSE(Book_Depreciation!F28:F37)</f>
        <v>0</v>
      </c>
      <c r="E44" s="55">
        <v>0</v>
      </c>
      <c r="F44" s="55">
        <v>0</v>
      </c>
      <c r="G44" s="55">
        <v>0</v>
      </c>
      <c r="H44" s="55">
        <v>0</v>
      </c>
      <c r="I44" s="55">
        <v>0</v>
      </c>
      <c r="J44" s="55">
        <v>0</v>
      </c>
      <c r="K44" s="55">
        <v>0</v>
      </c>
      <c r="L44" s="55">
        <v>0</v>
      </c>
      <c r="M44" s="55">
        <v>0</v>
      </c>
    </row>
    <row r="45" spans="1:13" x14ac:dyDescent="0.2">
      <c r="A45" s="63" t="str">
        <f>"(Inc)/Dec in "&amp;Balance_Sheet!A25</f>
        <v>(Inc)/Dec in Other Assets #1</v>
      </c>
      <c r="D45" s="57">
        <f ca="1">(Balance_Sheet!K25-Balance_Sheet!L25)</f>
        <v>0</v>
      </c>
      <c r="E45" s="57">
        <f ca="1">-(Balance_Sheet!L25-Balance_Sheet!M25)</f>
        <v>0</v>
      </c>
      <c r="F45" s="57">
        <f ca="1">-(Balance_Sheet!M25-Balance_Sheet!N25)</f>
        <v>0</v>
      </c>
      <c r="G45" s="57">
        <f ca="1">-(Balance_Sheet!N25-Balance_Sheet!O25)</f>
        <v>0</v>
      </c>
      <c r="H45" s="57">
        <f ca="1">-(Balance_Sheet!O25-Balance_Sheet!P25)</f>
        <v>0</v>
      </c>
      <c r="I45" s="57">
        <f ca="1">-(Balance_Sheet!P25-Balance_Sheet!Q25)</f>
        <v>0</v>
      </c>
      <c r="J45" s="57">
        <f ca="1">-(Balance_Sheet!Q25-Balance_Sheet!R25)</f>
        <v>0</v>
      </c>
      <c r="K45" s="57">
        <f ca="1">-(Balance_Sheet!R25-Balance_Sheet!S25)</f>
        <v>0</v>
      </c>
      <c r="L45" s="57">
        <f ca="1">-(Balance_Sheet!S25-Balance_Sheet!T25)</f>
        <v>0</v>
      </c>
      <c r="M45" s="57">
        <f ca="1">-(Balance_Sheet!T25-Balance_Sheet!U25)</f>
        <v>0</v>
      </c>
    </row>
    <row r="46" spans="1:13" x14ac:dyDescent="0.2">
      <c r="A46" s="63" t="str">
        <f>"(Inc)/Dec in "&amp;Balance_Sheet!A26</f>
        <v>(Inc)/Dec in Other Assets #2</v>
      </c>
      <c r="D46" s="57">
        <f ca="1">(Balance_Sheet!K26-Balance_Sheet!L26)</f>
        <v>0</v>
      </c>
      <c r="E46" s="57">
        <f ca="1">-(Balance_Sheet!L26-Balance_Sheet!M26)</f>
        <v>0</v>
      </c>
      <c r="F46" s="57">
        <f ca="1">-(Balance_Sheet!M26-Balance_Sheet!N26)</f>
        <v>0</v>
      </c>
      <c r="G46" s="57">
        <f ca="1">-(Balance_Sheet!N26-Balance_Sheet!O26)</f>
        <v>0</v>
      </c>
      <c r="H46" s="57">
        <f ca="1">-(Balance_Sheet!O26-Balance_Sheet!P26)</f>
        <v>0</v>
      </c>
      <c r="I46" s="57">
        <f ca="1">-(Balance_Sheet!P26-Balance_Sheet!Q26)</f>
        <v>0</v>
      </c>
      <c r="J46" s="57">
        <f ca="1">-(Balance_Sheet!Q26-Balance_Sheet!R26)</f>
        <v>0</v>
      </c>
      <c r="K46" s="57">
        <f ca="1">-(Balance_Sheet!R26-Balance_Sheet!S26)</f>
        <v>0</v>
      </c>
      <c r="L46" s="57">
        <f ca="1">-(Balance_Sheet!S26-Balance_Sheet!T26)</f>
        <v>0</v>
      </c>
      <c r="M46" s="57">
        <f ca="1">-(Balance_Sheet!T26-Balance_Sheet!U26)</f>
        <v>0</v>
      </c>
    </row>
    <row r="47" spans="1:13" x14ac:dyDescent="0.2">
      <c r="A47" s="63" t="str">
        <f>"(Inc)/Dec in "&amp;Balance_Sheet!A30</f>
        <v>(Inc)/Dec in Other NC Assets #1</v>
      </c>
      <c r="D47" s="57">
        <f ca="1">(Balance_Sheet!K30-Balance_Sheet!L30)</f>
        <v>0</v>
      </c>
      <c r="E47" s="57">
        <f ca="1">-(Balance_Sheet!L30-Balance_Sheet!M30)</f>
        <v>0</v>
      </c>
      <c r="F47" s="57">
        <f ca="1">-(Balance_Sheet!M30-Balance_Sheet!N30)</f>
        <v>0</v>
      </c>
      <c r="G47" s="57">
        <f ca="1">-(Balance_Sheet!N30-Balance_Sheet!O30)</f>
        <v>0</v>
      </c>
      <c r="H47" s="57">
        <f ca="1">-(Balance_Sheet!O30-Balance_Sheet!P30)</f>
        <v>0</v>
      </c>
      <c r="I47" s="57">
        <f ca="1">-(Balance_Sheet!P30-Balance_Sheet!Q30)</f>
        <v>0</v>
      </c>
      <c r="J47" s="57">
        <f ca="1">-(Balance_Sheet!Q30-Balance_Sheet!R30)</f>
        <v>0</v>
      </c>
      <c r="K47" s="57">
        <f ca="1">-(Balance_Sheet!R30-Balance_Sheet!S30)</f>
        <v>0</v>
      </c>
      <c r="L47" s="57">
        <f ca="1">-(Balance_Sheet!S30-Balance_Sheet!T30)</f>
        <v>0</v>
      </c>
      <c r="M47" s="57">
        <f ca="1">-(Balance_Sheet!T30-Balance_Sheet!U30)</f>
        <v>0</v>
      </c>
    </row>
    <row r="48" spans="1:13" x14ac:dyDescent="0.2">
      <c r="A48" s="63" t="str">
        <f>"(Inc)/Dec in "&amp;Balance_Sheet!A31</f>
        <v>(Inc)/Dec in Other NC Assets #2</v>
      </c>
      <c r="D48" s="57">
        <f ca="1">(Balance_Sheet!K31-Balance_Sheet!L31)</f>
        <v>0</v>
      </c>
      <c r="E48" s="57">
        <f ca="1">-(Balance_Sheet!L31-Balance_Sheet!M31)</f>
        <v>0</v>
      </c>
      <c r="F48" s="57">
        <f ca="1">-(Balance_Sheet!M31-Balance_Sheet!N31)</f>
        <v>0</v>
      </c>
      <c r="G48" s="57">
        <f ca="1">-(Balance_Sheet!N31-Balance_Sheet!O31)</f>
        <v>0</v>
      </c>
      <c r="H48" s="57">
        <f ca="1">-(Balance_Sheet!O31-Balance_Sheet!P31)</f>
        <v>0</v>
      </c>
      <c r="I48" s="57">
        <f ca="1">-(Balance_Sheet!P31-Balance_Sheet!Q31)</f>
        <v>0</v>
      </c>
      <c r="J48" s="57">
        <f ca="1">-(Balance_Sheet!Q31-Balance_Sheet!R31)</f>
        <v>0</v>
      </c>
      <c r="K48" s="57">
        <f ca="1">-(Balance_Sheet!R31-Balance_Sheet!S31)</f>
        <v>0</v>
      </c>
      <c r="L48" s="57">
        <f ca="1">-(Balance_Sheet!S31-Balance_Sheet!T31)</f>
        <v>0</v>
      </c>
      <c r="M48" s="57">
        <f ca="1">-(Balance_Sheet!T31-Balance_Sheet!U31)</f>
        <v>0</v>
      </c>
    </row>
    <row r="49" spans="1:13" x14ac:dyDescent="0.2">
      <c r="A49" s="63" t="str">
        <f>"(Inc)/Dec in "&amp;Balance_Sheet!A32</f>
        <v>(Inc)/Dec in Other NC Assets #3</v>
      </c>
      <c r="D49" s="57">
        <f ca="1">(Balance_Sheet!K32-Balance_Sheet!L32)</f>
        <v>0</v>
      </c>
      <c r="E49" s="57">
        <f ca="1">-(Balance_Sheet!L32-Balance_Sheet!M32)</f>
        <v>0</v>
      </c>
      <c r="F49" s="57">
        <f ca="1">-(Balance_Sheet!M32-Balance_Sheet!N32)</f>
        <v>0</v>
      </c>
      <c r="G49" s="57">
        <f ca="1">-(Balance_Sheet!N32-Balance_Sheet!O32)</f>
        <v>0</v>
      </c>
      <c r="H49" s="57">
        <f ca="1">-(Balance_Sheet!O32-Balance_Sheet!P32)</f>
        <v>0</v>
      </c>
      <c r="I49" s="57">
        <f ca="1">-(Balance_Sheet!P32-Balance_Sheet!Q32)</f>
        <v>0</v>
      </c>
      <c r="J49" s="57">
        <f ca="1">-(Balance_Sheet!Q32-Balance_Sheet!R32)</f>
        <v>0</v>
      </c>
      <c r="K49" s="57">
        <f ca="1">-(Balance_Sheet!R32-Balance_Sheet!S32)</f>
        <v>0</v>
      </c>
      <c r="L49" s="57">
        <f ca="1">-(Balance_Sheet!S32-Balance_Sheet!T32)</f>
        <v>0</v>
      </c>
      <c r="M49" s="57">
        <f ca="1">-(Balance_Sheet!T32-Balance_Sheet!U32)</f>
        <v>0</v>
      </c>
    </row>
    <row r="50" spans="1:13" x14ac:dyDescent="0.2">
      <c r="A50" s="63" t="str">
        <f>"Inc/(Dec) in "&amp;Balance_Sheet!A53</f>
        <v>Inc/(Dec) in Deferred Taxes</v>
      </c>
      <c r="D50" s="57">
        <f ca="1">(Balance_Sheet!L53-Balance_Sheet!K53)</f>
        <v>0</v>
      </c>
      <c r="E50" s="57">
        <f ca="1">-(Balance_Sheet!M53-Balance_Sheet!L53)</f>
        <v>0</v>
      </c>
      <c r="F50" s="57">
        <f ca="1">-(Balance_Sheet!N53-Balance_Sheet!M53)</f>
        <v>0</v>
      </c>
      <c r="G50" s="57">
        <f ca="1">-(Balance_Sheet!O53-Balance_Sheet!N53)</f>
        <v>0</v>
      </c>
      <c r="H50" s="57">
        <f ca="1">-(Balance_Sheet!P53-Balance_Sheet!O53)</f>
        <v>0</v>
      </c>
      <c r="I50" s="57">
        <f ca="1">-(Balance_Sheet!Q53-Balance_Sheet!P53)</f>
        <v>0</v>
      </c>
      <c r="J50" s="57">
        <f ca="1">-(Balance_Sheet!R53-Balance_Sheet!Q53)</f>
        <v>0</v>
      </c>
      <c r="K50" s="57">
        <f ca="1">-(Balance_Sheet!S53-Balance_Sheet!R53)</f>
        <v>0</v>
      </c>
      <c r="L50" s="57">
        <f ca="1">-(Balance_Sheet!T53-Balance_Sheet!S53)</f>
        <v>0</v>
      </c>
      <c r="M50" s="57">
        <f ca="1">-(Balance_Sheet!U53-Balance_Sheet!T53)</f>
        <v>0</v>
      </c>
    </row>
    <row r="51" spans="1:13" x14ac:dyDescent="0.2">
      <c r="A51" s="63" t="str">
        <f>"Inc/(Dec) in "&amp;Balance_Sheet!A54</f>
        <v>Inc/(Dec) in Other Deferred Liability #1</v>
      </c>
      <c r="D51" s="57">
        <f>(Balance_Sheet!L54-Balance_Sheet!K54)</f>
        <v>0</v>
      </c>
      <c r="E51" s="57">
        <f>-(Balance_Sheet!M54-Balance_Sheet!L54)</f>
        <v>0</v>
      </c>
      <c r="F51" s="57">
        <f>-(Balance_Sheet!N54-Balance_Sheet!M54)</f>
        <v>0</v>
      </c>
      <c r="G51" s="57">
        <f>-(Balance_Sheet!O54-Balance_Sheet!N54)</f>
        <v>0</v>
      </c>
      <c r="H51" s="57">
        <f>-(Balance_Sheet!P54-Balance_Sheet!O54)</f>
        <v>0</v>
      </c>
      <c r="I51" s="57">
        <f>-(Balance_Sheet!Q54-Balance_Sheet!P54)</f>
        <v>0</v>
      </c>
      <c r="J51" s="57">
        <f>-(Balance_Sheet!R54-Balance_Sheet!Q54)</f>
        <v>0</v>
      </c>
      <c r="K51" s="57">
        <f>-(Balance_Sheet!S54-Balance_Sheet!R54)</f>
        <v>0</v>
      </c>
      <c r="L51" s="57">
        <f>-(Balance_Sheet!T54-Balance_Sheet!S54)</f>
        <v>0</v>
      </c>
      <c r="M51" s="57">
        <f>-(Balance_Sheet!U54-Balance_Sheet!T54)</f>
        <v>0</v>
      </c>
    </row>
    <row r="52" spans="1:13" x14ac:dyDescent="0.2">
      <c r="A52" s="63" t="str">
        <f>"Inc/(Dec) in "&amp;Balance_Sheet!A55</f>
        <v>Inc/(Dec) in Other Deferred Liability #2</v>
      </c>
      <c r="D52" s="57">
        <f ca="1">(Balance_Sheet!L55-Balance_Sheet!K55)</f>
        <v>0</v>
      </c>
      <c r="E52" s="57">
        <f ca="1">-(Balance_Sheet!M55-Balance_Sheet!L55)</f>
        <v>0</v>
      </c>
      <c r="F52" s="57">
        <f ca="1">-(Balance_Sheet!N55-Balance_Sheet!M55)</f>
        <v>0</v>
      </c>
      <c r="G52" s="57">
        <f ca="1">-(Balance_Sheet!O55-Balance_Sheet!N55)</f>
        <v>0</v>
      </c>
      <c r="H52" s="57">
        <f ca="1">-(Balance_Sheet!P55-Balance_Sheet!O55)</f>
        <v>0</v>
      </c>
      <c r="I52" s="57">
        <f ca="1">-(Balance_Sheet!Q55-Balance_Sheet!P55)</f>
        <v>0</v>
      </c>
      <c r="J52" s="57">
        <f ca="1">-(Balance_Sheet!R55-Balance_Sheet!Q55)</f>
        <v>0</v>
      </c>
      <c r="K52" s="57">
        <f ca="1">-(Balance_Sheet!S55-Balance_Sheet!R55)</f>
        <v>0</v>
      </c>
      <c r="L52" s="57">
        <f ca="1">-(Balance_Sheet!T55-Balance_Sheet!S55)</f>
        <v>0</v>
      </c>
      <c r="M52" s="57">
        <f ca="1">-(Balance_Sheet!U55-Balance_Sheet!T55)</f>
        <v>0</v>
      </c>
    </row>
    <row r="53" spans="1:13" x14ac:dyDescent="0.2">
      <c r="A53" s="63" t="str">
        <f>"Inc/(Dec) in "&amp;Balance_Sheet!A56</f>
        <v>Inc/(Dec) in Minority Interest</v>
      </c>
      <c r="D53" s="58">
        <f ca="1">(Balance_Sheet!L56-Balance_Sheet!K56)</f>
        <v>0</v>
      </c>
      <c r="E53" s="58">
        <f ca="1">Balance_Sheet!M56-Balance_Sheet!L56</f>
        <v>0</v>
      </c>
      <c r="F53" s="58">
        <f ca="1">Balance_Sheet!N56-Balance_Sheet!M56</f>
        <v>0</v>
      </c>
      <c r="G53" s="58">
        <f ca="1">Balance_Sheet!O56-Balance_Sheet!N56</f>
        <v>0</v>
      </c>
      <c r="H53" s="58">
        <f ca="1">Balance_Sheet!P56-Balance_Sheet!O56</f>
        <v>0</v>
      </c>
      <c r="I53" s="58">
        <f ca="1">Balance_Sheet!Q56-Balance_Sheet!P56</f>
        <v>0</v>
      </c>
      <c r="J53" s="58">
        <f ca="1">Balance_Sheet!R56-Balance_Sheet!Q56</f>
        <v>0</v>
      </c>
      <c r="K53" s="58">
        <f ca="1">Balance_Sheet!S56-Balance_Sheet!R56</f>
        <v>0</v>
      </c>
      <c r="L53" s="58">
        <f ca="1">Balance_Sheet!T56-Balance_Sheet!S56</f>
        <v>0</v>
      </c>
      <c r="M53" s="58">
        <f ca="1">Balance_Sheet!U56-Balance_Sheet!T56</f>
        <v>0</v>
      </c>
    </row>
    <row r="55" spans="1:13" ht="16.5" thickBot="1" x14ac:dyDescent="0.3">
      <c r="A55" s="4" t="s">
        <v>138</v>
      </c>
      <c r="D55" s="65">
        <f ca="1">D41+D42-SUM(D44:D53)</f>
        <v>0</v>
      </c>
      <c r="E55" s="65">
        <f t="shared" ref="E55:M55" ca="1" si="4">E41+E42-SUM(E44:E53)</f>
        <v>0</v>
      </c>
      <c r="F55" s="65">
        <f t="shared" ca="1" si="4"/>
        <v>0</v>
      </c>
      <c r="G55" s="65">
        <f t="shared" ca="1" si="4"/>
        <v>0</v>
      </c>
      <c r="H55" s="65">
        <f t="shared" ca="1" si="4"/>
        <v>0</v>
      </c>
      <c r="I55" s="65">
        <f t="shared" ca="1" si="4"/>
        <v>0</v>
      </c>
      <c r="J55" s="65">
        <f t="shared" ca="1" si="4"/>
        <v>0</v>
      </c>
      <c r="K55" s="65">
        <f t="shared" ca="1" si="4"/>
        <v>0</v>
      </c>
      <c r="L55" s="65">
        <f t="shared" ca="1" si="4"/>
        <v>0</v>
      </c>
      <c r="M55" s="65">
        <f t="shared" ca="1" si="4"/>
        <v>0</v>
      </c>
    </row>
    <row r="56" spans="1:13" ht="15.75" thickTop="1" x14ac:dyDescent="0.2"/>
    <row r="58" spans="1:13" x14ac:dyDescent="0.2">
      <c r="A58" s="1" t="s">
        <v>414</v>
      </c>
      <c r="D58" s="57">
        <f ca="1">SUM(D45:D49)</f>
        <v>0</v>
      </c>
      <c r="E58" s="57">
        <f t="shared" ref="E58:M58" ca="1" si="5">SUM(E45:E49)</f>
        <v>0</v>
      </c>
      <c r="F58" s="57">
        <f t="shared" ca="1" si="5"/>
        <v>0</v>
      </c>
      <c r="G58" s="57">
        <f t="shared" ca="1" si="5"/>
        <v>0</v>
      </c>
      <c r="H58" s="57">
        <f t="shared" ca="1" si="5"/>
        <v>0</v>
      </c>
      <c r="I58" s="57">
        <f t="shared" ca="1" si="5"/>
        <v>0</v>
      </c>
      <c r="J58" s="57">
        <f t="shared" ca="1" si="5"/>
        <v>0</v>
      </c>
      <c r="K58" s="57">
        <f t="shared" ca="1" si="5"/>
        <v>0</v>
      </c>
      <c r="L58" s="57">
        <f t="shared" ca="1" si="5"/>
        <v>0</v>
      </c>
      <c r="M58" s="57">
        <f t="shared" ca="1" si="5"/>
        <v>0</v>
      </c>
    </row>
    <row r="59" spans="1:13" x14ac:dyDescent="0.2">
      <c r="A59" s="1" t="s">
        <v>415</v>
      </c>
      <c r="D59" s="57">
        <f ca="1">SUM(D51:D53)</f>
        <v>0</v>
      </c>
      <c r="E59" s="57">
        <f t="shared" ref="E59:M59" ca="1" si="6">SUM(E51:E53)</f>
        <v>0</v>
      </c>
      <c r="F59" s="57">
        <f t="shared" ca="1" si="6"/>
        <v>0</v>
      </c>
      <c r="G59" s="57">
        <f t="shared" ca="1" si="6"/>
        <v>0</v>
      </c>
      <c r="H59" s="57">
        <f t="shared" ca="1" si="6"/>
        <v>0</v>
      </c>
      <c r="I59" s="57">
        <f t="shared" ca="1" si="6"/>
        <v>0</v>
      </c>
      <c r="J59" s="57">
        <f t="shared" ca="1" si="6"/>
        <v>0</v>
      </c>
      <c r="K59" s="57">
        <f t="shared" ca="1" si="6"/>
        <v>0</v>
      </c>
      <c r="L59" s="57">
        <f t="shared" ca="1" si="6"/>
        <v>0</v>
      </c>
      <c r="M59" s="57">
        <f t="shared" ca="1" si="6"/>
        <v>0</v>
      </c>
    </row>
    <row r="62" spans="1:13" x14ac:dyDescent="0.2">
      <c r="D62" s="258"/>
      <c r="E62" s="258"/>
      <c r="F62" s="258"/>
      <c r="G62" s="258"/>
      <c r="H62" s="258"/>
      <c r="I62" s="258"/>
      <c r="J62" s="258"/>
      <c r="K62" s="258"/>
      <c r="L62" s="258"/>
      <c r="M62" s="258"/>
    </row>
    <row r="63" spans="1:13" x14ac:dyDescent="0.2">
      <c r="E63" s="258"/>
      <c r="F63" s="258"/>
      <c r="G63" s="258"/>
      <c r="H63" s="258"/>
      <c r="I63" s="258"/>
      <c r="J63" s="258"/>
      <c r="K63" s="258"/>
      <c r="L63" s="258"/>
      <c r="M63" s="258"/>
    </row>
  </sheetData>
  <mergeCells count="3">
    <mergeCell ref="D7:M7"/>
    <mergeCell ref="A2:N2"/>
    <mergeCell ref="A3:N3"/>
  </mergeCells>
  <phoneticPr fontId="0" type="noConversion"/>
  <printOptions horizontalCentered="1" verticalCentered="1"/>
  <pageMargins left="0.75" right="0.75" top="1" bottom="1" header="0.5" footer="0.5"/>
  <pageSetup scale="66" orientation="landscape" horizontalDpi="300" verticalDpi="300" r:id="rId1"/>
  <headerFooter alignWithMargins="0">
    <oddHeader>&amp;L&amp;D&amp;T&amp;C&amp;P&amp;N&amp;R&amp;F&amp;A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S59"/>
  <sheetViews>
    <sheetView zoomScale="75" zoomScaleNormal="80" workbookViewId="0">
      <selection activeCell="D11" sqref="D11"/>
    </sheetView>
  </sheetViews>
  <sheetFormatPr defaultRowHeight="15" x14ac:dyDescent="0.2"/>
  <cols>
    <col min="1" max="2" width="11.85546875" style="1" customWidth="1"/>
    <col min="3" max="3" width="32.42578125" style="1" customWidth="1"/>
    <col min="4" max="10" width="11.85546875" style="1" customWidth="1"/>
    <col min="11" max="11" width="13" style="1" customWidth="1"/>
    <col min="12" max="13" width="12.85546875" style="1" customWidth="1"/>
    <col min="14" max="14" width="3.85546875" style="1" customWidth="1"/>
    <col min="15" max="15" width="6.85546875" style="1" customWidth="1"/>
    <col min="16" max="16" width="8.85546875" style="1" customWidth="1"/>
    <col min="17" max="17" width="10.140625" style="1" customWidth="1"/>
    <col min="18" max="18" width="11.85546875" style="1" customWidth="1"/>
    <col min="19" max="16384" width="9.140625" style="1"/>
  </cols>
  <sheetData>
    <row r="1" spans="1:19" ht="20.25" customHeight="1" x14ac:dyDescent="0.25">
      <c r="A1" s="257" t="str">
        <f ca="1">Cash_Flow!A1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9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</row>
    <row r="3" spans="1:19" s="231" customFormat="1" ht="20.25" x14ac:dyDescent="0.3">
      <c r="A3" s="342" t="s">
        <v>165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</row>
    <row r="4" spans="1:19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9" ht="15.75" x14ac:dyDescent="0.25">
      <c r="A5" s="4" t="str">
        <f ca="1">"Performance Case: "&amp;Sources_Uses!M44</f>
        <v>Performance Case: Base</v>
      </c>
    </row>
    <row r="6" spans="1:19" x14ac:dyDescent="0.2">
      <c r="A6" s="1" t="str">
        <f>Sources_Uses!B7</f>
        <v>(FYE January; $ in millions)</v>
      </c>
    </row>
    <row r="7" spans="1:19" x14ac:dyDescent="0.2">
      <c r="D7" s="343" t="s">
        <v>68</v>
      </c>
      <c r="E7" s="343"/>
      <c r="F7" s="343"/>
      <c r="G7" s="343"/>
      <c r="H7" s="343"/>
      <c r="I7" s="343"/>
      <c r="J7" s="343"/>
      <c r="K7" s="343"/>
      <c r="L7" s="343"/>
      <c r="M7" s="343"/>
    </row>
    <row r="8" spans="1:19" ht="15.75" x14ac:dyDescent="0.25">
      <c r="D8" s="5">
        <f>Balance_Sheet!L8</f>
        <v>2000</v>
      </c>
      <c r="E8" s="6">
        <f>D8+1</f>
        <v>2001</v>
      </c>
      <c r="F8" s="6">
        <f t="shared" ref="F8:M8" si="0">E8+1</f>
        <v>2002</v>
      </c>
      <c r="G8" s="6">
        <f t="shared" si="0"/>
        <v>2003</v>
      </c>
      <c r="H8" s="6">
        <f t="shared" si="0"/>
        <v>2004</v>
      </c>
      <c r="I8" s="6">
        <f t="shared" si="0"/>
        <v>2005</v>
      </c>
      <c r="J8" s="6">
        <f t="shared" si="0"/>
        <v>2006</v>
      </c>
      <c r="K8" s="6">
        <f t="shared" si="0"/>
        <v>2007</v>
      </c>
      <c r="L8" s="6">
        <f t="shared" si="0"/>
        <v>2008</v>
      </c>
      <c r="M8" s="7">
        <f t="shared" si="0"/>
        <v>2009</v>
      </c>
    </row>
    <row r="9" spans="1:19" ht="15.75" x14ac:dyDescent="0.25">
      <c r="C9" s="100" t="s">
        <v>171</v>
      </c>
      <c r="D9" s="29">
        <v>1</v>
      </c>
      <c r="E9" s="143">
        <v>2</v>
      </c>
      <c r="F9" s="143">
        <v>3</v>
      </c>
      <c r="G9" s="143">
        <v>4</v>
      </c>
      <c r="H9" s="143">
        <v>5</v>
      </c>
      <c r="I9" s="143">
        <v>6</v>
      </c>
      <c r="J9" s="143">
        <v>7</v>
      </c>
      <c r="K9" s="143">
        <v>8</v>
      </c>
      <c r="L9" s="143">
        <v>9</v>
      </c>
      <c r="M9" s="161">
        <v>10</v>
      </c>
    </row>
    <row r="11" spans="1:19" ht="15.75" x14ac:dyDescent="0.25">
      <c r="A11" s="4" t="s">
        <v>138</v>
      </c>
      <c r="D11" s="55">
        <f ca="1">Cash_Flow!D55-IF(Sources_Uses!$L$47=1,Sources_Uses!$L$48,0)</f>
        <v>0</v>
      </c>
      <c r="E11" s="55">
        <f ca="1">Cash_Flow!E55-IF(Sources_Uses!$L$47=1,Sources_Uses!$L$48,0)</f>
        <v>0</v>
      </c>
      <c r="F11" s="55">
        <f ca="1">Cash_Flow!F55-IF(Sources_Uses!$L$47=1,Sources_Uses!$L$48,0)</f>
        <v>0</v>
      </c>
      <c r="G11" s="55">
        <f ca="1">Cash_Flow!G55-IF(Sources_Uses!$L$47=1,Sources_Uses!$L$48,0)</f>
        <v>0</v>
      </c>
      <c r="H11" s="55">
        <f ca="1">Cash_Flow!H55-IF(Sources_Uses!$L$47=1,Sources_Uses!$L$48,0)</f>
        <v>0</v>
      </c>
      <c r="I11" s="55">
        <f ca="1">Cash_Flow!I55-IF(Sources_Uses!$L$47=1,Sources_Uses!$L$48,0)</f>
        <v>0</v>
      </c>
      <c r="J11" s="55">
        <f ca="1">Cash_Flow!J55-IF(Sources_Uses!$L$47=1,Sources_Uses!$L$48,0)</f>
        <v>0</v>
      </c>
      <c r="K11" s="55">
        <f ca="1">Cash_Flow!K55-IF(Sources_Uses!$L$47=1,Sources_Uses!$L$48,0)</f>
        <v>0</v>
      </c>
      <c r="L11" s="55">
        <f ca="1">Cash_Flow!L55-IF(Sources_Uses!$L$47=1,Sources_Uses!$L$48,0)</f>
        <v>0</v>
      </c>
      <c r="M11" s="55">
        <f ca="1">Cash_Flow!M55-IF(Sources_Uses!$L$47=1,Sources_Uses!$L$48,0)</f>
        <v>0</v>
      </c>
    </row>
    <row r="13" spans="1:19" x14ac:dyDescent="0.2">
      <c r="A13" s="1" t="s">
        <v>169</v>
      </c>
      <c r="D13" s="57">
        <f>IF(Capital_Structure!$S$34=1,(Capital_Structure!G32-Capital_Structure!F32)*D59,0)</f>
        <v>0</v>
      </c>
      <c r="E13" s="57">
        <f>IF(Capital_Structure!$S$34=1,(Capital_Structure!H32-Capital_Structure!G32)*E59,0)</f>
        <v>0</v>
      </c>
      <c r="F13" s="57">
        <f>IF(Capital_Structure!$S$34=1,(Capital_Structure!I32-Capital_Structure!H32)*F59,0)</f>
        <v>0</v>
      </c>
      <c r="G13" s="57">
        <f>IF(Capital_Structure!$S$34=1,(Capital_Structure!J32-Capital_Structure!I32)*G59,0)</f>
        <v>0</v>
      </c>
      <c r="H13" s="57">
        <f>IF(Capital_Structure!$S$34=1,(Capital_Structure!K32-Capital_Structure!J32)*H59,0)</f>
        <v>0</v>
      </c>
      <c r="I13" s="57">
        <f>IF(Capital_Structure!$S$34=1,(Capital_Structure!L32-Capital_Structure!K32)*I59,0)</f>
        <v>0</v>
      </c>
      <c r="J13" s="57">
        <f>IF(Capital_Structure!$S$34=1,(Capital_Structure!M32-Capital_Structure!L32)*J59,0)</f>
        <v>0</v>
      </c>
      <c r="K13" s="57">
        <f>IF(Capital_Structure!$S$34=1,(Capital_Structure!N32-Capital_Structure!M32)*K59,0)</f>
        <v>0</v>
      </c>
      <c r="L13" s="57">
        <f>IF(Capital_Structure!$S$34=1,(Capital_Structure!O32-Capital_Structure!N32)*L59,0)</f>
        <v>0</v>
      </c>
      <c r="M13" s="57">
        <f>IF(Capital_Structure!$S$34=1,(Capital_Structure!P32-Capital_Structure!O32)*M59,0)</f>
        <v>0</v>
      </c>
    </row>
    <row r="15" spans="1:19" ht="15.75" x14ac:dyDescent="0.25">
      <c r="A15" s="1" t="str">
        <f>"Cash For Retirement Of "&amp;Balance_Sheet!A59</f>
        <v>Cash For Retirement Of Existing Debt</v>
      </c>
      <c r="D15" s="57">
        <f ca="1">D11+D13</f>
        <v>0</v>
      </c>
      <c r="E15" s="57">
        <f t="shared" ref="E15:M15" ca="1" si="1">E11+E13</f>
        <v>0</v>
      </c>
      <c r="F15" s="57">
        <f t="shared" ca="1" si="1"/>
        <v>0</v>
      </c>
      <c r="G15" s="57">
        <f t="shared" ca="1" si="1"/>
        <v>0</v>
      </c>
      <c r="H15" s="57">
        <f t="shared" ca="1" si="1"/>
        <v>0</v>
      </c>
      <c r="I15" s="57">
        <f t="shared" ca="1" si="1"/>
        <v>0</v>
      </c>
      <c r="J15" s="57">
        <f t="shared" ca="1" si="1"/>
        <v>0</v>
      </c>
      <c r="K15" s="57">
        <f t="shared" ca="1" si="1"/>
        <v>0</v>
      </c>
      <c r="L15" s="57">
        <f t="shared" ca="1" si="1"/>
        <v>0</v>
      </c>
      <c r="M15" s="57">
        <f t="shared" ca="1" si="1"/>
        <v>0</v>
      </c>
      <c r="O15" s="344" t="s">
        <v>170</v>
      </c>
      <c r="P15" s="344"/>
      <c r="Q15" s="344"/>
      <c r="R15" s="344"/>
      <c r="S15" s="67"/>
    </row>
    <row r="16" spans="1:19" ht="15.75" x14ac:dyDescent="0.25">
      <c r="A16" s="63" t="str">
        <f>Balance_Sheet!A59&amp;" Mandatory Repayment"</f>
        <v>Existing Debt Mandatory Repayment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0</v>
      </c>
      <c r="J16" s="56">
        <v>0</v>
      </c>
      <c r="K16" s="56">
        <v>0</v>
      </c>
      <c r="L16" s="56">
        <v>0</v>
      </c>
      <c r="M16" s="56">
        <v>0</v>
      </c>
      <c r="O16" s="356">
        <v>0</v>
      </c>
      <c r="P16" s="356"/>
      <c r="Q16" s="357">
        <f>O16</f>
        <v>0</v>
      </c>
      <c r="R16" s="357"/>
    </row>
    <row r="17" spans="1:18" x14ac:dyDescent="0.2">
      <c r="A17" s="63" t="str">
        <f>Balance_Sheet!A59&amp;" Retired"</f>
        <v>Existing Debt Retired</v>
      </c>
      <c r="D17" s="58">
        <f ca="1">IF($O$16=1,D16,-MAX(0,MIN(D15,Balance_Sheet!K59)))</f>
        <v>0</v>
      </c>
      <c r="E17" s="58">
        <f ca="1">IF($O$16=1,E16,-MAX(0,MIN(E15,Balance_Sheet!L59)))</f>
        <v>0</v>
      </c>
      <c r="F17" s="58">
        <f ca="1">IF($O$16=1,F16,-MAX(0,MIN(F15,Balance_Sheet!M59)))</f>
        <v>0</v>
      </c>
      <c r="G17" s="58">
        <f ca="1">IF($O$16=1,G16,-MAX(0,MIN(G15,Balance_Sheet!N59)))</f>
        <v>0</v>
      </c>
      <c r="H17" s="58">
        <f ca="1">IF($O$16=1,H16,-MAX(0,MIN(H15,Balance_Sheet!O59)))</f>
        <v>0</v>
      </c>
      <c r="I17" s="58">
        <f ca="1">IF($O$16=1,I16,-MAX(0,MIN(I15,Balance_Sheet!P59)))</f>
        <v>0</v>
      </c>
      <c r="J17" s="58">
        <f ca="1">IF($O$16=1,J16,-MAX(0,MIN(J15,Balance_Sheet!Q59)))</f>
        <v>0</v>
      </c>
      <c r="K17" s="58">
        <f ca="1">IF($O$16=1,K16,-MAX(0,MIN(K15,Balance_Sheet!R59)))</f>
        <v>0</v>
      </c>
      <c r="L17" s="58">
        <f ca="1">IF($O$16=1,L16,-MAX(0,MIN(L15,Balance_Sheet!S59)))</f>
        <v>0</v>
      </c>
      <c r="M17" s="58">
        <f ca="1">IF($O$16=1,M16,-MAX(0,MIN(M15,Balance_Sheet!T59)))</f>
        <v>0</v>
      </c>
    </row>
    <row r="19" spans="1:18" x14ac:dyDescent="0.2">
      <c r="A19" s="1" t="str">
        <f>"Cash For Retirement Of "&amp;Balance_Sheet!$A$61</f>
        <v>Cash For Retirement Of Senior Bank Term "A"</v>
      </c>
      <c r="D19" s="57">
        <f ca="1">D15+D17</f>
        <v>0</v>
      </c>
      <c r="E19" s="57">
        <f t="shared" ref="E19:M19" ca="1" si="2">E15+E17</f>
        <v>0</v>
      </c>
      <c r="F19" s="57">
        <f t="shared" ca="1" si="2"/>
        <v>0</v>
      </c>
      <c r="G19" s="57">
        <f t="shared" ca="1" si="2"/>
        <v>0</v>
      </c>
      <c r="H19" s="57">
        <f t="shared" ca="1" si="2"/>
        <v>0</v>
      </c>
      <c r="I19" s="57">
        <f t="shared" ca="1" si="2"/>
        <v>0</v>
      </c>
      <c r="J19" s="57">
        <f t="shared" ca="1" si="2"/>
        <v>0</v>
      </c>
      <c r="K19" s="57">
        <f t="shared" ca="1" si="2"/>
        <v>0</v>
      </c>
      <c r="L19" s="57">
        <f t="shared" ca="1" si="2"/>
        <v>0</v>
      </c>
      <c r="M19" s="57">
        <f t="shared" ca="1" si="2"/>
        <v>0</v>
      </c>
    </row>
    <row r="20" spans="1:18" ht="15.75" x14ac:dyDescent="0.25">
      <c r="A20" s="63" t="str">
        <f>Balance_Sheet!A61&amp;" Mandatory Repayment"</f>
        <v>Senior Bank Term "A" Mandatory Repayment</v>
      </c>
      <c r="D20" s="56">
        <v>0</v>
      </c>
      <c r="E20" s="56">
        <v>0</v>
      </c>
      <c r="F20" s="56">
        <v>0</v>
      </c>
      <c r="G20" s="56">
        <v>0</v>
      </c>
      <c r="H20" s="56">
        <v>0</v>
      </c>
      <c r="I20" s="56">
        <v>0</v>
      </c>
      <c r="J20" s="56">
        <v>0</v>
      </c>
      <c r="K20" s="56">
        <v>0</v>
      </c>
      <c r="L20" s="56">
        <v>0</v>
      </c>
      <c r="M20" s="56">
        <v>0</v>
      </c>
      <c r="O20" s="356">
        <v>0</v>
      </c>
      <c r="P20" s="356"/>
      <c r="Q20" s="357">
        <f>O20</f>
        <v>0</v>
      </c>
      <c r="R20" s="357"/>
    </row>
    <row r="21" spans="1:18" x14ac:dyDescent="0.2">
      <c r="A21" s="63" t="str">
        <f>Balance_Sheet!A61&amp;" Retired"</f>
        <v>Senior Bank Term "A" Retired</v>
      </c>
      <c r="D21" s="58">
        <f ca="1">IF($O$20=1,D20,-MAX(0,MIN(D19,Balance_Sheet!K61)))</f>
        <v>0</v>
      </c>
      <c r="E21" s="58">
        <f ca="1">IF($O$20=1,E20,-MAX(0,MIN(E19,Balance_Sheet!L61)))</f>
        <v>0</v>
      </c>
      <c r="F21" s="58">
        <f ca="1">IF($O$20=1,F20,-MAX(0,MIN(F19,Balance_Sheet!M61)))</f>
        <v>0</v>
      </c>
      <c r="G21" s="58">
        <f ca="1">IF($O$20=1,G20,-MAX(0,MIN(G19,Balance_Sheet!N61)))</f>
        <v>0</v>
      </c>
      <c r="H21" s="58">
        <f ca="1">IF($O$20=1,H20,-MAX(0,MIN(H19,Balance_Sheet!O61)))</f>
        <v>0</v>
      </c>
      <c r="I21" s="58">
        <f ca="1">IF($O$20=1,I20,-MAX(0,MIN(I19,Balance_Sheet!P61)))</f>
        <v>0</v>
      </c>
      <c r="J21" s="58">
        <f ca="1">IF($O$20=1,J20,-MAX(0,MIN(J19,Balance_Sheet!Q61)))</f>
        <v>0</v>
      </c>
      <c r="K21" s="58">
        <f ca="1">IF($O$20=1,K20,-MAX(0,MIN(K19,Balance_Sheet!R61)))</f>
        <v>0</v>
      </c>
      <c r="L21" s="58">
        <f ca="1">IF($O$20=1,L20,-MAX(0,MIN(L19,Balance_Sheet!S61)))</f>
        <v>0</v>
      </c>
      <c r="M21" s="58">
        <f ca="1">IF($O$20=1,M20,-MAX(0,MIN(M19,Balance_Sheet!T61)))</f>
        <v>0</v>
      </c>
    </row>
    <row r="23" spans="1:18" x14ac:dyDescent="0.2">
      <c r="A23" s="1" t="str">
        <f>"Cash For Retirement Of "&amp;Balance_Sheet!$A$62</f>
        <v>Cash For Retirement Of Senior Bank Term "B"</v>
      </c>
      <c r="D23" s="57">
        <f ca="1">D19+D21</f>
        <v>0</v>
      </c>
      <c r="E23" s="57">
        <f t="shared" ref="E23:M23" ca="1" si="3">E19+E21</f>
        <v>0</v>
      </c>
      <c r="F23" s="57">
        <f t="shared" ca="1" si="3"/>
        <v>0</v>
      </c>
      <c r="G23" s="57">
        <f t="shared" ca="1" si="3"/>
        <v>0</v>
      </c>
      <c r="H23" s="57">
        <f t="shared" ca="1" si="3"/>
        <v>0</v>
      </c>
      <c r="I23" s="57">
        <f t="shared" ca="1" si="3"/>
        <v>0</v>
      </c>
      <c r="J23" s="57">
        <f t="shared" ca="1" si="3"/>
        <v>0</v>
      </c>
      <c r="K23" s="57">
        <f t="shared" ca="1" si="3"/>
        <v>0</v>
      </c>
      <c r="L23" s="57">
        <f t="shared" ca="1" si="3"/>
        <v>0</v>
      </c>
      <c r="M23" s="57">
        <f t="shared" ca="1" si="3"/>
        <v>0</v>
      </c>
    </row>
    <row r="24" spans="1:18" ht="15.75" x14ac:dyDescent="0.25">
      <c r="A24" s="63" t="str">
        <f>Balance_Sheet!A62&amp;" Mandatory Repayment"</f>
        <v>Senior Bank Term "B" Mandatory Repayment</v>
      </c>
      <c r="D24" s="56">
        <v>0</v>
      </c>
      <c r="E24" s="56">
        <v>0</v>
      </c>
      <c r="F24" s="56">
        <v>0</v>
      </c>
      <c r="G24" s="56">
        <v>0</v>
      </c>
      <c r="H24" s="56">
        <v>0</v>
      </c>
      <c r="I24" s="56">
        <v>0</v>
      </c>
      <c r="J24" s="56">
        <v>0</v>
      </c>
      <c r="K24" s="56">
        <v>0</v>
      </c>
      <c r="L24" s="56">
        <v>0</v>
      </c>
      <c r="M24" s="56">
        <v>0</v>
      </c>
      <c r="O24" s="356">
        <v>0</v>
      </c>
      <c r="P24" s="356"/>
      <c r="Q24" s="357">
        <f>O24</f>
        <v>0</v>
      </c>
      <c r="R24" s="357"/>
    </row>
    <row r="25" spans="1:18" x14ac:dyDescent="0.2">
      <c r="A25" s="63" t="str">
        <f>Balance_Sheet!A62&amp;" Retired"</f>
        <v>Senior Bank Term "B" Retired</v>
      </c>
      <c r="D25" s="58">
        <f ca="1">IF($O$24=1,D24,-MAX(0,MIN(D23,Balance_Sheet!K62)))</f>
        <v>0</v>
      </c>
      <c r="E25" s="58">
        <f ca="1">IF($O$24=1,E24,-MAX(0,MIN(E23,Balance_Sheet!L62)))</f>
        <v>0</v>
      </c>
      <c r="F25" s="58">
        <f ca="1">IF($O$24=1,F24,-MAX(0,MIN(F23,Balance_Sheet!M62)))</f>
        <v>0</v>
      </c>
      <c r="G25" s="58">
        <f ca="1">IF($O$24=1,G24,-MAX(0,MIN(G23,Balance_Sheet!N62)))</f>
        <v>0</v>
      </c>
      <c r="H25" s="58">
        <f ca="1">IF($O$24=1,H24,-MAX(0,MIN(H23,Balance_Sheet!O62)))</f>
        <v>0</v>
      </c>
      <c r="I25" s="58">
        <f ca="1">IF($O$24=1,I24,-MAX(0,MIN(I23,Balance_Sheet!P62)))</f>
        <v>0</v>
      </c>
      <c r="J25" s="58">
        <f ca="1">IF($O$24=1,J24,-MAX(0,MIN(J23,Balance_Sheet!Q62)))</f>
        <v>0</v>
      </c>
      <c r="K25" s="58">
        <f ca="1">IF($O$24=1,K24,-MAX(0,MIN(K23,Balance_Sheet!R62)))</f>
        <v>0</v>
      </c>
      <c r="L25" s="58">
        <f ca="1">IF($O$24=1,L24,-MAX(0,MIN(L23,Balance_Sheet!S62)))</f>
        <v>0</v>
      </c>
      <c r="M25" s="58">
        <f ca="1">IF($O$24=1,M24,-MAX(0,MIN(M23,Balance_Sheet!T62)))</f>
        <v>0</v>
      </c>
    </row>
    <row r="27" spans="1:18" x14ac:dyDescent="0.2">
      <c r="A27" s="1" t="str">
        <f>"Cash For Retirement Of "&amp;Balance_Sheet!$A$63</f>
        <v>Cash For Retirement Of Other Long-Term Debt</v>
      </c>
      <c r="D27" s="57">
        <f ca="1">D23+D25</f>
        <v>0</v>
      </c>
      <c r="E27" s="57">
        <f t="shared" ref="E27:M27" ca="1" si="4">E23+E25</f>
        <v>0</v>
      </c>
      <c r="F27" s="57">
        <f t="shared" ca="1" si="4"/>
        <v>0</v>
      </c>
      <c r="G27" s="57">
        <f t="shared" ca="1" si="4"/>
        <v>0</v>
      </c>
      <c r="H27" s="57">
        <f t="shared" ca="1" si="4"/>
        <v>0</v>
      </c>
      <c r="I27" s="57">
        <f t="shared" ca="1" si="4"/>
        <v>0</v>
      </c>
      <c r="J27" s="57">
        <f t="shared" ca="1" si="4"/>
        <v>0</v>
      </c>
      <c r="K27" s="57">
        <f t="shared" ca="1" si="4"/>
        <v>0</v>
      </c>
      <c r="L27" s="57">
        <f t="shared" ca="1" si="4"/>
        <v>0</v>
      </c>
      <c r="M27" s="57">
        <f t="shared" ca="1" si="4"/>
        <v>0</v>
      </c>
    </row>
    <row r="28" spans="1:18" ht="15.75" x14ac:dyDescent="0.25">
      <c r="A28" s="63" t="str">
        <f>Balance_Sheet!A63&amp;" Mandatory Repayment"</f>
        <v>Other Long-Term Debt Mandatory Repayment</v>
      </c>
      <c r="D28" s="56">
        <v>0</v>
      </c>
      <c r="E28" s="56">
        <v>0</v>
      </c>
      <c r="F28" s="56">
        <v>0</v>
      </c>
      <c r="G28" s="56">
        <v>0</v>
      </c>
      <c r="H28" s="56">
        <v>0</v>
      </c>
      <c r="I28" s="56">
        <v>0</v>
      </c>
      <c r="J28" s="56">
        <v>0</v>
      </c>
      <c r="K28" s="56">
        <v>0</v>
      </c>
      <c r="L28" s="56">
        <v>0</v>
      </c>
      <c r="M28" s="56">
        <v>0</v>
      </c>
      <c r="O28" s="356">
        <v>0</v>
      </c>
      <c r="P28" s="356"/>
      <c r="Q28" s="357">
        <f>O28</f>
        <v>0</v>
      </c>
      <c r="R28" s="357"/>
    </row>
    <row r="29" spans="1:18" x14ac:dyDescent="0.2">
      <c r="A29" s="63" t="str">
        <f>Balance_Sheet!A63&amp;" Retired"</f>
        <v>Other Long-Term Debt Retired</v>
      </c>
      <c r="D29" s="58">
        <f ca="1">IF($O$28=1,D28,-MAX(0,MIN(D27,Balance_Sheet!K63)))</f>
        <v>0</v>
      </c>
      <c r="E29" s="58">
        <f ca="1">IF($O$28=1,E28,-MAX(0,MIN(E27,Balance_Sheet!L63)))</f>
        <v>0</v>
      </c>
      <c r="F29" s="58">
        <f ca="1">IF($O$28=1,F28,-MAX(0,MIN(F27,Balance_Sheet!M63)))</f>
        <v>0</v>
      </c>
      <c r="G29" s="58">
        <f ca="1">IF($O$28=1,G28,-MAX(0,MIN(G27,Balance_Sheet!N63)))</f>
        <v>0</v>
      </c>
      <c r="H29" s="58">
        <f ca="1">IF($O$28=1,H28,-MAX(0,MIN(H27,Balance_Sheet!O63)))</f>
        <v>0</v>
      </c>
      <c r="I29" s="58">
        <f ca="1">IF($O$28=1,I28,-MAX(0,MIN(I27,Balance_Sheet!P63)))</f>
        <v>0</v>
      </c>
      <c r="J29" s="58">
        <f ca="1">IF($O$28=1,J28,-MAX(0,MIN(J27,Balance_Sheet!Q63)))</f>
        <v>0</v>
      </c>
      <c r="K29" s="58">
        <f ca="1">IF($O$28=1,K28,-MAX(0,MIN(K27,Balance_Sheet!R63)))</f>
        <v>0</v>
      </c>
      <c r="L29" s="58">
        <f ca="1">IF($O$28=1,L28,-MAX(0,MIN(L27,Balance_Sheet!S63)))</f>
        <v>0</v>
      </c>
      <c r="M29" s="58">
        <f ca="1">IF($O$28=1,M28,-MAX(0,MIN(M27,Balance_Sheet!T63)))</f>
        <v>0</v>
      </c>
    </row>
    <row r="31" spans="1:18" x14ac:dyDescent="0.2">
      <c r="A31" s="1" t="str">
        <f>"Cash For Retirement Of "&amp;Balance_Sheet!$A$64</f>
        <v>Cash For Retirement Of Senior Subordinated Debt</v>
      </c>
      <c r="D31" s="57">
        <f ca="1">D27+D29</f>
        <v>0</v>
      </c>
      <c r="E31" s="57">
        <f t="shared" ref="E31:M31" ca="1" si="5">E27+E29</f>
        <v>0</v>
      </c>
      <c r="F31" s="57">
        <f t="shared" ca="1" si="5"/>
        <v>0</v>
      </c>
      <c r="G31" s="57">
        <f t="shared" ca="1" si="5"/>
        <v>0</v>
      </c>
      <c r="H31" s="57">
        <f t="shared" ca="1" si="5"/>
        <v>0</v>
      </c>
      <c r="I31" s="57">
        <f t="shared" ca="1" si="5"/>
        <v>0</v>
      </c>
      <c r="J31" s="57">
        <f t="shared" ca="1" si="5"/>
        <v>0</v>
      </c>
      <c r="K31" s="57">
        <f t="shared" ca="1" si="5"/>
        <v>0</v>
      </c>
      <c r="L31" s="57">
        <f t="shared" ca="1" si="5"/>
        <v>0</v>
      </c>
      <c r="M31" s="57">
        <f t="shared" ca="1" si="5"/>
        <v>0</v>
      </c>
    </row>
    <row r="32" spans="1:18" ht="15.75" x14ac:dyDescent="0.25">
      <c r="A32" s="63" t="str">
        <f>Balance_Sheet!A64&amp;" Mandatory Repayment"</f>
        <v>Senior Subordinated Debt Mandatory Repayment</v>
      </c>
      <c r="D32" s="56">
        <v>0</v>
      </c>
      <c r="E32" s="56">
        <v>0</v>
      </c>
      <c r="F32" s="56">
        <v>0</v>
      </c>
      <c r="G32" s="56">
        <v>0</v>
      </c>
      <c r="H32" s="56">
        <v>0</v>
      </c>
      <c r="I32" s="56">
        <v>0</v>
      </c>
      <c r="J32" s="56">
        <v>0</v>
      </c>
      <c r="K32" s="56">
        <v>0</v>
      </c>
      <c r="L32" s="56">
        <v>0</v>
      </c>
      <c r="M32" s="56">
        <v>0</v>
      </c>
      <c r="O32" s="356">
        <v>0</v>
      </c>
      <c r="P32" s="356"/>
      <c r="Q32" s="357">
        <f>O32</f>
        <v>0</v>
      </c>
      <c r="R32" s="357"/>
    </row>
    <row r="33" spans="1:18" x14ac:dyDescent="0.2">
      <c r="A33" s="63" t="str">
        <f>Balance_Sheet!A64&amp;" Retired"</f>
        <v>Senior Subordinated Debt Retired</v>
      </c>
      <c r="D33" s="58">
        <f ca="1">IF($O$32=1,D32,-MAX(0,MIN(D31,Balance_Sheet!K64)))</f>
        <v>0</v>
      </c>
      <c r="E33" s="58">
        <f ca="1">IF($O$32=1,E32,-MAX(0,MIN(E31,Balance_Sheet!L64)))</f>
        <v>0</v>
      </c>
      <c r="F33" s="58">
        <f ca="1">IF($O$32=1,F32,-MAX(0,MIN(F31,Balance_Sheet!M64)))</f>
        <v>0</v>
      </c>
      <c r="G33" s="58">
        <f ca="1">IF($O$32=1,G32,-MAX(0,MIN(G31,Balance_Sheet!N64)))</f>
        <v>0</v>
      </c>
      <c r="H33" s="58">
        <f ca="1">IF($O$32=1,H32,-MAX(0,MIN(H31,Balance_Sheet!O64)))</f>
        <v>0</v>
      </c>
      <c r="I33" s="58">
        <f ca="1">IF($O$32=1,I32,-MAX(0,MIN(I31,Balance_Sheet!P64)))</f>
        <v>0</v>
      </c>
      <c r="J33" s="58">
        <f ca="1">IF($O$32=1,J32,-MAX(0,MIN(J31,Balance_Sheet!Q64)))</f>
        <v>0</v>
      </c>
      <c r="K33" s="58">
        <f ca="1">IF($O$32=1,K32,-MAX(0,MIN(K31,Balance_Sheet!R64)))</f>
        <v>0</v>
      </c>
      <c r="L33" s="58">
        <f ca="1">IF($O$32=1,L32,-MAX(0,MIN(L31,Balance_Sheet!S64)))</f>
        <v>0</v>
      </c>
      <c r="M33" s="58">
        <f ca="1">IF($O$32=1,M32,-MAX(0,MIN(M31,Balance_Sheet!T64)))</f>
        <v>0</v>
      </c>
    </row>
    <row r="35" spans="1:18" x14ac:dyDescent="0.2">
      <c r="A35" s="1" t="str">
        <f>"Cash For Retirement Of "&amp;Balance_Sheet!$A$65</f>
        <v>Cash For Retirement Of Junior Subordinated Debt</v>
      </c>
      <c r="D35" s="57">
        <f ca="1">D31+D33</f>
        <v>0</v>
      </c>
      <c r="E35" s="57">
        <f t="shared" ref="E35:M35" ca="1" si="6">E31+E33</f>
        <v>0</v>
      </c>
      <c r="F35" s="57">
        <f t="shared" ca="1" si="6"/>
        <v>0</v>
      </c>
      <c r="G35" s="57">
        <f t="shared" ca="1" si="6"/>
        <v>0</v>
      </c>
      <c r="H35" s="57">
        <f t="shared" ca="1" si="6"/>
        <v>0</v>
      </c>
      <c r="I35" s="57">
        <f t="shared" ca="1" si="6"/>
        <v>0</v>
      </c>
      <c r="J35" s="57">
        <f t="shared" ca="1" si="6"/>
        <v>0</v>
      </c>
      <c r="K35" s="57">
        <f t="shared" ca="1" si="6"/>
        <v>0</v>
      </c>
      <c r="L35" s="57">
        <f t="shared" ca="1" si="6"/>
        <v>0</v>
      </c>
      <c r="M35" s="57">
        <f t="shared" ca="1" si="6"/>
        <v>0</v>
      </c>
    </row>
    <row r="36" spans="1:18" ht="15.75" x14ac:dyDescent="0.25">
      <c r="A36" s="63" t="str">
        <f>Balance_Sheet!A65&amp;" Mandatory Repayment"</f>
        <v>Junior Subordinated Debt Mandatory Repayment</v>
      </c>
      <c r="D36" s="56">
        <v>0</v>
      </c>
      <c r="E36" s="56">
        <v>0</v>
      </c>
      <c r="F36" s="56">
        <v>0</v>
      </c>
      <c r="G36" s="56">
        <v>0</v>
      </c>
      <c r="H36" s="56">
        <v>0</v>
      </c>
      <c r="I36" s="56">
        <v>0</v>
      </c>
      <c r="J36" s="56">
        <v>0</v>
      </c>
      <c r="K36" s="56">
        <v>0</v>
      </c>
      <c r="L36" s="56">
        <v>0</v>
      </c>
      <c r="M36" s="56">
        <v>0</v>
      </c>
      <c r="O36" s="356">
        <v>0</v>
      </c>
      <c r="P36" s="356"/>
      <c r="Q36" s="357">
        <f>O36</f>
        <v>0</v>
      </c>
      <c r="R36" s="357"/>
    </row>
    <row r="37" spans="1:18" x14ac:dyDescent="0.2">
      <c r="A37" s="63" t="str">
        <f>Balance_Sheet!A65&amp;" Retired"</f>
        <v>Junior Subordinated Debt Retired</v>
      </c>
      <c r="D37" s="58">
        <f ca="1">IF($O$36=1,D36,-MAX(0,MIN(D35,Balance_Sheet!K65)))</f>
        <v>0</v>
      </c>
      <c r="E37" s="58">
        <f ca="1">IF($O$36=1,E36,-MAX(0,MIN(E35,Balance_Sheet!L65)))</f>
        <v>0</v>
      </c>
      <c r="F37" s="58">
        <f ca="1">IF($O$36=1,F36,-MAX(0,MIN(F35,Balance_Sheet!M65)))</f>
        <v>0</v>
      </c>
      <c r="G37" s="58">
        <f ca="1">IF($O$36=1,G36,-MAX(0,MIN(G35,Balance_Sheet!N65)))</f>
        <v>0</v>
      </c>
      <c r="H37" s="58">
        <f ca="1">IF($O$36=1,H36,-MAX(0,MIN(H35,Balance_Sheet!O65)))</f>
        <v>0</v>
      </c>
      <c r="I37" s="58">
        <f ca="1">IF($O$36=1,I36,-MAX(0,MIN(I35,Balance_Sheet!P65)))</f>
        <v>0</v>
      </c>
      <c r="J37" s="58">
        <f ca="1">IF($O$36=1,J36,-MAX(0,MIN(J35,Balance_Sheet!Q65)))</f>
        <v>0</v>
      </c>
      <c r="K37" s="58">
        <f ca="1">IF($O$36=1,K36,-MAX(0,MIN(K35,Balance_Sheet!R65)))</f>
        <v>0</v>
      </c>
      <c r="L37" s="58">
        <f ca="1">IF($O$36=1,L36,-MAX(0,MIN(L35,Balance_Sheet!S65)))</f>
        <v>0</v>
      </c>
      <c r="M37" s="58">
        <f ca="1">IF($O$36=1,M36,-MAX(0,MIN(M35,Balance_Sheet!T65)))</f>
        <v>0</v>
      </c>
    </row>
    <row r="39" spans="1:18" x14ac:dyDescent="0.2">
      <c r="A39" s="1" t="str">
        <f>"Cash For Retirement Of "&amp;Balance_Sheet!$A$66</f>
        <v>Cash For Retirement Of Seller Note</v>
      </c>
      <c r="D39" s="57">
        <f ca="1">D35+D37</f>
        <v>0</v>
      </c>
      <c r="E39" s="57">
        <f t="shared" ref="E39:M39" ca="1" si="7">E35+E37</f>
        <v>0</v>
      </c>
      <c r="F39" s="57">
        <f t="shared" ca="1" si="7"/>
        <v>0</v>
      </c>
      <c r="G39" s="57">
        <f t="shared" ca="1" si="7"/>
        <v>0</v>
      </c>
      <c r="H39" s="57">
        <f t="shared" ca="1" si="7"/>
        <v>0</v>
      </c>
      <c r="I39" s="57">
        <f t="shared" ca="1" si="7"/>
        <v>0</v>
      </c>
      <c r="J39" s="57">
        <f t="shared" ca="1" si="7"/>
        <v>0</v>
      </c>
      <c r="K39" s="57">
        <f t="shared" ca="1" si="7"/>
        <v>0</v>
      </c>
      <c r="L39" s="57">
        <f t="shared" ca="1" si="7"/>
        <v>0</v>
      </c>
      <c r="M39" s="57">
        <f t="shared" ca="1" si="7"/>
        <v>0</v>
      </c>
    </row>
    <row r="40" spans="1:18" ht="15.75" x14ac:dyDescent="0.25">
      <c r="A40" s="63" t="str">
        <f>Balance_Sheet!A66&amp;" Mandatory Repayment"</f>
        <v>Seller Note Mandatory Repayment</v>
      </c>
      <c r="D40" s="56">
        <v>0</v>
      </c>
      <c r="E40" s="56">
        <v>0</v>
      </c>
      <c r="F40" s="56">
        <v>0</v>
      </c>
      <c r="G40" s="56">
        <v>0</v>
      </c>
      <c r="H40" s="56">
        <v>0</v>
      </c>
      <c r="I40" s="56">
        <v>0</v>
      </c>
      <c r="J40" s="56">
        <v>0</v>
      </c>
      <c r="K40" s="56">
        <v>0</v>
      </c>
      <c r="L40" s="56">
        <v>0</v>
      </c>
      <c r="M40" s="56">
        <v>0</v>
      </c>
      <c r="O40" s="356">
        <v>0</v>
      </c>
      <c r="P40" s="356"/>
      <c r="Q40" s="357">
        <f>O40</f>
        <v>0</v>
      </c>
      <c r="R40" s="357"/>
    </row>
    <row r="41" spans="1:18" x14ac:dyDescent="0.2">
      <c r="A41" s="63" t="str">
        <f>Balance_Sheet!A66&amp;" Retired"</f>
        <v>Seller Note Retired</v>
      </c>
      <c r="D41" s="58">
        <f ca="1">IF($O$40=1,D40,-MAX(0,MIN(D39,Balance_Sheet!K66)))</f>
        <v>0</v>
      </c>
      <c r="E41" s="58">
        <f ca="1">IF($O$40=1,E40,-MAX(0,MIN(E39,Balance_Sheet!L66)))</f>
        <v>0</v>
      </c>
      <c r="F41" s="58">
        <f ca="1">IF($O$40=1,F40,-MAX(0,MIN(F39,Balance_Sheet!M66)))</f>
        <v>0</v>
      </c>
      <c r="G41" s="58">
        <f ca="1">IF($O$40=1,G40,-MAX(0,MIN(G39,Balance_Sheet!N66)))</f>
        <v>0</v>
      </c>
      <c r="H41" s="58">
        <f ca="1">IF($O$40=1,H40,-MAX(0,MIN(H39,Balance_Sheet!O66)))</f>
        <v>0</v>
      </c>
      <c r="I41" s="58">
        <f ca="1">IF($O$40=1,I40,-MAX(0,MIN(I39,Balance_Sheet!P66)))</f>
        <v>0</v>
      </c>
      <c r="J41" s="58">
        <f ca="1">IF($O$40=1,J40,-MAX(0,MIN(J39,Balance_Sheet!Q66)))</f>
        <v>0</v>
      </c>
      <c r="K41" s="58">
        <f ca="1">IF($O$40=1,K40,-MAX(0,MIN(K39,Balance_Sheet!R66)))</f>
        <v>0</v>
      </c>
      <c r="L41" s="58">
        <f ca="1">IF($O$40=1,L40,-MAX(0,MIN(L39,Balance_Sheet!S66)))</f>
        <v>0</v>
      </c>
      <c r="M41" s="58">
        <f ca="1">IF($O$40=1,M40,-MAX(0,MIN(M39,Balance_Sheet!T66)))</f>
        <v>0</v>
      </c>
    </row>
    <row r="43" spans="1:18" x14ac:dyDescent="0.2">
      <c r="A43" s="1" t="str">
        <f>"Cash For Retirement Of "&amp;Sources_Uses!G19</f>
        <v>Cash For Retirement Of Preferred Stock</v>
      </c>
      <c r="D43" s="57">
        <f ca="1">D39+D41</f>
        <v>0</v>
      </c>
      <c r="E43" s="57">
        <f t="shared" ref="E43:M43" ca="1" si="8">E39+E41</f>
        <v>0</v>
      </c>
      <c r="F43" s="57">
        <f t="shared" ca="1" si="8"/>
        <v>0</v>
      </c>
      <c r="G43" s="57">
        <f t="shared" ca="1" si="8"/>
        <v>0</v>
      </c>
      <c r="H43" s="57">
        <f t="shared" ca="1" si="8"/>
        <v>0</v>
      </c>
      <c r="I43" s="57">
        <f t="shared" ca="1" si="8"/>
        <v>0</v>
      </c>
      <c r="J43" s="57">
        <f t="shared" ca="1" si="8"/>
        <v>0</v>
      </c>
      <c r="K43" s="57">
        <f t="shared" ca="1" si="8"/>
        <v>0</v>
      </c>
      <c r="L43" s="57">
        <f t="shared" ca="1" si="8"/>
        <v>0</v>
      </c>
      <c r="M43" s="57">
        <f t="shared" ca="1" si="8"/>
        <v>0</v>
      </c>
    </row>
    <row r="44" spans="1:18" x14ac:dyDescent="0.2">
      <c r="A44" s="63" t="str">
        <f>Sources_Uses!G19&amp;" Retired"</f>
        <v>Preferred Stock Retired</v>
      </c>
      <c r="D44" s="34">
        <v>0</v>
      </c>
      <c r="E44" s="34">
        <v>0</v>
      </c>
      <c r="F44" s="34">
        <v>0</v>
      </c>
      <c r="G44" s="34">
        <v>0</v>
      </c>
      <c r="H44" s="34">
        <v>0</v>
      </c>
      <c r="I44" s="34">
        <v>0</v>
      </c>
      <c r="J44" s="34">
        <v>0</v>
      </c>
      <c r="K44" s="34">
        <v>0</v>
      </c>
      <c r="L44" s="34">
        <v>0</v>
      </c>
      <c r="M44" s="34">
        <v>0</v>
      </c>
    </row>
    <row r="46" spans="1:18" x14ac:dyDescent="0.2">
      <c r="A46" s="1" t="str">
        <f>"Cash For Retirement Of "&amp;Balance_Sheet!$A$60</f>
        <v>Cash For Retirement Of Bank Revolver</v>
      </c>
      <c r="D46" s="57">
        <f t="shared" ref="D46:M46" ca="1" si="9">D43+D44</f>
        <v>0</v>
      </c>
      <c r="E46" s="57">
        <f t="shared" ca="1" si="9"/>
        <v>0</v>
      </c>
      <c r="F46" s="57">
        <f t="shared" ca="1" si="9"/>
        <v>0</v>
      </c>
      <c r="G46" s="57">
        <f t="shared" ca="1" si="9"/>
        <v>0</v>
      </c>
      <c r="H46" s="57">
        <f t="shared" ca="1" si="9"/>
        <v>0</v>
      </c>
      <c r="I46" s="57">
        <f t="shared" ca="1" si="9"/>
        <v>0</v>
      </c>
      <c r="J46" s="57">
        <f t="shared" ca="1" si="9"/>
        <v>0</v>
      </c>
      <c r="K46" s="57">
        <f t="shared" ca="1" si="9"/>
        <v>0</v>
      </c>
      <c r="L46" s="57">
        <f t="shared" ca="1" si="9"/>
        <v>0</v>
      </c>
      <c r="M46" s="57">
        <f t="shared" ca="1" si="9"/>
        <v>0</v>
      </c>
    </row>
    <row r="47" spans="1:18" x14ac:dyDescent="0.2">
      <c r="A47" s="63" t="str">
        <f>Balance_Sheet!A60&amp;" Retired"</f>
        <v>Bank Revolver Retired</v>
      </c>
      <c r="D47" s="57">
        <f ca="1">IF(Capital_Structure!$S$34=1,0,-MIN(MAX(0,D46),Balance_Sheet!K60))</f>
        <v>0</v>
      </c>
      <c r="E47" s="57">
        <f ca="1">IF(Capital_Structure!$S$34=1,0,-MIN(MAX(0,E46),Balance_Sheet!L60))</f>
        <v>0</v>
      </c>
      <c r="F47" s="57">
        <f ca="1">IF(Capital_Structure!$S$34=1,0,-MIN(MAX(0,F46),Balance_Sheet!M60))</f>
        <v>0</v>
      </c>
      <c r="G47" s="57">
        <f ca="1">IF(Capital_Structure!$S$34=1,0,-MIN(MAX(0,G46),Balance_Sheet!N60))</f>
        <v>0</v>
      </c>
      <c r="H47" s="57">
        <f ca="1">IF(Capital_Structure!$S$34=1,0,-MIN(MAX(0,H46),Balance_Sheet!O60))</f>
        <v>0</v>
      </c>
      <c r="I47" s="57">
        <f ca="1">IF(Capital_Structure!$S$34=1,0,-MIN(MAX(0,I46),Balance_Sheet!P60))</f>
        <v>0</v>
      </c>
      <c r="J47" s="57">
        <f ca="1">IF(Capital_Structure!$S$34=1,0,-MIN(MAX(0,J46),Balance_Sheet!Q60))</f>
        <v>0</v>
      </c>
      <c r="K47" s="57">
        <f ca="1">IF(Capital_Structure!$S$34=1,0,-MIN(MAX(0,K46),Balance_Sheet!R60))</f>
        <v>0</v>
      </c>
      <c r="L47" s="57">
        <f ca="1">IF(Capital_Structure!$S$34=1,0,-MIN(MAX(0,L46),Balance_Sheet!S60))</f>
        <v>0</v>
      </c>
      <c r="M47" s="57">
        <f ca="1">IF(Capital_Structure!$S$34=1,0,-MIN(MAX(0,M46),Balance_Sheet!T60))</f>
        <v>0</v>
      </c>
    </row>
    <row r="48" spans="1:18" x14ac:dyDescent="0.2">
      <c r="A48" s="63" t="str">
        <f>Balance_Sheet!A60&amp;" Addition"</f>
        <v>Bank Revolver Addition</v>
      </c>
      <c r="D48" s="58">
        <f ca="1">IF(-MIN(D46,0)&gt;0,-MIN(D46,0),0)</f>
        <v>0</v>
      </c>
      <c r="E48" s="58">
        <f t="shared" ref="E48:M48" ca="1" si="10">IF(-MIN(E46,0)&gt;0,-MIN(E46,0),0)</f>
        <v>0</v>
      </c>
      <c r="F48" s="58">
        <f t="shared" ca="1" si="10"/>
        <v>0</v>
      </c>
      <c r="G48" s="58">
        <f t="shared" ca="1" si="10"/>
        <v>0</v>
      </c>
      <c r="H48" s="58">
        <f t="shared" ca="1" si="10"/>
        <v>0</v>
      </c>
      <c r="I48" s="58">
        <f t="shared" ca="1" si="10"/>
        <v>0</v>
      </c>
      <c r="J48" s="58">
        <f t="shared" ca="1" si="10"/>
        <v>0</v>
      </c>
      <c r="K48" s="58">
        <f t="shared" ca="1" si="10"/>
        <v>0</v>
      </c>
      <c r="L48" s="58">
        <f t="shared" ca="1" si="10"/>
        <v>0</v>
      </c>
      <c r="M48" s="58">
        <f t="shared" ca="1" si="10"/>
        <v>0</v>
      </c>
    </row>
    <row r="50" spans="1:13" ht="16.5" thickBot="1" x14ac:dyDescent="0.3">
      <c r="A50" s="4" t="s">
        <v>185</v>
      </c>
      <c r="D50" s="61">
        <f ca="1">SUM(D46:D48)+IF(Sources_Uses!$L$47=1,Sources_Uses!$L$48,0)</f>
        <v>0</v>
      </c>
      <c r="E50" s="61">
        <f ca="1">SUM(E46:E48)+IF(Sources_Uses!$L$47=1,Sources_Uses!$L$48,0)</f>
        <v>0</v>
      </c>
      <c r="F50" s="61">
        <f ca="1">SUM(F46:F48)+IF(Sources_Uses!$L$47=1,Sources_Uses!$L$48,0)</f>
        <v>0</v>
      </c>
      <c r="G50" s="61">
        <f ca="1">SUM(G46:G48)+IF(Sources_Uses!$L$47=1,Sources_Uses!$L$48,0)</f>
        <v>0</v>
      </c>
      <c r="H50" s="61">
        <f ca="1">SUM(H46:H48)+IF(Sources_Uses!$L$47=1,Sources_Uses!$L$48,0)</f>
        <v>0</v>
      </c>
      <c r="I50" s="61">
        <f ca="1">SUM(I46:I48)+IF(Sources_Uses!$L$47=1,Sources_Uses!$L$48,0)</f>
        <v>0</v>
      </c>
      <c r="J50" s="61">
        <f ca="1">SUM(J46:J48)+IF(Sources_Uses!$L$47=1,Sources_Uses!$L$48,0)</f>
        <v>0</v>
      </c>
      <c r="K50" s="61">
        <f ca="1">SUM(K46:K48)+IF(Sources_Uses!$L$47=1,Sources_Uses!$L$48,0)</f>
        <v>0</v>
      </c>
      <c r="L50" s="61">
        <f ca="1">SUM(L46:L48)+IF(Sources_Uses!$L$47=1,Sources_Uses!$L$48,0)</f>
        <v>0</v>
      </c>
      <c r="M50" s="61">
        <f ca="1">SUM(M46:M48)+IF(Sources_Uses!$L$47=1,Sources_Uses!$L$48,0)</f>
        <v>0</v>
      </c>
    </row>
    <row r="51" spans="1:13" ht="15.75" thickTop="1" x14ac:dyDescent="0.2"/>
    <row r="52" spans="1:13" ht="15.75" thickBo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4" spans="1:13" x14ac:dyDescent="0.2">
      <c r="A54" s="1" t="s">
        <v>186</v>
      </c>
    </row>
    <row r="55" spans="1:13" x14ac:dyDescent="0.2">
      <c r="A55" s="1" t="s">
        <v>187</v>
      </c>
    </row>
    <row r="57" spans="1:13" ht="15.75" x14ac:dyDescent="0.25">
      <c r="D57" s="5">
        <f>D8</f>
        <v>2000</v>
      </c>
      <c r="E57" s="6">
        <f t="shared" ref="E57:M57" si="11">E8</f>
        <v>2001</v>
      </c>
      <c r="F57" s="6">
        <f t="shared" si="11"/>
        <v>2002</v>
      </c>
      <c r="G57" s="6">
        <f t="shared" si="11"/>
        <v>2003</v>
      </c>
      <c r="H57" s="6">
        <f t="shared" si="11"/>
        <v>2004</v>
      </c>
      <c r="I57" s="6">
        <f t="shared" si="11"/>
        <v>2005</v>
      </c>
      <c r="J57" s="6">
        <f t="shared" si="11"/>
        <v>2006</v>
      </c>
      <c r="K57" s="6">
        <f t="shared" si="11"/>
        <v>2007</v>
      </c>
      <c r="L57" s="6">
        <f t="shared" si="11"/>
        <v>2008</v>
      </c>
      <c r="M57" s="7">
        <f t="shared" si="11"/>
        <v>2009</v>
      </c>
    </row>
    <row r="58" spans="1:13" ht="4.5" customHeight="1" x14ac:dyDescent="0.2"/>
    <row r="59" spans="1:13" x14ac:dyDescent="0.2">
      <c r="A59" s="1" t="s">
        <v>188</v>
      </c>
      <c r="D59" s="13">
        <f>Capital_Structure!F35</f>
        <v>0</v>
      </c>
      <c r="E59" s="13">
        <f ca="1">Capital_Structure!G35</f>
        <v>0</v>
      </c>
      <c r="F59" s="13">
        <f ca="1">Capital_Structure!H35</f>
        <v>0</v>
      </c>
      <c r="G59" s="13">
        <f ca="1">Capital_Structure!I35</f>
        <v>0</v>
      </c>
      <c r="H59" s="13">
        <f ca="1">Capital_Structure!J35</f>
        <v>0</v>
      </c>
      <c r="I59" s="13">
        <f ca="1">Capital_Structure!K35</f>
        <v>0</v>
      </c>
      <c r="J59" s="13">
        <f ca="1">Capital_Structure!L35</f>
        <v>0</v>
      </c>
      <c r="K59" s="13">
        <f ca="1">Capital_Structure!M35</f>
        <v>0</v>
      </c>
      <c r="L59" s="13">
        <f ca="1">Capital_Structure!N35</f>
        <v>0</v>
      </c>
      <c r="M59" s="13">
        <f ca="1">Capital_Structure!O35</f>
        <v>0</v>
      </c>
    </row>
  </sheetData>
  <mergeCells count="18">
    <mergeCell ref="O40:P40"/>
    <mergeCell ref="Q40:R40"/>
    <mergeCell ref="O28:P28"/>
    <mergeCell ref="Q28:R28"/>
    <mergeCell ref="O32:P32"/>
    <mergeCell ref="Q32:R32"/>
    <mergeCell ref="A2:R2"/>
    <mergeCell ref="A3:R3"/>
    <mergeCell ref="O36:P36"/>
    <mergeCell ref="Q36:R36"/>
    <mergeCell ref="D7:M7"/>
    <mergeCell ref="O15:R15"/>
    <mergeCell ref="O24:P24"/>
    <mergeCell ref="Q24:R24"/>
    <mergeCell ref="O16:P16"/>
    <mergeCell ref="Q16:R16"/>
    <mergeCell ref="O20:P20"/>
    <mergeCell ref="Q20:R20"/>
  </mergeCells>
  <phoneticPr fontId="0" type="noConversion"/>
  <printOptions horizontalCentered="1" verticalCentered="1"/>
  <pageMargins left="0.75" right="0.75" top="1" bottom="1" header="0.5" footer="0.5"/>
  <pageSetup scale="62" orientation="landscape" horizontalDpi="300" verticalDpi="300" r:id="rId1"/>
  <headerFooter alignWithMargins="0">
    <oddHeader>&amp;L&amp;D&amp;T&amp;C&amp;P&amp;N&amp;R&amp;F&amp;A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T49"/>
  <sheetViews>
    <sheetView zoomScale="75" zoomScaleNormal="75" workbookViewId="0">
      <selection activeCell="O30" sqref="O30"/>
    </sheetView>
  </sheetViews>
  <sheetFormatPr defaultRowHeight="15" x14ac:dyDescent="0.2"/>
  <cols>
    <col min="1" max="1" width="7.85546875" style="1" customWidth="1"/>
    <col min="2" max="2" width="15.42578125" style="1" customWidth="1"/>
    <col min="3" max="3" width="4.5703125" style="1" customWidth="1"/>
    <col min="4" max="4" width="11.42578125" style="1" customWidth="1"/>
    <col min="5" max="5" width="3.28515625" style="1" customWidth="1"/>
    <col min="6" max="6" width="12.42578125" style="1" customWidth="1"/>
    <col min="7" max="7" width="7.5703125" style="1" customWidth="1"/>
    <col min="8" max="8" width="11" style="1" customWidth="1"/>
    <col min="9" max="9" width="3.42578125" style="1" customWidth="1"/>
    <col min="10" max="10" width="9.85546875" style="1" customWidth="1"/>
    <col min="11" max="12" width="10.42578125" style="1" customWidth="1"/>
    <col min="13" max="13" width="10.28515625" style="1" customWidth="1"/>
    <col min="14" max="14" width="10" style="1" customWidth="1"/>
    <col min="15" max="19" width="9.85546875" style="1" customWidth="1"/>
    <col min="20" max="20" width="4.5703125" style="1" customWidth="1"/>
    <col min="21" max="21" width="10.7109375" style="1" customWidth="1"/>
    <col min="22" max="16384" width="9.140625" style="1"/>
  </cols>
  <sheetData>
    <row r="1" spans="1:20" ht="20.25" customHeight="1" x14ac:dyDescent="0.25">
      <c r="A1" s="257" t="str">
        <f ca="1">Debt_Repayment!A1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0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</row>
    <row r="3" spans="1:20" s="231" customFormat="1" ht="20.25" x14ac:dyDescent="0.3">
      <c r="A3" s="342" t="s">
        <v>189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</row>
    <row r="4" spans="1:20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18" customHeight="1" x14ac:dyDescent="0.25">
      <c r="A5" s="4" t="str">
        <f ca="1">"Performance Case: "&amp;Sources_Uses!M44</f>
        <v>Performance Case: Base</v>
      </c>
    </row>
    <row r="6" spans="1:20" ht="18" customHeight="1" x14ac:dyDescent="0.25">
      <c r="A6" s="1" t="str">
        <f>Sources_Uses!B7</f>
        <v>(FYE January; $ in millions)</v>
      </c>
      <c r="F6" s="363" t="s">
        <v>203</v>
      </c>
      <c r="G6" s="364"/>
      <c r="H6" s="365"/>
      <c r="K6" s="363" t="s">
        <v>214</v>
      </c>
      <c r="L6" s="364"/>
      <c r="M6" s="364"/>
      <c r="N6" s="365"/>
      <c r="P6" s="363" t="s">
        <v>213</v>
      </c>
      <c r="Q6" s="364"/>
      <c r="R6" s="364"/>
      <c r="S6" s="365"/>
    </row>
    <row r="7" spans="1:20" ht="18" customHeight="1" x14ac:dyDescent="0.2">
      <c r="F7" s="358" t="s">
        <v>381</v>
      </c>
      <c r="G7" s="359"/>
      <c r="H7" s="360"/>
      <c r="K7" s="358" t="s">
        <v>380</v>
      </c>
      <c r="L7" s="359"/>
      <c r="M7" s="359"/>
      <c r="N7" s="360"/>
      <c r="P7" s="358" t="s">
        <v>215</v>
      </c>
      <c r="Q7" s="359"/>
      <c r="R7" s="359"/>
      <c r="S7" s="360"/>
    </row>
    <row r="8" spans="1:20" ht="18" customHeight="1" x14ac:dyDescent="0.25">
      <c r="A8" s="4" t="s">
        <v>194</v>
      </c>
      <c r="F8" s="42">
        <v>0</v>
      </c>
      <c r="G8" s="361" t="str">
        <f>IF(F8=0,"Straight Line","Sum of Years")</f>
        <v>Straight Line</v>
      </c>
      <c r="H8" s="362"/>
      <c r="K8" s="42">
        <v>0</v>
      </c>
      <c r="L8" s="361" t="str">
        <f>IF(K8=0,"Not Tax-Deductible","Tax-Deductible")</f>
        <v>Not Tax-Deductible</v>
      </c>
      <c r="M8" s="366"/>
      <c r="N8" s="362"/>
      <c r="P8" s="42">
        <v>0</v>
      </c>
      <c r="Q8" s="361" t="str">
        <f>IF(P8=0,"Computed","Manual")</f>
        <v>Computed</v>
      </c>
      <c r="R8" s="366"/>
      <c r="S8" s="362"/>
    </row>
    <row r="10" spans="1:20" ht="15.75" x14ac:dyDescent="0.25">
      <c r="B10" s="4" t="s">
        <v>195</v>
      </c>
      <c r="D10" s="263">
        <f>Balance_Sheet!K24</f>
        <v>0</v>
      </c>
    </row>
    <row r="11" spans="1:20" ht="15.75" x14ac:dyDescent="0.25">
      <c r="B11" s="4" t="s">
        <v>190</v>
      </c>
      <c r="D11" s="135">
        <v>0</v>
      </c>
    </row>
    <row r="13" spans="1:20" ht="15.75" x14ac:dyDescent="0.25">
      <c r="A13" s="63"/>
      <c r="D13" s="2" t="s">
        <v>191</v>
      </c>
      <c r="J13" s="343" t="s">
        <v>68</v>
      </c>
      <c r="K13" s="343"/>
      <c r="L13" s="343"/>
      <c r="M13" s="343"/>
      <c r="N13" s="343"/>
      <c r="O13" s="343"/>
      <c r="P13" s="343"/>
      <c r="Q13" s="343"/>
      <c r="R13" s="343"/>
      <c r="S13" s="343"/>
    </row>
    <row r="14" spans="1:20" ht="16.5" thickBot="1" x14ac:dyDescent="0.3">
      <c r="A14" s="63"/>
      <c r="D14" s="136" t="s">
        <v>192</v>
      </c>
      <c r="F14" s="136" t="s">
        <v>193</v>
      </c>
      <c r="H14" s="136" t="s">
        <v>202</v>
      </c>
      <c r="J14" s="5">
        <f>Balance_Sheet!L8</f>
        <v>2000</v>
      </c>
      <c r="K14" s="6">
        <f>J14+1</f>
        <v>2001</v>
      </c>
      <c r="L14" s="6">
        <f t="shared" ref="L14:S14" si="0">K14+1</f>
        <v>2002</v>
      </c>
      <c r="M14" s="6">
        <f t="shared" si="0"/>
        <v>2003</v>
      </c>
      <c r="N14" s="6">
        <f t="shared" si="0"/>
        <v>2004</v>
      </c>
      <c r="O14" s="6">
        <f t="shared" si="0"/>
        <v>2005</v>
      </c>
      <c r="P14" s="6">
        <f t="shared" si="0"/>
        <v>2006</v>
      </c>
      <c r="Q14" s="6">
        <f t="shared" si="0"/>
        <v>2007</v>
      </c>
      <c r="R14" s="6">
        <f t="shared" si="0"/>
        <v>2008</v>
      </c>
      <c r="S14" s="7">
        <f t="shared" si="0"/>
        <v>2009</v>
      </c>
    </row>
    <row r="15" spans="1:20" x14ac:dyDescent="0.2">
      <c r="J15" s="137">
        <v>1</v>
      </c>
      <c r="K15" s="137">
        <v>2</v>
      </c>
      <c r="L15" s="137">
        <v>3</v>
      </c>
      <c r="M15" s="137">
        <v>4</v>
      </c>
      <c r="N15" s="137">
        <v>5</v>
      </c>
      <c r="O15" s="137">
        <v>6</v>
      </c>
      <c r="P15" s="137">
        <v>7</v>
      </c>
      <c r="Q15" s="137">
        <v>8</v>
      </c>
      <c r="R15" s="137">
        <v>9</v>
      </c>
      <c r="S15" s="137">
        <v>10</v>
      </c>
    </row>
    <row r="16" spans="1:20" x14ac:dyDescent="0.2">
      <c r="B16" s="59" t="s">
        <v>196</v>
      </c>
      <c r="D16" s="54">
        <v>0</v>
      </c>
      <c r="F16" s="59">
        <v>0</v>
      </c>
      <c r="H16" s="54">
        <v>0</v>
      </c>
      <c r="J16" s="55">
        <f>IF(J$14-$J$14&lt;$F16,IF($F$8=0,SLN($D16,$H16,$F16),SYD($D16,$H16,$F16,J$15)),0)</f>
        <v>0</v>
      </c>
      <c r="K16" s="55">
        <f t="shared" ref="K16:S20" si="1">IF(K$14-$J$14&lt;$F16,IF($F$8=0,SLN($D16,$H16,$F16),SYD($D16,$H16,$F16,K$15)),0)</f>
        <v>0</v>
      </c>
      <c r="L16" s="55">
        <f t="shared" si="1"/>
        <v>0</v>
      </c>
      <c r="M16" s="55">
        <f t="shared" si="1"/>
        <v>0</v>
      </c>
      <c r="N16" s="55">
        <f t="shared" si="1"/>
        <v>0</v>
      </c>
      <c r="O16" s="55">
        <f t="shared" si="1"/>
        <v>0</v>
      </c>
      <c r="P16" s="55">
        <f t="shared" si="1"/>
        <v>0</v>
      </c>
      <c r="Q16" s="55">
        <f t="shared" si="1"/>
        <v>0</v>
      </c>
      <c r="R16" s="55">
        <f t="shared" si="1"/>
        <v>0</v>
      </c>
      <c r="S16" s="55">
        <f t="shared" si="1"/>
        <v>0</v>
      </c>
    </row>
    <row r="17" spans="1:19" x14ac:dyDescent="0.2">
      <c r="B17" s="59" t="s">
        <v>197</v>
      </c>
      <c r="D17" s="56">
        <f>A17*$D$10</f>
        <v>0</v>
      </c>
      <c r="F17" s="59">
        <v>0</v>
      </c>
      <c r="H17" s="56">
        <v>0</v>
      </c>
      <c r="J17" s="57">
        <f>IF(J$14-$J$14&lt;$F17,IF($F$8=0,SLN($D17,$H17,$F17),SYD($D17,$H17,$F17,J$15)),0)</f>
        <v>0</v>
      </c>
      <c r="K17" s="57">
        <f t="shared" si="1"/>
        <v>0</v>
      </c>
      <c r="L17" s="57">
        <f t="shared" si="1"/>
        <v>0</v>
      </c>
      <c r="M17" s="57">
        <f t="shared" si="1"/>
        <v>0</v>
      </c>
      <c r="N17" s="57">
        <f t="shared" si="1"/>
        <v>0</v>
      </c>
      <c r="O17" s="57">
        <f t="shared" si="1"/>
        <v>0</v>
      </c>
      <c r="P17" s="57">
        <f t="shared" si="1"/>
        <v>0</v>
      </c>
      <c r="Q17" s="57">
        <f t="shared" si="1"/>
        <v>0</v>
      </c>
      <c r="R17" s="57">
        <f t="shared" si="1"/>
        <v>0</v>
      </c>
      <c r="S17" s="57">
        <f t="shared" si="1"/>
        <v>0</v>
      </c>
    </row>
    <row r="18" spans="1:19" x14ac:dyDescent="0.2">
      <c r="B18" s="59" t="s">
        <v>198</v>
      </c>
      <c r="D18" s="56">
        <f>A18*$D$10</f>
        <v>0</v>
      </c>
      <c r="F18" s="59">
        <v>0</v>
      </c>
      <c r="H18" s="56">
        <v>0</v>
      </c>
      <c r="J18" s="57">
        <f>IF(J$14-$J$14&lt;$F18,IF($F$8=0,SLN($D18,$H18,$F18),SYD($D18,$H18,$F18,J$15)),0)</f>
        <v>0</v>
      </c>
      <c r="K18" s="57">
        <f t="shared" si="1"/>
        <v>0</v>
      </c>
      <c r="L18" s="57">
        <f t="shared" si="1"/>
        <v>0</v>
      </c>
      <c r="M18" s="57">
        <f t="shared" si="1"/>
        <v>0</v>
      </c>
      <c r="N18" s="57">
        <f t="shared" si="1"/>
        <v>0</v>
      </c>
      <c r="O18" s="57">
        <f t="shared" si="1"/>
        <v>0</v>
      </c>
      <c r="P18" s="57">
        <f t="shared" si="1"/>
        <v>0</v>
      </c>
      <c r="Q18" s="57">
        <f t="shared" si="1"/>
        <v>0</v>
      </c>
      <c r="R18" s="57">
        <f t="shared" si="1"/>
        <v>0</v>
      </c>
      <c r="S18" s="57">
        <f t="shared" si="1"/>
        <v>0</v>
      </c>
    </row>
    <row r="19" spans="1:19" x14ac:dyDescent="0.2">
      <c r="B19" s="59" t="s">
        <v>199</v>
      </c>
      <c r="D19" s="56">
        <f>A19*$D$10</f>
        <v>0</v>
      </c>
      <c r="F19" s="59">
        <v>0</v>
      </c>
      <c r="H19" s="56">
        <v>0</v>
      </c>
      <c r="J19" s="57">
        <f>IF(J$14-$J$14&lt;$F19,IF($F$8=0,SLN($D19,$H19,$F19),SYD($D19,$H19,$F19,J$15)),0)</f>
        <v>0</v>
      </c>
      <c r="K19" s="57">
        <f t="shared" si="1"/>
        <v>0</v>
      </c>
      <c r="L19" s="57">
        <f t="shared" si="1"/>
        <v>0</v>
      </c>
      <c r="M19" s="57">
        <f t="shared" si="1"/>
        <v>0</v>
      </c>
      <c r="N19" s="57">
        <f t="shared" si="1"/>
        <v>0</v>
      </c>
      <c r="O19" s="57">
        <f t="shared" si="1"/>
        <v>0</v>
      </c>
      <c r="P19" s="57">
        <f t="shared" si="1"/>
        <v>0</v>
      </c>
      <c r="Q19" s="57">
        <f t="shared" si="1"/>
        <v>0</v>
      </c>
      <c r="R19" s="57">
        <f t="shared" si="1"/>
        <v>0</v>
      </c>
      <c r="S19" s="57">
        <f t="shared" si="1"/>
        <v>0</v>
      </c>
    </row>
    <row r="20" spans="1:19" x14ac:dyDescent="0.2">
      <c r="B20" s="59" t="s">
        <v>200</v>
      </c>
      <c r="D20" s="34">
        <v>0</v>
      </c>
      <c r="F20" s="59">
        <v>0</v>
      </c>
      <c r="H20" s="25">
        <v>0</v>
      </c>
      <c r="J20" s="58">
        <f>IF(J$14-$J$14&lt;$F20,IF($F$8=0,SLN($D20,$H20,$F20),SYD($D20,$H20,$F20,J$15)),0)</f>
        <v>0</v>
      </c>
      <c r="K20" s="58">
        <f t="shared" si="1"/>
        <v>0</v>
      </c>
      <c r="L20" s="58">
        <f t="shared" si="1"/>
        <v>0</v>
      </c>
      <c r="M20" s="58">
        <f t="shared" si="1"/>
        <v>0</v>
      </c>
      <c r="N20" s="58">
        <f t="shared" si="1"/>
        <v>0</v>
      </c>
      <c r="O20" s="58">
        <f t="shared" si="1"/>
        <v>0</v>
      </c>
      <c r="P20" s="58">
        <f t="shared" si="1"/>
        <v>0</v>
      </c>
      <c r="Q20" s="58">
        <f t="shared" si="1"/>
        <v>0</v>
      </c>
      <c r="R20" s="58">
        <f t="shared" si="1"/>
        <v>0</v>
      </c>
      <c r="S20" s="58">
        <f t="shared" si="1"/>
        <v>0</v>
      </c>
    </row>
    <row r="22" spans="1:19" ht="15.75" x14ac:dyDescent="0.25">
      <c r="B22" s="17" t="s">
        <v>201</v>
      </c>
      <c r="D22" s="60">
        <f>SUM(D16:D20)</f>
        <v>0</v>
      </c>
      <c r="J22" s="60">
        <f t="shared" ref="J22:S22" si="2">SUM(J16:J20)</f>
        <v>0</v>
      </c>
      <c r="K22" s="60">
        <f t="shared" si="2"/>
        <v>0</v>
      </c>
      <c r="L22" s="60">
        <f t="shared" si="2"/>
        <v>0</v>
      </c>
      <c r="M22" s="60">
        <f t="shared" si="2"/>
        <v>0</v>
      </c>
      <c r="N22" s="60">
        <f t="shared" si="2"/>
        <v>0</v>
      </c>
      <c r="O22" s="60">
        <f t="shared" si="2"/>
        <v>0</v>
      </c>
      <c r="P22" s="60">
        <f t="shared" si="2"/>
        <v>0</v>
      </c>
      <c r="Q22" s="60">
        <f t="shared" si="2"/>
        <v>0</v>
      </c>
      <c r="R22" s="60">
        <f t="shared" si="2"/>
        <v>0</v>
      </c>
      <c r="S22" s="60">
        <f t="shared" si="2"/>
        <v>0</v>
      </c>
    </row>
    <row r="23" spans="1:19" ht="6.75" customHeight="1" x14ac:dyDescent="0.2"/>
    <row r="24" spans="1:19" ht="15.75" x14ac:dyDescent="0.25">
      <c r="A24" s="4" t="s">
        <v>137</v>
      </c>
    </row>
    <row r="25" spans="1:19" ht="14.25" customHeight="1" x14ac:dyDescent="0.25">
      <c r="F25" s="2" t="s">
        <v>206</v>
      </c>
      <c r="H25" s="4"/>
      <c r="J25" s="343" t="s">
        <v>68</v>
      </c>
      <c r="K25" s="343"/>
      <c r="L25" s="343"/>
      <c r="M25" s="343"/>
      <c r="N25" s="343"/>
      <c r="O25" s="343"/>
      <c r="P25" s="343"/>
      <c r="Q25" s="343"/>
      <c r="R25" s="343"/>
      <c r="S25" s="343"/>
    </row>
    <row r="26" spans="1:19" ht="16.5" thickBot="1" x14ac:dyDescent="0.3">
      <c r="A26" s="1" t="s">
        <v>204</v>
      </c>
      <c r="D26" s="42">
        <v>10</v>
      </c>
      <c r="F26" s="136" t="s">
        <v>207</v>
      </c>
      <c r="H26" s="136" t="s">
        <v>205</v>
      </c>
      <c r="J26" s="5">
        <f>J14</f>
        <v>2000</v>
      </c>
      <c r="K26" s="6">
        <f t="shared" ref="K26:S26" si="3">K14</f>
        <v>2001</v>
      </c>
      <c r="L26" s="6">
        <f t="shared" si="3"/>
        <v>2002</v>
      </c>
      <c r="M26" s="6">
        <f t="shared" si="3"/>
        <v>2003</v>
      </c>
      <c r="N26" s="6">
        <f t="shared" si="3"/>
        <v>2004</v>
      </c>
      <c r="O26" s="6">
        <f t="shared" si="3"/>
        <v>2005</v>
      </c>
      <c r="P26" s="6">
        <f t="shared" si="3"/>
        <v>2006</v>
      </c>
      <c r="Q26" s="6">
        <f t="shared" si="3"/>
        <v>2007</v>
      </c>
      <c r="R26" s="6">
        <f t="shared" si="3"/>
        <v>2008</v>
      </c>
      <c r="S26" s="7">
        <f t="shared" si="3"/>
        <v>2009</v>
      </c>
    </row>
    <row r="28" spans="1:19" x14ac:dyDescent="0.2">
      <c r="F28" s="54">
        <v>0</v>
      </c>
      <c r="H28" s="138">
        <f t="array" ref="H28:H37">TRANSPOSE(J26:S26)</f>
        <v>2000</v>
      </c>
      <c r="J28" s="55">
        <f>IF((J$26-$J$26+1)&gt;$D$26,0,$F$28/$D$26)</f>
        <v>0</v>
      </c>
      <c r="K28" s="55">
        <f t="shared" ref="K28:S28" si="4">IF((K$26-$J$26+1)&gt;$D$26,0,$F$28/$D$26)</f>
        <v>0</v>
      </c>
      <c r="L28" s="55">
        <f t="shared" si="4"/>
        <v>0</v>
      </c>
      <c r="M28" s="55">
        <f t="shared" si="4"/>
        <v>0</v>
      </c>
      <c r="N28" s="55">
        <f t="shared" si="4"/>
        <v>0</v>
      </c>
      <c r="O28" s="55">
        <f t="shared" si="4"/>
        <v>0</v>
      </c>
      <c r="P28" s="55">
        <f t="shared" si="4"/>
        <v>0</v>
      </c>
      <c r="Q28" s="55">
        <f t="shared" si="4"/>
        <v>0</v>
      </c>
      <c r="R28" s="55">
        <f t="shared" si="4"/>
        <v>0</v>
      </c>
      <c r="S28" s="55">
        <f t="shared" si="4"/>
        <v>0</v>
      </c>
    </row>
    <row r="29" spans="1:19" x14ac:dyDescent="0.2">
      <c r="F29" s="56">
        <v>0</v>
      </c>
      <c r="H29" s="138">
        <v>2001</v>
      </c>
      <c r="K29" s="57">
        <f>IF((K$26-$K$26+1)&gt;$D$26,0,$F$29/$D$26)</f>
        <v>0</v>
      </c>
      <c r="L29" s="57">
        <f t="shared" ref="L29:S29" si="5">IF((L$26-$K$26+1)&gt;$D$26,0,$F$29/$D$26)</f>
        <v>0</v>
      </c>
      <c r="M29" s="57">
        <f t="shared" si="5"/>
        <v>0</v>
      </c>
      <c r="N29" s="57">
        <f t="shared" si="5"/>
        <v>0</v>
      </c>
      <c r="O29" s="57">
        <f t="shared" si="5"/>
        <v>0</v>
      </c>
      <c r="P29" s="57">
        <f t="shared" si="5"/>
        <v>0</v>
      </c>
      <c r="Q29" s="57">
        <f t="shared" si="5"/>
        <v>0</v>
      </c>
      <c r="R29" s="57">
        <f t="shared" si="5"/>
        <v>0</v>
      </c>
      <c r="S29" s="57">
        <f t="shared" si="5"/>
        <v>0</v>
      </c>
    </row>
    <row r="30" spans="1:19" x14ac:dyDescent="0.2">
      <c r="F30" s="56">
        <v>0</v>
      </c>
      <c r="H30" s="138">
        <v>2002</v>
      </c>
      <c r="K30" s="57"/>
      <c r="L30" s="57">
        <f>IF((L$26-$L$26+1)&gt;$D$26,0,$F$30/$D$26)</f>
        <v>0</v>
      </c>
      <c r="M30" s="57">
        <f t="shared" ref="M30:S30" si="6">IF((M$26-$L$26+1)&gt;$D$26,0,$F$30/$D$26)</f>
        <v>0</v>
      </c>
      <c r="N30" s="57">
        <f t="shared" si="6"/>
        <v>0</v>
      </c>
      <c r="O30" s="57">
        <f t="shared" si="6"/>
        <v>0</v>
      </c>
      <c r="P30" s="57">
        <f t="shared" si="6"/>
        <v>0</v>
      </c>
      <c r="Q30" s="57">
        <f t="shared" si="6"/>
        <v>0</v>
      </c>
      <c r="R30" s="57">
        <f t="shared" si="6"/>
        <v>0</v>
      </c>
      <c r="S30" s="57">
        <f t="shared" si="6"/>
        <v>0</v>
      </c>
    </row>
    <row r="31" spans="1:19" x14ac:dyDescent="0.2">
      <c r="F31" s="56">
        <v>0</v>
      </c>
      <c r="H31" s="138">
        <v>2003</v>
      </c>
      <c r="K31" s="57"/>
      <c r="L31" s="57"/>
      <c r="M31" s="57">
        <f>IF((M$26-$M$26+1)&gt;$D$26,0,$F$31/$D$26)</f>
        <v>0</v>
      </c>
      <c r="N31" s="57">
        <f t="shared" ref="N31:S31" si="7">IF((N$26-$M$26+1)&gt;$D$26,0,$F$31/$D$26)</f>
        <v>0</v>
      </c>
      <c r="O31" s="57">
        <f t="shared" si="7"/>
        <v>0</v>
      </c>
      <c r="P31" s="57">
        <f t="shared" si="7"/>
        <v>0</v>
      </c>
      <c r="Q31" s="57">
        <f t="shared" si="7"/>
        <v>0</v>
      </c>
      <c r="R31" s="57">
        <f t="shared" si="7"/>
        <v>0</v>
      </c>
      <c r="S31" s="57">
        <f t="shared" si="7"/>
        <v>0</v>
      </c>
    </row>
    <row r="32" spans="1:19" x14ac:dyDescent="0.2">
      <c r="F32" s="56">
        <v>0</v>
      </c>
      <c r="H32" s="138">
        <v>2004</v>
      </c>
      <c r="K32" s="57"/>
      <c r="L32" s="57"/>
      <c r="M32" s="57"/>
      <c r="N32" s="57">
        <f t="shared" ref="N32:S32" si="8">IF((N$26-$N$26+1)&gt;$D$26,0,$F$32/$D$26)</f>
        <v>0</v>
      </c>
      <c r="O32" s="57">
        <f t="shared" si="8"/>
        <v>0</v>
      </c>
      <c r="P32" s="57">
        <f t="shared" si="8"/>
        <v>0</v>
      </c>
      <c r="Q32" s="57">
        <f t="shared" si="8"/>
        <v>0</v>
      </c>
      <c r="R32" s="57">
        <f t="shared" si="8"/>
        <v>0</v>
      </c>
      <c r="S32" s="57">
        <f t="shared" si="8"/>
        <v>0</v>
      </c>
    </row>
    <row r="33" spans="1:19" x14ac:dyDescent="0.2">
      <c r="F33" s="56">
        <v>0</v>
      </c>
      <c r="H33" s="138">
        <v>2005</v>
      </c>
      <c r="K33" s="57"/>
      <c r="L33" s="57"/>
      <c r="M33" s="57"/>
      <c r="N33" s="57"/>
      <c r="O33" s="57">
        <f>IF((O$26-$O$26+1)&gt;$D$26,0,$F$33/$D$26)</f>
        <v>0</v>
      </c>
      <c r="P33" s="57">
        <f>IF((P$26-$O$26+1)&gt;$D$26,0,$F$33/$D$26)</f>
        <v>0</v>
      </c>
      <c r="Q33" s="57">
        <f>IF((Q$26-$O$26+1)&gt;$D$26,0,$F$33/$D$26)</f>
        <v>0</v>
      </c>
      <c r="R33" s="57">
        <f>IF((R$26-$O$26+1)&gt;$D$26,0,$F$33/$D$26)</f>
        <v>0</v>
      </c>
      <c r="S33" s="57">
        <f>IF((S$26-$O$26+1)&gt;$D$26,0,$F$33/$D$26)</f>
        <v>0</v>
      </c>
    </row>
    <row r="34" spans="1:19" x14ac:dyDescent="0.2">
      <c r="F34" s="56">
        <v>0</v>
      </c>
      <c r="H34" s="138">
        <v>2006</v>
      </c>
      <c r="K34" s="57"/>
      <c r="L34" s="57"/>
      <c r="M34" s="57"/>
      <c r="N34" s="57"/>
      <c r="O34" s="57"/>
      <c r="P34" s="57">
        <f>IF((P$26-$P$26+1)&gt;$D$26,0,$F$34/$D$26)</f>
        <v>0</v>
      </c>
      <c r="Q34" s="57">
        <f>IF((Q$26-$P$26+1)&gt;$D$26,0,$F$34/$D$26)</f>
        <v>0</v>
      </c>
      <c r="R34" s="57">
        <f>IF((R$26-$P$26+1)&gt;$D$26,0,$F$34/$D$26)</f>
        <v>0</v>
      </c>
      <c r="S34" s="57">
        <f>IF((S$26-$P$26+1)&gt;$D$26,0,$F$34/$D$26)</f>
        <v>0</v>
      </c>
    </row>
    <row r="35" spans="1:19" x14ac:dyDescent="0.2">
      <c r="F35" s="56">
        <v>0</v>
      </c>
      <c r="H35" s="138">
        <v>2007</v>
      </c>
      <c r="K35" s="57"/>
      <c r="L35" s="57"/>
      <c r="M35" s="57"/>
      <c r="N35" s="57"/>
      <c r="O35" s="57"/>
      <c r="P35" s="57"/>
      <c r="Q35" s="57">
        <f>IF((Q$26-$Q$26+1)&gt;$D$26,0,$F$35/$D$26)</f>
        <v>0</v>
      </c>
      <c r="R35" s="57">
        <f>IF((R$26-$Q$26+1)&gt;$D$26,0,$F$35/$D$26)</f>
        <v>0</v>
      </c>
      <c r="S35" s="57">
        <f>IF((S$26-$Q$26+1)&gt;$D$26,0,$F$35/$D$26)</f>
        <v>0</v>
      </c>
    </row>
    <row r="36" spans="1:19" x14ac:dyDescent="0.2">
      <c r="F36" s="56">
        <v>0</v>
      </c>
      <c r="H36" s="138">
        <v>2008</v>
      </c>
      <c r="K36" s="57"/>
      <c r="L36" s="57"/>
      <c r="M36" s="57"/>
      <c r="N36" s="57"/>
      <c r="O36" s="57"/>
      <c r="P36" s="57"/>
      <c r="Q36" s="57"/>
      <c r="R36" s="57">
        <f>IF((R$26-$R$26+1)&gt;$D$26,0,$F$36/$D$26)</f>
        <v>0</v>
      </c>
      <c r="S36" s="57">
        <f>IF((S$26-$R$26+1)&gt;$D$26,0,$F$36/$D$26)</f>
        <v>0</v>
      </c>
    </row>
    <row r="37" spans="1:19" x14ac:dyDescent="0.2">
      <c r="F37" s="34">
        <v>0</v>
      </c>
      <c r="H37" s="138">
        <v>2009</v>
      </c>
      <c r="J37" s="30"/>
      <c r="K37" s="58"/>
      <c r="L37" s="58"/>
      <c r="M37" s="58"/>
      <c r="N37" s="58"/>
      <c r="O37" s="58"/>
      <c r="P37" s="58"/>
      <c r="Q37" s="58"/>
      <c r="R37" s="58"/>
      <c r="S37" s="58">
        <f>IF((S$26-$S$26+1)&gt;$D$26,0,$F$37/$D$26)</f>
        <v>0</v>
      </c>
    </row>
    <row r="39" spans="1:19" ht="15.75" x14ac:dyDescent="0.25">
      <c r="B39" s="17" t="s">
        <v>201</v>
      </c>
      <c r="F39" s="60">
        <f>SUM(F28:F37)</f>
        <v>0</v>
      </c>
      <c r="J39" s="60">
        <f>SUM(J28:J37)</f>
        <v>0</v>
      </c>
      <c r="K39" s="60">
        <f t="shared" ref="K39:S39" si="9">SUM(K28:K37)</f>
        <v>0</v>
      </c>
      <c r="L39" s="60">
        <f t="shared" si="9"/>
        <v>0</v>
      </c>
      <c r="M39" s="60">
        <f t="shared" si="9"/>
        <v>0</v>
      </c>
      <c r="N39" s="60">
        <f t="shared" si="9"/>
        <v>0</v>
      </c>
      <c r="O39" s="60">
        <f t="shared" si="9"/>
        <v>0</v>
      </c>
      <c r="P39" s="60">
        <f t="shared" si="9"/>
        <v>0</v>
      </c>
      <c r="Q39" s="60">
        <f t="shared" si="9"/>
        <v>0</v>
      </c>
      <c r="R39" s="60">
        <f t="shared" si="9"/>
        <v>0</v>
      </c>
      <c r="S39" s="60">
        <f t="shared" si="9"/>
        <v>0</v>
      </c>
    </row>
    <row r="41" spans="1:19" ht="15.75" x14ac:dyDescent="0.25">
      <c r="A41" s="139" t="str">
        <f>UPPER("Total Calculated Book Depreciation")</f>
        <v>TOTAL CALCULATED BOOK DEPRECIATION</v>
      </c>
      <c r="B41" s="140"/>
      <c r="C41" s="140"/>
      <c r="D41" s="140"/>
      <c r="E41" s="140"/>
      <c r="F41" s="140"/>
      <c r="G41" s="140"/>
      <c r="H41" s="140"/>
      <c r="I41" s="140"/>
      <c r="J41" s="141">
        <f>J22+J39</f>
        <v>0</v>
      </c>
      <c r="K41" s="141">
        <f t="shared" ref="K41:S41" si="10">K22+K39</f>
        <v>0</v>
      </c>
      <c r="L41" s="141">
        <f t="shared" si="10"/>
        <v>0</v>
      </c>
      <c r="M41" s="141">
        <f t="shared" si="10"/>
        <v>0</v>
      </c>
      <c r="N41" s="141">
        <f t="shared" si="10"/>
        <v>0</v>
      </c>
      <c r="O41" s="141">
        <f t="shared" si="10"/>
        <v>0</v>
      </c>
      <c r="P41" s="141">
        <f t="shared" si="10"/>
        <v>0</v>
      </c>
      <c r="Q41" s="141">
        <f t="shared" si="10"/>
        <v>0</v>
      </c>
      <c r="R41" s="141">
        <f t="shared" si="10"/>
        <v>0</v>
      </c>
      <c r="S41" s="141">
        <f t="shared" si="10"/>
        <v>0</v>
      </c>
    </row>
    <row r="42" spans="1:19" ht="4.5" customHeight="1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 ht="15.75" x14ac:dyDescent="0.25">
      <c r="A43" s="139" t="str">
        <f>UPPER("MANUALLY INPUT BOOK DEPRECIATION")</f>
        <v>MANUALLY INPUT BOOK DEPRECIATION</v>
      </c>
      <c r="B43" s="140"/>
      <c r="C43" s="140"/>
      <c r="D43" s="140"/>
      <c r="E43" s="140"/>
      <c r="F43" s="140"/>
      <c r="G43" s="140"/>
      <c r="H43" s="140"/>
      <c r="I43" s="140"/>
      <c r="J43" s="142">
        <v>0</v>
      </c>
      <c r="K43" s="142">
        <v>0</v>
      </c>
      <c r="L43" s="142">
        <v>0</v>
      </c>
      <c r="M43" s="142">
        <v>0</v>
      </c>
      <c r="N43" s="142">
        <v>0</v>
      </c>
      <c r="O43" s="142">
        <v>0</v>
      </c>
      <c r="P43" s="142">
        <v>0</v>
      </c>
      <c r="Q43" s="142">
        <v>0</v>
      </c>
      <c r="R43" s="142">
        <v>0</v>
      </c>
      <c r="S43" s="142">
        <v>0</v>
      </c>
    </row>
    <row r="44" spans="1:19" ht="12.75" customHeight="1" x14ac:dyDescent="0.25">
      <c r="A44" s="143"/>
      <c r="B44" s="30"/>
      <c r="C44" s="30"/>
      <c r="D44" s="30"/>
      <c r="E44" s="30"/>
      <c r="F44" s="30"/>
      <c r="G44" s="30"/>
      <c r="H44" s="30"/>
      <c r="I44" s="30"/>
      <c r="J44" s="144"/>
      <c r="K44" s="144"/>
      <c r="L44" s="144"/>
      <c r="M44" s="144"/>
      <c r="N44" s="144"/>
      <c r="O44" s="144"/>
      <c r="P44" s="144"/>
      <c r="Q44" s="144"/>
      <c r="R44" s="144"/>
      <c r="S44" s="144"/>
    </row>
    <row r="45" spans="1:19" x14ac:dyDescent="0.2">
      <c r="A45" s="1" t="s">
        <v>208</v>
      </c>
      <c r="J45" s="57">
        <f t="shared" ref="J45:S45" si="11">IF($P$8=0,J41,J43)</f>
        <v>0</v>
      </c>
      <c r="K45" s="57">
        <f t="shared" si="11"/>
        <v>0</v>
      </c>
      <c r="L45" s="57">
        <f t="shared" si="11"/>
        <v>0</v>
      </c>
      <c r="M45" s="57">
        <f t="shared" si="11"/>
        <v>0</v>
      </c>
      <c r="N45" s="57">
        <f t="shared" si="11"/>
        <v>0</v>
      </c>
      <c r="O45" s="57">
        <f t="shared" si="11"/>
        <v>0</v>
      </c>
      <c r="P45" s="57">
        <f t="shared" si="11"/>
        <v>0</v>
      </c>
      <c r="Q45" s="57">
        <f t="shared" si="11"/>
        <v>0</v>
      </c>
      <c r="R45" s="57">
        <f t="shared" si="11"/>
        <v>0</v>
      </c>
      <c r="S45" s="57">
        <f t="shared" si="11"/>
        <v>0</v>
      </c>
    </row>
    <row r="47" spans="1:19" ht="15.75" x14ac:dyDescent="0.25">
      <c r="A47" s="1" t="s">
        <v>209</v>
      </c>
      <c r="F47" s="138" t="s">
        <v>210</v>
      </c>
      <c r="G47" s="42">
        <v>5</v>
      </c>
      <c r="J47" s="57">
        <f>IF((J$26-$J$26)&lt;$G$47,Sources_Uses!$E$15/Book_Depreciation!$G$47,0)</f>
        <v>0</v>
      </c>
      <c r="K47" s="57">
        <f>IF((K$26-$J$26)&lt;$G$47,Sources_Uses!$E$15/Book_Depreciation!$G$47,0)</f>
        <v>0</v>
      </c>
      <c r="L47" s="57">
        <f>IF((L$26-$J$26)&lt;$G$47,Sources_Uses!$E$15/Book_Depreciation!$G$47,0)</f>
        <v>0</v>
      </c>
      <c r="M47" s="57">
        <f>IF((M$26-$J$26)&lt;$G$47,Sources_Uses!$E$15/Book_Depreciation!$G$47,0)</f>
        <v>0</v>
      </c>
      <c r="N47" s="57">
        <f>IF((N$26-$J$26)&lt;$G$47,Sources_Uses!$E$15/Book_Depreciation!$G$47,0)</f>
        <v>0</v>
      </c>
      <c r="O47" s="57">
        <f>IF((O$26-$J$26)&lt;$G$47,Sources_Uses!$E$15/Book_Depreciation!$G$47,0)</f>
        <v>0</v>
      </c>
      <c r="P47" s="57">
        <f>IF((P$26-$J$26)&lt;$G$47,Sources_Uses!$E$15/Book_Depreciation!$G$47,0)</f>
        <v>0</v>
      </c>
      <c r="Q47" s="57">
        <f>IF((Q$26-$J$26)&lt;$G$47,Sources_Uses!$E$15/Book_Depreciation!$G$47,0)</f>
        <v>0</v>
      </c>
      <c r="R47" s="57">
        <f>IF((R$26-$J$26)&lt;$G$47,Sources_Uses!$E$15/Book_Depreciation!$G$47,0)</f>
        <v>0</v>
      </c>
      <c r="S47" s="57">
        <f>IF((S$26-$J$26)&lt;$G$47,Sources_Uses!$E$15/Book_Depreciation!$G$47,0)</f>
        <v>0</v>
      </c>
    </row>
    <row r="49" spans="1:19" ht="15.75" x14ac:dyDescent="0.25">
      <c r="A49" s="30" t="s">
        <v>211</v>
      </c>
      <c r="B49" s="30"/>
      <c r="C49" s="30"/>
      <c r="D49" s="30"/>
      <c r="E49" s="30"/>
      <c r="F49" s="49" t="s">
        <v>210</v>
      </c>
      <c r="G49" s="42">
        <v>40</v>
      </c>
      <c r="H49" s="30"/>
      <c r="I49" s="30"/>
      <c r="J49" s="58">
        <f>IF((J$26-$J$26)&lt;$G$49,Sources_Uses!$Q$39/$G$49,0)</f>
        <v>0</v>
      </c>
      <c r="K49" s="58">
        <f>IF((K$26-$J$26)&lt;$G$49,Sources_Uses!$Q$39/$G$49,0)</f>
        <v>0</v>
      </c>
      <c r="L49" s="58">
        <f>IF((L$26-$J$26)&lt;$G$49,Sources_Uses!$Q$39/$G$49,0)</f>
        <v>0</v>
      </c>
      <c r="M49" s="58">
        <f>IF((M$26-$J$26)&lt;$G$49,Sources_Uses!$Q$39/$G$49,0)</f>
        <v>0</v>
      </c>
      <c r="N49" s="58">
        <f>IF((N$26-$J$26)&lt;$G$49,Sources_Uses!$Q$39/$G$49,0)</f>
        <v>0</v>
      </c>
      <c r="O49" s="58">
        <f>IF((O$26-$J$26)&lt;$G$49,Sources_Uses!$Q$39/$G$49,0)</f>
        <v>0</v>
      </c>
      <c r="P49" s="58">
        <f>IF((P$26-$J$26)&lt;$G$49,Sources_Uses!$Q$39/$G$49,0)</f>
        <v>0</v>
      </c>
      <c r="Q49" s="58">
        <f>IF((Q$26-$J$26)&lt;$G$49,Sources_Uses!$Q$39/$G$49,0)</f>
        <v>0</v>
      </c>
      <c r="R49" s="58">
        <f>IF((R$26-$J$26)&lt;$G$49,Sources_Uses!$Q$39/$G$49,0)</f>
        <v>0</v>
      </c>
      <c r="S49" s="58">
        <f>IF((S$26-$J$26)&lt;$G$49,Sources_Uses!$Q$39/$G$49,0)</f>
        <v>0</v>
      </c>
    </row>
  </sheetData>
  <mergeCells count="13">
    <mergeCell ref="J25:S25"/>
    <mergeCell ref="A2:T2"/>
    <mergeCell ref="A3:T3"/>
    <mergeCell ref="F7:H7"/>
    <mergeCell ref="J13:S13"/>
    <mergeCell ref="G8:H8"/>
    <mergeCell ref="F6:H6"/>
    <mergeCell ref="P6:S6"/>
    <mergeCell ref="P7:S7"/>
    <mergeCell ref="Q8:S8"/>
    <mergeCell ref="K6:N6"/>
    <mergeCell ref="K7:N7"/>
    <mergeCell ref="L8:N8"/>
  </mergeCells>
  <phoneticPr fontId="0" type="noConversion"/>
  <printOptions horizontalCentered="1" verticalCentered="1"/>
  <pageMargins left="0.75" right="0.75" top="1" bottom="1" header="0.5" footer="0.5"/>
  <pageSetup scale="68" orientation="landscape" horizontalDpi="300" verticalDpi="300" r:id="rId1"/>
  <headerFooter alignWithMargins="0">
    <oddHeader>&amp;L&amp;D&amp;T&amp;C&amp;P&amp;N&amp;R&amp;F&amp;A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E41"/>
  <sheetViews>
    <sheetView zoomScale="75" zoomScaleNormal="75" workbookViewId="0"/>
  </sheetViews>
  <sheetFormatPr defaultRowHeight="15" x14ac:dyDescent="0.2"/>
  <cols>
    <col min="1" max="1" width="7.85546875" style="1" customWidth="1"/>
    <col min="2" max="2" width="15.42578125" style="1" customWidth="1"/>
    <col min="3" max="3" width="4.5703125" style="1" customWidth="1"/>
    <col min="4" max="4" width="11.42578125" style="1" customWidth="1"/>
    <col min="5" max="5" width="3.28515625" style="1" customWidth="1"/>
    <col min="6" max="6" width="12.42578125" style="1" customWidth="1"/>
    <col min="7" max="7" width="7.5703125" style="1" customWidth="1"/>
    <col min="8" max="8" width="11" style="1" customWidth="1"/>
    <col min="9" max="9" width="3.42578125" style="1" customWidth="1"/>
    <col min="10" max="19" width="9.85546875" style="1" customWidth="1"/>
    <col min="20" max="20" width="4.5703125" style="1" customWidth="1"/>
    <col min="21" max="21" width="10.7109375" style="1" customWidth="1"/>
    <col min="22" max="22" width="9.140625" style="1"/>
    <col min="23" max="23" width="15.5703125" style="1" customWidth="1"/>
    <col min="24" max="16384" width="9.140625" style="1"/>
  </cols>
  <sheetData>
    <row r="1" spans="1:31" ht="20.25" customHeight="1" x14ac:dyDescent="0.25">
      <c r="A1" s="257" t="str">
        <f ca="1">Book_Depreciation!A1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31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</row>
    <row r="3" spans="1:31" s="231" customFormat="1" ht="20.25" x14ac:dyDescent="0.3">
      <c r="A3" s="342" t="s">
        <v>216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</row>
    <row r="4" spans="1:31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1" ht="18" customHeight="1" x14ac:dyDescent="0.25">
      <c r="A5" s="4" t="str">
        <f ca="1">"Performance Case: "&amp;Sources_Uses!M44</f>
        <v>Performance Case: Base</v>
      </c>
    </row>
    <row r="6" spans="1:31" ht="18" customHeight="1" x14ac:dyDescent="0.25">
      <c r="A6" s="1" t="str">
        <f>Sources_Uses!B7</f>
        <v>(FYE January; $ in millions)</v>
      </c>
      <c r="F6" s="363" t="s">
        <v>203</v>
      </c>
      <c r="G6" s="364"/>
      <c r="H6" s="365"/>
      <c r="W6" s="349" t="s">
        <v>214</v>
      </c>
      <c r="X6" s="350"/>
      <c r="Y6" s="350"/>
      <c r="Z6" s="351"/>
      <c r="AB6" s="349" t="s">
        <v>213</v>
      </c>
      <c r="AC6" s="350"/>
      <c r="AD6" s="350"/>
      <c r="AE6" s="351"/>
    </row>
    <row r="7" spans="1:31" ht="18" customHeight="1" x14ac:dyDescent="0.2">
      <c r="F7" s="358" t="s">
        <v>381</v>
      </c>
      <c r="G7" s="359"/>
      <c r="H7" s="360"/>
      <c r="W7" s="358" t="s">
        <v>212</v>
      </c>
      <c r="X7" s="359"/>
      <c r="Y7" s="359"/>
      <c r="Z7" s="360"/>
      <c r="AB7" s="358" t="s">
        <v>215</v>
      </c>
      <c r="AC7" s="359"/>
      <c r="AD7" s="359"/>
      <c r="AE7" s="360"/>
    </row>
    <row r="8" spans="1:31" ht="18" customHeight="1" x14ac:dyDescent="0.25">
      <c r="A8" s="4" t="s">
        <v>194</v>
      </c>
      <c r="F8" s="42">
        <v>0</v>
      </c>
      <c r="G8" s="361" t="str">
        <f>IF(F8=0,"Straight Line","Sum of Years")</f>
        <v>Straight Line</v>
      </c>
      <c r="H8" s="362"/>
      <c r="W8" s="42">
        <v>0</v>
      </c>
      <c r="X8" s="361" t="str">
        <f>IF(W8=0,"Not Tax-Deductible","Tax-Deductible")</f>
        <v>Not Tax-Deductible</v>
      </c>
      <c r="Y8" s="366"/>
      <c r="Z8" s="362"/>
      <c r="AB8" s="42">
        <v>0</v>
      </c>
      <c r="AC8" s="361" t="str">
        <f>IF(AB8=0,"Computed","Manual")</f>
        <v>Computed</v>
      </c>
      <c r="AD8" s="366"/>
      <c r="AE8" s="362"/>
    </row>
    <row r="10" spans="1:31" ht="15.75" x14ac:dyDescent="0.25">
      <c r="B10" s="4" t="s">
        <v>195</v>
      </c>
      <c r="D10" s="135">
        <v>0</v>
      </c>
    </row>
    <row r="11" spans="1:31" ht="15.75" x14ac:dyDescent="0.25">
      <c r="B11" s="4" t="s">
        <v>190</v>
      </c>
      <c r="D11" s="135">
        <v>0</v>
      </c>
    </row>
    <row r="13" spans="1:31" ht="15.75" x14ac:dyDescent="0.25">
      <c r="A13" s="63"/>
      <c r="D13" s="2" t="s">
        <v>191</v>
      </c>
      <c r="J13" s="343" t="s">
        <v>68</v>
      </c>
      <c r="K13" s="343"/>
      <c r="L13" s="343"/>
      <c r="M13" s="343"/>
      <c r="N13" s="343"/>
      <c r="O13" s="343"/>
      <c r="P13" s="343"/>
      <c r="Q13" s="343"/>
      <c r="R13" s="343"/>
      <c r="S13" s="343"/>
    </row>
    <row r="14" spans="1:31" ht="16.5" thickBot="1" x14ac:dyDescent="0.3">
      <c r="A14" s="63"/>
      <c r="D14" s="136" t="s">
        <v>192</v>
      </c>
      <c r="F14" s="136" t="s">
        <v>193</v>
      </c>
      <c r="H14" s="136" t="s">
        <v>202</v>
      </c>
      <c r="J14" s="5">
        <f>Balance_Sheet!L8</f>
        <v>2000</v>
      </c>
      <c r="K14" s="6">
        <f>J14+1</f>
        <v>2001</v>
      </c>
      <c r="L14" s="6">
        <f t="shared" ref="L14:S14" si="0">K14+1</f>
        <v>2002</v>
      </c>
      <c r="M14" s="6">
        <f t="shared" si="0"/>
        <v>2003</v>
      </c>
      <c r="N14" s="6">
        <f t="shared" si="0"/>
        <v>2004</v>
      </c>
      <c r="O14" s="6">
        <f t="shared" si="0"/>
        <v>2005</v>
      </c>
      <c r="P14" s="6">
        <f t="shared" si="0"/>
        <v>2006</v>
      </c>
      <c r="Q14" s="6">
        <f t="shared" si="0"/>
        <v>2007</v>
      </c>
      <c r="R14" s="6">
        <f t="shared" si="0"/>
        <v>2008</v>
      </c>
      <c r="S14" s="7">
        <f t="shared" si="0"/>
        <v>2009</v>
      </c>
    </row>
    <row r="15" spans="1:31" x14ac:dyDescent="0.2">
      <c r="J15" s="137">
        <v>1</v>
      </c>
      <c r="K15" s="137">
        <v>2</v>
      </c>
      <c r="L15" s="137">
        <v>3</v>
      </c>
      <c r="M15" s="137">
        <v>4</v>
      </c>
      <c r="N15" s="137">
        <v>5</v>
      </c>
      <c r="O15" s="137">
        <v>6</v>
      </c>
      <c r="P15" s="137">
        <v>7</v>
      </c>
      <c r="Q15" s="137">
        <v>8</v>
      </c>
      <c r="R15" s="137">
        <v>9</v>
      </c>
      <c r="S15" s="137">
        <v>10</v>
      </c>
    </row>
    <row r="16" spans="1:31" x14ac:dyDescent="0.2">
      <c r="B16" s="59" t="str">
        <f>Book_Depreciation!B16</f>
        <v>Category 1</v>
      </c>
      <c r="D16" s="54">
        <f>Book_Depreciation!D16</f>
        <v>0</v>
      </c>
      <c r="F16" s="59">
        <f>Book_Depreciation!F16</f>
        <v>0</v>
      </c>
      <c r="H16" s="54">
        <v>0</v>
      </c>
      <c r="J16" s="55">
        <f>IF(J$14-$J$14&lt;$F16,IF($F$8=0,SLN($D16,$H16,$F16),SYD($D16,$H16,$F16,J$15)),0)</f>
        <v>0</v>
      </c>
      <c r="K16" s="55">
        <f t="shared" ref="K16:S20" si="1">IF(K$14-$J$14&lt;$F16,IF($F$8=0,SLN($D16,$H16,$F16),SYD($D16,$H16,$F16,K$15)),0)</f>
        <v>0</v>
      </c>
      <c r="L16" s="55">
        <f t="shared" si="1"/>
        <v>0</v>
      </c>
      <c r="M16" s="55">
        <f t="shared" si="1"/>
        <v>0</v>
      </c>
      <c r="N16" s="55">
        <f t="shared" si="1"/>
        <v>0</v>
      </c>
      <c r="O16" s="55">
        <f t="shared" si="1"/>
        <v>0</v>
      </c>
      <c r="P16" s="55">
        <f t="shared" si="1"/>
        <v>0</v>
      </c>
      <c r="Q16" s="55">
        <f t="shared" si="1"/>
        <v>0</v>
      </c>
      <c r="R16" s="55">
        <f t="shared" si="1"/>
        <v>0</v>
      </c>
      <c r="S16" s="55">
        <f t="shared" si="1"/>
        <v>0</v>
      </c>
    </row>
    <row r="17" spans="1:19" x14ac:dyDescent="0.2">
      <c r="B17" s="59" t="str">
        <f>Book_Depreciation!B17</f>
        <v>Category 2</v>
      </c>
      <c r="D17" s="56">
        <f>Book_Depreciation!D17</f>
        <v>0</v>
      </c>
      <c r="F17" s="59">
        <f>Book_Depreciation!F17</f>
        <v>0</v>
      </c>
      <c r="H17" s="56">
        <v>0</v>
      </c>
      <c r="J17" s="57">
        <f>IF(J$14-$J$14&lt;$F17,IF($F$8=0,SLN($D17,$H17,$F17),SYD($D17,$H17,$F17,J$15)),0)</f>
        <v>0</v>
      </c>
      <c r="K17" s="57">
        <f t="shared" si="1"/>
        <v>0</v>
      </c>
      <c r="L17" s="57">
        <f t="shared" si="1"/>
        <v>0</v>
      </c>
      <c r="M17" s="57">
        <f t="shared" si="1"/>
        <v>0</v>
      </c>
      <c r="N17" s="57">
        <f t="shared" si="1"/>
        <v>0</v>
      </c>
      <c r="O17" s="57">
        <f t="shared" si="1"/>
        <v>0</v>
      </c>
      <c r="P17" s="57">
        <f t="shared" si="1"/>
        <v>0</v>
      </c>
      <c r="Q17" s="57">
        <f t="shared" si="1"/>
        <v>0</v>
      </c>
      <c r="R17" s="57">
        <f t="shared" si="1"/>
        <v>0</v>
      </c>
      <c r="S17" s="57">
        <f t="shared" si="1"/>
        <v>0</v>
      </c>
    </row>
    <row r="18" spans="1:19" x14ac:dyDescent="0.2">
      <c r="B18" s="59" t="str">
        <f>Book_Depreciation!B18</f>
        <v>Category 3</v>
      </c>
      <c r="D18" s="56">
        <f>Book_Depreciation!D18</f>
        <v>0</v>
      </c>
      <c r="F18" s="59">
        <f>Book_Depreciation!F18</f>
        <v>0</v>
      </c>
      <c r="H18" s="56">
        <v>0</v>
      </c>
      <c r="J18" s="57">
        <f>IF(J$14-$J$14&lt;$F18,IF($F$8=0,SLN($D18,$H18,$F18),SYD($D18,$H18,$F18,J$15)),0)</f>
        <v>0</v>
      </c>
      <c r="K18" s="57">
        <f t="shared" si="1"/>
        <v>0</v>
      </c>
      <c r="L18" s="57">
        <f t="shared" si="1"/>
        <v>0</v>
      </c>
      <c r="M18" s="57">
        <f t="shared" si="1"/>
        <v>0</v>
      </c>
      <c r="N18" s="57">
        <f t="shared" si="1"/>
        <v>0</v>
      </c>
      <c r="O18" s="57">
        <f t="shared" si="1"/>
        <v>0</v>
      </c>
      <c r="P18" s="57">
        <f t="shared" si="1"/>
        <v>0</v>
      </c>
      <c r="Q18" s="57">
        <f t="shared" si="1"/>
        <v>0</v>
      </c>
      <c r="R18" s="57">
        <f t="shared" si="1"/>
        <v>0</v>
      </c>
      <c r="S18" s="57">
        <f t="shared" si="1"/>
        <v>0</v>
      </c>
    </row>
    <row r="19" spans="1:19" x14ac:dyDescent="0.2">
      <c r="B19" s="59" t="str">
        <f>Book_Depreciation!B19</f>
        <v>Category 4</v>
      </c>
      <c r="D19" s="56">
        <f>Book_Depreciation!D19</f>
        <v>0</v>
      </c>
      <c r="F19" s="59">
        <f>Book_Depreciation!F19</f>
        <v>0</v>
      </c>
      <c r="H19" s="56">
        <v>0</v>
      </c>
      <c r="J19" s="57">
        <f>IF(J$14-$J$14&lt;$F19,IF($F$8=0,SLN($D19,$H19,$F19),SYD($D19,$H19,$F19,J$15)),0)</f>
        <v>0</v>
      </c>
      <c r="K19" s="57">
        <f t="shared" si="1"/>
        <v>0</v>
      </c>
      <c r="L19" s="57">
        <f t="shared" si="1"/>
        <v>0</v>
      </c>
      <c r="M19" s="57">
        <f t="shared" si="1"/>
        <v>0</v>
      </c>
      <c r="N19" s="57">
        <f t="shared" si="1"/>
        <v>0</v>
      </c>
      <c r="O19" s="57">
        <f t="shared" si="1"/>
        <v>0</v>
      </c>
      <c r="P19" s="57">
        <f t="shared" si="1"/>
        <v>0</v>
      </c>
      <c r="Q19" s="57">
        <f t="shared" si="1"/>
        <v>0</v>
      </c>
      <c r="R19" s="57">
        <f t="shared" si="1"/>
        <v>0</v>
      </c>
      <c r="S19" s="57">
        <f t="shared" si="1"/>
        <v>0</v>
      </c>
    </row>
    <row r="20" spans="1:19" x14ac:dyDescent="0.2">
      <c r="B20" s="59" t="str">
        <f>Book_Depreciation!B20</f>
        <v>Category 5</v>
      </c>
      <c r="D20" s="34">
        <f>Book_Depreciation!D20</f>
        <v>0</v>
      </c>
      <c r="F20" s="59">
        <v>0</v>
      </c>
      <c r="H20" s="25">
        <v>0</v>
      </c>
      <c r="J20" s="58">
        <f>IF(J$14-$J$14&lt;$F20,IF($F$8=0,SLN($D20,$H20,$F20),SYD($D20,$H20,$F20,J$15)),0)</f>
        <v>0</v>
      </c>
      <c r="K20" s="58">
        <f t="shared" si="1"/>
        <v>0</v>
      </c>
      <c r="L20" s="58">
        <f t="shared" si="1"/>
        <v>0</v>
      </c>
      <c r="M20" s="58">
        <f t="shared" si="1"/>
        <v>0</v>
      </c>
      <c r="N20" s="58">
        <f t="shared" si="1"/>
        <v>0</v>
      </c>
      <c r="O20" s="58">
        <f t="shared" si="1"/>
        <v>0</v>
      </c>
      <c r="P20" s="58">
        <f t="shared" si="1"/>
        <v>0</v>
      </c>
      <c r="Q20" s="58">
        <f t="shared" si="1"/>
        <v>0</v>
      </c>
      <c r="R20" s="58">
        <f t="shared" si="1"/>
        <v>0</v>
      </c>
      <c r="S20" s="58">
        <f t="shared" si="1"/>
        <v>0</v>
      </c>
    </row>
    <row r="22" spans="1:19" ht="15.75" x14ac:dyDescent="0.25">
      <c r="B22" s="17" t="s">
        <v>201</v>
      </c>
      <c r="D22" s="60">
        <f>SUM(D16:D20)</f>
        <v>0</v>
      </c>
      <c r="J22" s="60">
        <f t="shared" ref="J22:S22" si="2">SUM(J16:J20)</f>
        <v>0</v>
      </c>
      <c r="K22" s="60">
        <f t="shared" si="2"/>
        <v>0</v>
      </c>
      <c r="L22" s="60">
        <f t="shared" si="2"/>
        <v>0</v>
      </c>
      <c r="M22" s="60">
        <f t="shared" si="2"/>
        <v>0</v>
      </c>
      <c r="N22" s="60">
        <f t="shared" si="2"/>
        <v>0</v>
      </c>
      <c r="O22" s="60">
        <f t="shared" si="2"/>
        <v>0</v>
      </c>
      <c r="P22" s="60">
        <f t="shared" si="2"/>
        <v>0</v>
      </c>
      <c r="Q22" s="60">
        <f t="shared" si="2"/>
        <v>0</v>
      </c>
      <c r="R22" s="60">
        <f t="shared" si="2"/>
        <v>0</v>
      </c>
      <c r="S22" s="60">
        <f t="shared" si="2"/>
        <v>0</v>
      </c>
    </row>
    <row r="23" spans="1:19" ht="6.75" customHeight="1" x14ac:dyDescent="0.2"/>
    <row r="24" spans="1:19" ht="15.75" x14ac:dyDescent="0.25">
      <c r="A24" s="4" t="s">
        <v>137</v>
      </c>
    </row>
    <row r="25" spans="1:19" ht="14.25" customHeight="1" x14ac:dyDescent="0.25">
      <c r="F25" s="2" t="s">
        <v>206</v>
      </c>
      <c r="H25" s="4"/>
      <c r="J25" s="343" t="s">
        <v>68</v>
      </c>
      <c r="K25" s="343"/>
      <c r="L25" s="343"/>
      <c r="M25" s="343"/>
      <c r="N25" s="343"/>
      <c r="O25" s="343"/>
      <c r="P25" s="343"/>
      <c r="Q25" s="343"/>
      <c r="R25" s="343"/>
      <c r="S25" s="343"/>
    </row>
    <row r="26" spans="1:19" ht="16.5" thickBot="1" x14ac:dyDescent="0.3">
      <c r="A26" s="1" t="s">
        <v>204</v>
      </c>
      <c r="D26" s="42">
        <v>10</v>
      </c>
      <c r="F26" s="136" t="s">
        <v>207</v>
      </c>
      <c r="H26" s="136" t="s">
        <v>205</v>
      </c>
      <c r="J26" s="5">
        <f>J14</f>
        <v>2000</v>
      </c>
      <c r="K26" s="6">
        <f t="shared" ref="K26:S26" si="3">K14</f>
        <v>2001</v>
      </c>
      <c r="L26" s="6">
        <f t="shared" si="3"/>
        <v>2002</v>
      </c>
      <c r="M26" s="6">
        <f t="shared" si="3"/>
        <v>2003</v>
      </c>
      <c r="N26" s="6">
        <f t="shared" si="3"/>
        <v>2004</v>
      </c>
      <c r="O26" s="6">
        <f t="shared" si="3"/>
        <v>2005</v>
      </c>
      <c r="P26" s="6">
        <f t="shared" si="3"/>
        <v>2006</v>
      </c>
      <c r="Q26" s="6">
        <f t="shared" si="3"/>
        <v>2007</v>
      </c>
      <c r="R26" s="6">
        <f t="shared" si="3"/>
        <v>2008</v>
      </c>
      <c r="S26" s="7">
        <f t="shared" si="3"/>
        <v>2009</v>
      </c>
    </row>
    <row r="28" spans="1:19" x14ac:dyDescent="0.2">
      <c r="F28" s="54">
        <f>Book_Depreciation!F28</f>
        <v>0</v>
      </c>
      <c r="H28" s="138">
        <f t="array" ref="H28:H37">TRANSPOSE(J26:S26)</f>
        <v>2000</v>
      </c>
      <c r="J28" s="55">
        <f>IF((J$26-$J$26+1)&gt;$D$26,0,$F$28/$D$26)</f>
        <v>0</v>
      </c>
      <c r="K28" s="55">
        <f t="shared" ref="K28:S28" si="4">IF((K$26-$J$26+1)&gt;$D$26,0,$F$28/$D$26)</f>
        <v>0</v>
      </c>
      <c r="L28" s="55">
        <f t="shared" si="4"/>
        <v>0</v>
      </c>
      <c r="M28" s="55">
        <f t="shared" si="4"/>
        <v>0</v>
      </c>
      <c r="N28" s="55">
        <f t="shared" si="4"/>
        <v>0</v>
      </c>
      <c r="O28" s="55">
        <f t="shared" si="4"/>
        <v>0</v>
      </c>
      <c r="P28" s="55">
        <f t="shared" si="4"/>
        <v>0</v>
      </c>
      <c r="Q28" s="55">
        <f t="shared" si="4"/>
        <v>0</v>
      </c>
      <c r="R28" s="55">
        <f t="shared" si="4"/>
        <v>0</v>
      </c>
      <c r="S28" s="55">
        <f t="shared" si="4"/>
        <v>0</v>
      </c>
    </row>
    <row r="29" spans="1:19" x14ac:dyDescent="0.2">
      <c r="F29" s="56">
        <f>Book_Depreciation!F29</f>
        <v>0</v>
      </c>
      <c r="H29" s="138">
        <v>2001</v>
      </c>
      <c r="K29" s="57">
        <f>IF((K$26-$K$26+1)&gt;$D$26,0,$F$29/$D$26)</f>
        <v>0</v>
      </c>
      <c r="L29" s="57">
        <f t="shared" ref="L29:S29" si="5">IF((L$26-$K$26+1)&gt;$D$26,0,$F$29/$D$26)</f>
        <v>0</v>
      </c>
      <c r="M29" s="57">
        <f t="shared" si="5"/>
        <v>0</v>
      </c>
      <c r="N29" s="57">
        <f t="shared" si="5"/>
        <v>0</v>
      </c>
      <c r="O29" s="57">
        <f t="shared" si="5"/>
        <v>0</v>
      </c>
      <c r="P29" s="57">
        <f t="shared" si="5"/>
        <v>0</v>
      </c>
      <c r="Q29" s="57">
        <f t="shared" si="5"/>
        <v>0</v>
      </c>
      <c r="R29" s="57">
        <f t="shared" si="5"/>
        <v>0</v>
      </c>
      <c r="S29" s="57">
        <f t="shared" si="5"/>
        <v>0</v>
      </c>
    </row>
    <row r="30" spans="1:19" x14ac:dyDescent="0.2">
      <c r="F30" s="56">
        <f>Book_Depreciation!F30</f>
        <v>0</v>
      </c>
      <c r="H30" s="138">
        <v>2002</v>
      </c>
      <c r="K30" s="57"/>
      <c r="L30" s="57">
        <f>IF((L$26-$L$26+1)&gt;$D$26,0,$F$30/$D$26)</f>
        <v>0</v>
      </c>
      <c r="M30" s="57">
        <f t="shared" ref="M30:S30" si="6">IF((M$26-$L$26+1)&gt;$D$26,0,$F$30/$D$26)</f>
        <v>0</v>
      </c>
      <c r="N30" s="57">
        <f t="shared" si="6"/>
        <v>0</v>
      </c>
      <c r="O30" s="57">
        <f t="shared" si="6"/>
        <v>0</v>
      </c>
      <c r="P30" s="57">
        <f t="shared" si="6"/>
        <v>0</v>
      </c>
      <c r="Q30" s="57">
        <f t="shared" si="6"/>
        <v>0</v>
      </c>
      <c r="R30" s="57">
        <f t="shared" si="6"/>
        <v>0</v>
      </c>
      <c r="S30" s="57">
        <f t="shared" si="6"/>
        <v>0</v>
      </c>
    </row>
    <row r="31" spans="1:19" x14ac:dyDescent="0.2">
      <c r="F31" s="56">
        <f>Book_Depreciation!F31</f>
        <v>0</v>
      </c>
      <c r="H31" s="138">
        <v>2003</v>
      </c>
      <c r="K31" s="57"/>
      <c r="L31" s="57"/>
      <c r="M31" s="57">
        <f>IF((M$26-$M$26+1)&gt;$D$26,0,$F$31/$D$26)</f>
        <v>0</v>
      </c>
      <c r="N31" s="57">
        <f t="shared" ref="N31:S31" si="7">IF((N$26-$M$26+1)&gt;$D$26,0,$F$31/$D$26)</f>
        <v>0</v>
      </c>
      <c r="O31" s="57">
        <f t="shared" si="7"/>
        <v>0</v>
      </c>
      <c r="P31" s="57">
        <f t="shared" si="7"/>
        <v>0</v>
      </c>
      <c r="Q31" s="57">
        <f t="shared" si="7"/>
        <v>0</v>
      </c>
      <c r="R31" s="57">
        <f t="shared" si="7"/>
        <v>0</v>
      </c>
      <c r="S31" s="57">
        <f t="shared" si="7"/>
        <v>0</v>
      </c>
    </row>
    <row r="32" spans="1:19" x14ac:dyDescent="0.2">
      <c r="F32" s="56">
        <f>Book_Depreciation!F32</f>
        <v>0</v>
      </c>
      <c r="H32" s="138">
        <v>2004</v>
      </c>
      <c r="K32" s="57"/>
      <c r="L32" s="57"/>
      <c r="M32" s="57"/>
      <c r="N32" s="57">
        <f t="shared" ref="N32:S32" si="8">IF((N$26-$N$26+1)&gt;$D$26,0,$F$32/$D$26)</f>
        <v>0</v>
      </c>
      <c r="O32" s="57">
        <f t="shared" si="8"/>
        <v>0</v>
      </c>
      <c r="P32" s="57">
        <f t="shared" si="8"/>
        <v>0</v>
      </c>
      <c r="Q32" s="57">
        <f t="shared" si="8"/>
        <v>0</v>
      </c>
      <c r="R32" s="57">
        <f t="shared" si="8"/>
        <v>0</v>
      </c>
      <c r="S32" s="57">
        <f t="shared" si="8"/>
        <v>0</v>
      </c>
    </row>
    <row r="33" spans="1:19" x14ac:dyDescent="0.2">
      <c r="F33" s="56">
        <f>Book_Depreciation!F33</f>
        <v>0</v>
      </c>
      <c r="H33" s="138">
        <v>2005</v>
      </c>
      <c r="K33" s="57"/>
      <c r="L33" s="57"/>
      <c r="M33" s="57"/>
      <c r="N33" s="57"/>
      <c r="O33" s="57">
        <f>IF((O$26-$O$26+1)&gt;$D$26,0,$F$33/$D$26)</f>
        <v>0</v>
      </c>
      <c r="P33" s="57">
        <f>IF((P$26-$O$26+1)&gt;$D$26,0,$F$33/$D$26)</f>
        <v>0</v>
      </c>
      <c r="Q33" s="57">
        <f>IF((Q$26-$O$26+1)&gt;$D$26,0,$F$33/$D$26)</f>
        <v>0</v>
      </c>
      <c r="R33" s="57">
        <f>IF((R$26-$O$26+1)&gt;$D$26,0,$F$33/$D$26)</f>
        <v>0</v>
      </c>
      <c r="S33" s="57">
        <f>IF((S$26-$O$26+1)&gt;$D$26,0,$F$33/$D$26)</f>
        <v>0</v>
      </c>
    </row>
    <row r="34" spans="1:19" x14ac:dyDescent="0.2">
      <c r="F34" s="56">
        <f>Book_Depreciation!F34</f>
        <v>0</v>
      </c>
      <c r="H34" s="138">
        <v>2006</v>
      </c>
      <c r="K34" s="57"/>
      <c r="L34" s="57"/>
      <c r="M34" s="57"/>
      <c r="N34" s="57"/>
      <c r="O34" s="57"/>
      <c r="P34" s="57">
        <f>IF((P$26-$P$26+1)&gt;$D$26,0,$F$34/$D$26)</f>
        <v>0</v>
      </c>
      <c r="Q34" s="57">
        <f>IF((Q$26-$P$26+1)&gt;$D$26,0,$F$34/$D$26)</f>
        <v>0</v>
      </c>
      <c r="R34" s="57">
        <f>IF((R$26-$P$26+1)&gt;$D$26,0,$F$34/$D$26)</f>
        <v>0</v>
      </c>
      <c r="S34" s="57">
        <f>IF((S$26-$P$26+1)&gt;$D$26,0,$F$34/$D$26)</f>
        <v>0</v>
      </c>
    </row>
    <row r="35" spans="1:19" x14ac:dyDescent="0.2">
      <c r="F35" s="56">
        <f>Book_Depreciation!F35</f>
        <v>0</v>
      </c>
      <c r="H35" s="138">
        <v>2007</v>
      </c>
      <c r="K35" s="57"/>
      <c r="L35" s="57"/>
      <c r="M35" s="57"/>
      <c r="N35" s="57"/>
      <c r="O35" s="57"/>
      <c r="P35" s="57"/>
      <c r="Q35" s="57">
        <f>IF((Q$26-$Q$26+1)&gt;$D$26,0,$F$35/$D$26)</f>
        <v>0</v>
      </c>
      <c r="R35" s="57">
        <f>IF((R$26-$Q$26+1)&gt;$D$26,0,$F$35/$D$26)</f>
        <v>0</v>
      </c>
      <c r="S35" s="57">
        <f>IF((S$26-$Q$26+1)&gt;$D$26,0,$F$35/$D$26)</f>
        <v>0</v>
      </c>
    </row>
    <row r="36" spans="1:19" x14ac:dyDescent="0.2">
      <c r="F36" s="56">
        <f>Book_Depreciation!F36</f>
        <v>0</v>
      </c>
      <c r="H36" s="138">
        <v>2008</v>
      </c>
      <c r="K36" s="57"/>
      <c r="L36" s="57"/>
      <c r="M36" s="57"/>
      <c r="N36" s="57"/>
      <c r="O36" s="57"/>
      <c r="P36" s="57"/>
      <c r="Q36" s="57"/>
      <c r="R36" s="57">
        <f>IF((R$26-$R$26+1)&gt;$D$26,0,$F$36/$D$26)</f>
        <v>0</v>
      </c>
      <c r="S36" s="57">
        <f>IF((S$26-$R$26+1)&gt;$D$26,0,$F$36/$D$26)</f>
        <v>0</v>
      </c>
    </row>
    <row r="37" spans="1:19" x14ac:dyDescent="0.2">
      <c r="F37" s="34">
        <f>Book_Depreciation!F37</f>
        <v>0</v>
      </c>
      <c r="H37" s="138">
        <v>2009</v>
      </c>
      <c r="J37" s="30"/>
      <c r="K37" s="58"/>
      <c r="L37" s="58"/>
      <c r="M37" s="58"/>
      <c r="N37" s="58"/>
      <c r="O37" s="58"/>
      <c r="P37" s="58"/>
      <c r="Q37" s="58"/>
      <c r="R37" s="58"/>
      <c r="S37" s="58">
        <f>IF((S$26-$S$26+1)&gt;$D$26,0,$F$37/$D$26)</f>
        <v>0</v>
      </c>
    </row>
    <row r="39" spans="1:19" ht="15.75" x14ac:dyDescent="0.25">
      <c r="B39" s="17" t="s">
        <v>201</v>
      </c>
      <c r="F39" s="60">
        <f>SUM(F28:F37)</f>
        <v>0</v>
      </c>
      <c r="J39" s="60">
        <f>SUM(J28:J37)</f>
        <v>0</v>
      </c>
      <c r="K39" s="60">
        <f t="shared" ref="K39:S39" si="9">SUM(K28:K37)</f>
        <v>0</v>
      </c>
      <c r="L39" s="60">
        <f t="shared" si="9"/>
        <v>0</v>
      </c>
      <c r="M39" s="60">
        <f t="shared" si="9"/>
        <v>0</v>
      </c>
      <c r="N39" s="60">
        <f t="shared" si="9"/>
        <v>0</v>
      </c>
      <c r="O39" s="60">
        <f t="shared" si="9"/>
        <v>0</v>
      </c>
      <c r="P39" s="60">
        <f t="shared" si="9"/>
        <v>0</v>
      </c>
      <c r="Q39" s="60">
        <f t="shared" si="9"/>
        <v>0</v>
      </c>
      <c r="R39" s="60">
        <f t="shared" si="9"/>
        <v>0</v>
      </c>
      <c r="S39" s="60">
        <f t="shared" si="9"/>
        <v>0</v>
      </c>
    </row>
    <row r="41" spans="1:19" ht="15.75" x14ac:dyDescent="0.25">
      <c r="A41" s="139" t="str">
        <f>UPPER("Total Tax Depreciation")</f>
        <v>TOTAL TAX DEPRECIATION</v>
      </c>
      <c r="B41" s="140"/>
      <c r="C41" s="140"/>
      <c r="D41" s="140"/>
      <c r="E41" s="140"/>
      <c r="F41" s="140"/>
      <c r="G41" s="140"/>
      <c r="H41" s="140"/>
      <c r="I41" s="140"/>
      <c r="J41" s="141">
        <f>J22+J39</f>
        <v>0</v>
      </c>
      <c r="K41" s="141">
        <f t="shared" ref="K41:S41" si="10">K22+K39</f>
        <v>0</v>
      </c>
      <c r="L41" s="141">
        <f t="shared" si="10"/>
        <v>0</v>
      </c>
      <c r="M41" s="141">
        <f t="shared" si="10"/>
        <v>0</v>
      </c>
      <c r="N41" s="141">
        <f t="shared" si="10"/>
        <v>0</v>
      </c>
      <c r="O41" s="141">
        <f t="shared" si="10"/>
        <v>0</v>
      </c>
      <c r="P41" s="141">
        <f t="shared" si="10"/>
        <v>0</v>
      </c>
      <c r="Q41" s="141">
        <f t="shared" si="10"/>
        <v>0</v>
      </c>
      <c r="R41" s="141">
        <f t="shared" si="10"/>
        <v>0</v>
      </c>
      <c r="S41" s="141">
        <f t="shared" si="10"/>
        <v>0</v>
      </c>
    </row>
  </sheetData>
  <mergeCells count="13">
    <mergeCell ref="AC8:AE8"/>
    <mergeCell ref="J13:S13"/>
    <mergeCell ref="AB6:AE6"/>
    <mergeCell ref="F7:H7"/>
    <mergeCell ref="W7:Z7"/>
    <mergeCell ref="AB7:AE7"/>
    <mergeCell ref="A2:T2"/>
    <mergeCell ref="A3:T3"/>
    <mergeCell ref="F6:H6"/>
    <mergeCell ref="W6:Z6"/>
    <mergeCell ref="J25:S25"/>
    <mergeCell ref="G8:H8"/>
    <mergeCell ref="X8:Z8"/>
  </mergeCells>
  <phoneticPr fontId="0" type="noConversion"/>
  <printOptions horizontalCentered="1" verticalCentered="1"/>
  <pageMargins left="0.75" right="0.75" top="1" bottom="1" header="0.5" footer="0.5"/>
  <pageSetup scale="68" orientation="landscape" horizontalDpi="300" verticalDpi="300" r:id="rId1"/>
  <headerFooter alignWithMargins="0">
    <oddHeader>&amp;L&amp;D&amp;T&amp;C&amp;P&amp;N&amp;R&amp;F&amp;A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Z53"/>
  <sheetViews>
    <sheetView zoomScale="70" workbookViewId="0"/>
  </sheetViews>
  <sheetFormatPr defaultRowHeight="15" x14ac:dyDescent="0.2"/>
  <cols>
    <col min="1" max="1" width="13.7109375" style="1" customWidth="1"/>
    <col min="2" max="2" width="20.42578125" style="1" customWidth="1"/>
    <col min="3" max="3" width="7.28515625" style="1" customWidth="1"/>
    <col min="4" max="8" width="9.140625" style="1"/>
    <col min="9" max="9" width="3.5703125" style="1" customWidth="1"/>
    <col min="10" max="10" width="9.85546875" style="1" customWidth="1"/>
    <col min="11" max="11" width="9.28515625" style="1" customWidth="1"/>
    <col min="12" max="20" width="9.140625" style="1"/>
    <col min="21" max="21" width="8.85546875" style="1" customWidth="1"/>
    <col min="22" max="16384" width="9.140625" style="1"/>
  </cols>
  <sheetData>
    <row r="1" spans="1:26" ht="20.25" customHeight="1" x14ac:dyDescent="0.25">
      <c r="A1" s="257" t="str">
        <f ca="1">Performance_Assumptions!A1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6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233"/>
    </row>
    <row r="3" spans="1:26" s="231" customFormat="1" ht="20.25" x14ac:dyDescent="0.3">
      <c r="A3" s="342" t="s">
        <v>324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232"/>
    </row>
    <row r="4" spans="1:26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16"/>
    </row>
    <row r="5" spans="1:26" ht="15.75" x14ac:dyDescent="0.25">
      <c r="A5" s="4" t="str">
        <f ca="1">"Performance Case: "&amp;Sources_Uses!M44</f>
        <v>Performance Case: Base</v>
      </c>
    </row>
    <row r="6" spans="1:26" x14ac:dyDescent="0.2">
      <c r="A6" s="1" t="str">
        <f>Sources_Uses!B7</f>
        <v>(FYE January; $ in millions)</v>
      </c>
    </row>
    <row r="7" spans="1:26" x14ac:dyDescent="0.2">
      <c r="D7" s="343" t="s">
        <v>62</v>
      </c>
      <c r="E7" s="343"/>
      <c r="F7" s="343"/>
      <c r="G7" s="343"/>
      <c r="H7" s="343"/>
      <c r="J7" s="343" t="s">
        <v>68</v>
      </c>
      <c r="K7" s="343"/>
      <c r="L7" s="343"/>
      <c r="M7" s="343"/>
      <c r="N7" s="343"/>
      <c r="O7" s="343"/>
      <c r="P7" s="343"/>
      <c r="Q7" s="343"/>
      <c r="R7" s="343"/>
      <c r="S7" s="343"/>
      <c r="T7" s="343"/>
    </row>
    <row r="8" spans="1:26" ht="15.75" x14ac:dyDescent="0.25">
      <c r="D8" s="5">
        <f>Balance_Sheet!D8</f>
        <v>1995</v>
      </c>
      <c r="E8" s="6">
        <f>D8+1</f>
        <v>1996</v>
      </c>
      <c r="F8" s="6">
        <f>E8+1</f>
        <v>1997</v>
      </c>
      <c r="G8" s="6">
        <f>F8+1</f>
        <v>1998</v>
      </c>
      <c r="H8" s="7">
        <f>G8+1</f>
        <v>1999</v>
      </c>
      <c r="I8" s="8"/>
      <c r="J8" s="5" t="str">
        <f>Balance_Sheet!K8</f>
        <v>Closing</v>
      </c>
      <c r="K8" s="6">
        <f>H8+1</f>
        <v>2000</v>
      </c>
      <c r="L8" s="6">
        <f>K8+1</f>
        <v>2001</v>
      </c>
      <c r="M8" s="6">
        <f t="shared" ref="M8:T8" si="0">L8+1</f>
        <v>2002</v>
      </c>
      <c r="N8" s="6">
        <f t="shared" si="0"/>
        <v>2003</v>
      </c>
      <c r="O8" s="6">
        <f t="shared" si="0"/>
        <v>2004</v>
      </c>
      <c r="P8" s="6">
        <f t="shared" si="0"/>
        <v>2005</v>
      </c>
      <c r="Q8" s="6">
        <f t="shared" si="0"/>
        <v>2006</v>
      </c>
      <c r="R8" s="6">
        <f t="shared" si="0"/>
        <v>2007</v>
      </c>
      <c r="S8" s="6">
        <f t="shared" si="0"/>
        <v>2008</v>
      </c>
      <c r="T8" s="7">
        <f t="shared" si="0"/>
        <v>2009</v>
      </c>
    </row>
    <row r="10" spans="1:26" ht="15.75" x14ac:dyDescent="0.25">
      <c r="A10" s="12" t="s">
        <v>327</v>
      </c>
    </row>
    <row r="11" spans="1:26" x14ac:dyDescent="0.2">
      <c r="A11" s="1" t="s">
        <v>360</v>
      </c>
      <c r="D11" s="13">
        <f>IF(Balance_Sheet!D68&gt;0,Balance_Sheet!D68/(Balance_Sheet!D68+Balance_Sheet!D77),0)</f>
        <v>0</v>
      </c>
      <c r="E11" s="13">
        <f>IF(Balance_Sheet!E68&gt;0,Balance_Sheet!E68/(Balance_Sheet!E68+Balance_Sheet!E77),0)</f>
        <v>0</v>
      </c>
      <c r="F11" s="13">
        <f>IF(Balance_Sheet!F68&gt;0,Balance_Sheet!F68/(Balance_Sheet!F68+Balance_Sheet!F77),0)</f>
        <v>0</v>
      </c>
      <c r="G11" s="13">
        <f>IF(Balance_Sheet!G68&gt;0,Balance_Sheet!G68/(Balance_Sheet!G68+Balance_Sheet!G77),0)</f>
        <v>0</v>
      </c>
      <c r="H11" s="13">
        <f>IF(Balance_Sheet!H68&gt;0,Balance_Sheet!H68/(Balance_Sheet!H68+Balance_Sheet!H77),0)</f>
        <v>0</v>
      </c>
      <c r="J11" s="13">
        <f>IF(Capital_Structure!F21&gt;0,Capital_Structure!F23/Capital_Structure!F21,0)</f>
        <v>0</v>
      </c>
      <c r="K11" s="13">
        <f ca="1">IF(Capital_Structure!G21&gt;0,Capital_Structure!G23/Capital_Structure!G21,0)</f>
        <v>0</v>
      </c>
      <c r="L11" s="13">
        <f ca="1">IF(Capital_Structure!H21&gt;0,Capital_Structure!H23/Capital_Structure!H21,0)</f>
        <v>0</v>
      </c>
      <c r="M11" s="13">
        <f ca="1">IF(Capital_Structure!I21&gt;0,Capital_Structure!I23/Capital_Structure!I21,0)</f>
        <v>0</v>
      </c>
      <c r="N11" s="13">
        <f ca="1">IF(Capital_Structure!J21&gt;0,Capital_Structure!J23/Capital_Structure!J21,0)</f>
        <v>0</v>
      </c>
      <c r="O11" s="13">
        <f ca="1">IF(Capital_Structure!K21&gt;0,Capital_Structure!K23/Capital_Structure!K21,0)</f>
        <v>0</v>
      </c>
      <c r="P11" s="13">
        <f ca="1">IF(Capital_Structure!L21&gt;0,Capital_Structure!L23/Capital_Structure!L21,0)</f>
        <v>0</v>
      </c>
      <c r="Q11" s="13">
        <f ca="1">IF(Capital_Structure!M21&gt;0,Capital_Structure!M23/Capital_Structure!M21,0)</f>
        <v>0</v>
      </c>
      <c r="R11" s="13">
        <f ca="1">IF(Capital_Structure!N21&gt;0,Capital_Structure!N23/Capital_Structure!N21,0)</f>
        <v>0</v>
      </c>
      <c r="S11" s="13">
        <f ca="1">IF(Capital_Structure!O21&gt;0,Capital_Structure!O23/Capital_Structure!O21,0)</f>
        <v>0</v>
      </c>
      <c r="T11" s="13">
        <f ca="1">IF(Capital_Structure!P21&gt;0,Capital_Structure!P23/Capital_Structure!P21,0)</f>
        <v>0</v>
      </c>
    </row>
    <row r="12" spans="1:26" x14ac:dyDescent="0.2">
      <c r="A12" s="1" t="s">
        <v>325</v>
      </c>
      <c r="D12" s="13">
        <f>IF(Balance_Sheet!D77&gt;0,Balance_Sheet!D68/Balance_Sheet!D77,0)</f>
        <v>0</v>
      </c>
      <c r="E12" s="13">
        <f>IF(Balance_Sheet!E77&gt;0,Balance_Sheet!E68/Balance_Sheet!E77,0)</f>
        <v>0</v>
      </c>
      <c r="F12" s="13">
        <f>IF(Balance_Sheet!F77&gt;0,Balance_Sheet!F68/Balance_Sheet!F77,0)</f>
        <v>0</v>
      </c>
      <c r="G12" s="13">
        <f>IF(Balance_Sheet!G77&gt;0,Balance_Sheet!G68/Balance_Sheet!G77,0)</f>
        <v>0</v>
      </c>
      <c r="H12" s="13">
        <f>IF(Balance_Sheet!H77&gt;0,Balance_Sheet!H68/Balance_Sheet!H77,0)</f>
        <v>0</v>
      </c>
      <c r="J12" s="13">
        <f>IF(Capital_Structure!F25&gt;0,Capital_Structure!F23/Capital_Structure!F25,0)</f>
        <v>0</v>
      </c>
      <c r="K12" s="13">
        <f ca="1">IF(Capital_Structure!G25&gt;0,Capital_Structure!G23/Capital_Structure!G25,0)</f>
        <v>0</v>
      </c>
      <c r="L12" s="13">
        <f ca="1">IF(Capital_Structure!H25&gt;0,Capital_Structure!H23/Capital_Structure!H25,0)</f>
        <v>0</v>
      </c>
      <c r="M12" s="13">
        <f ca="1">IF(Capital_Structure!I25&gt;0,Capital_Structure!I23/Capital_Structure!I25,0)</f>
        <v>0</v>
      </c>
      <c r="N12" s="13">
        <f ca="1">IF(Capital_Structure!J25&gt;0,Capital_Structure!J23/Capital_Structure!J25,0)</f>
        <v>0</v>
      </c>
      <c r="O12" s="13">
        <f ca="1">IF(Capital_Structure!K25&gt;0,Capital_Structure!K23/Capital_Structure!K25,0)</f>
        <v>0</v>
      </c>
      <c r="P12" s="13">
        <f ca="1">IF(Capital_Structure!L25&gt;0,Capital_Structure!L23/Capital_Structure!L25,0)</f>
        <v>0</v>
      </c>
      <c r="Q12" s="13">
        <f ca="1">IF(Capital_Structure!M25&gt;0,Capital_Structure!M23/Capital_Structure!M25,0)</f>
        <v>0</v>
      </c>
      <c r="R12" s="13">
        <f ca="1">IF(Capital_Structure!N25&gt;0,Capital_Structure!N23/Capital_Structure!N25,0)</f>
        <v>0</v>
      </c>
      <c r="S12" s="13">
        <f ca="1">IF(Capital_Structure!O25&gt;0,Capital_Structure!O23/Capital_Structure!O25,0)</f>
        <v>0</v>
      </c>
      <c r="T12" s="13">
        <f ca="1">IF(Capital_Structure!P25&gt;0,Capital_Structure!P23/Capital_Structure!P25,0)</f>
        <v>0</v>
      </c>
    </row>
    <row r="13" spans="1:26" x14ac:dyDescent="0.2">
      <c r="A13" s="1" t="s">
        <v>326</v>
      </c>
      <c r="D13" s="13">
        <f>IF((Balance_Sheet!D78-Balance_Sheet!D29)&gt;0,Balance_Sheet!D68/(Balance_Sheet!D77-Balance_Sheet!D29),0)</f>
        <v>0</v>
      </c>
      <c r="E13" s="13">
        <f>IF((Balance_Sheet!E78-Balance_Sheet!E29)&gt;0,Balance_Sheet!E68/(Balance_Sheet!E77-Balance_Sheet!E29),0)</f>
        <v>0</v>
      </c>
      <c r="F13" s="13">
        <f>IF((Balance_Sheet!F78-Balance_Sheet!F29)&gt;0,Balance_Sheet!F68/(Balance_Sheet!F77-Balance_Sheet!F29),0)</f>
        <v>0</v>
      </c>
      <c r="G13" s="13">
        <f>IF((Balance_Sheet!G78-Balance_Sheet!G29)&gt;0,Balance_Sheet!G68/(Balance_Sheet!G77-Balance_Sheet!G29),0)</f>
        <v>0</v>
      </c>
      <c r="H13" s="13">
        <f>IF((Balance_Sheet!H78-Balance_Sheet!H29)&gt;0,Balance_Sheet!H68/(Balance_Sheet!H77-Balance_Sheet!H29),0)</f>
        <v>0</v>
      </c>
      <c r="J13" s="13">
        <f>IF((Capital_Structure!F25-Balance_Sheet!K29)&lt;=0,0,Capital_Structure!F23/(Capital_Structure!F25-Balance_Sheet!K29))</f>
        <v>0</v>
      </c>
      <c r="K13" s="13">
        <f ca="1">IF((Capital_Structure!G25-Balance_Sheet!L29)&lt;=0,0,Capital_Structure!G23/(Capital_Structure!G25-Balance_Sheet!L29))</f>
        <v>0</v>
      </c>
      <c r="L13" s="13">
        <f ca="1">IF((Capital_Structure!H25-Balance_Sheet!M29)&lt;=0,0,Capital_Structure!H23/(Capital_Structure!H25-Balance_Sheet!M29))</f>
        <v>0</v>
      </c>
      <c r="M13" s="13">
        <f ca="1">IF((Capital_Structure!I25-Balance_Sheet!N29)&lt;=0,0,Capital_Structure!I23/(Capital_Structure!I25-Balance_Sheet!N29))</f>
        <v>0</v>
      </c>
      <c r="N13" s="13">
        <f ca="1">IF((Capital_Structure!J25-Balance_Sheet!O29)&lt;=0,0,Capital_Structure!J23/(Capital_Structure!J25-Balance_Sheet!O29))</f>
        <v>0</v>
      </c>
      <c r="O13" s="13">
        <f ca="1">IF((Capital_Structure!K25-Balance_Sheet!P29)&lt;=0,0,Capital_Structure!K23/(Capital_Structure!K25-Balance_Sheet!P29))</f>
        <v>0</v>
      </c>
      <c r="P13" s="13">
        <f ca="1">IF((Capital_Structure!L25-Balance_Sheet!Q29)&lt;=0,0,Capital_Structure!L23/(Capital_Structure!L25-Balance_Sheet!Q29))</f>
        <v>0</v>
      </c>
      <c r="Q13" s="13">
        <f ca="1">IF((Capital_Structure!M25-Balance_Sheet!R29)&lt;=0,0,Capital_Structure!M23/(Capital_Structure!M25-Balance_Sheet!R29))</f>
        <v>0</v>
      </c>
      <c r="R13" s="13">
        <f ca="1">IF((Capital_Structure!N25-Balance_Sheet!S29)&lt;=0,0,Capital_Structure!N23/(Capital_Structure!N25-Balance_Sheet!S29))</f>
        <v>0</v>
      </c>
      <c r="S13" s="13">
        <f ca="1">IF((Capital_Structure!O25-Balance_Sheet!T29)&lt;=0,0,Capital_Structure!O23/(Capital_Structure!O25-Balance_Sheet!T29))</f>
        <v>0</v>
      </c>
      <c r="T13" s="13">
        <f ca="1">IF((Capital_Structure!P25-Balance_Sheet!U29)&lt;=0,0,Capital_Structure!P23/(Capital_Structure!P25-Balance_Sheet!U29))</f>
        <v>0</v>
      </c>
    </row>
    <row r="15" spans="1:26" ht="15.75" x14ac:dyDescent="0.25">
      <c r="A15" s="12" t="s">
        <v>328</v>
      </c>
      <c r="V15" s="149" t="s">
        <v>361</v>
      </c>
    </row>
    <row r="16" spans="1:26" ht="15.75" x14ac:dyDescent="0.25">
      <c r="A16" s="1" t="s">
        <v>329</v>
      </c>
      <c r="D16" s="190">
        <f>IF(Income_Statement!D27&lt;&gt;0,Balance_Sheet!D84/Income_Statement!D27,0)</f>
        <v>0</v>
      </c>
      <c r="E16" s="190">
        <f>IF(Income_Statement!E27&lt;&gt;0,Balance_Sheet!E84/Income_Statement!E27,0)</f>
        <v>0</v>
      </c>
      <c r="F16" s="190">
        <f>IF(Income_Statement!F27&lt;&gt;0,Balance_Sheet!F84/Income_Statement!F27,0)</f>
        <v>0</v>
      </c>
      <c r="G16" s="190">
        <f>IF(Income_Statement!G27&lt;&gt;0,Balance_Sheet!G84/Income_Statement!G27,0)</f>
        <v>0</v>
      </c>
      <c r="H16" s="190">
        <f>IF(Income_Statement!H27&lt;&gt;0,Balance_Sheet!H84/Income_Statement!H27,0)</f>
        <v>0</v>
      </c>
      <c r="J16" s="190"/>
      <c r="K16" s="190">
        <f ca="1">IF(Income_Statement!J27&lt;&gt;0,Balance_Sheet!L84/Income_Statement!J27,0)</f>
        <v>0</v>
      </c>
      <c r="L16" s="190">
        <f ca="1">IF(Income_Statement!K27&lt;&gt;0,Balance_Sheet!M84/Income_Statement!K27,0)</f>
        <v>0</v>
      </c>
      <c r="M16" s="190">
        <f ca="1">IF(Income_Statement!L27&lt;&gt;0,Balance_Sheet!N84/Income_Statement!L27,0)</f>
        <v>0</v>
      </c>
      <c r="N16" s="190">
        <f ca="1">IF(Income_Statement!M27&lt;&gt;0,Balance_Sheet!O84/Income_Statement!M27,0)</f>
        <v>0</v>
      </c>
      <c r="O16" s="190">
        <f ca="1">IF(Income_Statement!N27&lt;&gt;0,Balance_Sheet!P84/Income_Statement!N27,0)</f>
        <v>0</v>
      </c>
      <c r="P16" s="190">
        <f ca="1">IF(Income_Statement!O27&lt;&gt;0,Balance_Sheet!Q84/Income_Statement!O27,0)</f>
        <v>0</v>
      </c>
      <c r="Q16" s="190">
        <f ca="1">IF(Income_Statement!P27&lt;&gt;0,Balance_Sheet!R84/Income_Statement!P27,0)</f>
        <v>0</v>
      </c>
      <c r="R16" s="190">
        <f ca="1">IF(Income_Statement!Q27&lt;&gt;0,Balance_Sheet!S84/Income_Statement!Q27,0)</f>
        <v>0</v>
      </c>
      <c r="S16" s="190">
        <f ca="1">IF(Income_Statement!R27&lt;&gt;0,Balance_Sheet!T84/Income_Statement!R27,0)</f>
        <v>0</v>
      </c>
      <c r="T16" s="190">
        <f ca="1">IF(Income_Statement!S27&lt;&gt;0,Balance_Sheet!U84/Income_Statement!S27,0)</f>
        <v>0</v>
      </c>
      <c r="V16" s="5">
        <f>D8</f>
        <v>1995</v>
      </c>
      <c r="W16" s="6">
        <f>E8</f>
        <v>1996</v>
      </c>
      <c r="X16" s="6">
        <f>F8</f>
        <v>1997</v>
      </c>
      <c r="Y16" s="6">
        <f>G8</f>
        <v>1998</v>
      </c>
      <c r="Z16" s="7">
        <f>H8</f>
        <v>1999</v>
      </c>
    </row>
    <row r="17" spans="1:26" ht="15.75" x14ac:dyDescent="0.25">
      <c r="A17" s="1" t="s">
        <v>334</v>
      </c>
      <c r="D17" s="190">
        <f>IF(Income_Statement!D27&lt;&gt;0,Balance_Sheet!D84/Income_Statement!D27-V17,0)</f>
        <v>0</v>
      </c>
      <c r="E17" s="190">
        <f>IF(Income_Statement!E27&lt;&gt;0,Balance_Sheet!E84/Income_Statement!E27-W17,0)</f>
        <v>0</v>
      </c>
      <c r="F17" s="190">
        <f>IF(Income_Statement!F27&lt;&gt;0,Balance_Sheet!F84/Income_Statement!F27-X17,0)</f>
        <v>0</v>
      </c>
      <c r="G17" s="190">
        <f>IF(Income_Statement!G27&lt;&gt;0,Balance_Sheet!G84/Income_Statement!G27-Y17,0)</f>
        <v>0</v>
      </c>
      <c r="H17" s="190">
        <f>IF(Income_Statement!H27&lt;&gt;0,Balance_Sheet!H84/Income_Statement!H27-Z17,0)</f>
        <v>0</v>
      </c>
      <c r="J17" s="190"/>
      <c r="K17" s="190">
        <f ca="1">IF(Income_Statement!J27&lt;&gt;0,Balance_Sheet!L84/Income_Statement!J27-Cash_Flow!D44,0)</f>
        <v>0</v>
      </c>
      <c r="L17" s="190">
        <f ca="1">IF(Income_Statement!K27&lt;&gt;0,Balance_Sheet!M84/Income_Statement!K27-Cash_Flow!E44,0)</f>
        <v>0</v>
      </c>
      <c r="M17" s="190">
        <f ca="1">IF(Income_Statement!L27&lt;&gt;0,Balance_Sheet!N84/Income_Statement!L27-Cash_Flow!F44,0)</f>
        <v>0</v>
      </c>
      <c r="N17" s="190">
        <f ca="1">IF(Income_Statement!M27&lt;&gt;0,Balance_Sheet!O84/Income_Statement!M27-Cash_Flow!G44,0)</f>
        <v>0</v>
      </c>
      <c r="O17" s="190">
        <f ca="1">IF(Income_Statement!N27&lt;&gt;0,Balance_Sheet!P84/Income_Statement!N27-Cash_Flow!H44,0)</f>
        <v>0</v>
      </c>
      <c r="P17" s="190">
        <f ca="1">IF(Income_Statement!O27&lt;&gt;0,Balance_Sheet!Q84/Income_Statement!O27-Cash_Flow!I44,0)</f>
        <v>0</v>
      </c>
      <c r="Q17" s="190">
        <f ca="1">IF(Income_Statement!P27&lt;&gt;0,Balance_Sheet!R84/Income_Statement!P27-Cash_Flow!J44,0)</f>
        <v>0</v>
      </c>
      <c r="R17" s="190">
        <f ca="1">IF(Income_Statement!Q27&lt;&gt;0,Balance_Sheet!S84/Income_Statement!Q27-Cash_Flow!K44,0)</f>
        <v>0</v>
      </c>
      <c r="S17" s="190">
        <f ca="1">IF(Income_Statement!R27&lt;&gt;0,Balance_Sheet!T84/Income_Statement!R27-Cash_Flow!L44,0)</f>
        <v>0</v>
      </c>
      <c r="T17" s="190">
        <f ca="1">IF(Income_Statement!S27&lt;&gt;0,Balance_Sheet!U84/Income_Statement!S27-Cash_Flow!M44,0)</f>
        <v>0</v>
      </c>
      <c r="V17" s="42">
        <v>0</v>
      </c>
      <c r="W17" s="42">
        <v>0</v>
      </c>
      <c r="X17" s="42">
        <v>0</v>
      </c>
      <c r="Y17" s="42">
        <v>0</v>
      </c>
      <c r="Z17" s="42">
        <v>0</v>
      </c>
    </row>
    <row r="18" spans="1:26" x14ac:dyDescent="0.2">
      <c r="D18" s="190"/>
      <c r="E18" s="190"/>
      <c r="F18" s="190"/>
      <c r="G18" s="190"/>
      <c r="H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</row>
    <row r="19" spans="1:26" x14ac:dyDescent="0.2">
      <c r="A19" s="1" t="s">
        <v>43</v>
      </c>
      <c r="D19" s="190">
        <f>IF(Income_Statement!D27&lt;&gt;0,Balance_Sheet!D68/Income_Statement!D27,0)</f>
        <v>0</v>
      </c>
      <c r="E19" s="190">
        <f>IF(Income_Statement!E27&lt;&gt;0,Balance_Sheet!E68/Income_Statement!E27,0)</f>
        <v>0</v>
      </c>
      <c r="F19" s="190">
        <f>IF(Income_Statement!F27&lt;&gt;0,Balance_Sheet!F68/Income_Statement!F27,0)</f>
        <v>0</v>
      </c>
      <c r="G19" s="190">
        <f>IF(Income_Statement!G27&lt;&gt;0,Balance_Sheet!G68/Income_Statement!G27,0)</f>
        <v>0</v>
      </c>
      <c r="H19" s="190">
        <f>IF(Income_Statement!H27&lt;&gt;0,Balance_Sheet!H68/Income_Statement!H27,0)</f>
        <v>0</v>
      </c>
      <c r="J19" s="190"/>
      <c r="K19" s="190">
        <f ca="1">IF(Income_Statement!J27&lt;&gt;0,Balance_Sheet!L68/Income_Statement!J27,0)</f>
        <v>0</v>
      </c>
      <c r="L19" s="190">
        <f ca="1">IF(Income_Statement!K27&lt;&gt;0,Balance_Sheet!M68/Income_Statement!K27,0)</f>
        <v>0</v>
      </c>
      <c r="M19" s="190">
        <f ca="1">IF(Income_Statement!L27&lt;&gt;0,Balance_Sheet!N68/Income_Statement!L27,0)</f>
        <v>0</v>
      </c>
      <c r="N19" s="190">
        <f ca="1">IF(Income_Statement!M27&lt;&gt;0,Balance_Sheet!O68/Income_Statement!M27,0)</f>
        <v>0</v>
      </c>
      <c r="O19" s="190">
        <f ca="1">IF(Income_Statement!N27&lt;&gt;0,Balance_Sheet!P68/Income_Statement!N27,0)</f>
        <v>0</v>
      </c>
      <c r="P19" s="190">
        <f ca="1">IF(Income_Statement!O27&lt;&gt;0,Balance_Sheet!Q68/Income_Statement!O27,0)</f>
        <v>0</v>
      </c>
      <c r="Q19" s="190">
        <f ca="1">IF(Income_Statement!P27&lt;&gt;0,Balance_Sheet!R68/Income_Statement!P27,0)</f>
        <v>0</v>
      </c>
      <c r="R19" s="190">
        <f ca="1">IF(Income_Statement!Q27&lt;&gt;0,Balance_Sheet!S68/Income_Statement!Q27,0)</f>
        <v>0</v>
      </c>
      <c r="S19" s="190">
        <f ca="1">IF(Income_Statement!R27&lt;&gt;0,Balance_Sheet!T68/Income_Statement!R27,0)</f>
        <v>0</v>
      </c>
      <c r="T19" s="190">
        <f ca="1">IF(Income_Statement!S27&lt;&gt;0,Balance_Sheet!U68/Income_Statement!S27,0)</f>
        <v>0</v>
      </c>
    </row>
    <row r="20" spans="1:26" x14ac:dyDescent="0.2">
      <c r="A20" s="1" t="s">
        <v>335</v>
      </c>
      <c r="D20" s="190">
        <f>IF(Income_Statement!D27&lt;&gt;0,Balance_Sheet!D68/Income_Statement!D27-V17,0)</f>
        <v>0</v>
      </c>
      <c r="E20" s="190">
        <f>IF(Income_Statement!E27&lt;&gt;0,Balance_Sheet!E68/Income_Statement!E27-W17,0)</f>
        <v>0</v>
      </c>
      <c r="F20" s="190">
        <f>IF(Income_Statement!F27&lt;&gt;0,Balance_Sheet!F68/Income_Statement!F27-X17,0)</f>
        <v>0</v>
      </c>
      <c r="G20" s="190">
        <f>IF(Income_Statement!G27&lt;&gt;0,Balance_Sheet!G68/Income_Statement!G27-Y17,0)</f>
        <v>0</v>
      </c>
      <c r="H20" s="190">
        <f>IF(Income_Statement!H27&lt;&gt;0,Balance_Sheet!H68/Income_Statement!H27-Z17,0)</f>
        <v>0</v>
      </c>
      <c r="J20" s="190"/>
      <c r="K20" s="190">
        <f ca="1">IF(Income_Statement!J27&lt;&gt;0,Balance_Sheet!L68/Income_Statement!J27-Cash_Flow!D44,0)</f>
        <v>0</v>
      </c>
      <c r="L20" s="190">
        <f ca="1">IF(Income_Statement!K27&lt;&gt;0,Balance_Sheet!M68/Income_Statement!K27-Cash_Flow!E44,0)</f>
        <v>0</v>
      </c>
      <c r="M20" s="190">
        <f ca="1">IF(Income_Statement!L27&lt;&gt;0,Balance_Sheet!N68/Income_Statement!L27-Cash_Flow!F44,0)</f>
        <v>0</v>
      </c>
      <c r="N20" s="190">
        <f ca="1">IF(Income_Statement!M27&lt;&gt;0,Balance_Sheet!O68/Income_Statement!M27-Cash_Flow!G44,0)</f>
        <v>0</v>
      </c>
      <c r="O20" s="190">
        <f ca="1">IF(Income_Statement!N27&lt;&gt;0,Balance_Sheet!P68/Income_Statement!N27-Cash_Flow!H44,0)</f>
        <v>0</v>
      </c>
      <c r="P20" s="190">
        <f ca="1">IF(Income_Statement!O27&lt;&gt;0,Balance_Sheet!Q68/Income_Statement!O27-Cash_Flow!I44,0)</f>
        <v>0</v>
      </c>
      <c r="Q20" s="190">
        <f ca="1">IF(Income_Statement!P27&lt;&gt;0,Balance_Sheet!R68/Income_Statement!P27-Cash_Flow!J44,0)</f>
        <v>0</v>
      </c>
      <c r="R20" s="190">
        <f ca="1">IF(Income_Statement!Q27&lt;&gt;0,Balance_Sheet!S68/Income_Statement!Q27-Cash_Flow!K44,0)</f>
        <v>0</v>
      </c>
      <c r="S20" s="190">
        <f ca="1">IF(Income_Statement!R27&lt;&gt;0,Balance_Sheet!T68/Income_Statement!R27-Cash_Flow!L44,0)</f>
        <v>0</v>
      </c>
      <c r="T20" s="190">
        <f ca="1">IF(Income_Statement!S27&lt;&gt;0,Balance_Sheet!U68/Income_Statement!S27-Cash_Flow!M44,0)</f>
        <v>0</v>
      </c>
    </row>
    <row r="21" spans="1:26" x14ac:dyDescent="0.2">
      <c r="D21" s="13"/>
      <c r="E21" s="13"/>
      <c r="F21" s="13"/>
      <c r="G21" s="13"/>
      <c r="H21" s="13"/>
      <c r="J21" s="13"/>
      <c r="K21" s="190"/>
      <c r="L21" s="190"/>
      <c r="M21" s="190"/>
      <c r="N21" s="190"/>
      <c r="O21" s="190"/>
      <c r="P21" s="190"/>
      <c r="Q21" s="190"/>
      <c r="R21" s="190"/>
      <c r="S21" s="190"/>
      <c r="T21" s="190"/>
    </row>
    <row r="22" spans="1:26" ht="15.75" x14ac:dyDescent="0.25">
      <c r="A22" s="12" t="s">
        <v>336</v>
      </c>
      <c r="D22" s="13"/>
      <c r="E22" s="13"/>
      <c r="F22" s="13"/>
      <c r="G22" s="13"/>
      <c r="H22" s="13"/>
      <c r="J22" s="13"/>
      <c r="K22" s="190"/>
      <c r="L22" s="190"/>
      <c r="M22" s="190"/>
      <c r="N22" s="190"/>
      <c r="O22" s="190"/>
      <c r="P22" s="190"/>
      <c r="Q22" s="190"/>
      <c r="R22" s="190"/>
      <c r="S22" s="190"/>
      <c r="T22" s="190"/>
    </row>
    <row r="23" spans="1:26" x14ac:dyDescent="0.2">
      <c r="A23" s="1" t="s">
        <v>337</v>
      </c>
      <c r="D23" s="190">
        <f>IF(Income_Statement!D67&gt;0,Income_Statement!D27/Income_Statement!D67,0)</f>
        <v>0</v>
      </c>
      <c r="E23" s="190">
        <f>IF(Income_Statement!E67&gt;0,Income_Statement!E27/Income_Statement!E67,0)</f>
        <v>0</v>
      </c>
      <c r="F23" s="190">
        <f>IF(Income_Statement!F67&gt;0,Income_Statement!F27/Income_Statement!F67,0)</f>
        <v>0</v>
      </c>
      <c r="G23" s="190">
        <f>IF(Income_Statement!G67&gt;0,Income_Statement!G27/Income_Statement!G67,0)</f>
        <v>0</v>
      </c>
      <c r="H23" s="190">
        <f>IF(Income_Statement!H67&gt;0,Income_Statement!H27/Income_Statement!H67,0)</f>
        <v>0</v>
      </c>
      <c r="J23" s="190"/>
      <c r="K23" s="190">
        <f>IF(Income_Statement!J67&gt;0,Income_Statement!J27/Income_Statement!J67,0)</f>
        <v>0</v>
      </c>
      <c r="L23" s="190">
        <f ca="1">IF(Income_Statement!K67&gt;0,Income_Statement!K27/Income_Statement!K67,0)</f>
        <v>0</v>
      </c>
      <c r="M23" s="190">
        <f ca="1">IF(Income_Statement!L67&gt;0,Income_Statement!L27/Income_Statement!L67,0)</f>
        <v>0</v>
      </c>
      <c r="N23" s="190">
        <f ca="1">IF(Income_Statement!M67&gt;0,Income_Statement!M27/Income_Statement!M67,0)</f>
        <v>0</v>
      </c>
      <c r="O23" s="190">
        <f ca="1">IF(Income_Statement!N67&gt;0,Income_Statement!N27/Income_Statement!N67,0)</f>
        <v>0</v>
      </c>
      <c r="P23" s="190">
        <f ca="1">IF(Income_Statement!O67&gt;0,Income_Statement!O27/Income_Statement!O67,0)</f>
        <v>0</v>
      </c>
      <c r="Q23" s="190">
        <f ca="1">IF(Income_Statement!P67&gt;0,Income_Statement!P27/Income_Statement!P67,0)</f>
        <v>0</v>
      </c>
      <c r="R23" s="190">
        <f ca="1">IF(Income_Statement!Q67&gt;0,Income_Statement!Q27/Income_Statement!Q67,0)</f>
        <v>0</v>
      </c>
      <c r="S23" s="190">
        <f ca="1">IF(Income_Statement!R67&gt;0,Income_Statement!R27/Income_Statement!R67,0)</f>
        <v>0</v>
      </c>
      <c r="T23" s="190">
        <f ca="1">IF(Income_Statement!S67&gt;0,Income_Statement!S27/Income_Statement!S67,0)</f>
        <v>0</v>
      </c>
    </row>
    <row r="24" spans="1:26" x14ac:dyDescent="0.2">
      <c r="A24" s="1" t="s">
        <v>338</v>
      </c>
      <c r="D24" s="190">
        <f>IF(Income_Statement!D52&gt;0,Income_Statement!D27/Income_Statement!D52,0)</f>
        <v>0</v>
      </c>
      <c r="E24" s="190">
        <f>IF(Income_Statement!E52&gt;0,Income_Statement!E27/Income_Statement!E52,0)</f>
        <v>0</v>
      </c>
      <c r="F24" s="190">
        <f>IF(Income_Statement!F52&gt;0,Income_Statement!F27/Income_Statement!F52,0)</f>
        <v>0</v>
      </c>
      <c r="G24" s="190">
        <f>IF(Income_Statement!G52&gt;0,Income_Statement!G27/Income_Statement!G52,0)</f>
        <v>0</v>
      </c>
      <c r="H24" s="190">
        <f>IF(Income_Statement!H52&gt;0,Income_Statement!H27/Income_Statement!H52,0)</f>
        <v>0</v>
      </c>
      <c r="J24" s="190"/>
      <c r="K24" s="190">
        <f>IF(Income_Statement!J52&gt;0,Income_Statement!J27/Income_Statement!J52,0)</f>
        <v>0</v>
      </c>
      <c r="L24" s="190">
        <f ca="1">IF(Income_Statement!K52&gt;0,Income_Statement!K27/Income_Statement!K52,0)</f>
        <v>0</v>
      </c>
      <c r="M24" s="190">
        <f ca="1">IF(Income_Statement!L52&gt;0,Income_Statement!L27/Income_Statement!L52,0)</f>
        <v>0</v>
      </c>
      <c r="N24" s="190">
        <f ca="1">IF(Income_Statement!M52&gt;0,Income_Statement!M27/Income_Statement!M52,0)</f>
        <v>0</v>
      </c>
      <c r="O24" s="190">
        <f ca="1">IF(Income_Statement!N52&gt;0,Income_Statement!N27/Income_Statement!N52,0)</f>
        <v>0</v>
      </c>
      <c r="P24" s="190">
        <f ca="1">IF(Income_Statement!O52&gt;0,Income_Statement!O27/Income_Statement!O52,0)</f>
        <v>0</v>
      </c>
      <c r="Q24" s="190">
        <f ca="1">IF(Income_Statement!P52&gt;0,Income_Statement!P27/Income_Statement!P52,0)</f>
        <v>0</v>
      </c>
      <c r="R24" s="190">
        <f ca="1">IF(Income_Statement!Q52&gt;0,Income_Statement!Q27/Income_Statement!Q52,0)</f>
        <v>0</v>
      </c>
      <c r="S24" s="190">
        <f ca="1">IF(Income_Statement!R52&gt;0,Income_Statement!R27/Income_Statement!R52,0)</f>
        <v>0</v>
      </c>
      <c r="T24" s="190">
        <f ca="1">IF(Income_Statement!S52&gt;0,Income_Statement!S27/Income_Statement!S52,0)</f>
        <v>0</v>
      </c>
    </row>
    <row r="25" spans="1:26" x14ac:dyDescent="0.2">
      <c r="D25" s="190"/>
      <c r="E25" s="190"/>
      <c r="F25" s="190"/>
      <c r="G25" s="190"/>
      <c r="H25" s="190"/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/>
    </row>
    <row r="26" spans="1:26" x14ac:dyDescent="0.2">
      <c r="A26" s="1" t="s">
        <v>339</v>
      </c>
      <c r="D26" s="190">
        <f>IF(Income_Statement!D67&gt;0,Income_Statement!D27-V17/Income_Statement!D67,0)</f>
        <v>0</v>
      </c>
      <c r="E26" s="190">
        <f>IF(Income_Statement!E67&gt;0,Income_Statement!E27-W17/Income_Statement!E67,0)</f>
        <v>0</v>
      </c>
      <c r="F26" s="190">
        <f>IF(Income_Statement!F67&gt;0,Income_Statement!F27-X17/Income_Statement!F67,0)</f>
        <v>0</v>
      </c>
      <c r="G26" s="190">
        <f>IF(Income_Statement!G67&gt;0,Income_Statement!G27-Y17/Income_Statement!G67,0)</f>
        <v>0</v>
      </c>
      <c r="H26" s="190">
        <f>IF(Income_Statement!H67&gt;0,Income_Statement!H27-Z17/Income_Statement!H67,0)</f>
        <v>0</v>
      </c>
      <c r="J26" s="190"/>
      <c r="K26" s="190">
        <f>IF(Income_Statement!J67&gt;0,Income_Statement!J27-Cash_Flow!D44/Income_Statement!J67,0)</f>
        <v>0</v>
      </c>
      <c r="L26" s="190">
        <f ca="1">IF(Income_Statement!K67&gt;0,Income_Statement!K27-Cash_Flow!E44/Income_Statement!K67,0)</f>
        <v>0</v>
      </c>
      <c r="M26" s="190">
        <f ca="1">IF(Income_Statement!L67&gt;0,Income_Statement!L27-Cash_Flow!F44/Income_Statement!L67,0)</f>
        <v>0</v>
      </c>
      <c r="N26" s="190">
        <f ca="1">IF(Income_Statement!M67&gt;0,Income_Statement!M27-Cash_Flow!G44/Income_Statement!M67,0)</f>
        <v>0</v>
      </c>
      <c r="O26" s="190">
        <f ca="1">IF(Income_Statement!N67&gt;0,Income_Statement!N27-Cash_Flow!H44/Income_Statement!N67,0)</f>
        <v>0</v>
      </c>
      <c r="P26" s="190">
        <f ca="1">IF(Income_Statement!O67&gt;0,Income_Statement!O27-Cash_Flow!I44/Income_Statement!O67,0)</f>
        <v>0</v>
      </c>
      <c r="Q26" s="190">
        <f ca="1">IF(Income_Statement!P67&gt;0,Income_Statement!P27-Cash_Flow!J44/Income_Statement!P67,0)</f>
        <v>0</v>
      </c>
      <c r="R26" s="190">
        <f ca="1">IF(Income_Statement!Q67&gt;0,Income_Statement!Q27-Cash_Flow!K44/Income_Statement!Q67,0)</f>
        <v>0</v>
      </c>
      <c r="S26" s="190">
        <f ca="1">IF(Income_Statement!R67&gt;0,Income_Statement!R27-Cash_Flow!L44/Income_Statement!R67,0)</f>
        <v>0</v>
      </c>
      <c r="T26" s="190">
        <f ca="1">IF(Income_Statement!S67&gt;0,Income_Statement!S27-Cash_Flow!M44/Income_Statement!S67,0)</f>
        <v>0</v>
      </c>
    </row>
    <row r="27" spans="1:26" x14ac:dyDescent="0.2">
      <c r="A27" s="1" t="s">
        <v>340</v>
      </c>
      <c r="D27" s="190">
        <f>IF(Income_Statement!D52&gt;0,Income_Statement!D27-V17/Income_Statement!D52,0)</f>
        <v>0</v>
      </c>
      <c r="E27" s="190">
        <f>IF(Income_Statement!E52&gt;0,Income_Statement!E27-W17/Income_Statement!E52,0)</f>
        <v>0</v>
      </c>
      <c r="F27" s="190">
        <f>IF(Income_Statement!F52&gt;0,Income_Statement!F27-X17/Income_Statement!F52,0)</f>
        <v>0</v>
      </c>
      <c r="G27" s="190">
        <f>IF(Income_Statement!G52&gt;0,Income_Statement!G27-Y17/Income_Statement!G52,0)</f>
        <v>0</v>
      </c>
      <c r="H27" s="190">
        <f>IF(Income_Statement!H52&gt;0,Income_Statement!H27-Z17/Income_Statement!H52,0)</f>
        <v>0</v>
      </c>
      <c r="J27" s="190"/>
      <c r="K27" s="190">
        <f>IF(Income_Statement!J52&gt;0,Income_Statement!J27-Cash_Flow!D44/Income_Statement!J52,0)</f>
        <v>0</v>
      </c>
      <c r="L27" s="190">
        <f ca="1">IF(Income_Statement!K52&gt;0,Income_Statement!K27-Cash_Flow!E44/Income_Statement!K52,0)</f>
        <v>0</v>
      </c>
      <c r="M27" s="190">
        <f ca="1">IF(Income_Statement!L52&gt;0,Income_Statement!L27-Cash_Flow!F44/Income_Statement!L52,0)</f>
        <v>0</v>
      </c>
      <c r="N27" s="190">
        <f ca="1">IF(Income_Statement!M52&gt;0,Income_Statement!M27-Cash_Flow!G44/Income_Statement!M52,0)</f>
        <v>0</v>
      </c>
      <c r="O27" s="190">
        <f ca="1">IF(Income_Statement!N52&gt;0,Income_Statement!N27-Cash_Flow!H44/Income_Statement!N52,0)</f>
        <v>0</v>
      </c>
      <c r="P27" s="190">
        <f ca="1">IF(Income_Statement!O52&gt;0,Income_Statement!O27-Cash_Flow!I44/Income_Statement!O52,0)</f>
        <v>0</v>
      </c>
      <c r="Q27" s="190">
        <f ca="1">IF(Income_Statement!P52&gt;0,Income_Statement!P27-Cash_Flow!J44/Income_Statement!P52,0)</f>
        <v>0</v>
      </c>
      <c r="R27" s="190">
        <f ca="1">IF(Income_Statement!Q52&gt;0,Income_Statement!Q27-Cash_Flow!K44/Income_Statement!Q52,0)</f>
        <v>0</v>
      </c>
      <c r="S27" s="190">
        <f ca="1">IF(Income_Statement!R52&gt;0,Income_Statement!R27-Cash_Flow!L44/Income_Statement!R52,0)</f>
        <v>0</v>
      </c>
      <c r="T27" s="190">
        <f ca="1">IF(Income_Statement!S52&gt;0,Income_Statement!S27-Cash_Flow!M44/Income_Statement!S52,0)</f>
        <v>0</v>
      </c>
    </row>
    <row r="28" spans="1:26" x14ac:dyDescent="0.2">
      <c r="D28" s="190"/>
      <c r="E28" s="190"/>
      <c r="F28" s="190"/>
      <c r="G28" s="190"/>
      <c r="H28" s="190"/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</row>
    <row r="29" spans="1:26" x14ac:dyDescent="0.2">
      <c r="A29" s="1" t="s">
        <v>341</v>
      </c>
      <c r="D29" s="190">
        <f>IF(Income_Statement!D67&gt;0,Income_Statement!D38/Income_Statement!D67,0)</f>
        <v>0</v>
      </c>
      <c r="E29" s="190">
        <f>IF(Income_Statement!E67&gt;0,Income_Statement!E38/Income_Statement!E67,0)</f>
        <v>0</v>
      </c>
      <c r="F29" s="190">
        <f>IF(Income_Statement!F67&gt;0,Income_Statement!F38/Income_Statement!F67,0)</f>
        <v>0</v>
      </c>
      <c r="G29" s="190">
        <f>IF(Income_Statement!G67&gt;0,Income_Statement!G38/Income_Statement!G67,0)</f>
        <v>0</v>
      </c>
      <c r="H29" s="190">
        <f>IF(Income_Statement!H67&gt;0,Income_Statement!H38/Income_Statement!H67,0)</f>
        <v>0</v>
      </c>
      <c r="J29" s="190"/>
      <c r="K29" s="190">
        <f>IF(Income_Statement!J67&gt;0,Income_Statement!J38/Income_Statement!J67,0)</f>
        <v>0</v>
      </c>
      <c r="L29" s="190">
        <f ca="1">IF(Income_Statement!K67&gt;0,Income_Statement!K38/Income_Statement!K67,0)</f>
        <v>0</v>
      </c>
      <c r="M29" s="190">
        <f ca="1">IF(Income_Statement!L67&gt;0,Income_Statement!L38/Income_Statement!L67,0)</f>
        <v>0</v>
      </c>
      <c r="N29" s="190">
        <f ca="1">IF(Income_Statement!M67&gt;0,Income_Statement!M38/Income_Statement!M67,0)</f>
        <v>0</v>
      </c>
      <c r="O29" s="190">
        <f ca="1">IF(Income_Statement!N67&gt;0,Income_Statement!N38/Income_Statement!N67,0)</f>
        <v>0</v>
      </c>
      <c r="P29" s="190">
        <f ca="1">IF(Income_Statement!O67&gt;0,Income_Statement!O38/Income_Statement!O67,0)</f>
        <v>0</v>
      </c>
      <c r="Q29" s="190">
        <f ca="1">IF(Income_Statement!P67&gt;0,Income_Statement!P38/Income_Statement!P67,0)</f>
        <v>0</v>
      </c>
      <c r="R29" s="190">
        <f ca="1">IF(Income_Statement!Q67&gt;0,Income_Statement!Q38/Income_Statement!Q67,0)</f>
        <v>0</v>
      </c>
      <c r="S29" s="190">
        <f ca="1">IF(Income_Statement!R67&gt;0,Income_Statement!R38/Income_Statement!R67,0)</f>
        <v>0</v>
      </c>
      <c r="T29" s="190">
        <f ca="1">IF(Income_Statement!S67&gt;0,Income_Statement!S38/Income_Statement!S67,0)</f>
        <v>0</v>
      </c>
    </row>
    <row r="30" spans="1:26" x14ac:dyDescent="0.2">
      <c r="A30" s="1" t="s">
        <v>342</v>
      </c>
      <c r="D30" s="190">
        <f>IF(Income_Statement!D52&gt;0,Income_Statement!D38/Income_Statement!D52,0)</f>
        <v>0</v>
      </c>
      <c r="E30" s="190">
        <f>IF(Income_Statement!E52&gt;0,Income_Statement!E38/Income_Statement!E52,0)</f>
        <v>0</v>
      </c>
      <c r="F30" s="190">
        <f>IF(Income_Statement!F52&gt;0,Income_Statement!F38/Income_Statement!F52,0)</f>
        <v>0</v>
      </c>
      <c r="G30" s="190">
        <f>IF(Income_Statement!G52&gt;0,Income_Statement!G38/Income_Statement!G52,0)</f>
        <v>0</v>
      </c>
      <c r="H30" s="190">
        <f>IF(Income_Statement!H52&gt;0,Income_Statement!H38/Income_Statement!H52,0)</f>
        <v>0</v>
      </c>
      <c r="J30" s="190"/>
      <c r="K30" s="190">
        <f>IF(Income_Statement!J52&gt;0,Income_Statement!J38/Income_Statement!J52,0)</f>
        <v>0</v>
      </c>
      <c r="L30" s="190">
        <f ca="1">IF(Income_Statement!K52&gt;0,Income_Statement!K38/Income_Statement!K52,0)</f>
        <v>0</v>
      </c>
      <c r="M30" s="190">
        <f ca="1">IF(Income_Statement!L52&gt;0,Income_Statement!L38/Income_Statement!L52,0)</f>
        <v>0</v>
      </c>
      <c r="N30" s="190">
        <f ca="1">IF(Income_Statement!M52&gt;0,Income_Statement!M38/Income_Statement!M52,0)</f>
        <v>0</v>
      </c>
      <c r="O30" s="190">
        <f ca="1">IF(Income_Statement!N52&gt;0,Income_Statement!N38/Income_Statement!N52,0)</f>
        <v>0</v>
      </c>
      <c r="P30" s="190">
        <f ca="1">IF(Income_Statement!O52&gt;0,Income_Statement!O38/Income_Statement!O52,0)</f>
        <v>0</v>
      </c>
      <c r="Q30" s="190">
        <f ca="1">IF(Income_Statement!P52&gt;0,Income_Statement!P38/Income_Statement!P52,0)</f>
        <v>0</v>
      </c>
      <c r="R30" s="190">
        <f ca="1">IF(Income_Statement!Q52&gt;0,Income_Statement!Q38/Income_Statement!Q52,0)</f>
        <v>0</v>
      </c>
      <c r="S30" s="190">
        <f ca="1">IF(Income_Statement!R52&gt;0,Income_Statement!R38/Income_Statement!R52,0)</f>
        <v>0</v>
      </c>
      <c r="T30" s="190">
        <f ca="1">IF(Income_Statement!S52&gt;0,Income_Statement!S38/Income_Statement!S52,0)</f>
        <v>0</v>
      </c>
    </row>
    <row r="31" spans="1:26" ht="15.75" x14ac:dyDescent="0.25">
      <c r="D31" s="190"/>
      <c r="E31" s="190"/>
      <c r="F31" s="190"/>
      <c r="G31" s="190"/>
      <c r="H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V31" s="149">
        <f>D8-1</f>
        <v>1994</v>
      </c>
    </row>
    <row r="32" spans="1:26" ht="15.75" x14ac:dyDescent="0.25">
      <c r="A32" s="1" t="s">
        <v>343</v>
      </c>
      <c r="D32" s="13">
        <f>IF(OR(Balance_Sheet!D77&lt;=0,Ratio_Analysis!V32&lt;=0),0,IF(Sources_Uses!$L$45=0,(Income_Statement!D64/Balance_Sheet!D77),(Income_Statement!D64/AVERAGE(Balance_Sheet!D77,Ratio_Analysis!V32))))</f>
        <v>0</v>
      </c>
      <c r="E32" s="13">
        <f>IF(OR(Balance_Sheet!E77&lt;=0,Balance_Sheet!D77&lt;=0),0,IF(Sources_Uses!$L$45=0,(Income_Statement!E64/Balance_Sheet!E77),(Income_Statement!E64/AVERAGE(Balance_Sheet!E77,Balance_Sheet!D77))))</f>
        <v>0</v>
      </c>
      <c r="F32" s="13">
        <f>IF(OR(Balance_Sheet!F77&lt;=0,Balance_Sheet!E77&lt;=0),0,IF(Sources_Uses!$L$45=0,(Income_Statement!F64/Balance_Sheet!F77),(Income_Statement!F64/AVERAGE(Balance_Sheet!F77,Balance_Sheet!E77))))</f>
        <v>0</v>
      </c>
      <c r="G32" s="13">
        <f>IF(OR(Balance_Sheet!G77&lt;=0,Balance_Sheet!F77&lt;=0),0,IF(Sources_Uses!$L$45=0,(Income_Statement!G64/Balance_Sheet!G77),(Income_Statement!G64/AVERAGE(Balance_Sheet!G77,Balance_Sheet!F77))))</f>
        <v>0</v>
      </c>
      <c r="H32" s="13">
        <f>IF(OR(Balance_Sheet!H77&lt;=0,Balance_Sheet!G77&lt;=0),0,IF(Sources_Uses!$L$45=0,(Income_Statement!H64/Balance_Sheet!H77),(Income_Statement!H64/AVERAGE(Balance_Sheet!H77,Balance_Sheet!G77))))</f>
        <v>0</v>
      </c>
      <c r="J32" s="13"/>
      <c r="K32" s="13">
        <f ca="1">IF(OR(Balance_Sheet!L77&lt;=0,Balance_Sheet!K77&lt;=0),0,IF(Sources_Uses!$L$45=0,(Income_Statement!J64/Balance_Sheet!L77),(Income_Statement!J64/AVERAGE(Balance_Sheet!L77,Balance_Sheet!K77))))</f>
        <v>0</v>
      </c>
      <c r="L32" s="13">
        <f ca="1">IF(OR(Balance_Sheet!M77&lt;=0,Balance_Sheet!L77&lt;=0),0,IF(Sources_Uses!$L$45=0,(Income_Statement!K64/Balance_Sheet!M77),(Income_Statement!K64/AVERAGE(Balance_Sheet!M77,Balance_Sheet!L77))))</f>
        <v>0</v>
      </c>
      <c r="M32" s="13">
        <f ca="1">IF(OR(Balance_Sheet!N77&lt;=0,Balance_Sheet!M77&lt;=0),0,IF(Sources_Uses!$L$45=0,(Income_Statement!L64/Balance_Sheet!N77),(Income_Statement!L64/AVERAGE(Balance_Sheet!N77,Balance_Sheet!M77))))</f>
        <v>0</v>
      </c>
      <c r="N32" s="13">
        <f ca="1">IF(OR(Balance_Sheet!O77&lt;=0,Balance_Sheet!N77&lt;=0),0,IF(Sources_Uses!$L$45=0,(Income_Statement!M64/Balance_Sheet!O77),(Income_Statement!M64/AVERAGE(Balance_Sheet!O77,Balance_Sheet!N77))))</f>
        <v>0</v>
      </c>
      <c r="O32" s="13">
        <f ca="1">IF(OR(Balance_Sheet!P77&lt;=0,Balance_Sheet!O77&lt;=0),0,IF(Sources_Uses!$L$45=0,(Income_Statement!N64/Balance_Sheet!P77),(Income_Statement!N64/AVERAGE(Balance_Sheet!P77,Balance_Sheet!O77))))</f>
        <v>0</v>
      </c>
      <c r="P32" s="13">
        <f ca="1">IF(OR(Balance_Sheet!Q77&lt;=0,Balance_Sheet!P77&lt;=0),0,IF(Sources_Uses!$L$45=0,(Income_Statement!O64/Balance_Sheet!Q77),(Income_Statement!O64/AVERAGE(Balance_Sheet!Q77,Balance_Sheet!P77))))</f>
        <v>0</v>
      </c>
      <c r="Q32" s="13">
        <f ca="1">IF(OR(Balance_Sheet!R77&lt;=0,Balance_Sheet!Q77&lt;=0),0,IF(Sources_Uses!$L$45=0,(Income_Statement!P64/Balance_Sheet!R77),(Income_Statement!P64/AVERAGE(Balance_Sheet!R77,Balance_Sheet!Q77))))</f>
        <v>0</v>
      </c>
      <c r="R32" s="13">
        <f ca="1">IF(OR(Balance_Sheet!S77&lt;=0,Balance_Sheet!R77&lt;=0),0,IF(Sources_Uses!$L$45=0,(Income_Statement!Q64/Balance_Sheet!S77),(Income_Statement!Q64/AVERAGE(Balance_Sheet!S77,Balance_Sheet!R77))))</f>
        <v>0</v>
      </c>
      <c r="S32" s="13">
        <f ca="1">IF(OR(Balance_Sheet!T77&lt;=0,Balance_Sheet!S77&lt;=0),0,IF(Sources_Uses!$L$45=0,(Income_Statement!R64/Balance_Sheet!T77),(Income_Statement!R64/AVERAGE(Balance_Sheet!T77,Balance_Sheet!S77))))</f>
        <v>0</v>
      </c>
      <c r="T32" s="13">
        <f ca="1">IF(OR(Balance_Sheet!U77&lt;=0,Balance_Sheet!T77&lt;=0),0,IF(Sources_Uses!$L$45=0,(Income_Statement!S64/Balance_Sheet!U77),(Income_Statement!S64/AVERAGE(Balance_Sheet!U77,Balance_Sheet!T77))))</f>
        <v>0</v>
      </c>
      <c r="V32" s="42">
        <v>0</v>
      </c>
      <c r="W32" s="1" t="s">
        <v>347</v>
      </c>
    </row>
    <row r="33" spans="1:23" ht="15.75" x14ac:dyDescent="0.25">
      <c r="A33" s="1" t="s">
        <v>344</v>
      </c>
      <c r="D33" s="13">
        <f>IF(OR(Balance_Sheet!D86&lt;=0,Ratio_Analysis!V33&lt;=0),0,IF(Sources_Uses!$L$45=0,(Income_Statement!D38/Balance_Sheet!D86),(Income_Statement!D38/AVERAGE(Balance_Sheet!D86,Ratio_Analysis!V33))))</f>
        <v>0</v>
      </c>
      <c r="E33" s="13">
        <f>IF(OR(Balance_Sheet!E86&lt;=0,Balance_Sheet!D86&lt;=0),0,IF(Sources_Uses!$L$45=0,(Income_Statement!E38/Balance_Sheet!E86),(Income_Statement!E38/AVERAGE(Balance_Sheet!E86,Balance_Sheet!D86))))</f>
        <v>0</v>
      </c>
      <c r="F33" s="13">
        <f>IF(OR(Balance_Sheet!F86&lt;=0,Balance_Sheet!E86&lt;=0),0,IF(Sources_Uses!$L$45=0,(Income_Statement!F38/Balance_Sheet!F86),(Income_Statement!F38/AVERAGE(Balance_Sheet!F86,Balance_Sheet!E86))))</f>
        <v>0</v>
      </c>
      <c r="G33" s="13">
        <f>IF(OR(Balance_Sheet!G86&lt;=0,Balance_Sheet!F86&lt;=0),0,IF(Sources_Uses!$L$45=0,(Income_Statement!G38/Balance_Sheet!G86),(Income_Statement!G38/AVERAGE(Balance_Sheet!G86,Balance_Sheet!F86))))</f>
        <v>0</v>
      </c>
      <c r="H33" s="13">
        <f>IF(OR(Balance_Sheet!H86&lt;=0,Balance_Sheet!G86&lt;=0),0,IF(Sources_Uses!$L$45=0,(Income_Statement!H38/Balance_Sheet!H86),(Income_Statement!H38/AVERAGE(Balance_Sheet!H86,Balance_Sheet!G86))))</f>
        <v>0</v>
      </c>
      <c r="J33" s="13"/>
      <c r="K33" s="13">
        <f ca="1">IF(AND(Capital_Structure!F21&gt;0,Capital_Structure!G21&gt;0),Income_Statement!J38/AVERAGE(Capital_Structure!F21,Capital_Structure!G21),0)</f>
        <v>0</v>
      </c>
      <c r="L33" s="13">
        <f ca="1">IF(AND(Capital_Structure!G21&gt;0,Capital_Structure!H21&gt;0),Income_Statement!K38/AVERAGE(Capital_Structure!G21,Capital_Structure!H21),0)</f>
        <v>0</v>
      </c>
      <c r="M33" s="13">
        <f ca="1">IF(AND(Capital_Structure!H21&gt;0,Capital_Structure!I21&gt;0),Income_Statement!L38/AVERAGE(Capital_Structure!H21,Capital_Structure!I21),0)</f>
        <v>0</v>
      </c>
      <c r="N33" s="13">
        <f ca="1">IF(AND(Capital_Structure!I21&gt;0,Capital_Structure!J21&gt;0),Income_Statement!M38/AVERAGE(Capital_Structure!I21,Capital_Structure!J21),0)</f>
        <v>0</v>
      </c>
      <c r="O33" s="13">
        <f ca="1">IF(AND(Capital_Structure!J21&gt;0,Capital_Structure!K21&gt;0),Income_Statement!N38/AVERAGE(Capital_Structure!J21,Capital_Structure!K21),0)</f>
        <v>0</v>
      </c>
      <c r="P33" s="13">
        <f ca="1">IF(AND(Capital_Structure!K21&gt;0,Capital_Structure!L21&gt;0),Income_Statement!O38/AVERAGE(Capital_Structure!K21,Capital_Structure!L21),0)</f>
        <v>0</v>
      </c>
      <c r="Q33" s="13">
        <f ca="1">IF(AND(Capital_Structure!L21&gt;0,Capital_Structure!M21&gt;0),Income_Statement!P38/AVERAGE(Capital_Structure!L21,Capital_Structure!M21),0)</f>
        <v>0</v>
      </c>
      <c r="R33" s="13">
        <f ca="1">IF(AND(Capital_Structure!M21&gt;0,Capital_Structure!N21&gt;0),Income_Statement!Q38/AVERAGE(Capital_Structure!M21,Capital_Structure!N21),0)</f>
        <v>0</v>
      </c>
      <c r="S33" s="13">
        <f ca="1">IF(AND(Capital_Structure!N21&gt;0,Capital_Structure!O21&gt;0),Income_Statement!R38/AVERAGE(Capital_Structure!N21,Capital_Structure!O21),0)</f>
        <v>0</v>
      </c>
      <c r="T33" s="13">
        <f ca="1">IF(AND(Capital_Structure!O21&gt;0,Capital_Structure!P21&gt;0),Income_Statement!S38/AVERAGE(Capital_Structure!O21,Capital_Structure!P21),0)</f>
        <v>0</v>
      </c>
      <c r="V33" s="42">
        <v>0</v>
      </c>
      <c r="W33" s="1" t="s">
        <v>348</v>
      </c>
    </row>
    <row r="35" spans="1:23" ht="15.75" x14ac:dyDescent="0.25">
      <c r="A35" s="12" t="s">
        <v>82</v>
      </c>
    </row>
    <row r="36" spans="1:23" ht="15.75" x14ac:dyDescent="0.25">
      <c r="A36" s="1" t="s">
        <v>346</v>
      </c>
      <c r="D36" s="190">
        <f>IF(OR(Income_Statement!D10&lt;=0,Balance_Sheet!D36&lt;=0),0,IF(Sources_Uses!$L$45=0,(Income_Statement!D10/Balance_Sheet!D36),(Income_Statement!D10/AVERAGE(Balance_Sheet!D36,Ratio_Analysis!V36))))</f>
        <v>0</v>
      </c>
      <c r="E36" s="190">
        <f>IF(OR(Income_Statement!E10&lt;=0,Balance_Sheet!D36&lt;=0),0,IF(Sources_Uses!$L$45=0,(Income_Statement!E10/Balance_Sheet!D36),(Income_Statement!E10/AVERAGE(Balance_Sheet!D36,Balance_Sheet!E36))))</f>
        <v>0</v>
      </c>
      <c r="F36" s="190">
        <f>IF(OR(Income_Statement!F10&lt;=0,Balance_Sheet!E36&lt;=0),0,IF(Sources_Uses!$L$45=0,(Income_Statement!F10/Balance_Sheet!E36),(Income_Statement!F10/AVERAGE(Balance_Sheet!E36,Balance_Sheet!F36))))</f>
        <v>0</v>
      </c>
      <c r="G36" s="190">
        <f>IF(OR(Income_Statement!G10&lt;=0,Balance_Sheet!F36&lt;=0),0,IF(Sources_Uses!$L$45=0,(Income_Statement!G10/Balance_Sheet!F36),(Income_Statement!G10/AVERAGE(Balance_Sheet!F36,Balance_Sheet!G36))))</f>
        <v>0</v>
      </c>
      <c r="H36" s="190">
        <f>IF(OR(Income_Statement!H10&lt;=0,Balance_Sheet!G36&lt;=0),0,IF(Sources_Uses!$L$45=0,(Income_Statement!H10/Balance_Sheet!G36),(Income_Statement!H10/AVERAGE(Balance_Sheet!G36,Balance_Sheet!H36))))</f>
        <v>0</v>
      </c>
      <c r="J36" s="190"/>
      <c r="K36" s="190">
        <f ca="1">IF(OR(Income_Statement!J10&lt;=0,Balance_Sheet!L36&lt;=0),0,IF(Sources_Uses!$L$45=0,(Income_Statement!J10/Balance_Sheet!L36),(Income_Statement!J10/AVERAGE(Balance_Sheet!L36,Balance_Sheet!K36))))</f>
        <v>0</v>
      </c>
      <c r="L36" s="190">
        <f ca="1">IF(OR(Income_Statement!K10&lt;=0,Balance_Sheet!M36&lt;=0),0,IF(Sources_Uses!$L$45=0,(Income_Statement!K10/Balance_Sheet!M36),(Income_Statement!K10/AVERAGE(Balance_Sheet!M36,Balance_Sheet!L36))))</f>
        <v>0</v>
      </c>
      <c r="M36" s="190">
        <f ca="1">IF(OR(Income_Statement!L10&lt;=0,Balance_Sheet!N36&lt;=0),0,IF(Sources_Uses!$L$45=0,(Income_Statement!L10/Balance_Sheet!N36),(Income_Statement!L10/AVERAGE(Balance_Sheet!N36,Balance_Sheet!M36))))</f>
        <v>0</v>
      </c>
      <c r="N36" s="190">
        <f ca="1">IF(OR(Income_Statement!M10&lt;=0,Balance_Sheet!O36&lt;=0),0,IF(Sources_Uses!$L$45=0,(Income_Statement!M10/Balance_Sheet!O36),(Income_Statement!M10/AVERAGE(Balance_Sheet!O36,Balance_Sheet!N36))))</f>
        <v>0</v>
      </c>
      <c r="O36" s="190">
        <f ca="1">IF(OR(Income_Statement!N10&lt;=0,Balance_Sheet!P36&lt;=0),0,IF(Sources_Uses!$L$45=0,(Income_Statement!N10/Balance_Sheet!P36),(Income_Statement!N10/AVERAGE(Balance_Sheet!P36,Balance_Sheet!O36))))</f>
        <v>0</v>
      </c>
      <c r="P36" s="190">
        <f ca="1">IF(OR(Income_Statement!O10&lt;=0,Balance_Sheet!Q36&lt;=0),0,IF(Sources_Uses!$L$45=0,(Income_Statement!O10/Balance_Sheet!Q36),(Income_Statement!O10/AVERAGE(Balance_Sheet!Q36,Balance_Sheet!P36))))</f>
        <v>0</v>
      </c>
      <c r="Q36" s="190">
        <f ca="1">IF(OR(Income_Statement!P10&lt;=0,Balance_Sheet!R36&lt;=0),0,IF(Sources_Uses!$L$45=0,(Income_Statement!P10/Balance_Sheet!R36),(Income_Statement!P10/AVERAGE(Balance_Sheet!R36,Balance_Sheet!Q36))))</f>
        <v>0</v>
      </c>
      <c r="R36" s="190">
        <f ca="1">IF(OR(Income_Statement!Q10&lt;=0,Balance_Sheet!S36&lt;=0),0,IF(Sources_Uses!$L$45=0,(Income_Statement!Q10/Balance_Sheet!S36),(Income_Statement!Q10/AVERAGE(Balance_Sheet!S36,Balance_Sheet!R36))))</f>
        <v>0</v>
      </c>
      <c r="S36" s="190">
        <f ca="1">IF(OR(Income_Statement!R10&lt;=0,Balance_Sheet!T36&lt;=0),0,IF(Sources_Uses!$L$45=0,(Income_Statement!R10/Balance_Sheet!T36),(Income_Statement!R10/AVERAGE(Balance_Sheet!T36,Balance_Sheet!S36))))</f>
        <v>0</v>
      </c>
      <c r="T36" s="190">
        <f ca="1">IF(OR(Income_Statement!S10&lt;=0,Balance_Sheet!U36&lt;=0),0,IF(Sources_Uses!$L$45=0,(Income_Statement!S10/Balance_Sheet!U36),(Income_Statement!S10/AVERAGE(Balance_Sheet!U36,Balance_Sheet!T36))))</f>
        <v>0</v>
      </c>
      <c r="V36" s="42">
        <v>0</v>
      </c>
      <c r="W36" s="1" t="s">
        <v>349</v>
      </c>
    </row>
    <row r="37" spans="1:23" ht="15.75" x14ac:dyDescent="0.25">
      <c r="A37" s="1" t="s">
        <v>350</v>
      </c>
      <c r="D37" s="190">
        <f>IF(OR(Income_Statement!D12&lt;=0,Balance_Sheet!D14&lt;=0),0,IF(Sources_Uses!$L$45=0,(Income_Statement!D12/Balance_Sheet!D14),(Income_Statement!D12/AVERAGE(Balance_Sheet!D14,V37))))</f>
        <v>0</v>
      </c>
      <c r="E37" s="190">
        <f>IF(OR(Income_Statement!E12&lt;=0,Balance_Sheet!D14&lt;=0),0,IF(Sources_Uses!$L$45=0,(Income_Statement!E12/Balance_Sheet!D14),(Income_Statement!E12/AVERAGE(Balance_Sheet!D14,Balance_Sheet!E14))))</f>
        <v>0</v>
      </c>
      <c r="F37" s="190">
        <f>IF(OR(Income_Statement!F12&lt;=0,Balance_Sheet!E14&lt;=0),0,IF(Sources_Uses!$L$45=0,(Income_Statement!F12/Balance_Sheet!E14),(Income_Statement!F12/AVERAGE(Balance_Sheet!E14,Balance_Sheet!F14))))</f>
        <v>0</v>
      </c>
      <c r="G37" s="190">
        <f>IF(OR(Income_Statement!G12&lt;=0,Balance_Sheet!F14&lt;=0),0,IF(Sources_Uses!$L$45=0,(Income_Statement!G12/Balance_Sheet!F14),(Income_Statement!G12/AVERAGE(Balance_Sheet!F14,Balance_Sheet!G14))))</f>
        <v>0</v>
      </c>
      <c r="H37" s="190">
        <f>IF(OR(Income_Statement!H12&lt;=0,Balance_Sheet!G14&lt;=0),0,IF(Sources_Uses!$L$45=0,(Income_Statement!H12/Balance_Sheet!G14),(Income_Statement!H12/AVERAGE(Balance_Sheet!G14,Balance_Sheet!H14))))</f>
        <v>0</v>
      </c>
      <c r="J37" s="190"/>
      <c r="K37" s="190">
        <f ca="1">IF(OR(Income_Statement!J12&lt;=0,Balance_Sheet!L14&lt;=0),0,IF(Sources_Uses!$L$45=0,(Income_Statement!J12/Balance_Sheet!L14),(Income_Statement!J12/AVERAGE(Balance_Sheet!L14,Balance_Sheet!K14))))</f>
        <v>0</v>
      </c>
      <c r="L37" s="190">
        <f ca="1">IF(OR(Income_Statement!K12&lt;=0,Balance_Sheet!M14&lt;=0),0,IF(Sources_Uses!$L$45=0,(Income_Statement!K12/Balance_Sheet!M14),(Income_Statement!K12/AVERAGE(Balance_Sheet!M14,Balance_Sheet!L14))))</f>
        <v>0</v>
      </c>
      <c r="M37" s="190">
        <f ca="1">IF(OR(Income_Statement!L12&lt;=0,Balance_Sheet!N14&lt;=0),0,IF(Sources_Uses!$L$45=0,(Income_Statement!L12/Balance_Sheet!N14),(Income_Statement!L12/AVERAGE(Balance_Sheet!N14,Balance_Sheet!M14))))</f>
        <v>0</v>
      </c>
      <c r="N37" s="190">
        <f ca="1">IF(OR(Income_Statement!M12&lt;=0,Balance_Sheet!O14&lt;=0),0,IF(Sources_Uses!$L$45=0,(Income_Statement!M12/Balance_Sheet!O14),(Income_Statement!M12/AVERAGE(Balance_Sheet!O14,Balance_Sheet!N14))))</f>
        <v>0</v>
      </c>
      <c r="O37" s="190">
        <f ca="1">IF(OR(Income_Statement!N12&lt;=0,Balance_Sheet!P14&lt;=0),0,IF(Sources_Uses!$L$45=0,(Income_Statement!N12/Balance_Sheet!P14),(Income_Statement!N12/AVERAGE(Balance_Sheet!P14,Balance_Sheet!O14))))</f>
        <v>0</v>
      </c>
      <c r="P37" s="190">
        <f ca="1">IF(OR(Income_Statement!O12&lt;=0,Balance_Sheet!Q14&lt;=0),0,IF(Sources_Uses!$L$45=0,(Income_Statement!O12/Balance_Sheet!Q14),(Income_Statement!O12/AVERAGE(Balance_Sheet!Q14,Balance_Sheet!P14))))</f>
        <v>0</v>
      </c>
      <c r="Q37" s="190">
        <f ca="1">IF(OR(Income_Statement!P12&lt;=0,Balance_Sheet!R14&lt;=0),0,IF(Sources_Uses!$L$45=0,(Income_Statement!P12/Balance_Sheet!R14),(Income_Statement!P12/AVERAGE(Balance_Sheet!R14,Balance_Sheet!Q14))))</f>
        <v>0</v>
      </c>
      <c r="R37" s="190">
        <f ca="1">IF(OR(Income_Statement!Q12&lt;=0,Balance_Sheet!S14&lt;=0),0,IF(Sources_Uses!$L$45=0,(Income_Statement!Q12/Balance_Sheet!S14),(Income_Statement!Q12/AVERAGE(Balance_Sheet!S14,Balance_Sheet!R14))))</f>
        <v>0</v>
      </c>
      <c r="S37" s="190">
        <f ca="1">IF(OR(Income_Statement!R12&lt;=0,Balance_Sheet!T14&lt;=0),0,IF(Sources_Uses!$L$45=0,(Income_Statement!R12/Balance_Sheet!T14),(Income_Statement!R12/AVERAGE(Balance_Sheet!T14,Balance_Sheet!S14))))</f>
        <v>0</v>
      </c>
      <c r="T37" s="190">
        <f ca="1">IF(OR(Income_Statement!S12&lt;=0,Balance_Sheet!U14&lt;=0),0,IF(Sources_Uses!$L$45=0,(Income_Statement!S12/Balance_Sheet!U14),(Income_Statement!S12/AVERAGE(Balance_Sheet!U14,Balance_Sheet!T14))))</f>
        <v>0</v>
      </c>
      <c r="V37" s="42">
        <v>0</v>
      </c>
      <c r="W37" s="1" t="s">
        <v>88</v>
      </c>
    </row>
    <row r="38" spans="1:23" ht="15.75" x14ac:dyDescent="0.25">
      <c r="A38" s="1" t="s">
        <v>351</v>
      </c>
      <c r="D38" s="187">
        <f>IF(OR(Income_Statement!D10&lt;=0,Balance_Sheet!D13&lt;=0),0,IF(Sources_Uses!$L$45=0,(Income_Statement!D10/Balance_Sheet!D13),(Income_Statement!D10/AVERAGE(Balance_Sheet!D13,V38))))</f>
        <v>0</v>
      </c>
      <c r="E38" s="187">
        <f>IF(OR(Income_Statement!E10&lt;=0,Balance_Sheet!D13&lt;=0),0,IF(Sources_Uses!$L$45=0,(Income_Statement!E10/Balance_Sheet!D13),(Income_Statement!E10/AVERAGE(Balance_Sheet!D13,Balance_Sheet!E13))))</f>
        <v>0</v>
      </c>
      <c r="F38" s="187">
        <f>IF(OR(Income_Statement!F10&lt;=0,Balance_Sheet!E13&lt;=0),0,IF(Sources_Uses!$L$45=0,(Income_Statement!F10/Balance_Sheet!E13),(Income_Statement!F10/AVERAGE(Balance_Sheet!E13,Balance_Sheet!F13))))</f>
        <v>0</v>
      </c>
      <c r="G38" s="187">
        <f>IF(OR(Income_Statement!G10&lt;=0,Balance_Sheet!F13&lt;=0),0,IF(Sources_Uses!$L$45=0,(Income_Statement!G10/Balance_Sheet!F13),(Income_Statement!G10/AVERAGE(Balance_Sheet!F13,Balance_Sheet!G13))))</f>
        <v>0</v>
      </c>
      <c r="H38" s="187">
        <f>IF(OR(Income_Statement!H10&lt;=0,Balance_Sheet!G13&lt;=0),0,IF(Sources_Uses!$L$45=0,(Income_Statement!H10/Balance_Sheet!G13),(Income_Statement!H10/AVERAGE(Balance_Sheet!G13,Balance_Sheet!H13))))</f>
        <v>0</v>
      </c>
      <c r="J38" s="187"/>
      <c r="K38" s="187">
        <f ca="1">IF(OR(Income_Statement!J10&lt;=0,Balance_Sheet!L13&lt;=0),0,IF(Sources_Uses!$L$45=0,(Income_Statement!J10/Balance_Sheet!L13),(Income_Statement!J10/AVERAGE(Balance_Sheet!L13,Balance_Sheet!K13))))</f>
        <v>0</v>
      </c>
      <c r="L38" s="187">
        <f ca="1">IF(OR(Income_Statement!K10&lt;=0,Balance_Sheet!M13&lt;=0),0,IF(Sources_Uses!$L$45=0,(Income_Statement!K10/Balance_Sheet!M13),(Income_Statement!K10/AVERAGE(Balance_Sheet!M13,Balance_Sheet!L13))))</f>
        <v>0</v>
      </c>
      <c r="M38" s="187">
        <f ca="1">IF(OR(Income_Statement!L10&lt;=0,Balance_Sheet!N13&lt;=0),0,IF(Sources_Uses!$L$45=0,(Income_Statement!L10/Balance_Sheet!N13),(Income_Statement!L10/AVERAGE(Balance_Sheet!N13,Balance_Sheet!M13))))</f>
        <v>0</v>
      </c>
      <c r="N38" s="187">
        <f ca="1">IF(OR(Income_Statement!M10&lt;=0,Balance_Sheet!O13&lt;=0),0,IF(Sources_Uses!$L$45=0,(Income_Statement!M10/Balance_Sheet!O13),(Income_Statement!M10/AVERAGE(Balance_Sheet!O13,Balance_Sheet!N13))))</f>
        <v>0</v>
      </c>
      <c r="O38" s="187">
        <f ca="1">IF(OR(Income_Statement!N10&lt;=0,Balance_Sheet!P13&lt;=0),0,IF(Sources_Uses!$L$45=0,(Income_Statement!N10/Balance_Sheet!P13),(Income_Statement!N10/AVERAGE(Balance_Sheet!P13,Balance_Sheet!O13))))</f>
        <v>0</v>
      </c>
      <c r="P38" s="187">
        <f ca="1">IF(OR(Income_Statement!O10&lt;=0,Balance_Sheet!Q13&lt;=0),0,IF(Sources_Uses!$L$45=0,(Income_Statement!O10/Balance_Sheet!Q13),(Income_Statement!O10/AVERAGE(Balance_Sheet!Q13,Balance_Sheet!P13))))</f>
        <v>0</v>
      </c>
      <c r="Q38" s="187">
        <f ca="1">IF(OR(Income_Statement!P10&lt;=0,Balance_Sheet!R13&lt;=0),0,IF(Sources_Uses!$L$45=0,(Income_Statement!P10/Balance_Sheet!R13),(Income_Statement!P10/AVERAGE(Balance_Sheet!R13,Balance_Sheet!Q13))))</f>
        <v>0</v>
      </c>
      <c r="R38" s="187">
        <f ca="1">IF(OR(Income_Statement!Q10&lt;=0,Balance_Sheet!S13&lt;=0),0,IF(Sources_Uses!$L$45=0,(Income_Statement!Q10/Balance_Sheet!S13),(Income_Statement!Q10/AVERAGE(Balance_Sheet!S13,Balance_Sheet!R13))))</f>
        <v>0</v>
      </c>
      <c r="S38" s="187">
        <f ca="1">IF(OR(Income_Statement!R10&lt;=0,Balance_Sheet!T13&lt;=0),0,IF(Sources_Uses!$L$45=0,(Income_Statement!R10/Balance_Sheet!T13),(Income_Statement!R10/AVERAGE(Balance_Sheet!T13,Balance_Sheet!S13))))</f>
        <v>0</v>
      </c>
      <c r="T38" s="187">
        <f ca="1">IF(OR(Income_Statement!S10&lt;=0,Balance_Sheet!U13&lt;=0),0,IF(Sources_Uses!$L$45=0,(Income_Statement!S10/Balance_Sheet!U13),(Income_Statement!S10/AVERAGE(Balance_Sheet!U13,Balance_Sheet!T13))))</f>
        <v>0</v>
      </c>
      <c r="V38" s="42">
        <v>0</v>
      </c>
      <c r="W38" s="1" t="s">
        <v>354</v>
      </c>
    </row>
    <row r="39" spans="1:23" ht="15.75" x14ac:dyDescent="0.25">
      <c r="A39" s="1" t="s">
        <v>352</v>
      </c>
      <c r="D39" s="187">
        <f>IF(OR(Income_Statement!D10&lt;=0,Balance_Sheet!D14&lt;=0),0,IF(Sources_Uses!$L$45=0,(Income_Statement!D10/Balance_Sheet!D14),(Income_Statement!D10/AVERAGE(Balance_Sheet!D14,V39))))</f>
        <v>0</v>
      </c>
      <c r="E39" s="187">
        <f>IF(OR(Income_Statement!E10&lt;=0,Balance_Sheet!D14&lt;=0),0,IF(Sources_Uses!$L$45=0,(Income_Statement!E10/Balance_Sheet!D14),(Income_Statement!E10/AVERAGE(Balance_Sheet!D14,Balance_Sheet!E14))))</f>
        <v>0</v>
      </c>
      <c r="F39" s="187">
        <f>IF(OR(Income_Statement!F10&lt;=0,Balance_Sheet!E14&lt;=0),0,IF(Sources_Uses!$L$45=0,(Income_Statement!F10/Balance_Sheet!E14),(Income_Statement!F10/AVERAGE(Balance_Sheet!E14,Balance_Sheet!F14))))</f>
        <v>0</v>
      </c>
      <c r="G39" s="187">
        <f>IF(OR(Income_Statement!G10&lt;=0,Balance_Sheet!F14&lt;=0),0,IF(Sources_Uses!$L$45=0,(Income_Statement!G10/Balance_Sheet!F14),(Income_Statement!G10/AVERAGE(Balance_Sheet!F14,Balance_Sheet!G14))))</f>
        <v>0</v>
      </c>
      <c r="H39" s="187">
        <f>IF(OR(Income_Statement!H10&lt;=0,Balance_Sheet!G14&lt;=0),0,IF(Sources_Uses!$L$45=0,(Income_Statement!H10/Balance_Sheet!G14),(Income_Statement!H10/AVERAGE(Balance_Sheet!G14,Balance_Sheet!H14))))</f>
        <v>0</v>
      </c>
      <c r="J39" s="187"/>
      <c r="K39" s="187">
        <f ca="1">IF(OR(Income_Statement!J10&lt;=0,Balance_Sheet!L14&lt;=0),0,IF(Sources_Uses!$L$45=0,(Income_Statement!J10/Balance_Sheet!L14),(Income_Statement!J10/AVERAGE(Balance_Sheet!L14,Balance_Sheet!K14))))</f>
        <v>0</v>
      </c>
      <c r="L39" s="187">
        <f ca="1">IF(OR(Income_Statement!K10&lt;=0,Balance_Sheet!M14&lt;=0),0,IF(Sources_Uses!$L$45=0,(Income_Statement!K10/Balance_Sheet!M14),(Income_Statement!K10/AVERAGE(Balance_Sheet!M14,Balance_Sheet!L14))))</f>
        <v>0</v>
      </c>
      <c r="M39" s="187">
        <f ca="1">IF(OR(Income_Statement!L10&lt;=0,Balance_Sheet!N14&lt;=0),0,IF(Sources_Uses!$L$45=0,(Income_Statement!L10/Balance_Sheet!N14),(Income_Statement!L10/AVERAGE(Balance_Sheet!N14,Balance_Sheet!M14))))</f>
        <v>0</v>
      </c>
      <c r="N39" s="187">
        <f ca="1">IF(OR(Income_Statement!M10&lt;=0,Balance_Sheet!O14&lt;=0),0,IF(Sources_Uses!$L$45=0,(Income_Statement!M10/Balance_Sheet!O14),(Income_Statement!M10/AVERAGE(Balance_Sheet!O14,Balance_Sheet!N14))))</f>
        <v>0</v>
      </c>
      <c r="O39" s="187">
        <f ca="1">IF(OR(Income_Statement!N10&lt;=0,Balance_Sheet!P14&lt;=0),0,IF(Sources_Uses!$L$45=0,(Income_Statement!N10/Balance_Sheet!P14),(Income_Statement!N10/AVERAGE(Balance_Sheet!P14,Balance_Sheet!O14))))</f>
        <v>0</v>
      </c>
      <c r="P39" s="187">
        <f ca="1">IF(OR(Income_Statement!O10&lt;=0,Balance_Sheet!Q14&lt;=0),0,IF(Sources_Uses!$L$45=0,(Income_Statement!O10/Balance_Sheet!Q14),(Income_Statement!O10/AVERAGE(Balance_Sheet!Q14,Balance_Sheet!P14))))</f>
        <v>0</v>
      </c>
      <c r="Q39" s="187">
        <f ca="1">IF(OR(Income_Statement!P10&lt;=0,Balance_Sheet!R14&lt;=0),0,IF(Sources_Uses!$L$45=0,(Income_Statement!P10/Balance_Sheet!R14),(Income_Statement!P10/AVERAGE(Balance_Sheet!R14,Balance_Sheet!Q14))))</f>
        <v>0</v>
      </c>
      <c r="R39" s="187">
        <f ca="1">IF(OR(Income_Statement!Q10&lt;=0,Balance_Sheet!S14&lt;=0),0,IF(Sources_Uses!$L$45=0,(Income_Statement!Q10/Balance_Sheet!S14),(Income_Statement!Q10/AVERAGE(Balance_Sheet!S14,Balance_Sheet!R14))))</f>
        <v>0</v>
      </c>
      <c r="S39" s="187">
        <f ca="1">IF(OR(Income_Statement!R10&lt;=0,Balance_Sheet!T14&lt;=0),0,IF(Sources_Uses!$L$45=0,(Income_Statement!R10/Balance_Sheet!T14),(Income_Statement!R10/AVERAGE(Balance_Sheet!T14,Balance_Sheet!S14))))</f>
        <v>0</v>
      </c>
      <c r="T39" s="187">
        <f ca="1">IF(OR(Income_Statement!S10&lt;=0,Balance_Sheet!U14&lt;=0),0,IF(Sources_Uses!$L$45=0,(Income_Statement!S10/Balance_Sheet!U14),(Income_Statement!S10/AVERAGE(Balance_Sheet!U14,Balance_Sheet!T14))))</f>
        <v>0</v>
      </c>
      <c r="V39" s="44">
        <f>V37</f>
        <v>0</v>
      </c>
      <c r="W39" s="1" t="s">
        <v>88</v>
      </c>
    </row>
    <row r="40" spans="1:23" ht="15.75" x14ac:dyDescent="0.25">
      <c r="A40" s="1" t="s">
        <v>353</v>
      </c>
      <c r="D40" s="187">
        <f>IF(OR(Income_Statement!D10&lt;=0,Balance_Sheet!D43&lt;=0),0,IF(Sources_Uses!$L$45=0,(Income_Statement!D10/Balance_Sheet!D43),(Income_Statement!D10/AVERAGE(Balance_Sheet!D43,V40))))</f>
        <v>0</v>
      </c>
      <c r="E40" s="187">
        <f>IF(OR(Income_Statement!E10&lt;=0,Balance_Sheet!D43&lt;=0),0,IF(Sources_Uses!$L$45=0,(Income_Statement!E10/Balance_Sheet!D43),(Income_Statement!E10/AVERAGE(Balance_Sheet!D43,Balance_Sheet!E15))))</f>
        <v>0</v>
      </c>
      <c r="F40" s="187">
        <f>IF(OR(Income_Statement!F10&lt;=0,Balance_Sheet!E43&lt;=0),0,IF(Sources_Uses!$L$45=0,(Income_Statement!F10/Balance_Sheet!E43),(Income_Statement!F10/AVERAGE(Balance_Sheet!E43,Balance_Sheet!F15))))</f>
        <v>0</v>
      </c>
      <c r="G40" s="187">
        <f>IF(OR(Income_Statement!G10&lt;=0,Balance_Sheet!F43&lt;=0),0,IF(Sources_Uses!$L$45=0,(Income_Statement!G10/Balance_Sheet!F43),(Income_Statement!G10/AVERAGE(Balance_Sheet!F43,Balance_Sheet!G15))))</f>
        <v>0</v>
      </c>
      <c r="H40" s="187">
        <f>IF(OR(Income_Statement!H10&lt;=0,Balance_Sheet!G43&lt;=0),0,IF(Sources_Uses!$L$45=0,(Income_Statement!H10/Balance_Sheet!G43),(Income_Statement!H10/AVERAGE(Balance_Sheet!G43,Balance_Sheet!H15))))</f>
        <v>0</v>
      </c>
      <c r="J40" s="187"/>
      <c r="K40" s="187">
        <f ca="1">IF(OR(Income_Statement!J10&lt;=0,Balance_Sheet!L43&lt;=0),0,IF(Sources_Uses!$L$45=0,(Income_Statement!J10/Balance_Sheet!L43),(Income_Statement!J10/AVERAGE(Balance_Sheet!L43,Balance_Sheet!K15))))</f>
        <v>0</v>
      </c>
      <c r="L40" s="187">
        <f ca="1">IF(OR(Income_Statement!K10&lt;=0,Balance_Sheet!M43&lt;=0),0,IF(Sources_Uses!$L$45=0,(Income_Statement!K10/Balance_Sheet!M43),(Income_Statement!K10/AVERAGE(Balance_Sheet!M43,Balance_Sheet!L15))))</f>
        <v>0</v>
      </c>
      <c r="M40" s="187">
        <f ca="1">IF(OR(Income_Statement!L10&lt;=0,Balance_Sheet!N43&lt;=0),0,IF(Sources_Uses!$L$45=0,(Income_Statement!L10/Balance_Sheet!N43),(Income_Statement!L10/AVERAGE(Balance_Sheet!N43,Balance_Sheet!M15))))</f>
        <v>0</v>
      </c>
      <c r="N40" s="187">
        <f ca="1">IF(OR(Income_Statement!M10&lt;=0,Balance_Sheet!O43&lt;=0),0,IF(Sources_Uses!$L$45=0,(Income_Statement!M10/Balance_Sheet!O43),(Income_Statement!M10/AVERAGE(Balance_Sheet!O43,Balance_Sheet!N15))))</f>
        <v>0</v>
      </c>
      <c r="O40" s="187">
        <f ca="1">IF(OR(Income_Statement!N10&lt;=0,Balance_Sheet!P43&lt;=0),0,IF(Sources_Uses!$L$45=0,(Income_Statement!N10/Balance_Sheet!P43),(Income_Statement!N10/AVERAGE(Balance_Sheet!P43,Balance_Sheet!O15))))</f>
        <v>0</v>
      </c>
      <c r="P40" s="187">
        <f ca="1">IF(OR(Income_Statement!O10&lt;=0,Balance_Sheet!Q43&lt;=0),0,IF(Sources_Uses!$L$45=0,(Income_Statement!O10/Balance_Sheet!Q43),(Income_Statement!O10/AVERAGE(Balance_Sheet!Q43,Balance_Sheet!P15))))</f>
        <v>0</v>
      </c>
      <c r="Q40" s="187">
        <f ca="1">IF(OR(Income_Statement!P10&lt;=0,Balance_Sheet!R43&lt;=0),0,IF(Sources_Uses!$L$45=0,(Income_Statement!P10/Balance_Sheet!R43),(Income_Statement!P10/AVERAGE(Balance_Sheet!R43,Balance_Sheet!Q15))))</f>
        <v>0</v>
      </c>
      <c r="R40" s="187">
        <f ca="1">IF(OR(Income_Statement!Q10&lt;=0,Balance_Sheet!S43&lt;=0),0,IF(Sources_Uses!$L$45=0,(Income_Statement!Q10/Balance_Sheet!S43),(Income_Statement!Q10/AVERAGE(Balance_Sheet!S43,Balance_Sheet!R15))))</f>
        <v>0</v>
      </c>
      <c r="S40" s="187">
        <f ca="1">IF(OR(Income_Statement!R10&lt;=0,Balance_Sheet!T43&lt;=0),0,IF(Sources_Uses!$L$45=0,(Income_Statement!R10/Balance_Sheet!T43),(Income_Statement!R10/AVERAGE(Balance_Sheet!T43,Balance_Sheet!S15))))</f>
        <v>0</v>
      </c>
      <c r="T40" s="187">
        <f ca="1">IF(OR(Income_Statement!S10&lt;=0,Balance_Sheet!U43&lt;=0),0,IF(Sources_Uses!$L$45=0,(Income_Statement!S10/Balance_Sheet!U43),(Income_Statement!S10/AVERAGE(Balance_Sheet!U43,Balance_Sheet!T15))))</f>
        <v>0</v>
      </c>
      <c r="V40" s="42">
        <v>0</v>
      </c>
      <c r="W40" s="1" t="s">
        <v>355</v>
      </c>
    </row>
    <row r="42" spans="1:23" ht="15.75" x14ac:dyDescent="0.25">
      <c r="A42" s="12" t="s">
        <v>357</v>
      </c>
    </row>
    <row r="43" spans="1:23" x14ac:dyDescent="0.2">
      <c r="A43" s="1" t="s">
        <v>356</v>
      </c>
      <c r="D43" s="13">
        <f>Inc_Stmt_Assumptions!D10</f>
        <v>0</v>
      </c>
      <c r="E43" s="13">
        <f>Inc_Stmt_Assumptions!E10</f>
        <v>0</v>
      </c>
      <c r="F43" s="13">
        <f>Inc_Stmt_Assumptions!F10</f>
        <v>0</v>
      </c>
      <c r="G43" s="13">
        <f>Inc_Stmt_Assumptions!G10</f>
        <v>0</v>
      </c>
      <c r="H43" s="13">
        <f>Inc_Stmt_Assumptions!H10</f>
        <v>0</v>
      </c>
      <c r="I43" s="13"/>
      <c r="J43" s="13"/>
      <c r="K43" s="13">
        <f ca="1">Inc_Stmt_Assumptions!J10</f>
        <v>0</v>
      </c>
      <c r="L43" s="13">
        <f ca="1">Inc_Stmt_Assumptions!K10</f>
        <v>0</v>
      </c>
      <c r="M43" s="13">
        <f ca="1">Inc_Stmt_Assumptions!L10</f>
        <v>0</v>
      </c>
      <c r="N43" s="13">
        <f ca="1">Inc_Stmt_Assumptions!M10</f>
        <v>0</v>
      </c>
      <c r="O43" s="13">
        <f ca="1">Inc_Stmt_Assumptions!N10</f>
        <v>0</v>
      </c>
      <c r="P43" s="13">
        <f ca="1">Inc_Stmt_Assumptions!O10</f>
        <v>0</v>
      </c>
      <c r="Q43" s="13">
        <f ca="1">Inc_Stmt_Assumptions!P10</f>
        <v>0</v>
      </c>
      <c r="R43" s="13">
        <f ca="1">Inc_Stmt_Assumptions!Q10</f>
        <v>0</v>
      </c>
      <c r="S43" s="13">
        <f ca="1">Inc_Stmt_Assumptions!R10</f>
        <v>0</v>
      </c>
      <c r="T43" s="13">
        <f ca="1">Inc_Stmt_Assumptions!S10</f>
        <v>0</v>
      </c>
    </row>
    <row r="44" spans="1:23" x14ac:dyDescent="0.2">
      <c r="A44" s="1" t="s">
        <v>72</v>
      </c>
      <c r="D44" s="13">
        <f>Inc_Stmt_Assumptions!D14</f>
        <v>0</v>
      </c>
      <c r="E44" s="13">
        <f>Inc_Stmt_Assumptions!E14</f>
        <v>0</v>
      </c>
      <c r="F44" s="13">
        <f>Inc_Stmt_Assumptions!F14</f>
        <v>0</v>
      </c>
      <c r="G44" s="13">
        <f>Inc_Stmt_Assumptions!G14</f>
        <v>0</v>
      </c>
      <c r="H44" s="13">
        <f>Inc_Stmt_Assumptions!H14</f>
        <v>0</v>
      </c>
      <c r="I44" s="13"/>
      <c r="J44" s="13"/>
      <c r="K44" s="13">
        <f ca="1">Inc_Stmt_Assumptions!J14</f>
        <v>0</v>
      </c>
      <c r="L44" s="13">
        <f ca="1">Inc_Stmt_Assumptions!K14</f>
        <v>0</v>
      </c>
      <c r="M44" s="13">
        <f ca="1">Inc_Stmt_Assumptions!L14</f>
        <v>0</v>
      </c>
      <c r="N44" s="13">
        <f ca="1">Inc_Stmt_Assumptions!M14</f>
        <v>0</v>
      </c>
      <c r="O44" s="13">
        <f ca="1">Inc_Stmt_Assumptions!N14</f>
        <v>0</v>
      </c>
      <c r="P44" s="13">
        <f ca="1">Inc_Stmt_Assumptions!O14</f>
        <v>0</v>
      </c>
      <c r="Q44" s="13">
        <f ca="1">Inc_Stmt_Assumptions!P14</f>
        <v>0</v>
      </c>
      <c r="R44" s="13">
        <f ca="1">Inc_Stmt_Assumptions!Q14</f>
        <v>0</v>
      </c>
      <c r="S44" s="13">
        <f ca="1">Inc_Stmt_Assumptions!R14</f>
        <v>0</v>
      </c>
      <c r="T44" s="13">
        <f ca="1">Inc_Stmt_Assumptions!S14</f>
        <v>0</v>
      </c>
    </row>
    <row r="45" spans="1:23" x14ac:dyDescent="0.2">
      <c r="A45" s="1" t="s">
        <v>358</v>
      </c>
      <c r="D45" s="13">
        <f>Inc_Stmt_Assumptions!D23</f>
        <v>0</v>
      </c>
      <c r="E45" s="13">
        <f>Inc_Stmt_Assumptions!E23</f>
        <v>0</v>
      </c>
      <c r="F45" s="13">
        <f>Inc_Stmt_Assumptions!F23</f>
        <v>0</v>
      </c>
      <c r="G45" s="13">
        <f>Inc_Stmt_Assumptions!G23</f>
        <v>0</v>
      </c>
      <c r="H45" s="13">
        <f>Inc_Stmt_Assumptions!H23</f>
        <v>0</v>
      </c>
      <c r="I45" s="13"/>
      <c r="J45" s="13"/>
      <c r="K45" s="13">
        <f ca="1">Inc_Stmt_Assumptions!J14</f>
        <v>0</v>
      </c>
      <c r="L45" s="13">
        <f ca="1">Inc_Stmt_Assumptions!K14</f>
        <v>0</v>
      </c>
      <c r="M45" s="13">
        <f ca="1">Inc_Stmt_Assumptions!L14</f>
        <v>0</v>
      </c>
      <c r="N45" s="13">
        <f ca="1">Inc_Stmt_Assumptions!M14</f>
        <v>0</v>
      </c>
      <c r="O45" s="13">
        <f ca="1">Inc_Stmt_Assumptions!N14</f>
        <v>0</v>
      </c>
      <c r="P45" s="13">
        <f ca="1">Inc_Stmt_Assumptions!O14</f>
        <v>0</v>
      </c>
      <c r="Q45" s="13">
        <f ca="1">Inc_Stmt_Assumptions!P14</f>
        <v>0</v>
      </c>
      <c r="R45" s="13">
        <f ca="1">Inc_Stmt_Assumptions!Q14</f>
        <v>0</v>
      </c>
      <c r="S45" s="13">
        <f ca="1">Inc_Stmt_Assumptions!R14</f>
        <v>0</v>
      </c>
      <c r="T45" s="13">
        <f ca="1">Inc_Stmt_Assumptions!S14</f>
        <v>0</v>
      </c>
    </row>
    <row r="46" spans="1:23" x14ac:dyDescent="0.2">
      <c r="A46" s="1" t="s">
        <v>359</v>
      </c>
      <c r="D46" s="13">
        <f>Inc_Stmt_Assumptions!D25</f>
        <v>0</v>
      </c>
      <c r="E46" s="13">
        <f>Inc_Stmt_Assumptions!E25</f>
        <v>0</v>
      </c>
      <c r="F46" s="13">
        <f>Inc_Stmt_Assumptions!F25</f>
        <v>0</v>
      </c>
      <c r="G46" s="13">
        <f>Inc_Stmt_Assumptions!G25</f>
        <v>0</v>
      </c>
      <c r="H46" s="13">
        <f>Inc_Stmt_Assumptions!H25</f>
        <v>0</v>
      </c>
      <c r="I46" s="13"/>
      <c r="J46" s="13"/>
      <c r="K46" s="13">
        <f ca="1">Inc_Stmt_Assumptions!J25</f>
        <v>0</v>
      </c>
      <c r="L46" s="13">
        <f ca="1">Inc_Stmt_Assumptions!K25</f>
        <v>0</v>
      </c>
      <c r="M46" s="13">
        <f ca="1">Inc_Stmt_Assumptions!L25</f>
        <v>0</v>
      </c>
      <c r="N46" s="13">
        <f ca="1">Inc_Stmt_Assumptions!M25</f>
        <v>0</v>
      </c>
      <c r="O46" s="13">
        <f ca="1">Inc_Stmt_Assumptions!N25</f>
        <v>0</v>
      </c>
      <c r="P46" s="13">
        <f ca="1">Inc_Stmt_Assumptions!O25</f>
        <v>0</v>
      </c>
      <c r="Q46" s="13">
        <f ca="1">Inc_Stmt_Assumptions!P25</f>
        <v>0</v>
      </c>
      <c r="R46" s="13">
        <f ca="1">Inc_Stmt_Assumptions!Q25</f>
        <v>0</v>
      </c>
      <c r="S46" s="13">
        <f ca="1">Inc_Stmt_Assumptions!R25</f>
        <v>0</v>
      </c>
      <c r="T46" s="13">
        <f ca="1">Inc_Stmt_Assumptions!S25</f>
        <v>0</v>
      </c>
    </row>
    <row r="47" spans="1:23" x14ac:dyDescent="0.2">
      <c r="A47" s="1" t="s">
        <v>412</v>
      </c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</row>
    <row r="48" spans="1:23" x14ac:dyDescent="0.2"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</row>
    <row r="49" spans="1:20" x14ac:dyDescent="0.2"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</row>
    <row r="51" spans="1:20" ht="15.75" x14ac:dyDescent="0.25">
      <c r="A51" s="12" t="s">
        <v>409</v>
      </c>
    </row>
    <row r="52" spans="1:20" x14ac:dyDescent="0.2">
      <c r="A52" s="1" t="s">
        <v>410</v>
      </c>
      <c r="D52" s="187">
        <f>IF(Balance_Sheet!D51&gt;0,Balance_Sheet!D21/Balance_Sheet!D51,0)</f>
        <v>0</v>
      </c>
      <c r="E52" s="187">
        <f>IF(Balance_Sheet!E51&gt;0,Balance_Sheet!E21/Balance_Sheet!E51,0)</f>
        <v>0</v>
      </c>
      <c r="F52" s="187">
        <f>IF(Balance_Sheet!F51&gt;0,Balance_Sheet!F21/Balance_Sheet!F51,0)</f>
        <v>0</v>
      </c>
      <c r="G52" s="187">
        <f>IF(Balance_Sheet!G51&gt;0,Balance_Sheet!G21/Balance_Sheet!G51,0)</f>
        <v>0</v>
      </c>
      <c r="H52" s="187">
        <f>IF(Balance_Sheet!H51&gt;0,Balance_Sheet!H21/Balance_Sheet!H51,0)</f>
        <v>0</v>
      </c>
      <c r="K52" s="187">
        <f>IF(Balance_Sheet!K51&gt;0,Balance_Sheet!K21/Balance_Sheet!K51,0)</f>
        <v>0</v>
      </c>
      <c r="L52" s="187">
        <f ca="1">IF(Balance_Sheet!L51&gt;0,Balance_Sheet!L21/Balance_Sheet!L51,0)</f>
        <v>0</v>
      </c>
      <c r="M52" s="187">
        <f ca="1">IF(Balance_Sheet!M51&gt;0,Balance_Sheet!M21/Balance_Sheet!M51,0)</f>
        <v>0</v>
      </c>
      <c r="N52" s="187">
        <f ca="1">IF(Balance_Sheet!N51&gt;0,Balance_Sheet!N21/Balance_Sheet!N51,0)</f>
        <v>0</v>
      </c>
      <c r="O52" s="187">
        <f ca="1">IF(Balance_Sheet!O51&gt;0,Balance_Sheet!O21/Balance_Sheet!O51,0)</f>
        <v>0</v>
      </c>
      <c r="P52" s="187">
        <f ca="1">IF(Balance_Sheet!P51&gt;0,Balance_Sheet!P21/Balance_Sheet!P51,0)</f>
        <v>0</v>
      </c>
      <c r="Q52" s="187">
        <f ca="1">IF(Balance_Sheet!Q51&gt;0,Balance_Sheet!Q21/Balance_Sheet!Q51,0)</f>
        <v>0</v>
      </c>
      <c r="R52" s="187">
        <f ca="1">IF(Balance_Sheet!R51&gt;0,Balance_Sheet!R21/Balance_Sheet!R51,0)</f>
        <v>0</v>
      </c>
      <c r="S52" s="187">
        <f ca="1">IF(Balance_Sheet!S51&gt;0,Balance_Sheet!S21/Balance_Sheet!S51,0)</f>
        <v>0</v>
      </c>
      <c r="T52" s="187">
        <f ca="1">IF(Balance_Sheet!T51&gt;0,Balance_Sheet!T21/Balance_Sheet!T51,0)</f>
        <v>0</v>
      </c>
    </row>
    <row r="53" spans="1:20" x14ac:dyDescent="0.2">
      <c r="A53" s="1" t="s">
        <v>411</v>
      </c>
      <c r="D53" s="187">
        <f>IF(Balance_Sheet!D51&gt;0,(Balance_Sheet!D12+Balance_Sheet!D13)/Balance_Sheet!D51,0)</f>
        <v>0</v>
      </c>
      <c r="E53" s="187">
        <f>IF(Balance_Sheet!E51&gt;0,(Balance_Sheet!E12+Balance_Sheet!E13)/Balance_Sheet!E51,0)</f>
        <v>0</v>
      </c>
      <c r="F53" s="187">
        <f>IF(Balance_Sheet!F51&gt;0,(Balance_Sheet!F12+Balance_Sheet!F13)/Balance_Sheet!F51,0)</f>
        <v>0</v>
      </c>
      <c r="G53" s="187">
        <f>IF(Balance_Sheet!G51&gt;0,(Balance_Sheet!G12+Balance_Sheet!G13)/Balance_Sheet!G51,0)</f>
        <v>0</v>
      </c>
      <c r="H53" s="187">
        <f>IF(Balance_Sheet!H51&gt;0,(Balance_Sheet!H12+Balance_Sheet!H13)/Balance_Sheet!H51,0)</f>
        <v>0</v>
      </c>
      <c r="K53" s="187">
        <f>IF(Balance_Sheet!K51&gt;0,(Balance_Sheet!K12+Balance_Sheet!K13)/Balance_Sheet!K51,0)</f>
        <v>0</v>
      </c>
      <c r="L53" s="187">
        <f ca="1">IF(Balance_Sheet!L51&gt;0,(Balance_Sheet!L12+Balance_Sheet!L13)/Balance_Sheet!L51,0)</f>
        <v>0</v>
      </c>
      <c r="M53" s="187">
        <f ca="1">IF(Balance_Sheet!M51&gt;0,(Balance_Sheet!M12+Balance_Sheet!M13)/Balance_Sheet!M51,0)</f>
        <v>0</v>
      </c>
      <c r="N53" s="187">
        <f ca="1">IF(Balance_Sheet!N51&gt;0,(Balance_Sheet!N12+Balance_Sheet!N13)/Balance_Sheet!N51,0)</f>
        <v>0</v>
      </c>
      <c r="O53" s="187">
        <f ca="1">IF(Balance_Sheet!O51&gt;0,(Balance_Sheet!O12+Balance_Sheet!O13)/Balance_Sheet!O51,0)</f>
        <v>0</v>
      </c>
      <c r="P53" s="187">
        <f ca="1">IF(Balance_Sheet!P51&gt;0,(Balance_Sheet!P12+Balance_Sheet!P13)/Balance_Sheet!P51,0)</f>
        <v>0</v>
      </c>
      <c r="Q53" s="187">
        <f ca="1">IF(Balance_Sheet!Q51&gt;0,(Balance_Sheet!Q12+Balance_Sheet!Q13)/Balance_Sheet!Q51,0)</f>
        <v>0</v>
      </c>
      <c r="R53" s="187">
        <f ca="1">IF(Balance_Sheet!R51&gt;0,(Balance_Sheet!R12+Balance_Sheet!R13)/Balance_Sheet!R51,0)</f>
        <v>0</v>
      </c>
      <c r="S53" s="187">
        <f ca="1">IF(Balance_Sheet!S51&gt;0,(Balance_Sheet!S12+Balance_Sheet!S13)/Balance_Sheet!S51,0)</f>
        <v>0</v>
      </c>
      <c r="T53" s="187">
        <f ca="1">IF(Balance_Sheet!T51&gt;0,(Balance_Sheet!T12+Balance_Sheet!T13)/Balance_Sheet!T51,0)</f>
        <v>0</v>
      </c>
    </row>
  </sheetData>
  <mergeCells count="4">
    <mergeCell ref="D7:H7"/>
    <mergeCell ref="J7:T7"/>
    <mergeCell ref="A2:T2"/>
    <mergeCell ref="A3:T3"/>
  </mergeCells>
  <phoneticPr fontId="0" type="noConversion"/>
  <dataValidations disablePrompts="1" xWindow="251" yWindow="584" count="1">
    <dataValidation allowBlank="1" showInputMessage="1" showErrorMessage="1" promptTitle="Data Required" prompt="If an error message or zero appears here, the user must enter data in the field to the right of this sheet; this data will provide for the year prior to the first historical year." sqref="D32" xr:uid="{00000000-0002-0000-0700-000000000000}"/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T40"/>
  <sheetViews>
    <sheetView zoomScale="75" zoomScaleNormal="75" workbookViewId="0"/>
  </sheetViews>
  <sheetFormatPr defaultRowHeight="15" x14ac:dyDescent="0.2"/>
  <cols>
    <col min="1" max="1" width="13.7109375" style="1" customWidth="1"/>
    <col min="2" max="2" width="17.140625" style="1" customWidth="1"/>
    <col min="3" max="3" width="5.5703125" style="1" customWidth="1"/>
    <col min="4" max="8" width="9.140625" style="1"/>
    <col min="9" max="9" width="4.5703125" style="1" customWidth="1"/>
    <col min="10" max="18" width="9.140625" style="1"/>
    <col min="19" max="19" width="11.140625" style="1" customWidth="1"/>
    <col min="20" max="20" width="3.42578125" style="1" customWidth="1"/>
    <col min="21" max="16384" width="9.140625" style="1"/>
  </cols>
  <sheetData>
    <row r="1" spans="1:20" ht="20.25" customHeight="1" x14ac:dyDescent="0.25">
      <c r="A1" s="257" t="str">
        <f ca="1">Tax_Depreciation!A1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0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</row>
    <row r="3" spans="1:20" s="231" customFormat="1" ht="20.25" x14ac:dyDescent="0.3">
      <c r="A3" s="342" t="s">
        <v>402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</row>
    <row r="4" spans="1:20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15.75" x14ac:dyDescent="0.25">
      <c r="A5" s="4" t="str">
        <f ca="1">"Performance Case: "&amp;Sources_Uses!M44</f>
        <v>Performance Case: Base</v>
      </c>
    </row>
    <row r="6" spans="1:20" x14ac:dyDescent="0.2">
      <c r="A6" s="1" t="str">
        <f>Sources_Uses!B7</f>
        <v>(FYE January; $ in millions)</v>
      </c>
    </row>
    <row r="7" spans="1:20" x14ac:dyDescent="0.2">
      <c r="D7" s="343" t="s">
        <v>62</v>
      </c>
      <c r="E7" s="343"/>
      <c r="F7" s="343"/>
      <c r="G7" s="343"/>
      <c r="H7" s="343"/>
      <c r="J7" s="343" t="s">
        <v>68</v>
      </c>
      <c r="K7" s="343"/>
      <c r="L7" s="343"/>
      <c r="M7" s="343"/>
      <c r="N7" s="343"/>
      <c r="O7" s="343"/>
      <c r="P7" s="343"/>
      <c r="Q7" s="343"/>
      <c r="R7" s="343"/>
      <c r="S7" s="343"/>
    </row>
    <row r="8" spans="1:20" ht="15.75" x14ac:dyDescent="0.25">
      <c r="D8" s="5">
        <f>Balance_Sheet!D8:D8</f>
        <v>1995</v>
      </c>
      <c r="E8" s="6">
        <f>D8+1</f>
        <v>1996</v>
      </c>
      <c r="F8" s="6">
        <f>E8+1</f>
        <v>1997</v>
      </c>
      <c r="G8" s="6">
        <f>F8+1</f>
        <v>1998</v>
      </c>
      <c r="H8" s="7">
        <f>G8+1</f>
        <v>1999</v>
      </c>
      <c r="I8" s="8"/>
      <c r="J8" s="5">
        <f>H8+1</f>
        <v>2000</v>
      </c>
      <c r="K8" s="6">
        <f>J8+1</f>
        <v>2001</v>
      </c>
      <c r="L8" s="6">
        <f t="shared" ref="L8:S8" si="0">K8+1</f>
        <v>2002</v>
      </c>
      <c r="M8" s="6">
        <f t="shared" si="0"/>
        <v>2003</v>
      </c>
      <c r="N8" s="6">
        <f t="shared" si="0"/>
        <v>2004</v>
      </c>
      <c r="O8" s="6">
        <f t="shared" si="0"/>
        <v>2005</v>
      </c>
      <c r="P8" s="6">
        <f t="shared" si="0"/>
        <v>2006</v>
      </c>
      <c r="Q8" s="6">
        <f t="shared" si="0"/>
        <v>2007</v>
      </c>
      <c r="R8" s="6">
        <f t="shared" si="0"/>
        <v>2008</v>
      </c>
      <c r="S8" s="7">
        <f t="shared" si="0"/>
        <v>2009</v>
      </c>
    </row>
    <row r="10" spans="1:20" ht="15.75" x14ac:dyDescent="0.25">
      <c r="A10" s="4" t="str">
        <f>Balance_Sheet!A11</f>
        <v>Current Assets:</v>
      </c>
    </row>
    <row r="11" spans="1:20" x14ac:dyDescent="0.2">
      <c r="A11" s="1" t="str">
        <f>Balance_Sheet!A13&amp;" / Sales"</f>
        <v>Accounts Receivable / Sales</v>
      </c>
      <c r="D11" s="13">
        <f>IF(Income_Statement!D$10=0,0,Balance_Sheet!D13/Income_Statement!D$10)</f>
        <v>0</v>
      </c>
      <c r="E11" s="13">
        <f>IF(Income_Statement!E$10=0,0,Balance_Sheet!E13/Income_Statement!E$10)</f>
        <v>0</v>
      </c>
      <c r="F11" s="13">
        <f>IF(Income_Statement!F$10=0,0,Balance_Sheet!F13/Income_Statement!F$10)</f>
        <v>0</v>
      </c>
      <c r="G11" s="13">
        <f>IF(Income_Statement!G$10=0,0,Balance_Sheet!G13/Income_Statement!G$10)</f>
        <v>0</v>
      </c>
      <c r="H11" s="13">
        <f>IF(Income_Statement!H$10=0,0,Balance_Sheet!H13/Income_Statement!H$10)</f>
        <v>0</v>
      </c>
      <c r="J11" s="14">
        <f t="shared" ref="J11:J17" si="1">H11</f>
        <v>0</v>
      </c>
      <c r="K11" s="14">
        <f t="shared" ref="K11:K17" si="2">J11</f>
        <v>0</v>
      </c>
      <c r="L11" s="14">
        <f t="shared" ref="L11:S11" si="3">K11</f>
        <v>0</v>
      </c>
      <c r="M11" s="14">
        <f t="shared" si="3"/>
        <v>0</v>
      </c>
      <c r="N11" s="14">
        <f t="shared" si="3"/>
        <v>0</v>
      </c>
      <c r="O11" s="14">
        <f t="shared" si="3"/>
        <v>0</v>
      </c>
      <c r="P11" s="14">
        <f t="shared" si="3"/>
        <v>0</v>
      </c>
      <c r="Q11" s="14">
        <f t="shared" si="3"/>
        <v>0</v>
      </c>
      <c r="R11" s="14">
        <f t="shared" si="3"/>
        <v>0</v>
      </c>
      <c r="S11" s="14">
        <f t="shared" si="3"/>
        <v>0</v>
      </c>
    </row>
    <row r="12" spans="1:20" x14ac:dyDescent="0.2">
      <c r="A12" s="1" t="str">
        <f>Balance_Sheet!A14&amp;" / Sales"</f>
        <v>Inventories / Sales</v>
      </c>
      <c r="D12" s="13">
        <f>IF(Income_Statement!D$10=0,0,Balance_Sheet!D14/Income_Statement!D$10)</f>
        <v>0</v>
      </c>
      <c r="E12" s="13">
        <f>IF(Income_Statement!E$10=0,0,Balance_Sheet!E14/Income_Statement!E$10)</f>
        <v>0</v>
      </c>
      <c r="F12" s="13">
        <f>IF(Income_Statement!F$10=0,0,Balance_Sheet!F14/Income_Statement!F$10)</f>
        <v>0</v>
      </c>
      <c r="G12" s="13">
        <f>IF(Income_Statement!G$10=0,0,Balance_Sheet!G14/Income_Statement!G$10)</f>
        <v>0</v>
      </c>
      <c r="H12" s="13">
        <f>IF(Income_Statement!H$10=0,0,Balance_Sheet!H14/Income_Statement!H$10)</f>
        <v>0</v>
      </c>
      <c r="J12" s="14">
        <f t="shared" si="1"/>
        <v>0</v>
      </c>
      <c r="K12" s="14">
        <f t="shared" si="2"/>
        <v>0</v>
      </c>
      <c r="L12" s="14">
        <f t="shared" ref="L12:S12" si="4">K12</f>
        <v>0</v>
      </c>
      <c r="M12" s="14">
        <f t="shared" si="4"/>
        <v>0</v>
      </c>
      <c r="N12" s="14">
        <f t="shared" si="4"/>
        <v>0</v>
      </c>
      <c r="O12" s="14">
        <f t="shared" si="4"/>
        <v>0</v>
      </c>
      <c r="P12" s="14">
        <f t="shared" si="4"/>
        <v>0</v>
      </c>
      <c r="Q12" s="14">
        <f t="shared" si="4"/>
        <v>0</v>
      </c>
      <c r="R12" s="14">
        <f t="shared" si="4"/>
        <v>0</v>
      </c>
      <c r="S12" s="14">
        <f t="shared" si="4"/>
        <v>0</v>
      </c>
    </row>
    <row r="13" spans="1:20" x14ac:dyDescent="0.2">
      <c r="A13" s="1" t="str">
        <f>Balance_Sheet!A15&amp;" / Sales"</f>
        <v>Prepaid Expenses / Sales</v>
      </c>
      <c r="D13" s="13">
        <f>IF(Income_Statement!D$10=0,0,Balance_Sheet!D15/Income_Statement!D$10)</f>
        <v>0</v>
      </c>
      <c r="E13" s="13">
        <f>IF(Income_Statement!E$10=0,0,Balance_Sheet!E15/Income_Statement!E$10)</f>
        <v>0</v>
      </c>
      <c r="F13" s="13">
        <f>IF(Income_Statement!F$10=0,0,Balance_Sheet!F15/Income_Statement!F$10)</f>
        <v>0</v>
      </c>
      <c r="G13" s="13">
        <f>IF(Income_Statement!G$10=0,0,Balance_Sheet!G15/Income_Statement!G$10)</f>
        <v>0</v>
      </c>
      <c r="H13" s="13">
        <f>IF(Income_Statement!H$10=0,0,Balance_Sheet!H15/Income_Statement!H$10)</f>
        <v>0</v>
      </c>
      <c r="J13" s="14">
        <f t="shared" si="1"/>
        <v>0</v>
      </c>
      <c r="K13" s="14">
        <f t="shared" si="2"/>
        <v>0</v>
      </c>
      <c r="L13" s="14">
        <f t="shared" ref="L13:S17" si="5">K13</f>
        <v>0</v>
      </c>
      <c r="M13" s="14">
        <f t="shared" si="5"/>
        <v>0</v>
      </c>
      <c r="N13" s="14">
        <f t="shared" si="5"/>
        <v>0</v>
      </c>
      <c r="O13" s="14">
        <f t="shared" si="5"/>
        <v>0</v>
      </c>
      <c r="P13" s="14">
        <f t="shared" si="5"/>
        <v>0</v>
      </c>
      <c r="Q13" s="14">
        <f t="shared" si="5"/>
        <v>0</v>
      </c>
      <c r="R13" s="14">
        <f t="shared" si="5"/>
        <v>0</v>
      </c>
      <c r="S13" s="14">
        <f t="shared" si="5"/>
        <v>0</v>
      </c>
    </row>
    <row r="14" spans="1:20" x14ac:dyDescent="0.2">
      <c r="A14" s="1" t="str">
        <f>Balance_Sheet!A16&amp;" / Sales"</f>
        <v>Prepaid Income Taxes / Sales</v>
      </c>
      <c r="D14" s="13">
        <f>IF(Income_Statement!D$10=0,0,Balance_Sheet!D16/Income_Statement!D$10)</f>
        <v>0</v>
      </c>
      <c r="E14" s="13">
        <f>IF(Income_Statement!E$10=0,0,Balance_Sheet!E16/Income_Statement!E$10)</f>
        <v>0</v>
      </c>
      <c r="F14" s="13">
        <f>IF(Income_Statement!F$10=0,0,Balance_Sheet!F16/Income_Statement!F$10)</f>
        <v>0</v>
      </c>
      <c r="G14" s="13">
        <f>IF(Income_Statement!G$10=0,0,Balance_Sheet!G16/Income_Statement!G$10)</f>
        <v>0</v>
      </c>
      <c r="H14" s="13">
        <f>IF(Income_Statement!H$10=0,0,Balance_Sheet!H16/Income_Statement!H$10)</f>
        <v>0</v>
      </c>
      <c r="J14" s="14">
        <f t="shared" si="1"/>
        <v>0</v>
      </c>
      <c r="K14" s="14">
        <f t="shared" si="2"/>
        <v>0</v>
      </c>
      <c r="L14" s="14">
        <f t="shared" si="5"/>
        <v>0</v>
      </c>
      <c r="M14" s="14">
        <f t="shared" si="5"/>
        <v>0</v>
      </c>
      <c r="N14" s="14">
        <f t="shared" si="5"/>
        <v>0</v>
      </c>
      <c r="O14" s="14">
        <f t="shared" si="5"/>
        <v>0</v>
      </c>
      <c r="P14" s="14">
        <f t="shared" si="5"/>
        <v>0</v>
      </c>
      <c r="Q14" s="14">
        <f t="shared" si="5"/>
        <v>0</v>
      </c>
      <c r="R14" s="14">
        <f t="shared" si="5"/>
        <v>0</v>
      </c>
      <c r="S14" s="14">
        <f t="shared" si="5"/>
        <v>0</v>
      </c>
    </row>
    <row r="15" spans="1:20" x14ac:dyDescent="0.2">
      <c r="A15" s="1" t="str">
        <f>Balance_Sheet!A17&amp;" / Sales"</f>
        <v>Other Current Assets #1 / Sales</v>
      </c>
      <c r="D15" s="13">
        <f>IF(Income_Statement!D$10=0,0,Balance_Sheet!D17/Income_Statement!D$10)</f>
        <v>0</v>
      </c>
      <c r="E15" s="13">
        <f>IF(Income_Statement!E$10=0,0,Balance_Sheet!E17/Income_Statement!E$10)</f>
        <v>0</v>
      </c>
      <c r="F15" s="13">
        <f>IF(Income_Statement!F$10=0,0,Balance_Sheet!F17/Income_Statement!F$10)</f>
        <v>0</v>
      </c>
      <c r="G15" s="13">
        <f>IF(Income_Statement!G$10=0,0,Balance_Sheet!G17/Income_Statement!G$10)</f>
        <v>0</v>
      </c>
      <c r="H15" s="13">
        <f>IF(Income_Statement!H$10=0,0,Balance_Sheet!H17/Income_Statement!H$10)</f>
        <v>0</v>
      </c>
      <c r="J15" s="14">
        <f t="shared" si="1"/>
        <v>0</v>
      </c>
      <c r="K15" s="14">
        <f t="shared" si="2"/>
        <v>0</v>
      </c>
      <c r="L15" s="14">
        <f t="shared" si="5"/>
        <v>0</v>
      </c>
      <c r="M15" s="14">
        <f t="shared" si="5"/>
        <v>0</v>
      </c>
      <c r="N15" s="14">
        <f t="shared" si="5"/>
        <v>0</v>
      </c>
      <c r="O15" s="14">
        <f t="shared" si="5"/>
        <v>0</v>
      </c>
      <c r="P15" s="14">
        <f t="shared" si="5"/>
        <v>0</v>
      </c>
      <c r="Q15" s="14">
        <f t="shared" si="5"/>
        <v>0</v>
      </c>
      <c r="R15" s="14">
        <f t="shared" si="5"/>
        <v>0</v>
      </c>
      <c r="S15" s="14">
        <f t="shared" si="5"/>
        <v>0</v>
      </c>
    </row>
    <row r="16" spans="1:20" x14ac:dyDescent="0.2">
      <c r="A16" s="1" t="str">
        <f>Balance_Sheet!A18&amp;" / Sales"</f>
        <v>Other Current Assets #2 / Sales</v>
      </c>
      <c r="D16" s="13">
        <f>IF(Income_Statement!D$10=0,0,Balance_Sheet!D18/Income_Statement!D$10)</f>
        <v>0</v>
      </c>
      <c r="E16" s="13">
        <f>IF(Income_Statement!E$10=0,0,Balance_Sheet!E18/Income_Statement!E$10)</f>
        <v>0</v>
      </c>
      <c r="F16" s="13">
        <f>IF(Income_Statement!F$10=0,0,Balance_Sheet!F18/Income_Statement!F$10)</f>
        <v>0</v>
      </c>
      <c r="G16" s="13">
        <f>IF(Income_Statement!G$10=0,0,Balance_Sheet!G18/Income_Statement!G$10)</f>
        <v>0</v>
      </c>
      <c r="H16" s="13">
        <f>IF(Income_Statement!H$10=0,0,Balance_Sheet!H18/Income_Statement!H$10)</f>
        <v>0</v>
      </c>
      <c r="J16" s="14">
        <f t="shared" si="1"/>
        <v>0</v>
      </c>
      <c r="K16" s="14">
        <f t="shared" si="2"/>
        <v>0</v>
      </c>
      <c r="L16" s="14">
        <f t="shared" si="5"/>
        <v>0</v>
      </c>
      <c r="M16" s="14">
        <f t="shared" si="5"/>
        <v>0</v>
      </c>
      <c r="N16" s="14">
        <f t="shared" si="5"/>
        <v>0</v>
      </c>
      <c r="O16" s="14">
        <f t="shared" si="5"/>
        <v>0</v>
      </c>
      <c r="P16" s="14">
        <f t="shared" si="5"/>
        <v>0</v>
      </c>
      <c r="Q16" s="14">
        <f t="shared" si="5"/>
        <v>0</v>
      </c>
      <c r="R16" s="14">
        <f t="shared" si="5"/>
        <v>0</v>
      </c>
      <c r="S16" s="14">
        <f t="shared" si="5"/>
        <v>0</v>
      </c>
    </row>
    <row r="17" spans="1:19" x14ac:dyDescent="0.2">
      <c r="A17" s="1" t="str">
        <f>Balance_Sheet!A19&amp;" / Sales"</f>
        <v>Other Current Assets #3 / Sales</v>
      </c>
      <c r="D17" s="13">
        <f>IF(Income_Statement!D$10=0,0,Balance_Sheet!D19/Income_Statement!D$10)</f>
        <v>0</v>
      </c>
      <c r="E17" s="13">
        <f>IF(Income_Statement!E$10=0,0,Balance_Sheet!E19/Income_Statement!E$10)</f>
        <v>0</v>
      </c>
      <c r="F17" s="13">
        <f>IF(Income_Statement!F$10=0,0,Balance_Sheet!F19/Income_Statement!F$10)</f>
        <v>0</v>
      </c>
      <c r="G17" s="13">
        <f>IF(Income_Statement!G$10=0,0,Balance_Sheet!G19/Income_Statement!G$10)</f>
        <v>0</v>
      </c>
      <c r="H17" s="13">
        <f>IF(Income_Statement!H$10=0,0,Balance_Sheet!H19/Income_Statement!H$10)</f>
        <v>0</v>
      </c>
      <c r="J17" s="14">
        <f t="shared" si="1"/>
        <v>0</v>
      </c>
      <c r="K17" s="14">
        <f t="shared" si="2"/>
        <v>0</v>
      </c>
      <c r="L17" s="14">
        <f t="shared" si="5"/>
        <v>0</v>
      </c>
      <c r="M17" s="14">
        <f t="shared" si="5"/>
        <v>0</v>
      </c>
      <c r="N17" s="14">
        <f t="shared" si="5"/>
        <v>0</v>
      </c>
      <c r="O17" s="14">
        <f t="shared" si="5"/>
        <v>0</v>
      </c>
      <c r="P17" s="14">
        <f t="shared" si="5"/>
        <v>0</v>
      </c>
      <c r="Q17" s="14">
        <f t="shared" si="5"/>
        <v>0</v>
      </c>
      <c r="R17" s="14">
        <f t="shared" si="5"/>
        <v>0</v>
      </c>
      <c r="S17" s="14">
        <f t="shared" si="5"/>
        <v>0</v>
      </c>
    </row>
    <row r="19" spans="1:19" ht="15.75" x14ac:dyDescent="0.25">
      <c r="A19" s="4" t="str">
        <f>Balance_Sheet!A42</f>
        <v>Current Liabilities:</v>
      </c>
    </row>
    <row r="20" spans="1:19" x14ac:dyDescent="0.2">
      <c r="A20" s="1" t="str">
        <f>Balance_Sheet!A43&amp;" / Sales"</f>
        <v>Accounts Payable / Sales</v>
      </c>
      <c r="D20" s="13">
        <f>IF(Income_Statement!D$10=0,0,Balance_Sheet!D43/Income_Statement!D$10)</f>
        <v>0</v>
      </c>
      <c r="E20" s="13">
        <f>IF(Income_Statement!E$10=0,0,Balance_Sheet!E43/Income_Statement!E$10)</f>
        <v>0</v>
      </c>
      <c r="F20" s="13">
        <f>IF(Income_Statement!F$10=0,0,Balance_Sheet!F43/Income_Statement!F$10)</f>
        <v>0</v>
      </c>
      <c r="G20" s="13">
        <f>IF(Income_Statement!G$10=0,0,Balance_Sheet!G43/Income_Statement!G$10)</f>
        <v>0</v>
      </c>
      <c r="H20" s="13">
        <f>IF(Income_Statement!H$10=0,0,Balance_Sheet!H43/Income_Statement!H$10)</f>
        <v>0</v>
      </c>
      <c r="J20" s="14">
        <f t="shared" ref="J20:J26" si="6">H20</f>
        <v>0</v>
      </c>
      <c r="K20" s="14">
        <f>J20</f>
        <v>0</v>
      </c>
      <c r="L20" s="14">
        <f t="shared" ref="L20:S21" si="7">K20</f>
        <v>0</v>
      </c>
      <c r="M20" s="14">
        <f t="shared" si="7"/>
        <v>0</v>
      </c>
      <c r="N20" s="14">
        <f t="shared" si="7"/>
        <v>0</v>
      </c>
      <c r="O20" s="14">
        <f t="shared" si="7"/>
        <v>0</v>
      </c>
      <c r="P20" s="14">
        <f t="shared" si="7"/>
        <v>0</v>
      </c>
      <c r="Q20" s="14">
        <f t="shared" si="7"/>
        <v>0</v>
      </c>
      <c r="R20" s="14">
        <f t="shared" si="7"/>
        <v>0</v>
      </c>
      <c r="S20" s="14">
        <f t="shared" si="7"/>
        <v>0</v>
      </c>
    </row>
    <row r="21" spans="1:19" x14ac:dyDescent="0.2">
      <c r="A21" s="1" t="str">
        <f>Balance_Sheet!A44&amp;" / Sales"</f>
        <v>Accrued Expenses / Sales</v>
      </c>
      <c r="D21" s="13">
        <f>IF(Income_Statement!D$10=0,0,Balance_Sheet!D44/Income_Statement!D$10)</f>
        <v>0</v>
      </c>
      <c r="E21" s="13">
        <f>IF(Income_Statement!E$10=0,0,Balance_Sheet!E44/Income_Statement!E$10)</f>
        <v>0</v>
      </c>
      <c r="F21" s="13">
        <f>IF(Income_Statement!F$10=0,0,Balance_Sheet!F44/Income_Statement!F$10)</f>
        <v>0</v>
      </c>
      <c r="G21" s="13">
        <f>IF(Income_Statement!G$10=0,0,Balance_Sheet!G44/Income_Statement!G$10)</f>
        <v>0</v>
      </c>
      <c r="H21" s="13">
        <f>IF(Income_Statement!H$10=0,0,Balance_Sheet!H44/Income_Statement!H$10)</f>
        <v>0</v>
      </c>
      <c r="J21" s="14">
        <f t="shared" si="6"/>
        <v>0</v>
      </c>
      <c r="K21" s="14">
        <f>J21</f>
        <v>0</v>
      </c>
      <c r="L21" s="14">
        <f t="shared" si="7"/>
        <v>0</v>
      </c>
      <c r="M21" s="14">
        <f t="shared" si="7"/>
        <v>0</v>
      </c>
      <c r="N21" s="14">
        <f t="shared" si="7"/>
        <v>0</v>
      </c>
      <c r="O21" s="14">
        <f t="shared" si="7"/>
        <v>0</v>
      </c>
      <c r="P21" s="14">
        <f t="shared" si="7"/>
        <v>0</v>
      </c>
      <c r="Q21" s="14">
        <f t="shared" si="7"/>
        <v>0</v>
      </c>
      <c r="R21" s="14">
        <f t="shared" si="7"/>
        <v>0</v>
      </c>
      <c r="S21" s="14">
        <f t="shared" si="7"/>
        <v>0</v>
      </c>
    </row>
    <row r="22" spans="1:19" x14ac:dyDescent="0.2">
      <c r="A22" s="1" t="str">
        <f>Balance_Sheet!A45&amp;" / Sales"</f>
        <v>Dividend Payable / Sales</v>
      </c>
      <c r="D22" s="13">
        <f>IF(Income_Statement!D$10=0,0,Balance_Sheet!D45/Income_Statement!D$10)</f>
        <v>0</v>
      </c>
      <c r="E22" s="13">
        <f>IF(Income_Statement!E$10=0,0,Balance_Sheet!E45/Income_Statement!E$10)</f>
        <v>0</v>
      </c>
      <c r="F22" s="13">
        <f>IF(Income_Statement!F$10=0,0,Balance_Sheet!F45/Income_Statement!F$10)</f>
        <v>0</v>
      </c>
      <c r="G22" s="13">
        <f>IF(Income_Statement!G$10=0,0,Balance_Sheet!G45/Income_Statement!G$10)</f>
        <v>0</v>
      </c>
      <c r="H22" s="13">
        <f>IF(Income_Statement!H$10=0,0,Balance_Sheet!H45/Income_Statement!H$10)</f>
        <v>0</v>
      </c>
      <c r="J22" s="14">
        <f t="shared" si="6"/>
        <v>0</v>
      </c>
      <c r="K22" s="14">
        <f>J22</f>
        <v>0</v>
      </c>
      <c r="L22" s="14">
        <f t="shared" ref="L22:S24" si="8">K22</f>
        <v>0</v>
      </c>
      <c r="M22" s="14">
        <f t="shared" si="8"/>
        <v>0</v>
      </c>
      <c r="N22" s="14">
        <f t="shared" si="8"/>
        <v>0</v>
      </c>
      <c r="O22" s="14">
        <f t="shared" si="8"/>
        <v>0</v>
      </c>
      <c r="P22" s="14">
        <f t="shared" si="8"/>
        <v>0</v>
      </c>
      <c r="Q22" s="14">
        <f t="shared" si="8"/>
        <v>0</v>
      </c>
      <c r="R22" s="14">
        <f t="shared" si="8"/>
        <v>0</v>
      </c>
      <c r="S22" s="14">
        <f t="shared" si="8"/>
        <v>0</v>
      </c>
    </row>
    <row r="23" spans="1:19" x14ac:dyDescent="0.2">
      <c r="A23" s="1" t="str">
        <f>Balance_Sheet!A46&amp;" / Sales"</f>
        <v>Income Tax Payable / Sales</v>
      </c>
      <c r="D23" s="13">
        <f>IF(Income_Statement!D$10=0,0,Balance_Sheet!D46/Income_Statement!D$10)</f>
        <v>0</v>
      </c>
      <c r="E23" s="13">
        <f>IF(Income_Statement!E$10=0,0,Balance_Sheet!E46/Income_Statement!E$10)</f>
        <v>0</v>
      </c>
      <c r="F23" s="13">
        <f>IF(Income_Statement!F$10=0,0,Balance_Sheet!F46/Income_Statement!F$10)</f>
        <v>0</v>
      </c>
      <c r="G23" s="13">
        <f>IF(Income_Statement!G$10=0,0,Balance_Sheet!G46/Income_Statement!G$10)</f>
        <v>0</v>
      </c>
      <c r="H23" s="13">
        <f>IF(Income_Statement!H$10=0,0,Balance_Sheet!H46/Income_Statement!H$10)</f>
        <v>0</v>
      </c>
      <c r="J23" s="14">
        <f t="shared" si="6"/>
        <v>0</v>
      </c>
      <c r="K23" s="14">
        <f>J23</f>
        <v>0</v>
      </c>
      <c r="L23" s="14">
        <f t="shared" si="8"/>
        <v>0</v>
      </c>
      <c r="M23" s="14">
        <f t="shared" si="8"/>
        <v>0</v>
      </c>
      <c r="N23" s="14">
        <f t="shared" si="8"/>
        <v>0</v>
      </c>
      <c r="O23" s="14">
        <f t="shared" si="8"/>
        <v>0</v>
      </c>
      <c r="P23" s="14">
        <f t="shared" si="8"/>
        <v>0</v>
      </c>
      <c r="Q23" s="14">
        <f t="shared" si="8"/>
        <v>0</v>
      </c>
      <c r="R23" s="14">
        <f t="shared" si="8"/>
        <v>0</v>
      </c>
      <c r="S23" s="14">
        <f t="shared" si="8"/>
        <v>0</v>
      </c>
    </row>
    <row r="24" spans="1:19" x14ac:dyDescent="0.2">
      <c r="A24" s="1" t="str">
        <f>Balance_Sheet!A47&amp;" / Sales"</f>
        <v>Other Current Liabilities #1 / Sales</v>
      </c>
      <c r="D24" s="13">
        <f>IF(Income_Statement!D$10=0,0,Balance_Sheet!D47/Income_Statement!D$10)</f>
        <v>0</v>
      </c>
      <c r="E24" s="13">
        <f>IF(Income_Statement!E$10=0,0,Balance_Sheet!E47/Income_Statement!E$10)</f>
        <v>0</v>
      </c>
      <c r="F24" s="13">
        <f>IF(Income_Statement!F$10=0,0,Balance_Sheet!F47/Income_Statement!F$10)</f>
        <v>0</v>
      </c>
      <c r="G24" s="13">
        <f>IF(Income_Statement!G$10=0,0,Balance_Sheet!G47/Income_Statement!G$10)</f>
        <v>0</v>
      </c>
      <c r="H24" s="13">
        <f>IF(Income_Statement!H$10=0,0,Balance_Sheet!H47/Income_Statement!H$10)</f>
        <v>0</v>
      </c>
      <c r="J24" s="14">
        <f t="shared" si="6"/>
        <v>0</v>
      </c>
      <c r="K24" s="14">
        <f>J24</f>
        <v>0</v>
      </c>
      <c r="L24" s="14">
        <f t="shared" si="8"/>
        <v>0</v>
      </c>
      <c r="M24" s="14">
        <f t="shared" si="8"/>
        <v>0</v>
      </c>
      <c r="N24" s="14">
        <f t="shared" si="8"/>
        <v>0</v>
      </c>
      <c r="O24" s="14">
        <f t="shared" si="8"/>
        <v>0</v>
      </c>
      <c r="P24" s="14">
        <f t="shared" si="8"/>
        <v>0</v>
      </c>
      <c r="Q24" s="14">
        <f t="shared" si="8"/>
        <v>0</v>
      </c>
      <c r="R24" s="14">
        <f t="shared" si="8"/>
        <v>0</v>
      </c>
      <c r="S24" s="14">
        <f t="shared" si="8"/>
        <v>0</v>
      </c>
    </row>
    <row r="25" spans="1:19" x14ac:dyDescent="0.2">
      <c r="A25" s="1" t="str">
        <f>Balance_Sheet!A48&amp;" / Sales"</f>
        <v>Other Current Liabilities #2 / Sales</v>
      </c>
      <c r="D25" s="13">
        <f>IF(Income_Statement!D$10=0,0,Balance_Sheet!D48/Income_Statement!D$10)</f>
        <v>0</v>
      </c>
      <c r="E25" s="13">
        <f>IF(Income_Statement!E$10=0,0,Balance_Sheet!E48/Income_Statement!E$10)</f>
        <v>0</v>
      </c>
      <c r="F25" s="13">
        <f>IF(Income_Statement!F$10=0,0,Balance_Sheet!F48/Income_Statement!F$10)</f>
        <v>0</v>
      </c>
      <c r="G25" s="13">
        <f>IF(Income_Statement!G$10=0,0,Balance_Sheet!G48/Income_Statement!G$10)</f>
        <v>0</v>
      </c>
      <c r="H25" s="13">
        <f>IF(Income_Statement!H$10=0,0,Balance_Sheet!H48/Income_Statement!H$10)</f>
        <v>0</v>
      </c>
      <c r="J25" s="14">
        <f t="shared" si="6"/>
        <v>0</v>
      </c>
      <c r="K25" s="14">
        <f t="shared" ref="K25:S25" si="9">J25</f>
        <v>0</v>
      </c>
      <c r="L25" s="14">
        <f t="shared" si="9"/>
        <v>0</v>
      </c>
      <c r="M25" s="14">
        <f t="shared" si="9"/>
        <v>0</v>
      </c>
      <c r="N25" s="14">
        <f t="shared" si="9"/>
        <v>0</v>
      </c>
      <c r="O25" s="14">
        <f t="shared" si="9"/>
        <v>0</v>
      </c>
      <c r="P25" s="14">
        <f t="shared" si="9"/>
        <v>0</v>
      </c>
      <c r="Q25" s="14">
        <f t="shared" si="9"/>
        <v>0</v>
      </c>
      <c r="R25" s="14">
        <f t="shared" si="9"/>
        <v>0</v>
      </c>
      <c r="S25" s="14">
        <f t="shared" si="9"/>
        <v>0</v>
      </c>
    </row>
    <row r="26" spans="1:19" x14ac:dyDescent="0.2">
      <c r="A26" s="1" t="str">
        <f>Balance_Sheet!A49&amp;" / Sales"</f>
        <v>Other Current Liabilities #3 / Sales</v>
      </c>
      <c r="D26" s="13">
        <f>IF(Income_Statement!D$10=0,0,Balance_Sheet!D49/Income_Statement!D$10)</f>
        <v>0</v>
      </c>
      <c r="E26" s="13">
        <f>IF(Income_Statement!E$10=0,0,Balance_Sheet!E49/Income_Statement!E$10)</f>
        <v>0</v>
      </c>
      <c r="F26" s="13">
        <f>IF(Income_Statement!F$10=0,0,Balance_Sheet!F49/Income_Statement!F$10)</f>
        <v>0</v>
      </c>
      <c r="G26" s="13">
        <f>IF(Income_Statement!G$10=0,0,Balance_Sheet!G49/Income_Statement!G$10)</f>
        <v>0</v>
      </c>
      <c r="H26" s="13">
        <f>IF(Income_Statement!H$10=0,0,Balance_Sheet!H49/Income_Statement!H$10)</f>
        <v>0</v>
      </c>
      <c r="J26" s="14">
        <f t="shared" si="6"/>
        <v>0</v>
      </c>
      <c r="K26" s="14">
        <f t="shared" ref="K26:S26" si="10">J26</f>
        <v>0</v>
      </c>
      <c r="L26" s="14">
        <f t="shared" si="10"/>
        <v>0</v>
      </c>
      <c r="M26" s="14">
        <f t="shared" si="10"/>
        <v>0</v>
      </c>
      <c r="N26" s="14">
        <f t="shared" si="10"/>
        <v>0</v>
      </c>
      <c r="O26" s="14">
        <f t="shared" si="10"/>
        <v>0</v>
      </c>
      <c r="P26" s="14">
        <f t="shared" si="10"/>
        <v>0</v>
      </c>
      <c r="Q26" s="14">
        <f t="shared" si="10"/>
        <v>0</v>
      </c>
      <c r="R26" s="14">
        <f t="shared" si="10"/>
        <v>0</v>
      </c>
      <c r="S26" s="14">
        <f t="shared" si="10"/>
        <v>0</v>
      </c>
    </row>
    <row r="28" spans="1:19" ht="15.75" x14ac:dyDescent="0.25">
      <c r="A28" s="4" t="s">
        <v>320</v>
      </c>
    </row>
    <row r="29" spans="1:19" x14ac:dyDescent="0.2">
      <c r="A29" s="1" t="str">
        <f>Balance_Sheet!A25&amp;" / Sales"</f>
        <v>Other Assets #1 / Sales</v>
      </c>
      <c r="D29" s="13">
        <f>IF(Income_Statement!D$10=0,0,Balance_Sheet!D25/Income_Statement!D$10)</f>
        <v>0</v>
      </c>
      <c r="E29" s="13">
        <f>IF(Income_Statement!E$10=0,0,Balance_Sheet!E25/Income_Statement!E$10)</f>
        <v>0</v>
      </c>
      <c r="F29" s="13">
        <f>IF(Income_Statement!F$10=0,0,Balance_Sheet!F25/Income_Statement!F$10)</f>
        <v>0</v>
      </c>
      <c r="G29" s="13">
        <f>IF(Income_Statement!G$10=0,0,Balance_Sheet!G25/Income_Statement!G$10)</f>
        <v>0</v>
      </c>
      <c r="H29" s="13">
        <f>IF(Income_Statement!H$10=0,0,Balance_Sheet!H25/Income_Statement!H$10)</f>
        <v>0</v>
      </c>
      <c r="J29" s="14">
        <f t="shared" ref="J29:J34" si="11">H29</f>
        <v>0</v>
      </c>
      <c r="K29" s="14">
        <f>J29</f>
        <v>0</v>
      </c>
      <c r="L29" s="14">
        <f t="shared" ref="L29:S29" si="12">K29</f>
        <v>0</v>
      </c>
      <c r="M29" s="14">
        <f t="shared" si="12"/>
        <v>0</v>
      </c>
      <c r="N29" s="14">
        <f t="shared" si="12"/>
        <v>0</v>
      </c>
      <c r="O29" s="14">
        <f t="shared" si="12"/>
        <v>0</v>
      </c>
      <c r="P29" s="14">
        <f t="shared" si="12"/>
        <v>0</v>
      </c>
      <c r="Q29" s="14">
        <f t="shared" si="12"/>
        <v>0</v>
      </c>
      <c r="R29" s="14">
        <f t="shared" si="12"/>
        <v>0</v>
      </c>
      <c r="S29" s="14">
        <f t="shared" si="12"/>
        <v>0</v>
      </c>
    </row>
    <row r="30" spans="1:19" x14ac:dyDescent="0.2">
      <c r="A30" s="1" t="str">
        <f>Balance_Sheet!A26&amp;" / Sales"</f>
        <v>Other Assets #2 / Sales</v>
      </c>
      <c r="D30" s="13">
        <f>IF(Income_Statement!D$10=0,0,Balance_Sheet!D26/Income_Statement!D$10)</f>
        <v>0</v>
      </c>
      <c r="E30" s="13">
        <f>IF(Income_Statement!E$10=0,0,Balance_Sheet!E26/Income_Statement!E$10)</f>
        <v>0</v>
      </c>
      <c r="F30" s="13">
        <f>IF(Income_Statement!F$10=0,0,Balance_Sheet!F26/Income_Statement!F$10)</f>
        <v>0</v>
      </c>
      <c r="G30" s="13">
        <f>IF(Income_Statement!G$10=0,0,Balance_Sheet!G26/Income_Statement!G$10)</f>
        <v>0</v>
      </c>
      <c r="H30" s="13">
        <f>IF(Income_Statement!H$10=0,0,Balance_Sheet!H26/Income_Statement!H$10)</f>
        <v>0</v>
      </c>
      <c r="J30" s="14">
        <f t="shared" si="11"/>
        <v>0</v>
      </c>
      <c r="K30" s="14">
        <f>J30</f>
        <v>0</v>
      </c>
      <c r="L30" s="14">
        <f t="shared" ref="L30:S32" si="13">K30</f>
        <v>0</v>
      </c>
      <c r="M30" s="14">
        <f t="shared" si="13"/>
        <v>0</v>
      </c>
      <c r="N30" s="14">
        <f t="shared" si="13"/>
        <v>0</v>
      </c>
      <c r="O30" s="14">
        <f t="shared" si="13"/>
        <v>0</v>
      </c>
      <c r="P30" s="14">
        <f t="shared" si="13"/>
        <v>0</v>
      </c>
      <c r="Q30" s="14">
        <f t="shared" si="13"/>
        <v>0</v>
      </c>
      <c r="R30" s="14">
        <f t="shared" si="13"/>
        <v>0</v>
      </c>
      <c r="S30" s="14">
        <f t="shared" si="13"/>
        <v>0</v>
      </c>
    </row>
    <row r="31" spans="1:19" x14ac:dyDescent="0.2">
      <c r="A31" s="1" t="str">
        <f>Balance_Sheet!A27&amp;" / Sales"</f>
        <v>Other Assets #3 / Sales</v>
      </c>
      <c r="D31" s="13">
        <f>IF(Income_Statement!D$10=0,0,Balance_Sheet!D27/Income_Statement!D$10)</f>
        <v>0</v>
      </c>
      <c r="E31" s="13">
        <f>IF(Income_Statement!E$10=0,0,Balance_Sheet!E27/Income_Statement!E$10)</f>
        <v>0</v>
      </c>
      <c r="F31" s="13">
        <f>IF(Income_Statement!F$10=0,0,Balance_Sheet!F27/Income_Statement!F$10)</f>
        <v>0</v>
      </c>
      <c r="G31" s="13">
        <f>IF(Income_Statement!G$10=0,0,Balance_Sheet!G27/Income_Statement!G$10)</f>
        <v>0</v>
      </c>
      <c r="H31" s="13">
        <f>IF(Income_Statement!H$10=0,0,Balance_Sheet!H27/Income_Statement!H$10)</f>
        <v>0</v>
      </c>
      <c r="J31" s="14">
        <f t="shared" si="11"/>
        <v>0</v>
      </c>
      <c r="K31" s="14">
        <f>J31</f>
        <v>0</v>
      </c>
      <c r="L31" s="14">
        <f t="shared" si="13"/>
        <v>0</v>
      </c>
      <c r="M31" s="14">
        <f t="shared" si="13"/>
        <v>0</v>
      </c>
      <c r="N31" s="14">
        <f t="shared" si="13"/>
        <v>0</v>
      </c>
      <c r="O31" s="14">
        <f t="shared" si="13"/>
        <v>0</v>
      </c>
      <c r="P31" s="14">
        <f t="shared" si="13"/>
        <v>0</v>
      </c>
      <c r="Q31" s="14">
        <f t="shared" si="13"/>
        <v>0</v>
      </c>
      <c r="R31" s="14">
        <f t="shared" si="13"/>
        <v>0</v>
      </c>
      <c r="S31" s="14">
        <f t="shared" si="13"/>
        <v>0</v>
      </c>
    </row>
    <row r="32" spans="1:19" x14ac:dyDescent="0.2">
      <c r="A32" s="1" t="str">
        <f>Balance_Sheet!A30&amp;" / Sales"</f>
        <v>Other NC Assets #1 / Sales</v>
      </c>
      <c r="D32" s="13">
        <f>IF(Income_Statement!D$10=0,0,Balance_Sheet!D30/Income_Statement!D$10)</f>
        <v>0</v>
      </c>
      <c r="E32" s="13">
        <f>IF(Income_Statement!E$10=0,0,Balance_Sheet!E30/Income_Statement!E$10)</f>
        <v>0</v>
      </c>
      <c r="F32" s="13">
        <f>IF(Income_Statement!F$10=0,0,Balance_Sheet!F30/Income_Statement!F$10)</f>
        <v>0</v>
      </c>
      <c r="G32" s="13">
        <f>IF(Income_Statement!G$10=0,0,Balance_Sheet!G30/Income_Statement!G$10)</f>
        <v>0</v>
      </c>
      <c r="H32" s="13">
        <f>IF(Income_Statement!H$10=0,0,Balance_Sheet!H30/Income_Statement!H$10)</f>
        <v>0</v>
      </c>
      <c r="J32" s="14">
        <f t="shared" si="11"/>
        <v>0</v>
      </c>
      <c r="K32" s="14">
        <f>J32</f>
        <v>0</v>
      </c>
      <c r="L32" s="14">
        <f t="shared" si="13"/>
        <v>0</v>
      </c>
      <c r="M32" s="14">
        <f t="shared" si="13"/>
        <v>0</v>
      </c>
      <c r="N32" s="14">
        <f t="shared" si="13"/>
        <v>0</v>
      </c>
      <c r="O32" s="14">
        <f t="shared" si="13"/>
        <v>0</v>
      </c>
      <c r="P32" s="14">
        <f t="shared" si="13"/>
        <v>0</v>
      </c>
      <c r="Q32" s="14">
        <f t="shared" si="13"/>
        <v>0</v>
      </c>
      <c r="R32" s="14">
        <f t="shared" si="13"/>
        <v>0</v>
      </c>
      <c r="S32" s="14">
        <f t="shared" si="13"/>
        <v>0</v>
      </c>
    </row>
    <row r="33" spans="1:19" x14ac:dyDescent="0.2">
      <c r="A33" s="1" t="str">
        <f>Balance_Sheet!A31&amp;" / Sales"</f>
        <v>Other NC Assets #2 / Sales</v>
      </c>
      <c r="D33" s="13">
        <f>IF(Income_Statement!D$10=0,0,Balance_Sheet!D31/Income_Statement!D$10)</f>
        <v>0</v>
      </c>
      <c r="E33" s="13">
        <f>IF(Income_Statement!E$10=0,0,Balance_Sheet!E31/Income_Statement!E$10)</f>
        <v>0</v>
      </c>
      <c r="F33" s="13">
        <f>IF(Income_Statement!F$10=0,0,Balance_Sheet!F31/Income_Statement!F$10)</f>
        <v>0</v>
      </c>
      <c r="G33" s="13">
        <f>IF(Income_Statement!G$10=0,0,Balance_Sheet!G31/Income_Statement!G$10)</f>
        <v>0</v>
      </c>
      <c r="H33" s="13">
        <f>IF(Income_Statement!H$10=0,0,Balance_Sheet!H31/Income_Statement!H$10)</f>
        <v>0</v>
      </c>
      <c r="J33" s="14">
        <f t="shared" si="11"/>
        <v>0</v>
      </c>
      <c r="K33" s="14">
        <f t="shared" ref="K33:S33" si="14">J33</f>
        <v>0</v>
      </c>
      <c r="L33" s="14">
        <f t="shared" si="14"/>
        <v>0</v>
      </c>
      <c r="M33" s="14">
        <f t="shared" si="14"/>
        <v>0</v>
      </c>
      <c r="N33" s="14">
        <f t="shared" si="14"/>
        <v>0</v>
      </c>
      <c r="O33" s="14">
        <f t="shared" si="14"/>
        <v>0</v>
      </c>
      <c r="P33" s="14">
        <f t="shared" si="14"/>
        <v>0</v>
      </c>
      <c r="Q33" s="14">
        <f t="shared" si="14"/>
        <v>0</v>
      </c>
      <c r="R33" s="14">
        <f t="shared" si="14"/>
        <v>0</v>
      </c>
      <c r="S33" s="14">
        <f t="shared" si="14"/>
        <v>0</v>
      </c>
    </row>
    <row r="34" spans="1:19" x14ac:dyDescent="0.2">
      <c r="A34" s="1" t="str">
        <f>Balance_Sheet!A32&amp;" / Sales"</f>
        <v>Other NC Assets #3 / Sales</v>
      </c>
      <c r="D34" s="13">
        <f>IF(Income_Statement!D$10=0,0,Balance_Sheet!D32/Income_Statement!D$10)</f>
        <v>0</v>
      </c>
      <c r="E34" s="13">
        <f>IF(Income_Statement!E$10=0,0,Balance_Sheet!E32/Income_Statement!E$10)</f>
        <v>0</v>
      </c>
      <c r="F34" s="13">
        <f>IF(Income_Statement!F$10=0,0,Balance_Sheet!F32/Income_Statement!F$10)</f>
        <v>0</v>
      </c>
      <c r="G34" s="13">
        <f>IF(Income_Statement!G$10=0,0,Balance_Sheet!G32/Income_Statement!G$10)</f>
        <v>0</v>
      </c>
      <c r="H34" s="13">
        <f>IF(Income_Statement!H$10=0,0,Balance_Sheet!H32/Income_Statement!H$10)</f>
        <v>0</v>
      </c>
      <c r="J34" s="14">
        <f t="shared" si="11"/>
        <v>0</v>
      </c>
      <c r="K34" s="14">
        <f t="shared" ref="K34:S34" si="15">J34</f>
        <v>0</v>
      </c>
      <c r="L34" s="14">
        <f t="shared" si="15"/>
        <v>0</v>
      </c>
      <c r="M34" s="14">
        <f t="shared" si="15"/>
        <v>0</v>
      </c>
      <c r="N34" s="14">
        <f t="shared" si="15"/>
        <v>0</v>
      </c>
      <c r="O34" s="14">
        <f t="shared" si="15"/>
        <v>0</v>
      </c>
      <c r="P34" s="14">
        <f t="shared" si="15"/>
        <v>0</v>
      </c>
      <c r="Q34" s="14">
        <f t="shared" si="15"/>
        <v>0</v>
      </c>
      <c r="R34" s="14">
        <f t="shared" si="15"/>
        <v>0</v>
      </c>
      <c r="S34" s="14">
        <f t="shared" si="15"/>
        <v>0</v>
      </c>
    </row>
    <row r="36" spans="1:19" x14ac:dyDescent="0.2">
      <c r="A36" s="1" t="str">
        <f>Balance_Sheet!A55&amp;" / Sales"</f>
        <v>Other Deferred Liability #2 / Sales</v>
      </c>
      <c r="D36" s="13">
        <f>IF(Income_Statement!D$10=0,0,Balance_Sheet!D55/Income_Statement!D$10)</f>
        <v>0</v>
      </c>
      <c r="E36" s="13">
        <f>IF(Income_Statement!E$10=0,0,Balance_Sheet!E55/Income_Statement!E$10)</f>
        <v>0</v>
      </c>
      <c r="F36" s="13">
        <f>IF(Income_Statement!F$10=0,0,Balance_Sheet!F55/Income_Statement!F$10)</f>
        <v>0</v>
      </c>
      <c r="G36" s="13">
        <f>IF(Income_Statement!G$10=0,0,Balance_Sheet!G55/Income_Statement!G$10)</f>
        <v>0</v>
      </c>
      <c r="H36" s="13">
        <f>IF(Income_Statement!H$10=0,0,Balance_Sheet!H55/Income_Statement!H$10)</f>
        <v>0</v>
      </c>
      <c r="J36" s="14">
        <f>H36</f>
        <v>0</v>
      </c>
      <c r="K36" s="14">
        <f>J36</f>
        <v>0</v>
      </c>
      <c r="L36" s="14">
        <f t="shared" ref="L36:S37" si="16">K36</f>
        <v>0</v>
      </c>
      <c r="M36" s="14">
        <f t="shared" si="16"/>
        <v>0</v>
      </c>
      <c r="N36" s="14">
        <f t="shared" si="16"/>
        <v>0</v>
      </c>
      <c r="O36" s="14">
        <f t="shared" si="16"/>
        <v>0</v>
      </c>
      <c r="P36" s="14">
        <f t="shared" si="16"/>
        <v>0</v>
      </c>
      <c r="Q36" s="14">
        <f t="shared" si="16"/>
        <v>0</v>
      </c>
      <c r="R36" s="14">
        <f t="shared" si="16"/>
        <v>0</v>
      </c>
      <c r="S36" s="14">
        <f t="shared" si="16"/>
        <v>0</v>
      </c>
    </row>
    <row r="37" spans="1:19" x14ac:dyDescent="0.2">
      <c r="A37" s="1" t="str">
        <f>Balance_Sheet!A56&amp;" / Sales"</f>
        <v>Minority Interest / Sales</v>
      </c>
      <c r="D37" s="13">
        <f>IF(Income_Statement!D$10=0,0,Balance_Sheet!D56/Income_Statement!D$10)</f>
        <v>0</v>
      </c>
      <c r="E37" s="13">
        <f>IF(Income_Statement!E$10=0,0,Balance_Sheet!E56/Income_Statement!E$10)</f>
        <v>0</v>
      </c>
      <c r="F37" s="13">
        <f>IF(Income_Statement!F$10=0,0,Balance_Sheet!F56/Income_Statement!F$10)</f>
        <v>0</v>
      </c>
      <c r="G37" s="13">
        <f>IF(Income_Statement!G$10=0,0,Balance_Sheet!G56/Income_Statement!G$10)</f>
        <v>0</v>
      </c>
      <c r="H37" s="13">
        <f>IF(Income_Statement!H$10=0,0,Balance_Sheet!H56/Income_Statement!H$10)</f>
        <v>0</v>
      </c>
      <c r="J37" s="14">
        <f>H37</f>
        <v>0</v>
      </c>
      <c r="K37" s="14">
        <f>J37</f>
        <v>0</v>
      </c>
      <c r="L37" s="14">
        <f t="shared" si="16"/>
        <v>0</v>
      </c>
      <c r="M37" s="14">
        <f t="shared" si="16"/>
        <v>0</v>
      </c>
      <c r="N37" s="14">
        <f t="shared" si="16"/>
        <v>0</v>
      </c>
      <c r="O37" s="14">
        <f t="shared" si="16"/>
        <v>0</v>
      </c>
      <c r="P37" s="14">
        <f t="shared" si="16"/>
        <v>0</v>
      </c>
      <c r="Q37" s="14">
        <f t="shared" si="16"/>
        <v>0</v>
      </c>
      <c r="R37" s="14">
        <f t="shared" si="16"/>
        <v>0</v>
      </c>
      <c r="S37" s="14">
        <f t="shared" si="16"/>
        <v>0</v>
      </c>
    </row>
    <row r="39" spans="1:19" x14ac:dyDescent="0.2">
      <c r="F39" s="13"/>
      <c r="G39" s="13"/>
      <c r="H39" s="13"/>
      <c r="J39" s="14"/>
      <c r="K39" s="14"/>
      <c r="L39" s="14"/>
      <c r="M39" s="14"/>
      <c r="N39" s="14"/>
      <c r="O39" s="14"/>
      <c r="P39" s="14"/>
      <c r="Q39" s="14"/>
      <c r="R39" s="14"/>
      <c r="S39" s="14"/>
    </row>
    <row r="40" spans="1:19" x14ac:dyDescent="0.2">
      <c r="J40" s="55"/>
      <c r="K40" s="55"/>
      <c r="L40" s="55"/>
      <c r="M40" s="55"/>
      <c r="N40" s="55"/>
      <c r="O40" s="55"/>
      <c r="P40" s="55"/>
      <c r="Q40" s="55"/>
      <c r="R40" s="55"/>
      <c r="S40" s="55"/>
    </row>
  </sheetData>
  <mergeCells count="4">
    <mergeCell ref="D7:H7"/>
    <mergeCell ref="J7:S7"/>
    <mergeCell ref="A2:T2"/>
    <mergeCell ref="A3:T3"/>
  </mergeCells>
  <phoneticPr fontId="0" type="noConversion"/>
  <printOptions horizontalCentered="1" verticalCentered="1"/>
  <pageMargins left="0.75" right="0.75" top="1" bottom="1" header="0.5" footer="0.5"/>
  <pageSetup scale="68" orientation="landscape" horizontalDpi="300" verticalDpi="300" r:id="rId1"/>
  <headerFooter alignWithMargins="0">
    <oddHeader>&amp;L&amp;D&amp;T&amp;C&amp;P&amp;N&amp;R&amp;F&amp;A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S44"/>
  <sheetViews>
    <sheetView zoomScale="75" zoomScaleNormal="75" workbookViewId="0"/>
  </sheetViews>
  <sheetFormatPr defaultRowHeight="15" x14ac:dyDescent="0.2"/>
  <cols>
    <col min="1" max="1" width="13.7109375" style="1" customWidth="1"/>
    <col min="2" max="2" width="32" style="1" customWidth="1"/>
    <col min="3" max="3" width="4.5703125" style="1" customWidth="1"/>
    <col min="4" max="4" width="11" style="1" customWidth="1"/>
    <col min="5" max="8" width="9.140625" style="1"/>
    <col min="9" max="9" width="4.5703125" style="1" customWidth="1"/>
    <col min="10" max="19" width="9.140625" style="1"/>
    <col min="20" max="20" width="2.42578125" style="1" customWidth="1"/>
    <col min="21" max="16384" width="9.140625" style="1"/>
  </cols>
  <sheetData>
    <row r="1" spans="1:19" ht="20.25" customHeight="1" x14ac:dyDescent="0.25">
      <c r="A1" s="257" t="str">
        <f ca="1">WC_BS_Assumptions!A1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9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s="231" customFormat="1" ht="20.25" x14ac:dyDescent="0.3">
      <c r="A3" s="342" t="s">
        <v>67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</row>
    <row r="4" spans="1:19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ht="15.75" x14ac:dyDescent="0.25">
      <c r="A5" s="4" t="str">
        <f ca="1">"Performance Case: "&amp;Sources_Uses!M44</f>
        <v>Performance Case: Base</v>
      </c>
    </row>
    <row r="6" spans="1:19" x14ac:dyDescent="0.2">
      <c r="A6" s="1" t="str">
        <f>Sources_Uses!B7</f>
        <v>(FYE January; $ in millions)</v>
      </c>
    </row>
    <row r="7" spans="1:19" x14ac:dyDescent="0.2">
      <c r="D7" s="343" t="s">
        <v>62</v>
      </c>
      <c r="E7" s="343"/>
      <c r="F7" s="343"/>
      <c r="G7" s="343"/>
      <c r="H7" s="343"/>
      <c r="J7" s="343" t="s">
        <v>68</v>
      </c>
      <c r="K7" s="343"/>
      <c r="L7" s="343"/>
      <c r="M7" s="343"/>
      <c r="N7" s="343"/>
      <c r="O7" s="343"/>
      <c r="P7" s="343"/>
      <c r="Q7" s="343"/>
      <c r="R7" s="343"/>
      <c r="S7" s="343"/>
    </row>
    <row r="8" spans="1:19" ht="15.75" x14ac:dyDescent="0.25">
      <c r="D8" s="5">
        <f>Balance_Sheet!D8</f>
        <v>1995</v>
      </c>
      <c r="E8" s="6">
        <f>D8+1</f>
        <v>1996</v>
      </c>
      <c r="F8" s="6">
        <f>E8+1</f>
        <v>1997</v>
      </c>
      <c r="G8" s="6">
        <f>F8+1</f>
        <v>1998</v>
      </c>
      <c r="H8" s="7">
        <f>G8+1</f>
        <v>1999</v>
      </c>
      <c r="I8" s="8"/>
      <c r="J8" s="5">
        <f>H8+1</f>
        <v>2000</v>
      </c>
      <c r="K8" s="6">
        <f>J8+1</f>
        <v>2001</v>
      </c>
      <c r="L8" s="6">
        <f t="shared" ref="L8:S8" si="0">K8+1</f>
        <v>2002</v>
      </c>
      <c r="M8" s="6">
        <f t="shared" si="0"/>
        <v>2003</v>
      </c>
      <c r="N8" s="6">
        <f t="shared" si="0"/>
        <v>2004</v>
      </c>
      <c r="O8" s="6">
        <f t="shared" si="0"/>
        <v>2005</v>
      </c>
      <c r="P8" s="6">
        <f t="shared" si="0"/>
        <v>2006</v>
      </c>
      <c r="Q8" s="6">
        <f t="shared" si="0"/>
        <v>2007</v>
      </c>
      <c r="R8" s="6">
        <f t="shared" si="0"/>
        <v>2008</v>
      </c>
      <c r="S8" s="7">
        <f t="shared" si="0"/>
        <v>2009</v>
      </c>
    </row>
    <row r="10" spans="1:19" ht="15.75" x14ac:dyDescent="0.25">
      <c r="A10" s="4" t="s">
        <v>63</v>
      </c>
      <c r="D10" s="14">
        <v>0</v>
      </c>
      <c r="E10" s="13">
        <f>IF(Income_Statement!D10=0,0,(Income_Statement!E10-Income_Statement!D10)/Income_Statement!D10)</f>
        <v>0</v>
      </c>
      <c r="F10" s="13">
        <f>IF(Income_Statement!E10=0,0,(Income_Statement!F10-Income_Statement!E10)/Income_Statement!E10)</f>
        <v>0</v>
      </c>
      <c r="G10" s="13">
        <f>IF(Income_Statement!F10=0,0,(Income_Statement!G10-Income_Statement!F10)/Income_Statement!F10)</f>
        <v>0</v>
      </c>
      <c r="H10" s="13">
        <f>IF(Income_Statement!G10=0,0,(Income_Statement!H10-Income_Statement!G10)/Income_Statement!G10)</f>
        <v>0</v>
      </c>
      <c r="J10" s="13">
        <f ca="1">OFFSET(Performance_Assumptions!E12,Case,0,1,1)</f>
        <v>0</v>
      </c>
      <c r="K10" s="13">
        <f ca="1">OFFSET(Performance_Assumptions!F12,Case,0,1,1)</f>
        <v>0</v>
      </c>
      <c r="L10" s="13">
        <f ca="1">OFFSET(Performance_Assumptions!G12,Case,0,1,1)</f>
        <v>0</v>
      </c>
      <c r="M10" s="13">
        <f ca="1">OFFSET(Performance_Assumptions!H12,Case,0,1,1)</f>
        <v>0</v>
      </c>
      <c r="N10" s="13">
        <f ca="1">OFFSET(Performance_Assumptions!I12,Case,0,1,1)</f>
        <v>0</v>
      </c>
      <c r="O10" s="13">
        <f ca="1">OFFSET(Performance_Assumptions!J12,Case,0,1,1)</f>
        <v>0</v>
      </c>
      <c r="P10" s="13">
        <f ca="1">OFFSET(Performance_Assumptions!K12,Case,0,1,1)</f>
        <v>0</v>
      </c>
      <c r="Q10" s="13">
        <f ca="1">OFFSET(Performance_Assumptions!L12,Case,0,1,1)</f>
        <v>0</v>
      </c>
      <c r="R10" s="13">
        <f ca="1">OFFSET(Performance_Assumptions!M12,Case,0,1,1)</f>
        <v>0</v>
      </c>
      <c r="S10" s="13">
        <f ca="1">OFFSET(Performance_Assumptions!N12,Case,0,1,1)</f>
        <v>0</v>
      </c>
    </row>
    <row r="11" spans="1:19" x14ac:dyDescent="0.2">
      <c r="A11" s="59"/>
    </row>
    <row r="12" spans="1:19" x14ac:dyDescent="0.2">
      <c r="A12" s="1" t="str">
        <f>Income_Statement!A12&amp;" / Sales"</f>
        <v>Cost Of Goods Sold / Sales</v>
      </c>
      <c r="D12" s="41">
        <f>IF(Income_Statement!D10=0,0,Income_Statement!D12/Income_Statement!D10)</f>
        <v>0</v>
      </c>
      <c r="E12" s="41">
        <f>IF(Income_Statement!E10=0,0,Income_Statement!E12/Income_Statement!E10)</f>
        <v>0</v>
      </c>
      <c r="F12" s="41">
        <f>IF(Income_Statement!F10=0,0,Income_Statement!F12/Income_Statement!F10)</f>
        <v>0</v>
      </c>
      <c r="G12" s="41">
        <f>IF(Income_Statement!G10=0,0,Income_Statement!G12/Income_Statement!G10)</f>
        <v>0</v>
      </c>
      <c r="H12" s="41">
        <f>IF(Income_Statement!H10=0,0,Income_Statement!H12/Income_Statement!H10)</f>
        <v>0</v>
      </c>
      <c r="J12" s="41">
        <f ca="1">OFFSET(Performance_Assumptions!E16,Case,0,1,1)</f>
        <v>0</v>
      </c>
      <c r="K12" s="41">
        <f ca="1">OFFSET(Performance_Assumptions!F16,Case,0,1,1)</f>
        <v>0</v>
      </c>
      <c r="L12" s="41">
        <f ca="1">OFFSET(Performance_Assumptions!G16,Case,0,1,1)</f>
        <v>0</v>
      </c>
      <c r="M12" s="41">
        <f ca="1">OFFSET(Performance_Assumptions!H16,Case,0,1,1)</f>
        <v>0</v>
      </c>
      <c r="N12" s="41">
        <f ca="1">OFFSET(Performance_Assumptions!I16,Case,0,1,1)</f>
        <v>0</v>
      </c>
      <c r="O12" s="41">
        <f ca="1">OFFSET(Performance_Assumptions!J16,Case,0,1,1)</f>
        <v>0</v>
      </c>
      <c r="P12" s="41">
        <f ca="1">OFFSET(Performance_Assumptions!K16,Case,0,1,1)</f>
        <v>0</v>
      </c>
      <c r="Q12" s="41">
        <f ca="1">OFFSET(Performance_Assumptions!L16,Case,0,1,1)</f>
        <v>0</v>
      </c>
      <c r="R12" s="41">
        <f ca="1">OFFSET(Performance_Assumptions!M16,Case,0,1,1)</f>
        <v>0</v>
      </c>
      <c r="S12" s="41">
        <f ca="1">OFFSET(Performance_Assumptions!N16,Case,0,1,1)</f>
        <v>0</v>
      </c>
    </row>
    <row r="13" spans="1:19" x14ac:dyDescent="0.2">
      <c r="A13" s="59"/>
    </row>
    <row r="14" spans="1:19" ht="15.75" x14ac:dyDescent="0.25">
      <c r="A14" s="4" t="str">
        <f>Income_Statement!A14</f>
        <v>Gross Margin</v>
      </c>
      <c r="D14" s="13">
        <f>IF(Income_Statement!D10=0,0,Income_Statement!D14/Income_Statement!D10)</f>
        <v>0</v>
      </c>
      <c r="E14" s="13">
        <f>IF(Income_Statement!E10=0,0,Income_Statement!E14/Income_Statement!E10)</f>
        <v>0</v>
      </c>
      <c r="F14" s="13">
        <f>IF(Income_Statement!F10=0,0,Income_Statement!F14/Income_Statement!F10)</f>
        <v>0</v>
      </c>
      <c r="G14" s="13">
        <f>IF(Income_Statement!G10=0,0,Income_Statement!G14/Income_Statement!G10)</f>
        <v>0</v>
      </c>
      <c r="H14" s="13">
        <f>IF(Income_Statement!H10=0,0,Income_Statement!H14/Income_Statement!H10)</f>
        <v>0</v>
      </c>
      <c r="J14" s="13">
        <f ca="1">IF(Income_Statement!J10=0,0,Income_Statement!J14/Income_Statement!J10)</f>
        <v>0</v>
      </c>
      <c r="K14" s="13">
        <f ca="1">IF(Income_Statement!K10=0,0,Income_Statement!K14/Income_Statement!K10)</f>
        <v>0</v>
      </c>
      <c r="L14" s="13">
        <f ca="1">IF(Income_Statement!L10=0,0,Income_Statement!L14/Income_Statement!L10)</f>
        <v>0</v>
      </c>
      <c r="M14" s="13">
        <f ca="1">IF(Income_Statement!M10=0,0,Income_Statement!M14/Income_Statement!M10)</f>
        <v>0</v>
      </c>
      <c r="N14" s="13">
        <f ca="1">IF(Income_Statement!N10=0,0,Income_Statement!N14/Income_Statement!N10)</f>
        <v>0</v>
      </c>
      <c r="O14" s="13">
        <f ca="1">IF(Income_Statement!O10=0,0,Income_Statement!O14/Income_Statement!O10)</f>
        <v>0</v>
      </c>
      <c r="P14" s="13">
        <f ca="1">IF(Income_Statement!P10=0,0,Income_Statement!P14/Income_Statement!P10)</f>
        <v>0</v>
      </c>
      <c r="Q14" s="13">
        <f ca="1">IF(Income_Statement!Q10=0,0,Income_Statement!Q14/Income_Statement!Q10)</f>
        <v>0</v>
      </c>
      <c r="R14" s="13">
        <f ca="1">IF(Income_Statement!R10=0,0,Income_Statement!R14/Income_Statement!R10)</f>
        <v>0</v>
      </c>
      <c r="S14" s="13">
        <f ca="1">IF(Income_Statement!S10=0,0,Income_Statement!S14/Income_Statement!S10)</f>
        <v>0</v>
      </c>
    </row>
    <row r="15" spans="1:19" x14ac:dyDescent="0.2">
      <c r="A15" s="59"/>
    </row>
    <row r="16" spans="1:19" ht="15.75" x14ac:dyDescent="0.25">
      <c r="A16" s="4" t="s">
        <v>73</v>
      </c>
    </row>
    <row r="17" spans="1:19" x14ac:dyDescent="0.2">
      <c r="A17" s="63" t="str">
        <f>Income_Statement!A17</f>
        <v>SG&amp;A</v>
      </c>
      <c r="D17" s="13">
        <f>IF(Income_Statement!D$10=0,0,Income_Statement!D17/Income_Statement!D$10)</f>
        <v>0</v>
      </c>
      <c r="E17" s="13">
        <f>IF(Income_Statement!E$10=0,0,Income_Statement!E17/Income_Statement!E$10)</f>
        <v>0</v>
      </c>
      <c r="F17" s="13">
        <f>IF(Income_Statement!F$10=0,0,Income_Statement!F17/Income_Statement!F$10)</f>
        <v>0</v>
      </c>
      <c r="G17" s="13">
        <f>IF(Income_Statement!G$10=0,0,Income_Statement!G17/Income_Statement!G$10)</f>
        <v>0</v>
      </c>
      <c r="H17" s="13">
        <f>IF(Income_Statement!H$10=0,0,Income_Statement!H17/Income_Statement!H$10)</f>
        <v>0</v>
      </c>
      <c r="J17" s="13">
        <f ca="1">OFFSET(Performance_Assumptions!E20,Case,0,1,1)</f>
        <v>0</v>
      </c>
      <c r="K17" s="13">
        <f ca="1">OFFSET(Performance_Assumptions!F20,Case,0,1,1)</f>
        <v>0</v>
      </c>
      <c r="L17" s="13">
        <f ca="1">OFFSET(Performance_Assumptions!G20,Case,0,1,1)</f>
        <v>0</v>
      </c>
      <c r="M17" s="13">
        <f ca="1">OFFSET(Performance_Assumptions!H20,Case,0,1,1)</f>
        <v>0</v>
      </c>
      <c r="N17" s="13">
        <f ca="1">OFFSET(Performance_Assumptions!I20,Case,0,1,1)</f>
        <v>0</v>
      </c>
      <c r="O17" s="13">
        <f ca="1">OFFSET(Performance_Assumptions!J20,Case,0,1,1)</f>
        <v>0</v>
      </c>
      <c r="P17" s="13">
        <f ca="1">OFFSET(Performance_Assumptions!K20,Case,0,1,1)</f>
        <v>0</v>
      </c>
      <c r="Q17" s="13">
        <f ca="1">OFFSET(Performance_Assumptions!L20,Case,0,1,1)</f>
        <v>0</v>
      </c>
      <c r="R17" s="13">
        <f ca="1">OFFSET(Performance_Assumptions!M20,Case,0,1,1)</f>
        <v>0</v>
      </c>
      <c r="S17" s="13">
        <f ca="1">OFFSET(Performance_Assumptions!N20,Case,0,1,1)</f>
        <v>0</v>
      </c>
    </row>
    <row r="18" spans="1:19" x14ac:dyDescent="0.2">
      <c r="A18" s="63" t="str">
        <f>Income_Statement!A18</f>
        <v>Other Expense #1</v>
      </c>
      <c r="D18" s="13">
        <f>IF(Income_Statement!D$10=0,0,Income_Statement!D18/Income_Statement!D$10)</f>
        <v>0</v>
      </c>
      <c r="E18" s="13">
        <f>IF(Income_Statement!E$10=0,0,Income_Statement!E18/Income_Statement!E$10)</f>
        <v>0</v>
      </c>
      <c r="F18" s="13">
        <f>IF(Income_Statement!F$10=0,0,Income_Statement!F18/Income_Statement!F$10)</f>
        <v>0</v>
      </c>
      <c r="G18" s="13">
        <f>IF(Income_Statement!G$10=0,0,Income_Statement!G18/Income_Statement!G$10)</f>
        <v>0</v>
      </c>
      <c r="H18" s="13">
        <f>IF(Income_Statement!H$10=0,0,Income_Statement!H18/Income_Statement!H$10)</f>
        <v>0</v>
      </c>
      <c r="J18" s="13">
        <f ca="1">OFFSET(Performance_Assumptions!E24,Case,0,1,1)</f>
        <v>0</v>
      </c>
      <c r="K18" s="13">
        <f ca="1">OFFSET(Performance_Assumptions!F24,Case,0,1,1)</f>
        <v>0</v>
      </c>
      <c r="L18" s="13">
        <f ca="1">OFFSET(Performance_Assumptions!G24,Case,0,1,1)</f>
        <v>0</v>
      </c>
      <c r="M18" s="13">
        <f ca="1">OFFSET(Performance_Assumptions!H24,Case,0,1,1)</f>
        <v>0</v>
      </c>
      <c r="N18" s="13">
        <f ca="1">OFFSET(Performance_Assumptions!I24,Case,0,1,1)</f>
        <v>0</v>
      </c>
      <c r="O18" s="13">
        <f ca="1">OFFSET(Performance_Assumptions!J24,Case,0,1,1)</f>
        <v>0</v>
      </c>
      <c r="P18" s="13">
        <f ca="1">OFFSET(Performance_Assumptions!K24,Case,0,1,1)</f>
        <v>0</v>
      </c>
      <c r="Q18" s="13">
        <f ca="1">OFFSET(Performance_Assumptions!L24,Case,0,1,1)</f>
        <v>0</v>
      </c>
      <c r="R18" s="13">
        <f ca="1">OFFSET(Performance_Assumptions!M24,Case,0,1,1)</f>
        <v>0</v>
      </c>
      <c r="S18" s="13">
        <f ca="1">OFFSET(Performance_Assumptions!N24,Case,0,1,1)</f>
        <v>0</v>
      </c>
    </row>
    <row r="19" spans="1:19" x14ac:dyDescent="0.2">
      <c r="A19" s="63" t="str">
        <f>Income_Statement!A19</f>
        <v>Other Expense #2</v>
      </c>
      <c r="D19" s="13">
        <f>IF(Income_Statement!D$10=0,0,Income_Statement!D19/Income_Statement!D$10)</f>
        <v>0</v>
      </c>
      <c r="E19" s="13">
        <f>IF(Income_Statement!E$10=0,0,Income_Statement!E19/Income_Statement!E$10)</f>
        <v>0</v>
      </c>
      <c r="F19" s="13">
        <f>IF(Income_Statement!F$10=0,0,Income_Statement!F19/Income_Statement!F$10)</f>
        <v>0</v>
      </c>
      <c r="G19" s="13">
        <f>IF(Income_Statement!G$10=0,0,Income_Statement!G19/Income_Statement!G$10)</f>
        <v>0</v>
      </c>
      <c r="H19" s="13">
        <f>IF(Income_Statement!H$10=0,0,Income_Statement!H19/Income_Statement!H$10)</f>
        <v>0</v>
      </c>
      <c r="J19" s="13">
        <f ca="1">OFFSET(Performance_Assumptions!E28,Case,0,1,1)</f>
        <v>0</v>
      </c>
      <c r="K19" s="13">
        <f ca="1">OFFSET(Performance_Assumptions!F28,Case,0,1,1)</f>
        <v>0</v>
      </c>
      <c r="L19" s="13">
        <f ca="1">OFFSET(Performance_Assumptions!G28,Case,0,1,1)</f>
        <v>0</v>
      </c>
      <c r="M19" s="13">
        <f ca="1">OFFSET(Performance_Assumptions!H28,Case,0,1,1)</f>
        <v>0</v>
      </c>
      <c r="N19" s="13">
        <f ca="1">OFFSET(Performance_Assumptions!I28,Case,0,1,1)</f>
        <v>0</v>
      </c>
      <c r="O19" s="13">
        <f ca="1">OFFSET(Performance_Assumptions!J28,Case,0,1,1)</f>
        <v>0</v>
      </c>
      <c r="P19" s="13">
        <f ca="1">OFFSET(Performance_Assumptions!K28,Case,0,1,1)</f>
        <v>0</v>
      </c>
      <c r="Q19" s="13">
        <f ca="1">OFFSET(Performance_Assumptions!L28,Case,0,1,1)</f>
        <v>0</v>
      </c>
      <c r="R19" s="13">
        <f ca="1">OFFSET(Performance_Assumptions!M28,Case,0,1,1)</f>
        <v>0</v>
      </c>
      <c r="S19" s="13">
        <f ca="1">OFFSET(Performance_Assumptions!N28,Case,0,1,1)</f>
        <v>0</v>
      </c>
    </row>
    <row r="20" spans="1:19" x14ac:dyDescent="0.2">
      <c r="A20" s="63" t="str">
        <f>Income_Statement!A20</f>
        <v>Other Expense #3</v>
      </c>
      <c r="D20" s="13">
        <f>IF(Income_Statement!D$10=0,0,Income_Statement!D20/Income_Statement!D$10)</f>
        <v>0</v>
      </c>
      <c r="E20" s="13">
        <f>IF(Income_Statement!E$10=0,0,Income_Statement!E20/Income_Statement!E$10)</f>
        <v>0</v>
      </c>
      <c r="F20" s="13">
        <f>IF(Income_Statement!F$10=0,0,Income_Statement!F20/Income_Statement!F$10)</f>
        <v>0</v>
      </c>
      <c r="G20" s="13">
        <f>IF(Income_Statement!G$10=0,0,Income_Statement!G20/Income_Statement!G$10)</f>
        <v>0</v>
      </c>
      <c r="H20" s="13">
        <f>IF(Income_Statement!H$10=0,0,Income_Statement!H20/Income_Statement!H$10)</f>
        <v>0</v>
      </c>
      <c r="J20" s="13">
        <f ca="1">OFFSET(Performance_Assumptions!E32,Case,0,1,1)</f>
        <v>0</v>
      </c>
      <c r="K20" s="13">
        <f ca="1">OFFSET(Performance_Assumptions!F32,Case,0,1,1)</f>
        <v>0</v>
      </c>
      <c r="L20" s="13">
        <f ca="1">OFFSET(Performance_Assumptions!G32,Case,0,1,1)</f>
        <v>0</v>
      </c>
      <c r="M20" s="13">
        <f ca="1">OFFSET(Performance_Assumptions!H32,Case,0,1,1)</f>
        <v>0</v>
      </c>
      <c r="N20" s="13">
        <f ca="1">OFFSET(Performance_Assumptions!I32,Case,0,1,1)</f>
        <v>0</v>
      </c>
      <c r="O20" s="13">
        <f ca="1">OFFSET(Performance_Assumptions!J32,Case,0,1,1)</f>
        <v>0</v>
      </c>
      <c r="P20" s="13">
        <f ca="1">OFFSET(Performance_Assumptions!K32,Case,0,1,1)</f>
        <v>0</v>
      </c>
      <c r="Q20" s="13">
        <f ca="1">OFFSET(Performance_Assumptions!L32,Case,0,1,1)</f>
        <v>0</v>
      </c>
      <c r="R20" s="13">
        <f ca="1">OFFSET(Performance_Assumptions!M32,Case,0,1,1)</f>
        <v>0</v>
      </c>
      <c r="S20" s="13">
        <f ca="1">OFFSET(Performance_Assumptions!N32,Case,0,1,1)</f>
        <v>0</v>
      </c>
    </row>
    <row r="21" spans="1:19" x14ac:dyDescent="0.2">
      <c r="A21" s="63" t="str">
        <f>Income_Statement!A21</f>
        <v>Other Expense #4</v>
      </c>
      <c r="D21" s="41">
        <f>IF(Income_Statement!D$10=0,0,Income_Statement!D21/Income_Statement!D$10)</f>
        <v>0</v>
      </c>
      <c r="E21" s="41">
        <f>IF(Income_Statement!E$10=0,0,Income_Statement!E21/Income_Statement!E$10)</f>
        <v>0</v>
      </c>
      <c r="F21" s="41">
        <f>IF(Income_Statement!F$10=0,0,Income_Statement!F21/Income_Statement!F$10)</f>
        <v>0</v>
      </c>
      <c r="G21" s="41">
        <f>IF(Income_Statement!G$10=0,0,Income_Statement!G21/Income_Statement!G$10)</f>
        <v>0</v>
      </c>
      <c r="H21" s="41">
        <f>IF(Income_Statement!H$10=0,0,Income_Statement!H21/Income_Statement!H$10)</f>
        <v>0</v>
      </c>
      <c r="J21" s="41">
        <f ca="1">OFFSET(Performance_Assumptions!E36,Case,0,1,1)</f>
        <v>0</v>
      </c>
      <c r="K21" s="41">
        <f ca="1">OFFSET(Performance_Assumptions!F36,Case,0,1,1)</f>
        <v>0</v>
      </c>
      <c r="L21" s="41">
        <f ca="1">OFFSET(Performance_Assumptions!G36,Case,0,1,1)</f>
        <v>0</v>
      </c>
      <c r="M21" s="41">
        <f ca="1">OFFSET(Performance_Assumptions!H36,Case,0,1,1)</f>
        <v>0</v>
      </c>
      <c r="N21" s="41">
        <f ca="1">OFFSET(Performance_Assumptions!I36,Case,0,1,1)</f>
        <v>0</v>
      </c>
      <c r="O21" s="41">
        <f ca="1">OFFSET(Performance_Assumptions!J36,Case,0,1,1)</f>
        <v>0</v>
      </c>
      <c r="P21" s="41">
        <f ca="1">OFFSET(Performance_Assumptions!K36,Case,0,1,1)</f>
        <v>0</v>
      </c>
      <c r="Q21" s="41">
        <f ca="1">OFFSET(Performance_Assumptions!L36,Case,0,1,1)</f>
        <v>0</v>
      </c>
      <c r="R21" s="41">
        <f ca="1">OFFSET(Performance_Assumptions!M36,Case,0,1,1)</f>
        <v>0</v>
      </c>
      <c r="S21" s="41">
        <f ca="1">OFFSET(Performance_Assumptions!N36,Case,0,1,1)</f>
        <v>0</v>
      </c>
    </row>
    <row r="23" spans="1:19" ht="15.75" x14ac:dyDescent="0.25">
      <c r="A23" s="4" t="str">
        <f>Income_Statement!A27&amp;" / Sales"</f>
        <v>Consolidated EBITDA / Sales</v>
      </c>
      <c r="D23" s="13">
        <f>IF(Income_Statement!D$10=0,0,Income_Statement!D27/Income_Statement!D$10)</f>
        <v>0</v>
      </c>
      <c r="E23" s="13">
        <f>IF(Income_Statement!E$10=0,0,Income_Statement!E27/Income_Statement!E$10)</f>
        <v>0</v>
      </c>
      <c r="F23" s="13">
        <f>IF(Income_Statement!F$10=0,0,Income_Statement!F27/Income_Statement!F$10)</f>
        <v>0</v>
      </c>
      <c r="G23" s="13">
        <f>IF(Income_Statement!G$10=0,0,Income_Statement!G27/Income_Statement!G$10)</f>
        <v>0</v>
      </c>
      <c r="H23" s="13">
        <f>IF(Income_Statement!H$10=0,0,Income_Statement!H27/Income_Statement!H$10)</f>
        <v>0</v>
      </c>
      <c r="J23" s="13">
        <f ca="1">IF(Income_Statement!J$10=0,0,Income_Statement!J27/Income_Statement!J$10)</f>
        <v>0</v>
      </c>
      <c r="K23" s="13">
        <f ca="1">IF(Income_Statement!K$10=0,0,Income_Statement!K27/Income_Statement!K$10)</f>
        <v>0</v>
      </c>
      <c r="L23" s="13">
        <f ca="1">IF(Income_Statement!L$10=0,0,Income_Statement!L27/Income_Statement!L$10)</f>
        <v>0</v>
      </c>
      <c r="M23" s="13">
        <f ca="1">IF(Income_Statement!M$10=0,0,Income_Statement!M27/Income_Statement!M$10)</f>
        <v>0</v>
      </c>
      <c r="N23" s="13">
        <f ca="1">IF(Income_Statement!N$10=0,0,Income_Statement!N27/Income_Statement!N$10)</f>
        <v>0</v>
      </c>
      <c r="O23" s="13">
        <f ca="1">IF(Income_Statement!O$10=0,0,Income_Statement!O27/Income_Statement!O$10)</f>
        <v>0</v>
      </c>
      <c r="P23" s="13">
        <f ca="1">IF(Income_Statement!P$10=0,0,Income_Statement!P27/Income_Statement!P$10)</f>
        <v>0</v>
      </c>
      <c r="Q23" s="13">
        <f ca="1">IF(Income_Statement!Q$10=0,0,Income_Statement!Q27/Income_Statement!Q$10)</f>
        <v>0</v>
      </c>
      <c r="R23" s="13">
        <f ca="1">IF(Income_Statement!R$10=0,0,Income_Statement!R27/Income_Statement!R$10)</f>
        <v>0</v>
      </c>
      <c r="S23" s="13">
        <f ca="1">IF(Income_Statement!S$10=0,0,Income_Statement!S27/Income_Statement!S$10)</f>
        <v>0</v>
      </c>
    </row>
    <row r="25" spans="1:19" ht="15.75" x14ac:dyDescent="0.25">
      <c r="A25" s="4" t="str">
        <f>Income_Statement!A38&amp;" / Sales"</f>
        <v>Consolidated EBIT (Post-Transaction) / Sales</v>
      </c>
      <c r="D25" s="13">
        <f>IF(Income_Statement!D$10=0,0,Income_Statement!D29/Income_Statement!D$10)</f>
        <v>0</v>
      </c>
      <c r="E25" s="13">
        <f>IF(Income_Statement!E$10=0,0,Income_Statement!E29/Income_Statement!E$10)</f>
        <v>0</v>
      </c>
      <c r="F25" s="13">
        <f>IF(Income_Statement!F$10=0,0,Income_Statement!F29/Income_Statement!F$10)</f>
        <v>0</v>
      </c>
      <c r="G25" s="13">
        <f>IF(Income_Statement!G$10=0,0,Income_Statement!G29/Income_Statement!G$10)</f>
        <v>0</v>
      </c>
      <c r="H25" s="13">
        <f>IF(Income_Statement!H$10=0,0,Income_Statement!H29/Income_Statement!H$10)</f>
        <v>0</v>
      </c>
      <c r="J25" s="13">
        <f ca="1">IF(Income_Statement!J$10=0,0,Income_Statement!J29/Income_Statement!J$10)</f>
        <v>0</v>
      </c>
      <c r="K25" s="13">
        <f ca="1">IF(Income_Statement!K$10=0,0,Income_Statement!K29/Income_Statement!K$10)</f>
        <v>0</v>
      </c>
      <c r="L25" s="13">
        <f ca="1">IF(Income_Statement!L$10=0,0,Income_Statement!L29/Income_Statement!L$10)</f>
        <v>0</v>
      </c>
      <c r="M25" s="13">
        <f ca="1">IF(Income_Statement!M$10=0,0,Income_Statement!M29/Income_Statement!M$10)</f>
        <v>0</v>
      </c>
      <c r="N25" s="13">
        <f ca="1">IF(Income_Statement!N$10=0,0,Income_Statement!N29/Income_Statement!N$10)</f>
        <v>0</v>
      </c>
      <c r="O25" s="13">
        <f ca="1">IF(Income_Statement!O$10=0,0,Income_Statement!O29/Income_Statement!O$10)</f>
        <v>0</v>
      </c>
      <c r="P25" s="13">
        <f ca="1">IF(Income_Statement!P$10=0,0,Income_Statement!P29/Income_Statement!P$10)</f>
        <v>0</v>
      </c>
      <c r="Q25" s="13">
        <f ca="1">IF(Income_Statement!Q$10=0,0,Income_Statement!Q29/Income_Statement!Q$10)</f>
        <v>0</v>
      </c>
      <c r="R25" s="13">
        <f ca="1">IF(Income_Statement!R$10=0,0,Income_Statement!R29/Income_Statement!R$10)</f>
        <v>0</v>
      </c>
      <c r="S25" s="13">
        <f ca="1">IF(Income_Statement!S$10=0,0,Income_Statement!S29/Income_Statement!S$10)</f>
        <v>0</v>
      </c>
    </row>
    <row r="27" spans="1:19" ht="15.75" x14ac:dyDescent="0.25">
      <c r="A27" s="4" t="s">
        <v>76</v>
      </c>
    </row>
    <row r="28" spans="1:19" x14ac:dyDescent="0.2">
      <c r="A28" s="53" t="s">
        <v>77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J28" s="14">
        <v>0</v>
      </c>
      <c r="K28" s="13">
        <f t="shared" ref="K28:S28" si="1">J28</f>
        <v>0</v>
      </c>
      <c r="L28" s="13">
        <f t="shared" si="1"/>
        <v>0</v>
      </c>
      <c r="M28" s="13">
        <f t="shared" si="1"/>
        <v>0</v>
      </c>
      <c r="N28" s="13">
        <f t="shared" si="1"/>
        <v>0</v>
      </c>
      <c r="O28" s="13">
        <f t="shared" si="1"/>
        <v>0</v>
      </c>
      <c r="P28" s="13">
        <f t="shared" si="1"/>
        <v>0</v>
      </c>
      <c r="Q28" s="13">
        <f t="shared" si="1"/>
        <v>0</v>
      </c>
      <c r="R28" s="13">
        <f t="shared" si="1"/>
        <v>0</v>
      </c>
      <c r="S28" s="13">
        <f t="shared" si="1"/>
        <v>0</v>
      </c>
    </row>
    <row r="29" spans="1:19" x14ac:dyDescent="0.2">
      <c r="A29" s="63" t="str">
        <f>Sources_Uses!G11</f>
        <v>Existing Debt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J29" s="14">
        <v>0</v>
      </c>
      <c r="K29" s="13">
        <f t="shared" ref="K29:L37" si="2">J29</f>
        <v>0</v>
      </c>
      <c r="L29" s="13">
        <f t="shared" si="2"/>
        <v>0</v>
      </c>
      <c r="M29" s="13">
        <f t="shared" ref="M29:S29" si="3">L29</f>
        <v>0</v>
      </c>
      <c r="N29" s="13">
        <f t="shared" si="3"/>
        <v>0</v>
      </c>
      <c r="O29" s="13">
        <f t="shared" si="3"/>
        <v>0</v>
      </c>
      <c r="P29" s="13">
        <f t="shared" si="3"/>
        <v>0</v>
      </c>
      <c r="Q29" s="13">
        <f t="shared" si="3"/>
        <v>0</v>
      </c>
      <c r="R29" s="13">
        <f t="shared" si="3"/>
        <v>0</v>
      </c>
      <c r="S29" s="13">
        <f t="shared" si="3"/>
        <v>0</v>
      </c>
    </row>
    <row r="30" spans="1:19" x14ac:dyDescent="0.2">
      <c r="A30" s="63" t="str">
        <f>Sources_Uses!G12</f>
        <v>Bank Revolver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J30" s="14">
        <v>0</v>
      </c>
      <c r="K30" s="13">
        <f t="shared" si="2"/>
        <v>0</v>
      </c>
      <c r="L30" s="13">
        <f t="shared" si="2"/>
        <v>0</v>
      </c>
      <c r="M30" s="13">
        <f t="shared" ref="M30:S30" si="4">L30</f>
        <v>0</v>
      </c>
      <c r="N30" s="13">
        <f t="shared" si="4"/>
        <v>0</v>
      </c>
      <c r="O30" s="13">
        <f t="shared" si="4"/>
        <v>0</v>
      </c>
      <c r="P30" s="13">
        <f t="shared" si="4"/>
        <v>0</v>
      </c>
      <c r="Q30" s="13">
        <f t="shared" si="4"/>
        <v>0</v>
      </c>
      <c r="R30" s="13">
        <f t="shared" si="4"/>
        <v>0</v>
      </c>
      <c r="S30" s="13">
        <f t="shared" si="4"/>
        <v>0</v>
      </c>
    </row>
    <row r="31" spans="1:19" x14ac:dyDescent="0.2">
      <c r="A31" s="63" t="str">
        <f>Sources_Uses!G13</f>
        <v>Senior Bank Term "A"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J31" s="14">
        <v>0</v>
      </c>
      <c r="K31" s="13">
        <f t="shared" si="2"/>
        <v>0</v>
      </c>
      <c r="L31" s="13">
        <f t="shared" si="2"/>
        <v>0</v>
      </c>
      <c r="M31" s="13">
        <f t="shared" ref="M31:S31" si="5">L31</f>
        <v>0</v>
      </c>
      <c r="N31" s="13">
        <f t="shared" si="5"/>
        <v>0</v>
      </c>
      <c r="O31" s="13">
        <f t="shared" si="5"/>
        <v>0</v>
      </c>
      <c r="P31" s="13">
        <f t="shared" si="5"/>
        <v>0</v>
      </c>
      <c r="Q31" s="13">
        <f t="shared" si="5"/>
        <v>0</v>
      </c>
      <c r="R31" s="13">
        <f t="shared" si="5"/>
        <v>0</v>
      </c>
      <c r="S31" s="13">
        <f t="shared" si="5"/>
        <v>0</v>
      </c>
    </row>
    <row r="32" spans="1:19" x14ac:dyDescent="0.2">
      <c r="A32" s="63" t="str">
        <f>Sources_Uses!G14</f>
        <v>Senior Bank Term "B"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J32" s="14">
        <v>0</v>
      </c>
      <c r="K32" s="13">
        <f t="shared" si="2"/>
        <v>0</v>
      </c>
      <c r="L32" s="13">
        <f t="shared" si="2"/>
        <v>0</v>
      </c>
      <c r="M32" s="13">
        <f t="shared" ref="M32:S32" si="6">L32</f>
        <v>0</v>
      </c>
      <c r="N32" s="13">
        <f t="shared" si="6"/>
        <v>0</v>
      </c>
      <c r="O32" s="13">
        <f t="shared" si="6"/>
        <v>0</v>
      </c>
      <c r="P32" s="13">
        <f t="shared" si="6"/>
        <v>0</v>
      </c>
      <c r="Q32" s="13">
        <f t="shared" si="6"/>
        <v>0</v>
      </c>
      <c r="R32" s="13">
        <f t="shared" si="6"/>
        <v>0</v>
      </c>
      <c r="S32" s="13">
        <f t="shared" si="6"/>
        <v>0</v>
      </c>
    </row>
    <row r="33" spans="1:19" x14ac:dyDescent="0.2">
      <c r="A33" s="63" t="str">
        <f>Sources_Uses!G15</f>
        <v>Other Long-Term Debt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J33" s="14">
        <v>0</v>
      </c>
      <c r="K33" s="13">
        <f t="shared" si="2"/>
        <v>0</v>
      </c>
      <c r="L33" s="13">
        <f t="shared" si="2"/>
        <v>0</v>
      </c>
      <c r="M33" s="13">
        <f t="shared" ref="M33:S33" si="7">L33</f>
        <v>0</v>
      </c>
      <c r="N33" s="13">
        <f t="shared" si="7"/>
        <v>0</v>
      </c>
      <c r="O33" s="13">
        <f t="shared" si="7"/>
        <v>0</v>
      </c>
      <c r="P33" s="13">
        <f t="shared" si="7"/>
        <v>0</v>
      </c>
      <c r="Q33" s="13">
        <f t="shared" si="7"/>
        <v>0</v>
      </c>
      <c r="R33" s="13">
        <f t="shared" si="7"/>
        <v>0</v>
      </c>
      <c r="S33" s="13">
        <f t="shared" si="7"/>
        <v>0</v>
      </c>
    </row>
    <row r="34" spans="1:19" x14ac:dyDescent="0.2">
      <c r="A34" s="63" t="str">
        <f>Sources_Uses!G16</f>
        <v>Senior Subordinated Debt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J34" s="14">
        <v>0</v>
      </c>
      <c r="K34" s="13">
        <f t="shared" si="2"/>
        <v>0</v>
      </c>
      <c r="L34" s="13">
        <f t="shared" si="2"/>
        <v>0</v>
      </c>
      <c r="M34" s="13">
        <f t="shared" ref="M34:S34" si="8">L34</f>
        <v>0</v>
      </c>
      <c r="N34" s="13">
        <f t="shared" si="8"/>
        <v>0</v>
      </c>
      <c r="O34" s="13">
        <f t="shared" si="8"/>
        <v>0</v>
      </c>
      <c r="P34" s="13">
        <f t="shared" si="8"/>
        <v>0</v>
      </c>
      <c r="Q34" s="13">
        <f t="shared" si="8"/>
        <v>0</v>
      </c>
      <c r="R34" s="13">
        <f t="shared" si="8"/>
        <v>0</v>
      </c>
      <c r="S34" s="13">
        <f t="shared" si="8"/>
        <v>0</v>
      </c>
    </row>
    <row r="35" spans="1:19" x14ac:dyDescent="0.2">
      <c r="A35" s="63" t="str">
        <f>Sources_Uses!G17</f>
        <v>Junior Subordinated Debt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J35" s="14">
        <v>0</v>
      </c>
      <c r="K35" s="13">
        <f t="shared" si="2"/>
        <v>0</v>
      </c>
      <c r="L35" s="13">
        <f t="shared" si="2"/>
        <v>0</v>
      </c>
      <c r="M35" s="13">
        <f t="shared" ref="M35:S35" si="9">L35</f>
        <v>0</v>
      </c>
      <c r="N35" s="13">
        <f t="shared" si="9"/>
        <v>0</v>
      </c>
      <c r="O35" s="13">
        <f t="shared" si="9"/>
        <v>0</v>
      </c>
      <c r="P35" s="13">
        <f t="shared" si="9"/>
        <v>0</v>
      </c>
      <c r="Q35" s="13">
        <f t="shared" si="9"/>
        <v>0</v>
      </c>
      <c r="R35" s="13">
        <f t="shared" si="9"/>
        <v>0</v>
      </c>
      <c r="S35" s="13">
        <f t="shared" si="9"/>
        <v>0</v>
      </c>
    </row>
    <row r="36" spans="1:19" x14ac:dyDescent="0.2">
      <c r="A36" s="63" t="str">
        <f>Sources_Uses!G18</f>
        <v>Seller Note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J36" s="14">
        <v>0</v>
      </c>
      <c r="K36" s="13">
        <f t="shared" si="2"/>
        <v>0</v>
      </c>
      <c r="L36" s="13">
        <f t="shared" si="2"/>
        <v>0</v>
      </c>
      <c r="M36" s="13">
        <f t="shared" ref="M36:S36" si="10">L36</f>
        <v>0</v>
      </c>
      <c r="N36" s="13">
        <f t="shared" si="10"/>
        <v>0</v>
      </c>
      <c r="O36" s="13">
        <f t="shared" si="10"/>
        <v>0</v>
      </c>
      <c r="P36" s="13">
        <f t="shared" si="10"/>
        <v>0</v>
      </c>
      <c r="Q36" s="13">
        <f t="shared" si="10"/>
        <v>0</v>
      </c>
      <c r="R36" s="13">
        <f t="shared" si="10"/>
        <v>0</v>
      </c>
      <c r="S36" s="13">
        <f t="shared" si="10"/>
        <v>0</v>
      </c>
    </row>
    <row r="37" spans="1:19" x14ac:dyDescent="0.2">
      <c r="A37" s="63" t="str">
        <f>Sources_Uses!G19&amp;" (% of Par)"</f>
        <v>Preferred Stock (% of Par)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J37" s="14">
        <v>0</v>
      </c>
      <c r="K37" s="13">
        <f t="shared" si="2"/>
        <v>0</v>
      </c>
      <c r="L37" s="13">
        <f t="shared" si="2"/>
        <v>0</v>
      </c>
      <c r="M37" s="13">
        <f t="shared" ref="M37:S37" si="11">L37</f>
        <v>0</v>
      </c>
      <c r="N37" s="13">
        <f t="shared" si="11"/>
        <v>0</v>
      </c>
      <c r="O37" s="13">
        <f t="shared" si="11"/>
        <v>0</v>
      </c>
      <c r="P37" s="13">
        <f t="shared" si="11"/>
        <v>0</v>
      </c>
      <c r="Q37" s="13">
        <f t="shared" si="11"/>
        <v>0</v>
      </c>
      <c r="R37" s="13">
        <f t="shared" si="11"/>
        <v>0</v>
      </c>
      <c r="S37" s="13">
        <f t="shared" si="11"/>
        <v>0</v>
      </c>
    </row>
    <row r="38" spans="1:19" x14ac:dyDescent="0.2">
      <c r="A38" s="63" t="str">
        <f>Sources_Uses!G19&amp;" ($ Amount)"</f>
        <v>Preferred Stock ($ Amount)</v>
      </c>
      <c r="D38" s="146">
        <v>0</v>
      </c>
      <c r="E38" s="146">
        <v>0</v>
      </c>
      <c r="F38" s="146">
        <v>0</v>
      </c>
      <c r="G38" s="146">
        <v>0</v>
      </c>
      <c r="H38" s="146">
        <v>0</v>
      </c>
      <c r="J38" s="146">
        <v>0</v>
      </c>
      <c r="K38" s="147">
        <f>J38</f>
        <v>0</v>
      </c>
      <c r="L38" s="147">
        <f t="shared" ref="L38:S38" si="12">K38</f>
        <v>0</v>
      </c>
      <c r="M38" s="147">
        <f t="shared" si="12"/>
        <v>0</v>
      </c>
      <c r="N38" s="147">
        <f t="shared" si="12"/>
        <v>0</v>
      </c>
      <c r="O38" s="147">
        <f t="shared" si="12"/>
        <v>0</v>
      </c>
      <c r="P38" s="147">
        <f t="shared" si="12"/>
        <v>0</v>
      </c>
      <c r="Q38" s="147">
        <f t="shared" si="12"/>
        <v>0</v>
      </c>
      <c r="R38" s="147">
        <f t="shared" si="12"/>
        <v>0</v>
      </c>
      <c r="S38" s="147">
        <f t="shared" si="12"/>
        <v>0</v>
      </c>
    </row>
    <row r="39" spans="1:19" x14ac:dyDescent="0.2">
      <c r="A39" s="63" t="str">
        <f>Sources_Uses!G19&amp;" Par Value"</f>
        <v>Preferred Stock Par Value</v>
      </c>
      <c r="D39" s="148">
        <v>100</v>
      </c>
      <c r="E39" s="146"/>
      <c r="F39" s="146"/>
      <c r="G39" s="146"/>
      <c r="H39" s="146"/>
      <c r="J39" s="146"/>
      <c r="K39" s="147"/>
      <c r="L39" s="147"/>
      <c r="M39" s="147"/>
      <c r="N39" s="147"/>
      <c r="O39" s="147"/>
      <c r="P39" s="147"/>
      <c r="Q39" s="147"/>
      <c r="R39" s="147"/>
      <c r="S39" s="147"/>
    </row>
    <row r="41" spans="1:19" ht="15.75" x14ac:dyDescent="0.25">
      <c r="A41" s="4" t="s">
        <v>78</v>
      </c>
    </row>
    <row r="42" spans="1:19" x14ac:dyDescent="0.2">
      <c r="A42" s="63" t="s">
        <v>79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J42" s="14">
        <v>0.4</v>
      </c>
      <c r="K42" s="13">
        <f t="shared" ref="K42:L44" si="13">J42</f>
        <v>0.4</v>
      </c>
      <c r="L42" s="13">
        <f t="shared" si="13"/>
        <v>0.4</v>
      </c>
      <c r="M42" s="13">
        <f t="shared" ref="M42:S42" si="14">L42</f>
        <v>0.4</v>
      </c>
      <c r="N42" s="13">
        <f t="shared" si="14"/>
        <v>0.4</v>
      </c>
      <c r="O42" s="13">
        <f t="shared" si="14"/>
        <v>0.4</v>
      </c>
      <c r="P42" s="13">
        <f t="shared" si="14"/>
        <v>0.4</v>
      </c>
      <c r="Q42" s="13">
        <f t="shared" si="14"/>
        <v>0.4</v>
      </c>
      <c r="R42" s="13">
        <f t="shared" si="14"/>
        <v>0.4</v>
      </c>
      <c r="S42" s="13">
        <f t="shared" si="14"/>
        <v>0.4</v>
      </c>
    </row>
    <row r="43" spans="1:19" x14ac:dyDescent="0.2">
      <c r="A43" s="63" t="s">
        <v>80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J43" s="14">
        <v>0</v>
      </c>
      <c r="K43" s="13">
        <f t="shared" si="13"/>
        <v>0</v>
      </c>
      <c r="L43" s="13">
        <f t="shared" si="13"/>
        <v>0</v>
      </c>
      <c r="M43" s="13">
        <f t="shared" ref="M43:S43" si="15">L43</f>
        <v>0</v>
      </c>
      <c r="N43" s="13">
        <f t="shared" si="15"/>
        <v>0</v>
      </c>
      <c r="O43" s="13">
        <f t="shared" si="15"/>
        <v>0</v>
      </c>
      <c r="P43" s="13">
        <f t="shared" si="15"/>
        <v>0</v>
      </c>
      <c r="Q43" s="13">
        <f t="shared" si="15"/>
        <v>0</v>
      </c>
      <c r="R43" s="13">
        <f t="shared" si="15"/>
        <v>0</v>
      </c>
      <c r="S43" s="13">
        <f t="shared" si="15"/>
        <v>0</v>
      </c>
    </row>
    <row r="44" spans="1:19" x14ac:dyDescent="0.2">
      <c r="A44" s="63" t="s">
        <v>81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J44" s="14">
        <v>0</v>
      </c>
      <c r="K44" s="13">
        <f t="shared" si="13"/>
        <v>0</v>
      </c>
      <c r="L44" s="13">
        <f t="shared" si="13"/>
        <v>0</v>
      </c>
      <c r="M44" s="13">
        <f t="shared" ref="M44:S44" si="16">L44</f>
        <v>0</v>
      </c>
      <c r="N44" s="13">
        <f t="shared" si="16"/>
        <v>0</v>
      </c>
      <c r="O44" s="13">
        <f t="shared" si="16"/>
        <v>0</v>
      </c>
      <c r="P44" s="13">
        <f t="shared" si="16"/>
        <v>0</v>
      </c>
      <c r="Q44" s="13">
        <f t="shared" si="16"/>
        <v>0</v>
      </c>
      <c r="R44" s="13">
        <f t="shared" si="16"/>
        <v>0</v>
      </c>
      <c r="S44" s="13">
        <f t="shared" si="16"/>
        <v>0</v>
      </c>
    </row>
  </sheetData>
  <mergeCells count="4">
    <mergeCell ref="D7:H7"/>
    <mergeCell ref="J7:S7"/>
    <mergeCell ref="A2:S2"/>
    <mergeCell ref="A3:S3"/>
  </mergeCells>
  <phoneticPr fontId="0" type="noConversion"/>
  <printOptions horizontalCentered="1" verticalCentered="1"/>
  <pageMargins left="0.75" right="0.75" top="1" bottom="1" header="0.5" footer="0.5"/>
  <pageSetup scale="67" orientation="landscape" horizontalDpi="300" verticalDpi="300" r:id="rId1"/>
  <headerFooter alignWithMargins="0">
    <oddHeader>&amp;L&amp;D&amp;T&amp;C&amp;P&amp;N&amp;R&amp;F&amp;A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R39"/>
  <sheetViews>
    <sheetView zoomScale="75" zoomScaleNormal="85" workbookViewId="0"/>
  </sheetViews>
  <sheetFormatPr defaultRowHeight="15" x14ac:dyDescent="0.2"/>
  <cols>
    <col min="1" max="1" width="13.7109375" style="1" customWidth="1"/>
    <col min="2" max="2" width="17.140625" style="1" customWidth="1"/>
    <col min="3" max="3" width="4.5703125" style="1" customWidth="1"/>
    <col min="4" max="4" width="12.42578125" style="1" customWidth="1"/>
    <col min="5" max="14" width="9.140625" style="1"/>
    <col min="15" max="15" width="3.7109375" style="1" customWidth="1"/>
    <col min="16" max="16384" width="9.140625" style="1"/>
  </cols>
  <sheetData>
    <row r="1" spans="1:18" ht="20.25" customHeight="1" x14ac:dyDescent="0.25">
      <c r="A1" s="257" t="str">
        <f ca="1">Inc_Stmt_Assumptions!A1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</row>
    <row r="3" spans="1:18" s="231" customFormat="1" ht="20.25" x14ac:dyDescent="0.3">
      <c r="A3" s="342" t="s">
        <v>59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</row>
    <row r="4" spans="1:18" ht="15.75" thickBot="1" x14ac:dyDescent="0.25">
      <c r="A4" s="367"/>
      <c r="B4" s="367"/>
      <c r="C4" s="367"/>
      <c r="D4" s="367"/>
      <c r="E4" s="367"/>
      <c r="F4" s="367"/>
      <c r="G4" s="367"/>
      <c r="H4" s="367"/>
      <c r="I4" s="367"/>
      <c r="J4" s="367"/>
      <c r="K4" s="367"/>
      <c r="L4" s="367"/>
      <c r="M4" s="367"/>
      <c r="N4" s="367"/>
      <c r="O4" s="367"/>
    </row>
    <row r="5" spans="1:18" ht="15.75" x14ac:dyDescent="0.25">
      <c r="A5" s="4" t="str">
        <f ca="1">Inc_Stmt_Assumptions!A5</f>
        <v>Performance Case: Base</v>
      </c>
    </row>
    <row r="6" spans="1:18" x14ac:dyDescent="0.2">
      <c r="A6" s="1" t="str">
        <f>Sources_Uses!B7</f>
        <v>(FYE January; $ in millions)</v>
      </c>
    </row>
    <row r="8" spans="1:18" ht="15.75" x14ac:dyDescent="0.25">
      <c r="B8" s="69" t="s">
        <v>61</v>
      </c>
      <c r="C8" s="70">
        <f>Sources_Uses!L44</f>
        <v>1</v>
      </c>
    </row>
    <row r="10" spans="1:18" ht="15.75" x14ac:dyDescent="0.25">
      <c r="D10" s="5" t="s">
        <v>62</v>
      </c>
      <c r="E10" s="6">
        <f>Balance_Sheet!L8</f>
        <v>2000</v>
      </c>
      <c r="F10" s="6">
        <f t="shared" ref="F10:N10" si="0">E10+1</f>
        <v>2001</v>
      </c>
      <c r="G10" s="6">
        <f t="shared" si="0"/>
        <v>2002</v>
      </c>
      <c r="H10" s="6">
        <f t="shared" si="0"/>
        <v>2003</v>
      </c>
      <c r="I10" s="6">
        <f t="shared" si="0"/>
        <v>2004</v>
      </c>
      <c r="J10" s="6">
        <f t="shared" si="0"/>
        <v>2005</v>
      </c>
      <c r="K10" s="6">
        <f t="shared" si="0"/>
        <v>2006</v>
      </c>
      <c r="L10" s="6">
        <f t="shared" si="0"/>
        <v>2007</v>
      </c>
      <c r="M10" s="6">
        <f t="shared" si="0"/>
        <v>2008</v>
      </c>
      <c r="N10" s="7">
        <f t="shared" si="0"/>
        <v>2009</v>
      </c>
    </row>
    <row r="12" spans="1:18" ht="15.75" x14ac:dyDescent="0.25">
      <c r="A12" s="4" t="str">
        <f>Inc_Stmt_Assumptions!A10</f>
        <v>Consolidated Sales Growth</v>
      </c>
    </row>
    <row r="13" spans="1:18" ht="15.75" x14ac:dyDescent="0.25">
      <c r="A13" s="100" t="s">
        <v>64</v>
      </c>
      <c r="B13" s="59" t="s">
        <v>69</v>
      </c>
      <c r="D13" s="145">
        <f>Inc_Stmt_Assumptions!H10</f>
        <v>0</v>
      </c>
      <c r="E13" s="14">
        <f>D13</f>
        <v>0</v>
      </c>
      <c r="F13" s="14">
        <f>E13</f>
        <v>0</v>
      </c>
      <c r="G13" s="14">
        <f t="shared" ref="G13:N13" si="1">F13</f>
        <v>0</v>
      </c>
      <c r="H13" s="14">
        <f t="shared" si="1"/>
        <v>0</v>
      </c>
      <c r="I13" s="14">
        <f t="shared" si="1"/>
        <v>0</v>
      </c>
      <c r="J13" s="14">
        <f t="shared" si="1"/>
        <v>0</v>
      </c>
      <c r="K13" s="14">
        <f t="shared" si="1"/>
        <v>0</v>
      </c>
      <c r="L13" s="14">
        <f t="shared" si="1"/>
        <v>0</v>
      </c>
      <c r="M13" s="14">
        <f t="shared" si="1"/>
        <v>0</v>
      </c>
      <c r="N13" s="14">
        <f t="shared" si="1"/>
        <v>0</v>
      </c>
    </row>
    <row r="14" spans="1:18" x14ac:dyDescent="0.2">
      <c r="A14" s="100" t="s">
        <v>65</v>
      </c>
      <c r="B14" s="59" t="s">
        <v>70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</row>
    <row r="15" spans="1:18" x14ac:dyDescent="0.2">
      <c r="A15" s="100" t="s">
        <v>66</v>
      </c>
      <c r="B15" s="59" t="s">
        <v>71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</row>
    <row r="16" spans="1:18" ht="15.75" x14ac:dyDescent="0.25">
      <c r="A16" s="4" t="str">
        <f>Inc_Stmt_Assumptions!A12</f>
        <v>Cost Of Goods Sold / Sales</v>
      </c>
    </row>
    <row r="17" spans="1:14" ht="15.75" x14ac:dyDescent="0.25">
      <c r="B17" s="1" t="str">
        <f>B13</f>
        <v>Base</v>
      </c>
      <c r="D17" s="145">
        <f>Inc_Stmt_Assumptions!H12</f>
        <v>0</v>
      </c>
      <c r="E17" s="14">
        <f>D17</f>
        <v>0</v>
      </c>
      <c r="F17" s="14">
        <f>E17</f>
        <v>0</v>
      </c>
      <c r="G17" s="14">
        <f t="shared" ref="G17:N17" si="2">F17</f>
        <v>0</v>
      </c>
      <c r="H17" s="14">
        <f t="shared" si="2"/>
        <v>0</v>
      </c>
      <c r="I17" s="14">
        <f t="shared" si="2"/>
        <v>0</v>
      </c>
      <c r="J17" s="14">
        <f t="shared" si="2"/>
        <v>0</v>
      </c>
      <c r="K17" s="14">
        <f t="shared" si="2"/>
        <v>0</v>
      </c>
      <c r="L17" s="14">
        <f t="shared" si="2"/>
        <v>0</v>
      </c>
      <c r="M17" s="14">
        <f t="shared" si="2"/>
        <v>0</v>
      </c>
      <c r="N17" s="14">
        <f t="shared" si="2"/>
        <v>0</v>
      </c>
    </row>
    <row r="18" spans="1:14" x14ac:dyDescent="0.2">
      <c r="B18" s="1" t="str">
        <f>B14</f>
        <v>Optimistic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</row>
    <row r="19" spans="1:14" x14ac:dyDescent="0.2">
      <c r="B19" s="1" t="str">
        <f>B15</f>
        <v>Pessimistic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</row>
    <row r="20" spans="1:14" ht="15.75" x14ac:dyDescent="0.25">
      <c r="A20" s="4" t="str">
        <f>Inc_Stmt_Assumptions!A17&amp;" / Sales"</f>
        <v>SG&amp;A / Sales</v>
      </c>
    </row>
    <row r="21" spans="1:14" ht="15.75" x14ac:dyDescent="0.25">
      <c r="B21" s="1" t="str">
        <f>B17</f>
        <v>Base</v>
      </c>
      <c r="D21" s="145">
        <f>Inc_Stmt_Assumptions!H17</f>
        <v>0</v>
      </c>
      <c r="E21" s="14">
        <f>D21</f>
        <v>0</v>
      </c>
      <c r="F21" s="14">
        <f>E21</f>
        <v>0</v>
      </c>
      <c r="G21" s="14">
        <f t="shared" ref="G21:N21" si="3">F21</f>
        <v>0</v>
      </c>
      <c r="H21" s="14">
        <f t="shared" si="3"/>
        <v>0</v>
      </c>
      <c r="I21" s="14">
        <f t="shared" si="3"/>
        <v>0</v>
      </c>
      <c r="J21" s="14">
        <f t="shared" si="3"/>
        <v>0</v>
      </c>
      <c r="K21" s="14">
        <f t="shared" si="3"/>
        <v>0</v>
      </c>
      <c r="L21" s="14">
        <f t="shared" si="3"/>
        <v>0</v>
      </c>
      <c r="M21" s="14">
        <f t="shared" si="3"/>
        <v>0</v>
      </c>
      <c r="N21" s="14">
        <f t="shared" si="3"/>
        <v>0</v>
      </c>
    </row>
    <row r="22" spans="1:14" x14ac:dyDescent="0.2">
      <c r="B22" s="1" t="str">
        <f>B18</f>
        <v>Optimistic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</row>
    <row r="23" spans="1:14" x14ac:dyDescent="0.2">
      <c r="B23" s="1" t="str">
        <f>B19</f>
        <v>Pessimistic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</row>
    <row r="24" spans="1:14" ht="15.75" x14ac:dyDescent="0.25">
      <c r="A24" s="4" t="str">
        <f>Inc_Stmt_Assumptions!A18&amp;" / Sales"</f>
        <v>Other Expense #1 / Sales</v>
      </c>
    </row>
    <row r="25" spans="1:14" ht="15.75" x14ac:dyDescent="0.25">
      <c r="B25" s="1" t="str">
        <f>B21</f>
        <v>Base</v>
      </c>
      <c r="D25" s="145">
        <f>Inc_Stmt_Assumptions!H18</f>
        <v>0</v>
      </c>
      <c r="E25" s="14">
        <f>D25</f>
        <v>0</v>
      </c>
      <c r="F25" s="14">
        <f>E25</f>
        <v>0</v>
      </c>
      <c r="G25" s="14">
        <f t="shared" ref="G25:N25" si="4">F25</f>
        <v>0</v>
      </c>
      <c r="H25" s="14">
        <f t="shared" si="4"/>
        <v>0</v>
      </c>
      <c r="I25" s="14">
        <f t="shared" si="4"/>
        <v>0</v>
      </c>
      <c r="J25" s="14">
        <f t="shared" si="4"/>
        <v>0</v>
      </c>
      <c r="K25" s="14">
        <f t="shared" si="4"/>
        <v>0</v>
      </c>
      <c r="L25" s="14">
        <f t="shared" si="4"/>
        <v>0</v>
      </c>
      <c r="M25" s="14">
        <f t="shared" si="4"/>
        <v>0</v>
      </c>
      <c r="N25" s="14">
        <f t="shared" si="4"/>
        <v>0</v>
      </c>
    </row>
    <row r="26" spans="1:14" x14ac:dyDescent="0.2">
      <c r="B26" s="1" t="str">
        <f>B22</f>
        <v>Optimistic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</row>
    <row r="27" spans="1:14" x14ac:dyDescent="0.2">
      <c r="B27" s="1" t="str">
        <f>B23</f>
        <v>Pessimistic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</row>
    <row r="28" spans="1:14" ht="15.75" x14ac:dyDescent="0.25">
      <c r="A28" s="4" t="str">
        <f>Inc_Stmt_Assumptions!A19&amp;" / Sales"</f>
        <v>Other Expense #2 / Sales</v>
      </c>
    </row>
    <row r="29" spans="1:14" ht="15.75" x14ac:dyDescent="0.25">
      <c r="B29" s="1" t="str">
        <f>B25</f>
        <v>Base</v>
      </c>
      <c r="D29" s="145">
        <f>Inc_Stmt_Assumptions!H19</f>
        <v>0</v>
      </c>
      <c r="E29" s="14">
        <f>D29</f>
        <v>0</v>
      </c>
      <c r="F29" s="14">
        <f>E29</f>
        <v>0</v>
      </c>
      <c r="G29" s="14">
        <f t="shared" ref="G29:N29" si="5">F29</f>
        <v>0</v>
      </c>
      <c r="H29" s="14">
        <f t="shared" si="5"/>
        <v>0</v>
      </c>
      <c r="I29" s="14">
        <f t="shared" si="5"/>
        <v>0</v>
      </c>
      <c r="J29" s="14">
        <f t="shared" si="5"/>
        <v>0</v>
      </c>
      <c r="K29" s="14">
        <f t="shared" si="5"/>
        <v>0</v>
      </c>
      <c r="L29" s="14">
        <f t="shared" si="5"/>
        <v>0</v>
      </c>
      <c r="M29" s="14">
        <f t="shared" si="5"/>
        <v>0</v>
      </c>
      <c r="N29" s="14">
        <f t="shared" si="5"/>
        <v>0</v>
      </c>
    </row>
    <row r="30" spans="1:14" x14ac:dyDescent="0.2">
      <c r="B30" s="1" t="str">
        <f>B26</f>
        <v>Optimistic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</row>
    <row r="31" spans="1:14" x14ac:dyDescent="0.2">
      <c r="B31" s="1" t="str">
        <f>B27</f>
        <v>Pessimistic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</row>
    <row r="32" spans="1:14" ht="15.75" x14ac:dyDescent="0.25">
      <c r="A32" s="4" t="str">
        <f>Inc_Stmt_Assumptions!A20&amp;" / Sales"</f>
        <v>Other Expense #3 / Sales</v>
      </c>
    </row>
    <row r="33" spans="1:14" ht="15.75" x14ac:dyDescent="0.25">
      <c r="B33" s="1" t="str">
        <f>B29</f>
        <v>Base</v>
      </c>
      <c r="D33" s="145">
        <f>Inc_Stmt_Assumptions!H20</f>
        <v>0</v>
      </c>
      <c r="E33" s="14">
        <f>D33</f>
        <v>0</v>
      </c>
      <c r="F33" s="14">
        <f>E33</f>
        <v>0</v>
      </c>
      <c r="G33" s="14">
        <f t="shared" ref="G33:N33" si="6">F33</f>
        <v>0</v>
      </c>
      <c r="H33" s="14">
        <f t="shared" si="6"/>
        <v>0</v>
      </c>
      <c r="I33" s="14">
        <f t="shared" si="6"/>
        <v>0</v>
      </c>
      <c r="J33" s="14">
        <f t="shared" si="6"/>
        <v>0</v>
      </c>
      <c r="K33" s="14">
        <f t="shared" si="6"/>
        <v>0</v>
      </c>
      <c r="L33" s="14">
        <f t="shared" si="6"/>
        <v>0</v>
      </c>
      <c r="M33" s="14">
        <f t="shared" si="6"/>
        <v>0</v>
      </c>
      <c r="N33" s="14">
        <f t="shared" si="6"/>
        <v>0</v>
      </c>
    </row>
    <row r="34" spans="1:14" x14ac:dyDescent="0.2">
      <c r="B34" s="1" t="str">
        <f>B30</f>
        <v>Optimistic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</row>
    <row r="35" spans="1:14" x14ac:dyDescent="0.2">
      <c r="B35" s="1" t="str">
        <f>B31</f>
        <v>Pessimistic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</row>
    <row r="36" spans="1:14" ht="15.75" x14ac:dyDescent="0.25">
      <c r="A36" s="4" t="str">
        <f>Inc_Stmt_Assumptions!A21&amp;" / Sales"</f>
        <v>Other Expense #4 / Sales</v>
      </c>
    </row>
    <row r="37" spans="1:14" ht="15.75" x14ac:dyDescent="0.25">
      <c r="B37" s="1" t="str">
        <f>B33</f>
        <v>Base</v>
      </c>
      <c r="D37" s="145">
        <f>Inc_Stmt_Assumptions!H21</f>
        <v>0</v>
      </c>
      <c r="E37" s="14">
        <f>D37</f>
        <v>0</v>
      </c>
      <c r="F37" s="14">
        <f>E37</f>
        <v>0</v>
      </c>
      <c r="G37" s="14">
        <f t="shared" ref="G37:N37" si="7">F37</f>
        <v>0</v>
      </c>
      <c r="H37" s="14">
        <f t="shared" si="7"/>
        <v>0</v>
      </c>
      <c r="I37" s="14">
        <f t="shared" si="7"/>
        <v>0</v>
      </c>
      <c r="J37" s="14">
        <f t="shared" si="7"/>
        <v>0</v>
      </c>
      <c r="K37" s="14">
        <f t="shared" si="7"/>
        <v>0</v>
      </c>
      <c r="L37" s="14">
        <f t="shared" si="7"/>
        <v>0</v>
      </c>
      <c r="M37" s="14">
        <f t="shared" si="7"/>
        <v>0</v>
      </c>
      <c r="N37" s="14">
        <f t="shared" si="7"/>
        <v>0</v>
      </c>
    </row>
    <row r="38" spans="1:14" x14ac:dyDescent="0.2">
      <c r="B38" s="1" t="str">
        <f>B34</f>
        <v>Optimistic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</row>
    <row r="39" spans="1:14" x14ac:dyDescent="0.2">
      <c r="B39" s="1" t="str">
        <f>B35</f>
        <v>Pessimistic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</row>
  </sheetData>
  <mergeCells count="3">
    <mergeCell ref="A2:O2"/>
    <mergeCell ref="A3:O3"/>
    <mergeCell ref="A4:O4"/>
  </mergeCells>
  <phoneticPr fontId="0" type="noConversion"/>
  <printOptions horizontalCentered="1" verticalCentered="1"/>
  <pageMargins left="0.75" right="0.75" top="1" bottom="1" header="0.5" footer="0.5"/>
  <pageSetup scale="86" orientation="landscape" horizontalDpi="300" verticalDpi="300" r:id="rId1"/>
  <headerFooter alignWithMargins="0">
    <oddHeader>&amp;L&amp;D&amp;T&amp;C&amp;P&amp;N&amp;R&amp;F&amp;A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S75"/>
  <sheetViews>
    <sheetView zoomScale="75" workbookViewId="0"/>
  </sheetViews>
  <sheetFormatPr defaultRowHeight="15" x14ac:dyDescent="0.2"/>
  <cols>
    <col min="1" max="1" width="13.7109375" style="1" customWidth="1"/>
    <col min="2" max="2" width="20.42578125" style="1" customWidth="1"/>
    <col min="3" max="3" width="7.28515625" style="1" customWidth="1"/>
    <col min="4" max="8" width="9.140625" style="1"/>
    <col min="9" max="9" width="3.5703125" style="1" customWidth="1"/>
    <col min="10" max="10" width="9.28515625" style="1" customWidth="1"/>
    <col min="11" max="16384" width="9.140625" style="1"/>
  </cols>
  <sheetData>
    <row r="1" spans="1:19" ht="20.25" customHeight="1" x14ac:dyDescent="0.25">
      <c r="A1" s="257" t="str">
        <f ca="1">Ratio_Analysis!A1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9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s="231" customFormat="1" ht="20.25" x14ac:dyDescent="0.3">
      <c r="A3" s="342" t="s">
        <v>382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</row>
    <row r="4" spans="1:19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ht="15.75" x14ac:dyDescent="0.25">
      <c r="A5" s="4" t="str">
        <f ca="1">"Performance Case: "&amp;Sources_Uses!M44</f>
        <v>Performance Case: Base</v>
      </c>
    </row>
    <row r="6" spans="1:19" x14ac:dyDescent="0.2">
      <c r="A6" s="1" t="str">
        <f>Sources_Uses!B7</f>
        <v>(FYE January; $ in millions)</v>
      </c>
    </row>
    <row r="7" spans="1:19" x14ac:dyDescent="0.2">
      <c r="D7" s="343" t="s">
        <v>62</v>
      </c>
      <c r="E7" s="343"/>
      <c r="F7" s="343"/>
      <c r="G7" s="343"/>
      <c r="H7" s="343"/>
      <c r="J7" s="343" t="s">
        <v>68</v>
      </c>
      <c r="K7" s="343"/>
      <c r="L7" s="343"/>
      <c r="M7" s="343"/>
      <c r="N7" s="343"/>
      <c r="O7" s="343"/>
      <c r="P7" s="343"/>
      <c r="Q7" s="343"/>
      <c r="R7" s="343"/>
      <c r="S7" s="343"/>
    </row>
    <row r="8" spans="1:19" ht="15.75" x14ac:dyDescent="0.25">
      <c r="A8" s="12" t="s">
        <v>383</v>
      </c>
      <c r="D8" s="5">
        <f>Balance_Sheet!D8</f>
        <v>1995</v>
      </c>
      <c r="E8" s="6">
        <f>D8+1</f>
        <v>1996</v>
      </c>
      <c r="F8" s="6">
        <f>E8+1</f>
        <v>1997</v>
      </c>
      <c r="G8" s="6">
        <f>F8+1</f>
        <v>1998</v>
      </c>
      <c r="H8" s="7">
        <f>G8+1</f>
        <v>1999</v>
      </c>
      <c r="I8" s="8"/>
      <c r="J8" s="5">
        <f>H8+1</f>
        <v>2000</v>
      </c>
      <c r="K8" s="6">
        <f>J8+1</f>
        <v>2001</v>
      </c>
      <c r="L8" s="6">
        <f t="shared" ref="L8:S8" si="0">K8+1</f>
        <v>2002</v>
      </c>
      <c r="M8" s="6">
        <f t="shared" si="0"/>
        <v>2003</v>
      </c>
      <c r="N8" s="6">
        <f t="shared" si="0"/>
        <v>2004</v>
      </c>
      <c r="O8" s="6">
        <f t="shared" si="0"/>
        <v>2005</v>
      </c>
      <c r="P8" s="6">
        <f t="shared" si="0"/>
        <v>2006</v>
      </c>
      <c r="Q8" s="6">
        <f t="shared" si="0"/>
        <v>2007</v>
      </c>
      <c r="R8" s="6">
        <f t="shared" si="0"/>
        <v>2008</v>
      </c>
      <c r="S8" s="7">
        <f t="shared" si="0"/>
        <v>2009</v>
      </c>
    </row>
    <row r="10" spans="1:19" x14ac:dyDescent="0.2">
      <c r="A10" s="1" t="s">
        <v>384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</row>
    <row r="11" spans="1:19" x14ac:dyDescent="0.2">
      <c r="A11" s="1" t="s">
        <v>385</v>
      </c>
      <c r="D11" s="34">
        <v>0</v>
      </c>
      <c r="E11" s="34">
        <v>0</v>
      </c>
      <c r="F11" s="34">
        <v>0</v>
      </c>
      <c r="G11" s="34">
        <v>0</v>
      </c>
      <c r="H11" s="34">
        <v>0</v>
      </c>
      <c r="J11" s="34">
        <v>0</v>
      </c>
      <c r="K11" s="34">
        <v>0</v>
      </c>
      <c r="L11" s="34">
        <v>0</v>
      </c>
      <c r="M11" s="34">
        <v>0</v>
      </c>
      <c r="N11" s="34">
        <v>0</v>
      </c>
      <c r="O11" s="34">
        <v>0</v>
      </c>
      <c r="P11" s="34">
        <v>0</v>
      </c>
      <c r="Q11" s="34">
        <v>0</v>
      </c>
      <c r="R11" s="34">
        <v>0</v>
      </c>
      <c r="S11" s="34">
        <v>0</v>
      </c>
    </row>
    <row r="13" spans="1:19" x14ac:dyDescent="0.2">
      <c r="A13" s="1" t="s">
        <v>386</v>
      </c>
      <c r="D13" s="57">
        <f>D10-D11</f>
        <v>0</v>
      </c>
      <c r="E13" s="57">
        <f t="shared" ref="E13:S13" si="1">E10-E11</f>
        <v>0</v>
      </c>
      <c r="F13" s="57">
        <f t="shared" si="1"/>
        <v>0</v>
      </c>
      <c r="G13" s="57">
        <f t="shared" si="1"/>
        <v>0</v>
      </c>
      <c r="H13" s="57">
        <f t="shared" si="1"/>
        <v>0</v>
      </c>
      <c r="J13" s="57">
        <f t="shared" si="1"/>
        <v>0</v>
      </c>
      <c r="K13" s="57">
        <f t="shared" si="1"/>
        <v>0</v>
      </c>
      <c r="L13" s="57">
        <f t="shared" si="1"/>
        <v>0</v>
      </c>
      <c r="M13" s="57">
        <f t="shared" si="1"/>
        <v>0</v>
      </c>
      <c r="N13" s="57">
        <f t="shared" si="1"/>
        <v>0</v>
      </c>
      <c r="O13" s="57">
        <f t="shared" si="1"/>
        <v>0</v>
      </c>
      <c r="P13" s="57">
        <f t="shared" si="1"/>
        <v>0</v>
      </c>
      <c r="Q13" s="57">
        <f t="shared" si="1"/>
        <v>0</v>
      </c>
      <c r="R13" s="57">
        <f t="shared" si="1"/>
        <v>0</v>
      </c>
      <c r="S13" s="57">
        <f t="shared" si="1"/>
        <v>0</v>
      </c>
    </row>
    <row r="15" spans="1:19" x14ac:dyDescent="0.2">
      <c r="A15" s="1" t="s">
        <v>387</v>
      </c>
      <c r="D15" s="56">
        <v>0</v>
      </c>
      <c r="E15" s="56">
        <v>0</v>
      </c>
      <c r="F15" s="56">
        <v>0</v>
      </c>
      <c r="G15" s="56">
        <v>0</v>
      </c>
      <c r="H15" s="56">
        <v>0</v>
      </c>
      <c r="I15" s="56"/>
      <c r="J15" s="56">
        <v>0</v>
      </c>
      <c r="K15" s="56">
        <v>0</v>
      </c>
      <c r="L15" s="56">
        <v>0</v>
      </c>
      <c r="M15" s="56">
        <v>0</v>
      </c>
      <c r="N15" s="56">
        <v>0</v>
      </c>
      <c r="O15" s="56">
        <v>0</v>
      </c>
      <c r="P15" s="56">
        <v>0</v>
      </c>
      <c r="Q15" s="56">
        <v>0</v>
      </c>
      <c r="R15" s="56">
        <v>0</v>
      </c>
      <c r="S15" s="56">
        <v>0</v>
      </c>
    </row>
    <row r="18" spans="1:19" ht="15.75" x14ac:dyDescent="0.25">
      <c r="A18" s="12" t="s">
        <v>388</v>
      </c>
    </row>
    <row r="20" spans="1:19" ht="15.75" x14ac:dyDescent="0.25">
      <c r="A20" s="4" t="str">
        <f>Balance_Sheet!A11</f>
        <v>Current Assets:</v>
      </c>
    </row>
    <row r="21" spans="1:19" x14ac:dyDescent="0.2">
      <c r="A21" s="63" t="str">
        <f>Balance_Sheet!A12</f>
        <v>Cash &amp; Marketable Securities</v>
      </c>
      <c r="D21" s="54">
        <v>0</v>
      </c>
      <c r="E21" s="54">
        <v>0</v>
      </c>
      <c r="F21" s="54">
        <v>0</v>
      </c>
      <c r="G21" s="54">
        <v>0</v>
      </c>
      <c r="H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</row>
    <row r="22" spans="1:19" x14ac:dyDescent="0.2">
      <c r="A22" s="63" t="str">
        <f>Balance_Sheet!A13</f>
        <v>Accounts Receivable</v>
      </c>
      <c r="D22" s="56">
        <v>0</v>
      </c>
      <c r="E22" s="56">
        <v>0</v>
      </c>
      <c r="F22" s="56">
        <v>0</v>
      </c>
      <c r="G22" s="56">
        <v>0</v>
      </c>
      <c r="H22" s="56">
        <v>0</v>
      </c>
      <c r="I22" s="56"/>
      <c r="J22" s="56">
        <v>0</v>
      </c>
      <c r="K22" s="56">
        <v>0</v>
      </c>
      <c r="L22" s="56">
        <v>0</v>
      </c>
      <c r="M22" s="56">
        <v>0</v>
      </c>
      <c r="N22" s="56">
        <v>0</v>
      </c>
      <c r="O22" s="56">
        <v>0</v>
      </c>
      <c r="P22" s="56">
        <v>0</v>
      </c>
      <c r="Q22" s="56">
        <v>0</v>
      </c>
      <c r="R22" s="56">
        <v>0</v>
      </c>
      <c r="S22" s="56">
        <v>0</v>
      </c>
    </row>
    <row r="23" spans="1:19" x14ac:dyDescent="0.2">
      <c r="A23" s="63" t="str">
        <f>Balance_Sheet!A14</f>
        <v>Inventories</v>
      </c>
      <c r="D23" s="56">
        <v>0</v>
      </c>
      <c r="E23" s="56">
        <v>0</v>
      </c>
      <c r="F23" s="56">
        <v>0</v>
      </c>
      <c r="G23" s="56">
        <v>0</v>
      </c>
      <c r="H23" s="56">
        <v>0</v>
      </c>
      <c r="I23" s="56"/>
      <c r="J23" s="56">
        <v>0</v>
      </c>
      <c r="K23" s="56">
        <v>0</v>
      </c>
      <c r="L23" s="56">
        <v>0</v>
      </c>
      <c r="M23" s="56">
        <v>0</v>
      </c>
      <c r="N23" s="56">
        <v>0</v>
      </c>
      <c r="O23" s="56">
        <v>0</v>
      </c>
      <c r="P23" s="56">
        <v>0</v>
      </c>
      <c r="Q23" s="56">
        <v>0</v>
      </c>
      <c r="R23" s="56">
        <v>0</v>
      </c>
      <c r="S23" s="56">
        <v>0</v>
      </c>
    </row>
    <row r="24" spans="1:19" x14ac:dyDescent="0.2">
      <c r="A24" s="63" t="str">
        <f>Balance_Sheet!A15</f>
        <v>Prepaid Expenses</v>
      </c>
      <c r="D24" s="56">
        <v>0</v>
      </c>
      <c r="E24" s="56">
        <v>0</v>
      </c>
      <c r="F24" s="56">
        <v>0</v>
      </c>
      <c r="G24" s="56">
        <v>0</v>
      </c>
      <c r="H24" s="56">
        <v>0</v>
      </c>
      <c r="I24" s="56"/>
      <c r="J24" s="56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</row>
    <row r="25" spans="1:19" x14ac:dyDescent="0.2">
      <c r="A25" s="63" t="str">
        <f>Balance_Sheet!A16</f>
        <v>Prepaid Income Taxes</v>
      </c>
      <c r="D25" s="56">
        <v>0</v>
      </c>
      <c r="E25" s="56">
        <v>0</v>
      </c>
      <c r="F25" s="56">
        <v>0</v>
      </c>
      <c r="G25" s="56">
        <v>0</v>
      </c>
      <c r="H25" s="56">
        <v>0</v>
      </c>
      <c r="I25" s="56"/>
      <c r="J25" s="56">
        <v>0</v>
      </c>
      <c r="K25" s="56">
        <v>0</v>
      </c>
      <c r="L25" s="56">
        <v>0</v>
      </c>
      <c r="M25" s="56">
        <v>0</v>
      </c>
      <c r="N25" s="56">
        <v>0</v>
      </c>
      <c r="O25" s="56">
        <v>0</v>
      </c>
      <c r="P25" s="56">
        <v>0</v>
      </c>
      <c r="Q25" s="56">
        <v>0</v>
      </c>
      <c r="R25" s="56">
        <v>0</v>
      </c>
      <c r="S25" s="56">
        <v>0</v>
      </c>
    </row>
    <row r="26" spans="1:19" x14ac:dyDescent="0.2">
      <c r="A26" s="63" t="str">
        <f>Balance_Sheet!A17</f>
        <v>Other Current Assets #1</v>
      </c>
      <c r="D26" s="56">
        <v>0</v>
      </c>
      <c r="E26" s="56">
        <v>0</v>
      </c>
      <c r="F26" s="56">
        <v>0</v>
      </c>
      <c r="G26" s="56">
        <v>0</v>
      </c>
      <c r="H26" s="56">
        <v>0</v>
      </c>
      <c r="I26" s="56"/>
      <c r="J26" s="56">
        <v>0</v>
      </c>
      <c r="K26" s="56">
        <v>0</v>
      </c>
      <c r="L26" s="56">
        <v>0</v>
      </c>
      <c r="M26" s="56">
        <v>0</v>
      </c>
      <c r="N26" s="56">
        <v>0</v>
      </c>
      <c r="O26" s="56">
        <v>0</v>
      </c>
      <c r="P26" s="56">
        <v>0</v>
      </c>
      <c r="Q26" s="56">
        <v>0</v>
      </c>
      <c r="R26" s="56">
        <v>0</v>
      </c>
      <c r="S26" s="56">
        <v>0</v>
      </c>
    </row>
    <row r="27" spans="1:19" x14ac:dyDescent="0.2">
      <c r="A27" s="63" t="str">
        <f>Balance_Sheet!A18</f>
        <v>Other Current Assets #2</v>
      </c>
      <c r="D27" s="56">
        <v>0</v>
      </c>
      <c r="E27" s="56">
        <v>0</v>
      </c>
      <c r="F27" s="56">
        <v>0</v>
      </c>
      <c r="G27" s="56">
        <v>0</v>
      </c>
      <c r="H27" s="56">
        <v>0</v>
      </c>
      <c r="I27" s="56"/>
      <c r="J27" s="56">
        <v>0</v>
      </c>
      <c r="K27" s="56">
        <v>0</v>
      </c>
      <c r="L27" s="56">
        <v>0</v>
      </c>
      <c r="M27" s="56">
        <v>0</v>
      </c>
      <c r="N27" s="56">
        <v>0</v>
      </c>
      <c r="O27" s="56">
        <v>0</v>
      </c>
      <c r="P27" s="56">
        <v>0</v>
      </c>
      <c r="Q27" s="56">
        <v>0</v>
      </c>
      <c r="R27" s="56">
        <v>0</v>
      </c>
      <c r="S27" s="56">
        <v>0</v>
      </c>
    </row>
    <row r="28" spans="1:19" x14ac:dyDescent="0.2">
      <c r="A28" s="63" t="str">
        <f>Balance_Sheet!A19</f>
        <v>Other Current Assets #3</v>
      </c>
      <c r="D28" s="34">
        <v>0</v>
      </c>
      <c r="E28" s="34">
        <v>0</v>
      </c>
      <c r="F28" s="34">
        <v>0</v>
      </c>
      <c r="G28" s="34">
        <v>0</v>
      </c>
      <c r="H28" s="34">
        <v>0</v>
      </c>
      <c r="I28" s="25"/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v>0</v>
      </c>
      <c r="P28" s="34">
        <v>0</v>
      </c>
      <c r="Q28" s="34">
        <v>0</v>
      </c>
      <c r="R28" s="34">
        <v>0</v>
      </c>
      <c r="S28" s="34">
        <v>0</v>
      </c>
    </row>
    <row r="29" spans="1:19" x14ac:dyDescent="0.2">
      <c r="A29" s="63"/>
    </row>
    <row r="30" spans="1:19" ht="15.75" x14ac:dyDescent="0.25">
      <c r="A30" s="4" t="str">
        <f>Balance_Sheet!A23</f>
        <v>NonCurrent Assets:</v>
      </c>
    </row>
    <row r="31" spans="1:19" x14ac:dyDescent="0.2">
      <c r="A31" s="63" t="str">
        <f>Balance_Sheet!A24</f>
        <v>Net PP&amp;E</v>
      </c>
      <c r="D31" s="54">
        <v>0</v>
      </c>
      <c r="E31" s="54">
        <v>0</v>
      </c>
      <c r="F31" s="54">
        <v>0</v>
      </c>
      <c r="G31" s="54">
        <v>0</v>
      </c>
      <c r="H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</row>
    <row r="32" spans="1:19" x14ac:dyDescent="0.2">
      <c r="A32" s="63" t="str">
        <f>Balance_Sheet!A25</f>
        <v>Other Assets #1</v>
      </c>
      <c r="D32" s="56">
        <v>0</v>
      </c>
      <c r="E32" s="56">
        <v>0</v>
      </c>
      <c r="F32" s="56">
        <v>0</v>
      </c>
      <c r="G32" s="56">
        <v>0</v>
      </c>
      <c r="H32" s="56">
        <v>0</v>
      </c>
      <c r="I32" s="56"/>
      <c r="J32" s="56">
        <v>0</v>
      </c>
      <c r="K32" s="56">
        <v>0</v>
      </c>
      <c r="L32" s="56">
        <v>0</v>
      </c>
      <c r="M32" s="56">
        <v>0</v>
      </c>
      <c r="N32" s="56">
        <v>0</v>
      </c>
      <c r="O32" s="56">
        <v>0</v>
      </c>
      <c r="P32" s="56">
        <v>0</v>
      </c>
      <c r="Q32" s="56">
        <v>0</v>
      </c>
      <c r="R32" s="56">
        <v>0</v>
      </c>
      <c r="S32" s="56">
        <v>0</v>
      </c>
    </row>
    <row r="33" spans="1:19" x14ac:dyDescent="0.2">
      <c r="A33" s="63" t="str">
        <f>Balance_Sheet!A26</f>
        <v>Other Assets #2</v>
      </c>
      <c r="D33" s="56">
        <v>0</v>
      </c>
      <c r="E33" s="56">
        <v>0</v>
      </c>
      <c r="F33" s="56">
        <v>0</v>
      </c>
      <c r="G33" s="56">
        <v>0</v>
      </c>
      <c r="H33" s="56">
        <v>0</v>
      </c>
      <c r="I33" s="56"/>
      <c r="J33" s="56">
        <v>0</v>
      </c>
      <c r="K33" s="56">
        <v>0</v>
      </c>
      <c r="L33" s="56">
        <v>0</v>
      </c>
      <c r="M33" s="56">
        <v>0</v>
      </c>
      <c r="N33" s="56">
        <v>0</v>
      </c>
      <c r="O33" s="56">
        <v>0</v>
      </c>
      <c r="P33" s="56">
        <v>0</v>
      </c>
      <c r="Q33" s="56">
        <v>0</v>
      </c>
      <c r="R33" s="56">
        <v>0</v>
      </c>
      <c r="S33" s="56">
        <v>0</v>
      </c>
    </row>
    <row r="34" spans="1:19" x14ac:dyDescent="0.2">
      <c r="A34" s="63" t="str">
        <f>Balance_Sheet!A27</f>
        <v>Other Assets #3</v>
      </c>
      <c r="D34" s="56">
        <v>0</v>
      </c>
      <c r="E34" s="56">
        <v>0</v>
      </c>
      <c r="F34" s="56">
        <v>0</v>
      </c>
      <c r="G34" s="56">
        <v>0</v>
      </c>
      <c r="H34" s="56">
        <v>0</v>
      </c>
      <c r="I34" s="56"/>
      <c r="J34" s="56">
        <v>0</v>
      </c>
      <c r="K34" s="56">
        <v>0</v>
      </c>
      <c r="L34" s="56">
        <v>0</v>
      </c>
      <c r="M34" s="56">
        <v>0</v>
      </c>
      <c r="N34" s="56">
        <v>0</v>
      </c>
      <c r="O34" s="56">
        <v>0</v>
      </c>
      <c r="P34" s="56">
        <v>0</v>
      </c>
      <c r="Q34" s="56">
        <v>0</v>
      </c>
      <c r="R34" s="56">
        <v>0</v>
      </c>
      <c r="S34" s="56">
        <v>0</v>
      </c>
    </row>
    <row r="35" spans="1:19" x14ac:dyDescent="0.2">
      <c r="A35" s="63" t="str">
        <f>Balance_Sheet!A28</f>
        <v>Transaction Costs</v>
      </c>
      <c r="D35" s="56">
        <v>0</v>
      </c>
      <c r="E35" s="56">
        <v>0</v>
      </c>
      <c r="F35" s="56">
        <v>0</v>
      </c>
      <c r="G35" s="56">
        <v>0</v>
      </c>
      <c r="H35" s="56">
        <v>0</v>
      </c>
      <c r="I35" s="56"/>
      <c r="J35" s="56">
        <v>0</v>
      </c>
      <c r="K35" s="56">
        <v>0</v>
      </c>
      <c r="L35" s="56">
        <v>0</v>
      </c>
      <c r="M35" s="56">
        <v>0</v>
      </c>
      <c r="N35" s="56">
        <v>0</v>
      </c>
      <c r="O35" s="56">
        <v>0</v>
      </c>
      <c r="P35" s="56">
        <v>0</v>
      </c>
      <c r="Q35" s="56">
        <v>0</v>
      </c>
      <c r="R35" s="56">
        <v>0</v>
      </c>
      <c r="S35" s="56">
        <v>0</v>
      </c>
    </row>
    <row r="36" spans="1:19" x14ac:dyDescent="0.2">
      <c r="A36" s="63" t="str">
        <f>Balance_Sheet!A29</f>
        <v>New Goodwill</v>
      </c>
      <c r="D36" s="56">
        <v>0</v>
      </c>
      <c r="E36" s="56">
        <v>0</v>
      </c>
      <c r="F36" s="56">
        <v>0</v>
      </c>
      <c r="G36" s="56">
        <v>0</v>
      </c>
      <c r="H36" s="56">
        <v>0</v>
      </c>
      <c r="I36" s="56"/>
      <c r="J36" s="56">
        <v>0</v>
      </c>
      <c r="K36" s="56">
        <v>0</v>
      </c>
      <c r="L36" s="56">
        <v>0</v>
      </c>
      <c r="M36" s="56">
        <v>0</v>
      </c>
      <c r="N36" s="56">
        <v>0</v>
      </c>
      <c r="O36" s="56">
        <v>0</v>
      </c>
      <c r="P36" s="56">
        <v>0</v>
      </c>
      <c r="Q36" s="56">
        <v>0</v>
      </c>
      <c r="R36" s="56">
        <v>0</v>
      </c>
      <c r="S36" s="56">
        <v>0</v>
      </c>
    </row>
    <row r="37" spans="1:19" x14ac:dyDescent="0.2">
      <c r="A37" s="63" t="str">
        <f>Balance_Sheet!A30</f>
        <v>Other NC Assets #1</v>
      </c>
      <c r="D37" s="56">
        <v>0</v>
      </c>
      <c r="E37" s="56">
        <v>0</v>
      </c>
      <c r="F37" s="56">
        <v>0</v>
      </c>
      <c r="G37" s="56">
        <v>0</v>
      </c>
      <c r="H37" s="56">
        <v>0</v>
      </c>
      <c r="I37" s="56"/>
      <c r="J37" s="56">
        <v>0</v>
      </c>
      <c r="K37" s="56">
        <v>0</v>
      </c>
      <c r="L37" s="56">
        <v>0</v>
      </c>
      <c r="M37" s="56">
        <v>0</v>
      </c>
      <c r="N37" s="56">
        <v>0</v>
      </c>
      <c r="O37" s="56">
        <v>0</v>
      </c>
      <c r="P37" s="56">
        <v>0</v>
      </c>
      <c r="Q37" s="56">
        <v>0</v>
      </c>
      <c r="R37" s="56">
        <v>0</v>
      </c>
      <c r="S37" s="56">
        <v>0</v>
      </c>
    </row>
    <row r="38" spans="1:19" x14ac:dyDescent="0.2">
      <c r="A38" s="63" t="str">
        <f>Balance_Sheet!A31</f>
        <v>Other NC Assets #2</v>
      </c>
      <c r="D38" s="56">
        <v>0</v>
      </c>
      <c r="E38" s="56">
        <v>0</v>
      </c>
      <c r="F38" s="56">
        <v>0</v>
      </c>
      <c r="G38" s="56">
        <v>0</v>
      </c>
      <c r="H38" s="56">
        <v>0</v>
      </c>
      <c r="I38" s="56"/>
      <c r="J38" s="56">
        <v>0</v>
      </c>
      <c r="K38" s="56">
        <v>0</v>
      </c>
      <c r="L38" s="56">
        <v>0</v>
      </c>
      <c r="M38" s="56">
        <v>0</v>
      </c>
      <c r="N38" s="56">
        <v>0</v>
      </c>
      <c r="O38" s="56">
        <v>0</v>
      </c>
      <c r="P38" s="56">
        <v>0</v>
      </c>
      <c r="Q38" s="56">
        <v>0</v>
      </c>
      <c r="R38" s="56">
        <v>0</v>
      </c>
      <c r="S38" s="56">
        <v>0</v>
      </c>
    </row>
    <row r="39" spans="1:19" x14ac:dyDescent="0.2">
      <c r="A39" s="63" t="str">
        <f>Balance_Sheet!A32</f>
        <v>Other NC Assets #3</v>
      </c>
      <c r="D39" s="34">
        <v>0</v>
      </c>
      <c r="E39" s="34">
        <v>0</v>
      </c>
      <c r="F39" s="34">
        <v>0</v>
      </c>
      <c r="G39" s="34">
        <v>0</v>
      </c>
      <c r="H39" s="34">
        <v>0</v>
      </c>
      <c r="I39" s="25"/>
      <c r="J39" s="34">
        <v>0</v>
      </c>
      <c r="K39" s="34">
        <v>0</v>
      </c>
      <c r="L39" s="34">
        <v>0</v>
      </c>
      <c r="M39" s="34">
        <v>0</v>
      </c>
      <c r="N39" s="34">
        <v>0</v>
      </c>
      <c r="O39" s="34">
        <v>0</v>
      </c>
      <c r="P39" s="34">
        <v>0</v>
      </c>
      <c r="Q39" s="34">
        <v>0</v>
      </c>
      <c r="R39" s="34">
        <v>0</v>
      </c>
      <c r="S39" s="34">
        <v>0</v>
      </c>
    </row>
    <row r="40" spans="1:19" x14ac:dyDescent="0.2">
      <c r="A40" s="63"/>
    </row>
    <row r="41" spans="1:19" ht="16.5" thickBot="1" x14ac:dyDescent="0.3">
      <c r="A41" s="4" t="s">
        <v>349</v>
      </c>
      <c r="D41" s="61">
        <f>SUM(D21:D28)+SUM(D31:D39)</f>
        <v>0</v>
      </c>
      <c r="E41" s="61">
        <f t="shared" ref="E41:S41" si="2">SUM(E21:E28)+SUM(E31:E39)</f>
        <v>0</v>
      </c>
      <c r="F41" s="61">
        <f t="shared" si="2"/>
        <v>0</v>
      </c>
      <c r="G41" s="61">
        <f t="shared" si="2"/>
        <v>0</v>
      </c>
      <c r="H41" s="61">
        <f t="shared" si="2"/>
        <v>0</v>
      </c>
      <c r="I41" s="4"/>
      <c r="J41" s="61">
        <f t="shared" si="2"/>
        <v>0</v>
      </c>
      <c r="K41" s="61">
        <f t="shared" si="2"/>
        <v>0</v>
      </c>
      <c r="L41" s="61">
        <f t="shared" si="2"/>
        <v>0</v>
      </c>
      <c r="M41" s="61">
        <f t="shared" si="2"/>
        <v>0</v>
      </c>
      <c r="N41" s="61">
        <f t="shared" si="2"/>
        <v>0</v>
      </c>
      <c r="O41" s="61">
        <f t="shared" si="2"/>
        <v>0</v>
      </c>
      <c r="P41" s="61">
        <f t="shared" si="2"/>
        <v>0</v>
      </c>
      <c r="Q41" s="61">
        <f t="shared" si="2"/>
        <v>0</v>
      </c>
      <c r="R41" s="61">
        <f t="shared" si="2"/>
        <v>0</v>
      </c>
      <c r="S41" s="61">
        <f t="shared" si="2"/>
        <v>0</v>
      </c>
    </row>
    <row r="42" spans="1:19" ht="15.75" thickTop="1" x14ac:dyDescent="0.2"/>
    <row r="44" spans="1:19" ht="15.75" x14ac:dyDescent="0.25">
      <c r="A44" s="4" t="str">
        <f>Balance_Sheet!A42</f>
        <v>Current Liabilities:</v>
      </c>
    </row>
    <row r="45" spans="1:19" x14ac:dyDescent="0.2">
      <c r="A45" s="63" t="str">
        <f>Balance_Sheet!A43</f>
        <v>Accounts Payable</v>
      </c>
      <c r="D45" s="54">
        <v>0</v>
      </c>
      <c r="E45" s="54">
        <v>0</v>
      </c>
      <c r="F45" s="54">
        <v>0</v>
      </c>
      <c r="G45" s="54">
        <v>0</v>
      </c>
      <c r="H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54">
        <v>0</v>
      </c>
    </row>
    <row r="46" spans="1:19" x14ac:dyDescent="0.2">
      <c r="A46" s="63" t="str">
        <f>Balance_Sheet!A44</f>
        <v>Accrued Expenses</v>
      </c>
      <c r="D46" s="56">
        <v>0</v>
      </c>
      <c r="E46" s="56">
        <v>0</v>
      </c>
      <c r="F46" s="56">
        <v>0</v>
      </c>
      <c r="G46" s="56">
        <v>0</v>
      </c>
      <c r="H46" s="56">
        <v>0</v>
      </c>
      <c r="I46" s="56"/>
      <c r="J46" s="56">
        <v>0</v>
      </c>
      <c r="K46" s="56">
        <v>0</v>
      </c>
      <c r="L46" s="56">
        <v>0</v>
      </c>
      <c r="M46" s="56">
        <v>0</v>
      </c>
      <c r="N46" s="56">
        <v>0</v>
      </c>
      <c r="O46" s="56">
        <v>0</v>
      </c>
      <c r="P46" s="56">
        <v>0</v>
      </c>
      <c r="Q46" s="56">
        <v>0</v>
      </c>
      <c r="R46" s="56">
        <v>0</v>
      </c>
      <c r="S46" s="56">
        <v>0</v>
      </c>
    </row>
    <row r="47" spans="1:19" x14ac:dyDescent="0.2">
      <c r="A47" s="63" t="str">
        <f>Balance_Sheet!A45</f>
        <v>Dividend Payable</v>
      </c>
      <c r="D47" s="56">
        <v>0</v>
      </c>
      <c r="E47" s="56">
        <v>0</v>
      </c>
      <c r="F47" s="56">
        <v>0</v>
      </c>
      <c r="G47" s="56">
        <v>0</v>
      </c>
      <c r="H47" s="56">
        <v>0</v>
      </c>
      <c r="I47" s="56"/>
      <c r="J47" s="56">
        <v>0</v>
      </c>
      <c r="K47" s="56">
        <v>0</v>
      </c>
      <c r="L47" s="56">
        <v>0</v>
      </c>
      <c r="M47" s="56">
        <v>0</v>
      </c>
      <c r="N47" s="56">
        <v>0</v>
      </c>
      <c r="O47" s="56">
        <v>0</v>
      </c>
      <c r="P47" s="56">
        <v>0</v>
      </c>
      <c r="Q47" s="56">
        <v>0</v>
      </c>
      <c r="R47" s="56">
        <v>0</v>
      </c>
      <c r="S47" s="56">
        <v>0</v>
      </c>
    </row>
    <row r="48" spans="1:19" x14ac:dyDescent="0.2">
      <c r="A48" s="63" t="str">
        <f>Balance_Sheet!A46</f>
        <v>Income Tax Payable</v>
      </c>
      <c r="D48" s="56">
        <v>0</v>
      </c>
      <c r="E48" s="56">
        <v>0</v>
      </c>
      <c r="F48" s="56">
        <v>0</v>
      </c>
      <c r="G48" s="56">
        <v>0</v>
      </c>
      <c r="H48" s="56">
        <v>0</v>
      </c>
      <c r="I48" s="56"/>
      <c r="J48" s="56">
        <v>0</v>
      </c>
      <c r="K48" s="56">
        <v>0</v>
      </c>
      <c r="L48" s="56">
        <v>0</v>
      </c>
      <c r="M48" s="56">
        <v>0</v>
      </c>
      <c r="N48" s="56">
        <v>0</v>
      </c>
      <c r="O48" s="56">
        <v>0</v>
      </c>
      <c r="P48" s="56">
        <v>0</v>
      </c>
      <c r="Q48" s="56">
        <v>0</v>
      </c>
      <c r="R48" s="56">
        <v>0</v>
      </c>
      <c r="S48" s="56">
        <v>0</v>
      </c>
    </row>
    <row r="49" spans="1:19" x14ac:dyDescent="0.2">
      <c r="A49" s="63" t="str">
        <f>Balance_Sheet!A47</f>
        <v>Other Current Liabilities #1</v>
      </c>
      <c r="D49" s="56">
        <v>0</v>
      </c>
      <c r="E49" s="56">
        <v>0</v>
      </c>
      <c r="F49" s="56">
        <v>0</v>
      </c>
      <c r="G49" s="56">
        <v>0</v>
      </c>
      <c r="H49" s="56">
        <v>0</v>
      </c>
      <c r="I49" s="56"/>
      <c r="J49" s="56">
        <v>0</v>
      </c>
      <c r="K49" s="56">
        <v>0</v>
      </c>
      <c r="L49" s="56">
        <v>0</v>
      </c>
      <c r="M49" s="56">
        <v>0</v>
      </c>
      <c r="N49" s="56">
        <v>0</v>
      </c>
      <c r="O49" s="56">
        <v>0</v>
      </c>
      <c r="P49" s="56">
        <v>0</v>
      </c>
      <c r="Q49" s="56">
        <v>0</v>
      </c>
      <c r="R49" s="56">
        <v>0</v>
      </c>
      <c r="S49" s="56">
        <v>0</v>
      </c>
    </row>
    <row r="50" spans="1:19" x14ac:dyDescent="0.2">
      <c r="A50" s="63" t="str">
        <f>Balance_Sheet!A48</f>
        <v>Other Current Liabilities #2</v>
      </c>
      <c r="D50" s="56">
        <v>0</v>
      </c>
      <c r="E50" s="56">
        <v>0</v>
      </c>
      <c r="F50" s="56">
        <v>0</v>
      </c>
      <c r="G50" s="56">
        <v>0</v>
      </c>
      <c r="H50" s="56">
        <v>0</v>
      </c>
      <c r="I50" s="56"/>
      <c r="J50" s="56">
        <v>0</v>
      </c>
      <c r="K50" s="56">
        <v>0</v>
      </c>
      <c r="L50" s="56">
        <v>0</v>
      </c>
      <c r="M50" s="56">
        <v>0</v>
      </c>
      <c r="N50" s="56">
        <v>0</v>
      </c>
      <c r="O50" s="56">
        <v>0</v>
      </c>
      <c r="P50" s="56">
        <v>0</v>
      </c>
      <c r="Q50" s="56">
        <v>0</v>
      </c>
      <c r="R50" s="56">
        <v>0</v>
      </c>
      <c r="S50" s="56">
        <v>0</v>
      </c>
    </row>
    <row r="51" spans="1:19" x14ac:dyDescent="0.2">
      <c r="A51" s="63" t="str">
        <f>Balance_Sheet!A49</f>
        <v>Other Current Liabilities #3</v>
      </c>
      <c r="D51" s="34">
        <v>0</v>
      </c>
      <c r="E51" s="34">
        <v>0</v>
      </c>
      <c r="F51" s="34">
        <v>0</v>
      </c>
      <c r="G51" s="34">
        <v>0</v>
      </c>
      <c r="H51" s="34">
        <v>0</v>
      </c>
      <c r="I51" s="25"/>
      <c r="J51" s="34">
        <v>0</v>
      </c>
      <c r="K51" s="34">
        <v>0</v>
      </c>
      <c r="L51" s="34">
        <v>0</v>
      </c>
      <c r="M51" s="34">
        <v>0</v>
      </c>
      <c r="N51" s="34">
        <v>0</v>
      </c>
      <c r="O51" s="34">
        <v>0</v>
      </c>
      <c r="P51" s="34">
        <v>0</v>
      </c>
      <c r="Q51" s="34">
        <v>0</v>
      </c>
      <c r="R51" s="34">
        <v>0</v>
      </c>
      <c r="S51" s="34">
        <v>0</v>
      </c>
    </row>
    <row r="52" spans="1:19" x14ac:dyDescent="0.2">
      <c r="A52" s="63"/>
    </row>
    <row r="53" spans="1:19" x14ac:dyDescent="0.2">
      <c r="A53" s="63" t="str">
        <f>Balance_Sheet!A53</f>
        <v>Deferred Taxes</v>
      </c>
      <c r="D53" s="56">
        <v>0</v>
      </c>
      <c r="E53" s="56">
        <v>0</v>
      </c>
      <c r="F53" s="56">
        <v>0</v>
      </c>
      <c r="G53" s="56">
        <v>0</v>
      </c>
      <c r="H53" s="56">
        <v>0</v>
      </c>
      <c r="I53" s="56"/>
      <c r="J53" s="56">
        <v>0</v>
      </c>
      <c r="K53" s="56">
        <v>0</v>
      </c>
      <c r="L53" s="56">
        <v>0</v>
      </c>
      <c r="M53" s="56">
        <v>0</v>
      </c>
      <c r="N53" s="56">
        <v>0</v>
      </c>
      <c r="O53" s="56">
        <v>0</v>
      </c>
      <c r="P53" s="56">
        <v>0</v>
      </c>
      <c r="Q53" s="56">
        <v>0</v>
      </c>
      <c r="R53" s="56">
        <v>0</v>
      </c>
      <c r="S53" s="56">
        <v>0</v>
      </c>
    </row>
    <row r="54" spans="1:19" x14ac:dyDescent="0.2">
      <c r="A54" s="63" t="str">
        <f>Balance_Sheet!A54</f>
        <v>Other Deferred Liability #1</v>
      </c>
      <c r="D54" s="56">
        <v>0</v>
      </c>
      <c r="E54" s="56">
        <v>0</v>
      </c>
      <c r="F54" s="56">
        <v>0</v>
      </c>
      <c r="G54" s="56">
        <v>0</v>
      </c>
      <c r="H54" s="56">
        <v>0</v>
      </c>
      <c r="I54" s="56"/>
      <c r="J54" s="56">
        <v>0</v>
      </c>
      <c r="K54" s="56">
        <v>0</v>
      </c>
      <c r="L54" s="56">
        <v>0</v>
      </c>
      <c r="M54" s="56">
        <v>0</v>
      </c>
      <c r="N54" s="56">
        <v>0</v>
      </c>
      <c r="O54" s="56">
        <v>0</v>
      </c>
      <c r="P54" s="56">
        <v>0</v>
      </c>
      <c r="Q54" s="56">
        <v>0</v>
      </c>
      <c r="R54" s="56">
        <v>0</v>
      </c>
      <c r="S54" s="56">
        <v>0</v>
      </c>
    </row>
    <row r="55" spans="1:19" x14ac:dyDescent="0.2">
      <c r="A55" s="63" t="str">
        <f>Balance_Sheet!A55</f>
        <v>Other Deferred Liability #2</v>
      </c>
      <c r="D55" s="56">
        <v>0</v>
      </c>
      <c r="E55" s="56">
        <v>0</v>
      </c>
      <c r="F55" s="56">
        <v>0</v>
      </c>
      <c r="G55" s="56">
        <v>0</v>
      </c>
      <c r="H55" s="56">
        <v>0</v>
      </c>
      <c r="I55" s="56"/>
      <c r="J55" s="56">
        <v>0</v>
      </c>
      <c r="K55" s="56">
        <v>0</v>
      </c>
      <c r="L55" s="56">
        <v>0</v>
      </c>
      <c r="M55" s="56">
        <v>0</v>
      </c>
      <c r="N55" s="56">
        <v>0</v>
      </c>
      <c r="O55" s="56">
        <v>0</v>
      </c>
      <c r="P55" s="56">
        <v>0</v>
      </c>
      <c r="Q55" s="56">
        <v>0</v>
      </c>
      <c r="R55" s="56">
        <v>0</v>
      </c>
      <c r="S55" s="56">
        <v>0</v>
      </c>
    </row>
    <row r="56" spans="1:19" x14ac:dyDescent="0.2">
      <c r="A56" s="63" t="str">
        <f>Balance_Sheet!A56</f>
        <v>Minority Interest</v>
      </c>
      <c r="D56" s="56">
        <v>0</v>
      </c>
      <c r="E56" s="56">
        <v>0</v>
      </c>
      <c r="F56" s="56">
        <v>0</v>
      </c>
      <c r="G56" s="56">
        <v>0</v>
      </c>
      <c r="H56" s="56">
        <v>0</v>
      </c>
      <c r="I56" s="56"/>
      <c r="J56" s="56">
        <v>0</v>
      </c>
      <c r="K56" s="56">
        <v>0</v>
      </c>
      <c r="L56" s="56">
        <v>0</v>
      </c>
      <c r="M56" s="56">
        <v>0</v>
      </c>
      <c r="N56" s="56">
        <v>0</v>
      </c>
      <c r="O56" s="56">
        <v>0</v>
      </c>
      <c r="P56" s="56">
        <v>0</v>
      </c>
      <c r="Q56" s="56">
        <v>0</v>
      </c>
      <c r="R56" s="56">
        <v>0</v>
      </c>
      <c r="S56" s="56">
        <v>0</v>
      </c>
    </row>
    <row r="58" spans="1:19" ht="15.75" x14ac:dyDescent="0.25">
      <c r="A58" s="4" t="str">
        <f>Balance_Sheet!A58</f>
        <v>Long Term Debt:</v>
      </c>
    </row>
    <row r="59" spans="1:19" x14ac:dyDescent="0.2">
      <c r="A59" s="63" t="str">
        <f>Balance_Sheet!A59</f>
        <v>Existing Debt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</row>
    <row r="60" spans="1:19" x14ac:dyDescent="0.2">
      <c r="A60" s="63" t="str">
        <f>Balance_Sheet!A60</f>
        <v>Bank Revolver</v>
      </c>
      <c r="D60" s="56">
        <v>0</v>
      </c>
      <c r="E60" s="56">
        <v>0</v>
      </c>
      <c r="F60" s="56">
        <v>0</v>
      </c>
      <c r="G60" s="56">
        <v>0</v>
      </c>
      <c r="H60" s="56">
        <v>0</v>
      </c>
      <c r="I60" s="56"/>
      <c r="J60" s="56">
        <v>0</v>
      </c>
      <c r="K60" s="56">
        <v>0</v>
      </c>
      <c r="L60" s="56">
        <v>0</v>
      </c>
      <c r="M60" s="56">
        <v>0</v>
      </c>
      <c r="N60" s="56">
        <v>0</v>
      </c>
      <c r="O60" s="56">
        <v>0</v>
      </c>
      <c r="P60" s="56">
        <v>0</v>
      </c>
      <c r="Q60" s="56">
        <v>0</v>
      </c>
      <c r="R60" s="56">
        <v>0</v>
      </c>
      <c r="S60" s="56">
        <v>0</v>
      </c>
    </row>
    <row r="61" spans="1:19" x14ac:dyDescent="0.2">
      <c r="A61" s="63" t="str">
        <f>Balance_Sheet!A61</f>
        <v>Senior Bank Term "A"</v>
      </c>
      <c r="D61" s="56">
        <v>0</v>
      </c>
      <c r="E61" s="56">
        <v>0</v>
      </c>
      <c r="F61" s="56">
        <v>0</v>
      </c>
      <c r="G61" s="56">
        <v>0</v>
      </c>
      <c r="H61" s="56">
        <v>0</v>
      </c>
      <c r="I61" s="56"/>
      <c r="J61" s="56">
        <v>0</v>
      </c>
      <c r="K61" s="56">
        <v>0</v>
      </c>
      <c r="L61" s="56">
        <v>0</v>
      </c>
      <c r="M61" s="56">
        <v>0</v>
      </c>
      <c r="N61" s="56">
        <v>0</v>
      </c>
      <c r="O61" s="56">
        <v>0</v>
      </c>
      <c r="P61" s="56">
        <v>0</v>
      </c>
      <c r="Q61" s="56">
        <v>0</v>
      </c>
      <c r="R61" s="56">
        <v>0</v>
      </c>
      <c r="S61" s="56">
        <v>0</v>
      </c>
    </row>
    <row r="62" spans="1:19" x14ac:dyDescent="0.2">
      <c r="A62" s="63" t="str">
        <f>Balance_Sheet!A62</f>
        <v>Senior Bank Term "B"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/>
      <c r="J62" s="56">
        <v>0</v>
      </c>
      <c r="K62" s="56">
        <v>0</v>
      </c>
      <c r="L62" s="56">
        <v>0</v>
      </c>
      <c r="M62" s="56">
        <v>0</v>
      </c>
      <c r="N62" s="56">
        <v>0</v>
      </c>
      <c r="O62" s="56">
        <v>0</v>
      </c>
      <c r="P62" s="56">
        <v>0</v>
      </c>
      <c r="Q62" s="56">
        <v>0</v>
      </c>
      <c r="R62" s="56">
        <v>0</v>
      </c>
      <c r="S62" s="56">
        <v>0</v>
      </c>
    </row>
    <row r="63" spans="1:19" x14ac:dyDescent="0.2">
      <c r="A63" s="63" t="str">
        <f>Balance_Sheet!A63</f>
        <v>Other Long-Term Debt</v>
      </c>
      <c r="D63" s="56">
        <v>0</v>
      </c>
      <c r="E63" s="56">
        <v>0</v>
      </c>
      <c r="F63" s="56">
        <v>0</v>
      </c>
      <c r="G63" s="56">
        <v>0</v>
      </c>
      <c r="H63" s="56">
        <v>0</v>
      </c>
      <c r="I63" s="56"/>
      <c r="J63" s="56">
        <v>0</v>
      </c>
      <c r="K63" s="56">
        <v>0</v>
      </c>
      <c r="L63" s="56">
        <v>0</v>
      </c>
      <c r="M63" s="56">
        <v>0</v>
      </c>
      <c r="N63" s="56">
        <v>0</v>
      </c>
      <c r="O63" s="56">
        <v>0</v>
      </c>
      <c r="P63" s="56">
        <v>0</v>
      </c>
      <c r="Q63" s="56">
        <v>0</v>
      </c>
      <c r="R63" s="56">
        <v>0</v>
      </c>
      <c r="S63" s="56">
        <v>0</v>
      </c>
    </row>
    <row r="64" spans="1:19" x14ac:dyDescent="0.2">
      <c r="A64" s="63" t="str">
        <f>Balance_Sheet!A64</f>
        <v>Senior Subordinated Debt</v>
      </c>
      <c r="D64" s="56">
        <v>0</v>
      </c>
      <c r="E64" s="56">
        <v>0</v>
      </c>
      <c r="F64" s="56">
        <v>0</v>
      </c>
      <c r="G64" s="56">
        <v>0</v>
      </c>
      <c r="H64" s="56">
        <v>0</v>
      </c>
      <c r="I64" s="56"/>
      <c r="J64" s="56">
        <v>0</v>
      </c>
      <c r="K64" s="56">
        <v>0</v>
      </c>
      <c r="L64" s="56">
        <v>0</v>
      </c>
      <c r="M64" s="56">
        <v>0</v>
      </c>
      <c r="N64" s="56">
        <v>0</v>
      </c>
      <c r="O64" s="56">
        <v>0</v>
      </c>
      <c r="P64" s="56">
        <v>0</v>
      </c>
      <c r="Q64" s="56">
        <v>0</v>
      </c>
      <c r="R64" s="56">
        <v>0</v>
      </c>
      <c r="S64" s="56">
        <v>0</v>
      </c>
    </row>
    <row r="65" spans="1:19" x14ac:dyDescent="0.2">
      <c r="A65" s="63" t="str">
        <f>Balance_Sheet!A65</f>
        <v>Junior Subordinated Debt</v>
      </c>
      <c r="D65" s="56">
        <v>0</v>
      </c>
      <c r="E65" s="56">
        <v>0</v>
      </c>
      <c r="F65" s="56">
        <v>0</v>
      </c>
      <c r="G65" s="56">
        <v>0</v>
      </c>
      <c r="H65" s="56">
        <v>0</v>
      </c>
      <c r="I65" s="56"/>
      <c r="J65" s="56">
        <v>0</v>
      </c>
      <c r="K65" s="56">
        <v>0</v>
      </c>
      <c r="L65" s="56">
        <v>0</v>
      </c>
      <c r="M65" s="56">
        <v>0</v>
      </c>
      <c r="N65" s="56">
        <v>0</v>
      </c>
      <c r="O65" s="56">
        <v>0</v>
      </c>
      <c r="P65" s="56">
        <v>0</v>
      </c>
      <c r="Q65" s="56">
        <v>0</v>
      </c>
      <c r="R65" s="56">
        <v>0</v>
      </c>
      <c r="S65" s="56">
        <v>0</v>
      </c>
    </row>
    <row r="66" spans="1:19" x14ac:dyDescent="0.2">
      <c r="A66" s="63" t="str">
        <f>Balance_Sheet!A66</f>
        <v>Seller Note</v>
      </c>
      <c r="D66" s="34">
        <v>0</v>
      </c>
      <c r="E66" s="34">
        <v>0</v>
      </c>
      <c r="F66" s="34">
        <v>0</v>
      </c>
      <c r="G66" s="34">
        <v>0</v>
      </c>
      <c r="H66" s="34">
        <v>0</v>
      </c>
      <c r="I66" s="25"/>
      <c r="J66" s="34">
        <v>0</v>
      </c>
      <c r="K66" s="34">
        <v>0</v>
      </c>
      <c r="L66" s="34">
        <v>0</v>
      </c>
      <c r="M66" s="34">
        <v>0</v>
      </c>
      <c r="N66" s="34">
        <v>0</v>
      </c>
      <c r="O66" s="34">
        <v>0</v>
      </c>
      <c r="P66" s="34">
        <v>0</v>
      </c>
      <c r="Q66" s="34">
        <v>0</v>
      </c>
      <c r="R66" s="34">
        <v>0</v>
      </c>
      <c r="S66" s="34">
        <v>0</v>
      </c>
    </row>
    <row r="67" spans="1:19" x14ac:dyDescent="0.2">
      <c r="A67" s="63"/>
    </row>
    <row r="68" spans="1:19" ht="15.75" x14ac:dyDescent="0.25">
      <c r="A68" s="67" t="str">
        <f>Balance_Sheet!A72</f>
        <v>Net Worth:</v>
      </c>
    </row>
    <row r="69" spans="1:19" x14ac:dyDescent="0.2">
      <c r="A69" s="63" t="str">
        <f>Balance_Sheet!A73</f>
        <v>Equity  - Common</v>
      </c>
      <c r="D69" s="54">
        <v>0</v>
      </c>
      <c r="E69" s="54">
        <v>0</v>
      </c>
      <c r="F69" s="54">
        <v>0</v>
      </c>
      <c r="G69" s="54">
        <v>0</v>
      </c>
      <c r="H69" s="54">
        <v>0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</row>
    <row r="70" spans="1:19" x14ac:dyDescent="0.2">
      <c r="A70" s="219" t="str">
        <f>Balance_Sheet!A74</f>
        <v xml:space="preserve">  - Preferred</v>
      </c>
      <c r="D70" s="56">
        <v>0</v>
      </c>
      <c r="E70" s="56">
        <v>0</v>
      </c>
      <c r="F70" s="56">
        <v>0</v>
      </c>
      <c r="G70" s="56">
        <v>0</v>
      </c>
      <c r="H70" s="56">
        <v>0</v>
      </c>
      <c r="I70" s="56"/>
      <c r="J70" s="56">
        <v>0</v>
      </c>
      <c r="K70" s="56">
        <v>0</v>
      </c>
      <c r="L70" s="56">
        <v>0</v>
      </c>
      <c r="M70" s="56">
        <v>0</v>
      </c>
      <c r="N70" s="56">
        <v>0</v>
      </c>
      <c r="O70" s="56">
        <v>0</v>
      </c>
      <c r="P70" s="56">
        <v>0</v>
      </c>
      <c r="Q70" s="56">
        <v>0</v>
      </c>
      <c r="R70" s="56">
        <v>0</v>
      </c>
      <c r="S70" s="56">
        <v>0</v>
      </c>
    </row>
    <row r="71" spans="1:19" x14ac:dyDescent="0.2">
      <c r="A71" s="63" t="str">
        <f>Balance_Sheet!A75</f>
        <v>Retained Earnings</v>
      </c>
      <c r="D71" s="34">
        <v>0</v>
      </c>
      <c r="E71" s="34">
        <v>0</v>
      </c>
      <c r="F71" s="34">
        <v>0</v>
      </c>
      <c r="G71" s="34">
        <v>0</v>
      </c>
      <c r="H71" s="34">
        <v>0</v>
      </c>
      <c r="I71" s="25"/>
      <c r="J71" s="34">
        <v>0</v>
      </c>
      <c r="K71" s="34">
        <v>0</v>
      </c>
      <c r="L71" s="34">
        <v>0</v>
      </c>
      <c r="M71" s="34">
        <v>0</v>
      </c>
      <c r="N71" s="34">
        <v>0</v>
      </c>
      <c r="O71" s="34">
        <v>0</v>
      </c>
      <c r="P71" s="34">
        <v>0</v>
      </c>
      <c r="Q71" s="34">
        <v>0</v>
      </c>
      <c r="R71" s="34">
        <v>0</v>
      </c>
      <c r="S71" s="34">
        <v>0</v>
      </c>
    </row>
    <row r="73" spans="1:19" ht="16.5" thickBot="1" x14ac:dyDescent="0.3">
      <c r="A73" s="4" t="str">
        <f>PROPER(Balance_Sheet!A80)</f>
        <v>Total Liabilities &amp; Equity</v>
      </c>
      <c r="D73" s="61">
        <f>SUM(D45:D51)+SUM(D53:D56)+SUM(D59:D66)+SUM(D69:D71)</f>
        <v>0</v>
      </c>
      <c r="E73" s="61">
        <f t="shared" ref="E73:S73" si="3">SUM(E45:E51)+SUM(E53:E56)+SUM(E59:E66)+SUM(E69:E71)</f>
        <v>0</v>
      </c>
      <c r="F73" s="61">
        <f t="shared" si="3"/>
        <v>0</v>
      </c>
      <c r="G73" s="61">
        <f t="shared" si="3"/>
        <v>0</v>
      </c>
      <c r="H73" s="61">
        <f t="shared" si="3"/>
        <v>0</v>
      </c>
      <c r="J73" s="61">
        <f t="shared" si="3"/>
        <v>0</v>
      </c>
      <c r="K73" s="61">
        <f t="shared" si="3"/>
        <v>0</v>
      </c>
      <c r="L73" s="61">
        <f t="shared" si="3"/>
        <v>0</v>
      </c>
      <c r="M73" s="61">
        <f t="shared" si="3"/>
        <v>0</v>
      </c>
      <c r="N73" s="61">
        <f t="shared" si="3"/>
        <v>0</v>
      </c>
      <c r="O73" s="61">
        <f t="shared" si="3"/>
        <v>0</v>
      </c>
      <c r="P73" s="61">
        <f t="shared" si="3"/>
        <v>0</v>
      </c>
      <c r="Q73" s="61">
        <f t="shared" si="3"/>
        <v>0</v>
      </c>
      <c r="R73" s="61">
        <f t="shared" si="3"/>
        <v>0</v>
      </c>
      <c r="S73" s="61">
        <f t="shared" si="3"/>
        <v>0</v>
      </c>
    </row>
    <row r="74" spans="1:19" ht="15.75" thickTop="1" x14ac:dyDescent="0.2"/>
    <row r="75" spans="1:19" x14ac:dyDescent="0.2">
      <c r="A75" s="1" t="str">
        <f>Balance_Sheet!A82</f>
        <v>Balance Sheet Check</v>
      </c>
      <c r="D75" s="55">
        <f>ROUND(D41-D73,1)</f>
        <v>0</v>
      </c>
      <c r="E75" s="55">
        <f>ROUND(E41-E73,1)</f>
        <v>0</v>
      </c>
      <c r="F75" s="55">
        <f>ROUND(F41-F73,1)</f>
        <v>0</v>
      </c>
      <c r="G75" s="55">
        <f>ROUND(G41-G73,1)</f>
        <v>0</v>
      </c>
      <c r="H75" s="55">
        <f>ROUND(H41-H73,1)</f>
        <v>0</v>
      </c>
      <c r="J75" s="55">
        <f>ROUND(J41-J73,1)</f>
        <v>0</v>
      </c>
      <c r="K75" s="55">
        <f t="shared" ref="K75:S75" si="4">ROUND(K41-K73,1)</f>
        <v>0</v>
      </c>
      <c r="L75" s="55">
        <f t="shared" si="4"/>
        <v>0</v>
      </c>
      <c r="M75" s="55">
        <f t="shared" si="4"/>
        <v>0</v>
      </c>
      <c r="N75" s="55">
        <f t="shared" si="4"/>
        <v>0</v>
      </c>
      <c r="O75" s="55">
        <f t="shared" si="4"/>
        <v>0</v>
      </c>
      <c r="P75" s="55">
        <f t="shared" si="4"/>
        <v>0</v>
      </c>
      <c r="Q75" s="55">
        <f t="shared" si="4"/>
        <v>0</v>
      </c>
      <c r="R75" s="55">
        <f t="shared" si="4"/>
        <v>0</v>
      </c>
      <c r="S75" s="55">
        <f t="shared" si="4"/>
        <v>0</v>
      </c>
    </row>
  </sheetData>
  <mergeCells count="4">
    <mergeCell ref="D7:H7"/>
    <mergeCell ref="J7:S7"/>
    <mergeCell ref="A2:S2"/>
    <mergeCell ref="A3:S3"/>
  </mergeCells>
  <phoneticPr fontId="0" type="noConversion"/>
  <pageMargins left="0.75" right="0.75" top="1" bottom="1" header="0.5" footer="0.5"/>
  <headerFooter alignWithMargins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T40"/>
  <sheetViews>
    <sheetView zoomScale="75" zoomScaleNormal="80" workbookViewId="0"/>
  </sheetViews>
  <sheetFormatPr defaultRowHeight="15" x14ac:dyDescent="0.2"/>
  <cols>
    <col min="1" max="4" width="11.85546875" style="1" customWidth="1"/>
    <col min="5" max="5" width="6.5703125" style="1" customWidth="1"/>
    <col min="6" max="13" width="11.85546875" style="1" customWidth="1"/>
    <col min="14" max="14" width="13.42578125" style="1" customWidth="1"/>
    <col min="15" max="15" width="13.7109375" style="1" customWidth="1"/>
    <col min="16" max="16" width="12.5703125" style="1" customWidth="1"/>
    <col min="17" max="17" width="6.7109375" style="1" customWidth="1"/>
    <col min="18" max="18" width="19.140625" style="1" customWidth="1"/>
    <col min="19" max="19" width="11.85546875" style="1" customWidth="1"/>
    <col min="20" max="16384" width="9.140625" style="1"/>
  </cols>
  <sheetData>
    <row r="1" spans="1:19" ht="20.25" customHeight="1" x14ac:dyDescent="0.25">
      <c r="A1" s="257" t="str">
        <f ca="1">Asset_Sales!A1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9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s="231" customFormat="1" ht="20.25" x14ac:dyDescent="0.3">
      <c r="A3" s="342" t="s">
        <v>172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</row>
    <row r="4" spans="1:19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ht="15.75" x14ac:dyDescent="0.25">
      <c r="A5" s="4" t="str">
        <f ca="1">"Performance Case: "&amp;Sources_Uses!M44</f>
        <v>Performance Case: Base</v>
      </c>
    </row>
    <row r="6" spans="1:19" x14ac:dyDescent="0.2">
      <c r="A6" s="1" t="str">
        <f>Sources_Uses!B7</f>
        <v>(FYE January; $ in millions)</v>
      </c>
    </row>
    <row r="7" spans="1:19" x14ac:dyDescent="0.2">
      <c r="F7" s="343" t="s">
        <v>68</v>
      </c>
      <c r="G7" s="343"/>
      <c r="H7" s="343"/>
      <c r="I7" s="343"/>
      <c r="J7" s="343"/>
      <c r="K7" s="343"/>
      <c r="L7" s="343"/>
      <c r="M7" s="343"/>
      <c r="N7" s="343"/>
      <c r="O7" s="343"/>
      <c r="P7" s="343"/>
    </row>
    <row r="8" spans="1:19" ht="15.75" x14ac:dyDescent="0.25">
      <c r="D8" s="149">
        <f>Balance_Sheet!H8</f>
        <v>1999</v>
      </c>
      <c r="F8" s="5" t="str">
        <f>Balance_Sheet!K8</f>
        <v>Closing</v>
      </c>
      <c r="G8" s="6">
        <f>Balance_Sheet!L8</f>
        <v>2000</v>
      </c>
      <c r="H8" s="6">
        <f t="shared" ref="H8:O8" si="0">G8+1</f>
        <v>2001</v>
      </c>
      <c r="I8" s="6">
        <f t="shared" si="0"/>
        <v>2002</v>
      </c>
      <c r="J8" s="6">
        <f t="shared" si="0"/>
        <v>2003</v>
      </c>
      <c r="K8" s="6">
        <f t="shared" si="0"/>
        <v>2004</v>
      </c>
      <c r="L8" s="6">
        <f t="shared" si="0"/>
        <v>2005</v>
      </c>
      <c r="M8" s="6">
        <f t="shared" si="0"/>
        <v>2006</v>
      </c>
      <c r="N8" s="6">
        <f t="shared" si="0"/>
        <v>2007</v>
      </c>
      <c r="O8" s="6">
        <f t="shared" si="0"/>
        <v>2008</v>
      </c>
      <c r="P8" s="7">
        <f>O8+1</f>
        <v>2009</v>
      </c>
    </row>
    <row r="9" spans="1:19" ht="15.75" x14ac:dyDescent="0.25">
      <c r="R9" s="150" t="s">
        <v>178</v>
      </c>
    </row>
    <row r="10" spans="1:19" ht="15.75" x14ac:dyDescent="0.25">
      <c r="A10" s="1" t="str">
        <f>Sources_Uses!G11</f>
        <v>Existing Debt</v>
      </c>
      <c r="D10" s="55">
        <f>Balance_Sheet!H59</f>
        <v>0</v>
      </c>
      <c r="F10" s="55">
        <f>Balance_Sheet!K59</f>
        <v>0</v>
      </c>
      <c r="G10" s="55">
        <f ca="1">Balance_Sheet!L59</f>
        <v>0</v>
      </c>
      <c r="H10" s="55">
        <f ca="1">Balance_Sheet!M59</f>
        <v>0</v>
      </c>
      <c r="I10" s="55">
        <f ca="1">Balance_Sheet!N59</f>
        <v>0</v>
      </c>
      <c r="J10" s="55">
        <f ca="1">Balance_Sheet!O59</f>
        <v>0</v>
      </c>
      <c r="K10" s="55">
        <f ca="1">Balance_Sheet!P59</f>
        <v>0</v>
      </c>
      <c r="L10" s="55">
        <f ca="1">Balance_Sheet!Q59</f>
        <v>0</v>
      </c>
      <c r="M10" s="55">
        <f ca="1">Balance_Sheet!R59</f>
        <v>0</v>
      </c>
      <c r="N10" s="55">
        <f ca="1">Balance_Sheet!S59</f>
        <v>0</v>
      </c>
      <c r="O10" s="55">
        <f ca="1">Balance_Sheet!T59</f>
        <v>0</v>
      </c>
      <c r="P10" s="55">
        <f ca="1">Balance_Sheet!U59</f>
        <v>0</v>
      </c>
      <c r="R10" s="151">
        <f>Income_Statement!AB43</f>
        <v>1</v>
      </c>
    </row>
    <row r="11" spans="1:19" ht="15.75" x14ac:dyDescent="0.25">
      <c r="A11" s="1" t="str">
        <f>Sources_Uses!G12</f>
        <v>Bank Revolver</v>
      </c>
      <c r="D11" s="57">
        <f>Balance_Sheet!H60</f>
        <v>0</v>
      </c>
      <c r="F11" s="57">
        <f>Balance_Sheet!K60</f>
        <v>0</v>
      </c>
      <c r="G11" s="57">
        <f ca="1">Balance_Sheet!L60</f>
        <v>0</v>
      </c>
      <c r="H11" s="57">
        <f ca="1">Balance_Sheet!M60</f>
        <v>0</v>
      </c>
      <c r="I11" s="57">
        <f ca="1">Balance_Sheet!N60</f>
        <v>0</v>
      </c>
      <c r="J11" s="57">
        <f ca="1">Balance_Sheet!O60</f>
        <v>0</v>
      </c>
      <c r="K11" s="57">
        <f ca="1">Balance_Sheet!P60</f>
        <v>0</v>
      </c>
      <c r="L11" s="57">
        <f ca="1">Balance_Sheet!Q60</f>
        <v>0</v>
      </c>
      <c r="M11" s="57">
        <f ca="1">Balance_Sheet!R60</f>
        <v>0</v>
      </c>
      <c r="N11" s="57">
        <f ca="1">Balance_Sheet!S60</f>
        <v>0</v>
      </c>
      <c r="O11" s="57">
        <f ca="1">Balance_Sheet!T60</f>
        <v>0</v>
      </c>
      <c r="P11" s="57">
        <f ca="1">Balance_Sheet!U60</f>
        <v>0</v>
      </c>
      <c r="R11" s="152">
        <f>Income_Statement!AB44</f>
        <v>1</v>
      </c>
    </row>
    <row r="12" spans="1:19" ht="15.75" x14ac:dyDescent="0.25">
      <c r="A12" s="1" t="str">
        <f>Sources_Uses!G13</f>
        <v>Senior Bank Term "A"</v>
      </c>
      <c r="D12" s="57">
        <f>Balance_Sheet!H61</f>
        <v>0</v>
      </c>
      <c r="F12" s="57">
        <f>Balance_Sheet!K61</f>
        <v>0</v>
      </c>
      <c r="G12" s="57">
        <f ca="1">Balance_Sheet!L61</f>
        <v>0</v>
      </c>
      <c r="H12" s="57">
        <f ca="1">Balance_Sheet!M61</f>
        <v>0</v>
      </c>
      <c r="I12" s="57">
        <f ca="1">Balance_Sheet!N61</f>
        <v>0</v>
      </c>
      <c r="J12" s="57">
        <f ca="1">Balance_Sheet!O61</f>
        <v>0</v>
      </c>
      <c r="K12" s="57">
        <f ca="1">Balance_Sheet!P61</f>
        <v>0</v>
      </c>
      <c r="L12" s="57">
        <f ca="1">Balance_Sheet!Q61</f>
        <v>0</v>
      </c>
      <c r="M12" s="57">
        <f ca="1">Balance_Sheet!R61</f>
        <v>0</v>
      </c>
      <c r="N12" s="57">
        <f ca="1">Balance_Sheet!S61</f>
        <v>0</v>
      </c>
      <c r="O12" s="57">
        <f ca="1">Balance_Sheet!T61</f>
        <v>0</v>
      </c>
      <c r="P12" s="57">
        <f ca="1">Balance_Sheet!U61</f>
        <v>0</v>
      </c>
      <c r="R12" s="152">
        <f>Income_Statement!AB45</f>
        <v>1</v>
      </c>
    </row>
    <row r="13" spans="1:19" ht="15.75" x14ac:dyDescent="0.25">
      <c r="A13" s="1" t="str">
        <f>Sources_Uses!G14</f>
        <v>Senior Bank Term "B"</v>
      </c>
      <c r="D13" s="57">
        <f>Balance_Sheet!H62</f>
        <v>0</v>
      </c>
      <c r="F13" s="57">
        <f>Balance_Sheet!K62</f>
        <v>0</v>
      </c>
      <c r="G13" s="57">
        <f ca="1">Balance_Sheet!L62</f>
        <v>0</v>
      </c>
      <c r="H13" s="57">
        <f ca="1">Balance_Sheet!M62</f>
        <v>0</v>
      </c>
      <c r="I13" s="57">
        <f ca="1">Balance_Sheet!N62</f>
        <v>0</v>
      </c>
      <c r="J13" s="57">
        <f ca="1">Balance_Sheet!O62</f>
        <v>0</v>
      </c>
      <c r="K13" s="57">
        <f ca="1">Balance_Sheet!P62</f>
        <v>0</v>
      </c>
      <c r="L13" s="57">
        <f ca="1">Balance_Sheet!Q62</f>
        <v>0</v>
      </c>
      <c r="M13" s="57">
        <f ca="1">Balance_Sheet!R62</f>
        <v>0</v>
      </c>
      <c r="N13" s="57">
        <f ca="1">Balance_Sheet!S62</f>
        <v>0</v>
      </c>
      <c r="O13" s="57">
        <f ca="1">Balance_Sheet!T62</f>
        <v>0</v>
      </c>
      <c r="P13" s="57">
        <f ca="1">Balance_Sheet!U62</f>
        <v>0</v>
      </c>
      <c r="R13" s="152">
        <f>Income_Statement!AB46</f>
        <v>1</v>
      </c>
    </row>
    <row r="14" spans="1:19" ht="15.75" x14ac:dyDescent="0.25">
      <c r="A14" s="1" t="str">
        <f>Sources_Uses!G15</f>
        <v>Other Long-Term Debt</v>
      </c>
      <c r="D14" s="57">
        <f>Balance_Sheet!H63</f>
        <v>0</v>
      </c>
      <c r="F14" s="57">
        <f>Balance_Sheet!K63</f>
        <v>0</v>
      </c>
      <c r="G14" s="57">
        <f ca="1">Balance_Sheet!L63</f>
        <v>0</v>
      </c>
      <c r="H14" s="57">
        <f ca="1">Balance_Sheet!M63</f>
        <v>0</v>
      </c>
      <c r="I14" s="57">
        <f ca="1">Balance_Sheet!N63</f>
        <v>0</v>
      </c>
      <c r="J14" s="57">
        <f ca="1">Balance_Sheet!O63</f>
        <v>0</v>
      </c>
      <c r="K14" s="57">
        <f ca="1">Balance_Sheet!P63</f>
        <v>0</v>
      </c>
      <c r="L14" s="57">
        <f ca="1">Balance_Sheet!Q63</f>
        <v>0</v>
      </c>
      <c r="M14" s="57">
        <f ca="1">Balance_Sheet!R63</f>
        <v>0</v>
      </c>
      <c r="N14" s="57">
        <f ca="1">Balance_Sheet!S63</f>
        <v>0</v>
      </c>
      <c r="O14" s="57">
        <f ca="1">Balance_Sheet!T63</f>
        <v>0</v>
      </c>
      <c r="P14" s="57">
        <f ca="1">Balance_Sheet!U63</f>
        <v>0</v>
      </c>
      <c r="R14" s="152">
        <f>Income_Statement!AB47</f>
        <v>0</v>
      </c>
    </row>
    <row r="15" spans="1:19" ht="15.75" x14ac:dyDescent="0.25">
      <c r="A15" s="1" t="str">
        <f>Sources_Uses!G16</f>
        <v>Senior Subordinated Debt</v>
      </c>
      <c r="D15" s="57">
        <f>Balance_Sheet!H64</f>
        <v>0</v>
      </c>
      <c r="F15" s="57">
        <f>Balance_Sheet!K64</f>
        <v>0</v>
      </c>
      <c r="G15" s="57">
        <f ca="1">Balance_Sheet!L64</f>
        <v>0</v>
      </c>
      <c r="H15" s="57">
        <f ca="1">Balance_Sheet!M64</f>
        <v>0</v>
      </c>
      <c r="I15" s="57">
        <f ca="1">Balance_Sheet!N64</f>
        <v>0</v>
      </c>
      <c r="J15" s="57">
        <f ca="1">Balance_Sheet!O64</f>
        <v>0</v>
      </c>
      <c r="K15" s="57">
        <f ca="1">Balance_Sheet!P64</f>
        <v>0</v>
      </c>
      <c r="L15" s="57">
        <f ca="1">Balance_Sheet!Q64</f>
        <v>0</v>
      </c>
      <c r="M15" s="57">
        <f ca="1">Balance_Sheet!R64</f>
        <v>0</v>
      </c>
      <c r="N15" s="57">
        <f ca="1">Balance_Sheet!S64</f>
        <v>0</v>
      </c>
      <c r="O15" s="57">
        <f ca="1">Balance_Sheet!T64</f>
        <v>0</v>
      </c>
      <c r="P15" s="57">
        <f ca="1">Balance_Sheet!U64</f>
        <v>0</v>
      </c>
      <c r="R15" s="152">
        <f>Income_Statement!AB48</f>
        <v>0</v>
      </c>
    </row>
    <row r="16" spans="1:19" ht="15.75" x14ac:dyDescent="0.25">
      <c r="A16" s="1" t="str">
        <f>Sources_Uses!G17</f>
        <v>Junior Subordinated Debt</v>
      </c>
      <c r="D16" s="57">
        <f>Balance_Sheet!H65</f>
        <v>0</v>
      </c>
      <c r="F16" s="57">
        <f>Balance_Sheet!K65</f>
        <v>0</v>
      </c>
      <c r="G16" s="57">
        <f ca="1">Balance_Sheet!L65</f>
        <v>0</v>
      </c>
      <c r="H16" s="57">
        <f ca="1">Balance_Sheet!M65</f>
        <v>0</v>
      </c>
      <c r="I16" s="57">
        <f ca="1">Balance_Sheet!N65</f>
        <v>0</v>
      </c>
      <c r="J16" s="57">
        <f ca="1">Balance_Sheet!O65</f>
        <v>0</v>
      </c>
      <c r="K16" s="57">
        <f ca="1">Balance_Sheet!P65</f>
        <v>0</v>
      </c>
      <c r="L16" s="57">
        <f ca="1">Balance_Sheet!Q65</f>
        <v>0</v>
      </c>
      <c r="M16" s="57">
        <f ca="1">Balance_Sheet!R65</f>
        <v>0</v>
      </c>
      <c r="N16" s="57">
        <f ca="1">Balance_Sheet!S65</f>
        <v>0</v>
      </c>
      <c r="O16" s="57">
        <f ca="1">Balance_Sheet!T65</f>
        <v>0</v>
      </c>
      <c r="P16" s="57">
        <f ca="1">Balance_Sheet!U65</f>
        <v>0</v>
      </c>
      <c r="R16" s="152">
        <f>Income_Statement!AB49</f>
        <v>0</v>
      </c>
    </row>
    <row r="17" spans="1:20" ht="15.75" x14ac:dyDescent="0.25">
      <c r="A17" s="1" t="str">
        <f>Sources_Uses!G18</f>
        <v>Seller Note</v>
      </c>
      <c r="D17" s="57">
        <f>Balance_Sheet!H66</f>
        <v>0</v>
      </c>
      <c r="F17" s="57">
        <f>Balance_Sheet!K66</f>
        <v>0</v>
      </c>
      <c r="G17" s="57">
        <f ca="1">Balance_Sheet!L66</f>
        <v>0</v>
      </c>
      <c r="H17" s="57">
        <f ca="1">Balance_Sheet!M66</f>
        <v>0</v>
      </c>
      <c r="I17" s="57">
        <f ca="1">Balance_Sheet!N66</f>
        <v>0</v>
      </c>
      <c r="J17" s="57">
        <f ca="1">Balance_Sheet!O66</f>
        <v>0</v>
      </c>
      <c r="K17" s="57">
        <f ca="1">Balance_Sheet!P66</f>
        <v>0</v>
      </c>
      <c r="L17" s="57">
        <f ca="1">Balance_Sheet!Q66</f>
        <v>0</v>
      </c>
      <c r="M17" s="57">
        <f ca="1">Balance_Sheet!R66</f>
        <v>0</v>
      </c>
      <c r="N17" s="57">
        <f ca="1">Balance_Sheet!S66</f>
        <v>0</v>
      </c>
      <c r="O17" s="57">
        <f ca="1">Balance_Sheet!T66</f>
        <v>0</v>
      </c>
      <c r="P17" s="57">
        <f ca="1">Balance_Sheet!U66</f>
        <v>0</v>
      </c>
      <c r="R17" s="153">
        <f>Income_Statement!AB50</f>
        <v>0</v>
      </c>
    </row>
    <row r="18" spans="1:20" ht="15.75" x14ac:dyDescent="0.25">
      <c r="A18" s="1" t="str">
        <f>Sources_Uses!G19</f>
        <v>Preferred Stock</v>
      </c>
      <c r="D18" s="57">
        <f>Balance_Sheet!H74</f>
        <v>0</v>
      </c>
      <c r="F18" s="57">
        <f>Balance_Sheet!K74</f>
        <v>0</v>
      </c>
      <c r="G18" s="57">
        <f>Balance_Sheet!L74</f>
        <v>0</v>
      </c>
      <c r="H18" s="57">
        <f>Balance_Sheet!M74</f>
        <v>0</v>
      </c>
      <c r="I18" s="57">
        <f>Balance_Sheet!N74</f>
        <v>0</v>
      </c>
      <c r="J18" s="57">
        <f>Balance_Sheet!O74</f>
        <v>0</v>
      </c>
      <c r="K18" s="57">
        <f>Balance_Sheet!P74</f>
        <v>0</v>
      </c>
      <c r="L18" s="57">
        <f>Balance_Sheet!Q74</f>
        <v>0</v>
      </c>
      <c r="M18" s="57">
        <f>Balance_Sheet!R74</f>
        <v>0</v>
      </c>
      <c r="N18" s="57">
        <f>Balance_Sheet!S74</f>
        <v>0</v>
      </c>
      <c r="O18" s="57">
        <f>Balance_Sheet!T74</f>
        <v>0</v>
      </c>
      <c r="P18" s="57">
        <f>Balance_Sheet!U74</f>
        <v>0</v>
      </c>
      <c r="R18" s="4" t="s">
        <v>174</v>
      </c>
    </row>
    <row r="19" spans="1:20" x14ac:dyDescent="0.2">
      <c r="A19" s="1" t="str">
        <f>Sources_Uses!G20</f>
        <v>Common Equity:</v>
      </c>
      <c r="D19" s="58">
        <f>Balance_Sheet!H73+Balance_Sheet!H75</f>
        <v>0</v>
      </c>
      <c r="F19" s="58">
        <f>Balance_Sheet!K73+Balance_Sheet!K75</f>
        <v>0</v>
      </c>
      <c r="G19" s="58">
        <f ca="1">Balance_Sheet!L73+Balance_Sheet!L75</f>
        <v>0</v>
      </c>
      <c r="H19" s="58">
        <f ca="1">Balance_Sheet!M73+Balance_Sheet!M75</f>
        <v>0</v>
      </c>
      <c r="I19" s="58">
        <f ca="1">Balance_Sheet!N73+Balance_Sheet!N75</f>
        <v>0</v>
      </c>
      <c r="J19" s="58">
        <f ca="1">Balance_Sheet!O73+Balance_Sheet!O75</f>
        <v>0</v>
      </c>
      <c r="K19" s="58">
        <f ca="1">Balance_Sheet!P73+Balance_Sheet!P75</f>
        <v>0</v>
      </c>
      <c r="L19" s="58">
        <f ca="1">Balance_Sheet!Q73+Balance_Sheet!Q75</f>
        <v>0</v>
      </c>
      <c r="M19" s="58">
        <f ca="1">Balance_Sheet!R73+Balance_Sheet!R75</f>
        <v>0</v>
      </c>
      <c r="N19" s="58">
        <f ca="1">Balance_Sheet!S73+Balance_Sheet!S75</f>
        <v>0</v>
      </c>
      <c r="O19" s="58">
        <f ca="1">Balance_Sheet!T73+Balance_Sheet!T75</f>
        <v>0</v>
      </c>
      <c r="P19" s="58">
        <f ca="1">Balance_Sheet!U73+Balance_Sheet!U75</f>
        <v>0</v>
      </c>
      <c r="R19" s="154"/>
    </row>
    <row r="21" spans="1:20" ht="15.75" x14ac:dyDescent="0.25">
      <c r="A21" s="4" t="s">
        <v>173</v>
      </c>
      <c r="D21" s="55">
        <f>SUM(D10:D19)</f>
        <v>0</v>
      </c>
      <c r="F21" s="55">
        <f t="shared" ref="F21:P21" si="1">SUM(F10:F19)</f>
        <v>0</v>
      </c>
      <c r="G21" s="55">
        <f t="shared" ca="1" si="1"/>
        <v>0</v>
      </c>
      <c r="H21" s="55">
        <f t="shared" ca="1" si="1"/>
        <v>0</v>
      </c>
      <c r="I21" s="55">
        <f t="shared" ca="1" si="1"/>
        <v>0</v>
      </c>
      <c r="J21" s="55">
        <f t="shared" ca="1" si="1"/>
        <v>0</v>
      </c>
      <c r="K21" s="55">
        <f t="shared" ca="1" si="1"/>
        <v>0</v>
      </c>
      <c r="L21" s="55">
        <f t="shared" ca="1" si="1"/>
        <v>0</v>
      </c>
      <c r="M21" s="55">
        <f t="shared" ca="1" si="1"/>
        <v>0</v>
      </c>
      <c r="N21" s="55">
        <f t="shared" ca="1" si="1"/>
        <v>0</v>
      </c>
      <c r="O21" s="55">
        <f t="shared" ca="1" si="1"/>
        <v>0</v>
      </c>
      <c r="P21" s="55">
        <f t="shared" ca="1" si="1"/>
        <v>0</v>
      </c>
    </row>
    <row r="23" spans="1:20" ht="15.75" x14ac:dyDescent="0.25">
      <c r="A23" s="4" t="s">
        <v>175</v>
      </c>
      <c r="D23" s="55">
        <f>Balance_Sheet!H68</f>
        <v>0</v>
      </c>
      <c r="F23" s="55">
        <f>Balance_Sheet!K68</f>
        <v>0</v>
      </c>
      <c r="G23" s="55">
        <f ca="1">Balance_Sheet!L68</f>
        <v>0</v>
      </c>
      <c r="H23" s="55">
        <f ca="1">Balance_Sheet!M68</f>
        <v>0</v>
      </c>
      <c r="I23" s="55">
        <f ca="1">Balance_Sheet!N68</f>
        <v>0</v>
      </c>
      <c r="J23" s="55">
        <f ca="1">Balance_Sheet!O68</f>
        <v>0</v>
      </c>
      <c r="K23" s="55">
        <f ca="1">Balance_Sheet!P68</f>
        <v>0</v>
      </c>
      <c r="L23" s="55">
        <f ca="1">Balance_Sheet!Q68</f>
        <v>0</v>
      </c>
      <c r="M23" s="55">
        <f ca="1">Balance_Sheet!R68</f>
        <v>0</v>
      </c>
      <c r="N23" s="55">
        <f ca="1">Balance_Sheet!S68</f>
        <v>0</v>
      </c>
      <c r="O23" s="55">
        <f ca="1">Balance_Sheet!T68</f>
        <v>0</v>
      </c>
      <c r="P23" s="55">
        <f ca="1">Balance_Sheet!U68</f>
        <v>0</v>
      </c>
    </row>
    <row r="25" spans="1:20" ht="15.75" x14ac:dyDescent="0.25">
      <c r="A25" s="4" t="s">
        <v>176</v>
      </c>
      <c r="D25" s="55">
        <f>Balance_Sheet!H77</f>
        <v>0</v>
      </c>
      <c r="F25" s="55">
        <f>Balance_Sheet!K77</f>
        <v>0</v>
      </c>
      <c r="G25" s="55">
        <f ca="1">Balance_Sheet!L77</f>
        <v>0</v>
      </c>
      <c r="H25" s="55">
        <f ca="1">Balance_Sheet!M77</f>
        <v>0</v>
      </c>
      <c r="I25" s="55">
        <f ca="1">Balance_Sheet!N77</f>
        <v>0</v>
      </c>
      <c r="J25" s="55">
        <f ca="1">Balance_Sheet!O77</f>
        <v>0</v>
      </c>
      <c r="K25" s="55">
        <f ca="1">Balance_Sheet!P77</f>
        <v>0</v>
      </c>
      <c r="L25" s="55">
        <f ca="1">Balance_Sheet!Q77</f>
        <v>0</v>
      </c>
      <c r="M25" s="55">
        <f ca="1">Balance_Sheet!R77</f>
        <v>0</v>
      </c>
      <c r="N25" s="55">
        <f ca="1">Balance_Sheet!S77</f>
        <v>0</v>
      </c>
      <c r="O25" s="55">
        <f ca="1">Balance_Sheet!T77</f>
        <v>0</v>
      </c>
      <c r="P25" s="55">
        <f ca="1">Balance_Sheet!U77</f>
        <v>0</v>
      </c>
    </row>
    <row r="28" spans="1:20" ht="15.75" x14ac:dyDescent="0.25">
      <c r="A28" s="4" t="s">
        <v>177</v>
      </c>
    </row>
    <row r="29" spans="1:20" ht="15.75" x14ac:dyDescent="0.25">
      <c r="A29" s="63" t="str">
        <f>"Accounts Receivable "&amp;TEXT(R29,"(00.0%)")</f>
        <v>Accounts Receivable (80.0%)</v>
      </c>
      <c r="D29" s="75"/>
      <c r="F29" s="55">
        <f>$R$29*Balance_Sheet!K13</f>
        <v>0</v>
      </c>
      <c r="G29" s="55">
        <f ca="1">$R$29*Balance_Sheet!L13</f>
        <v>0</v>
      </c>
      <c r="H29" s="55">
        <f ca="1">$R$29*Balance_Sheet!M13</f>
        <v>0</v>
      </c>
      <c r="I29" s="55">
        <f ca="1">$R$29*Balance_Sheet!N13</f>
        <v>0</v>
      </c>
      <c r="J29" s="55">
        <f ca="1">$R$29*Balance_Sheet!O13</f>
        <v>0</v>
      </c>
      <c r="K29" s="55">
        <f ca="1">$R$29*Balance_Sheet!P13</f>
        <v>0</v>
      </c>
      <c r="L29" s="55">
        <f ca="1">$R$29*Balance_Sheet!Q13</f>
        <v>0</v>
      </c>
      <c r="M29" s="55">
        <f ca="1">$R$29*Balance_Sheet!R13</f>
        <v>0</v>
      </c>
      <c r="N29" s="55">
        <f ca="1">$R$29*Balance_Sheet!S13</f>
        <v>0</v>
      </c>
      <c r="O29" s="55">
        <f ca="1">$R$29*Balance_Sheet!T13</f>
        <v>0</v>
      </c>
      <c r="P29" s="55">
        <f ca="1">$R$29*Balance_Sheet!U13</f>
        <v>0</v>
      </c>
      <c r="R29" s="45">
        <v>0.8</v>
      </c>
    </row>
    <row r="30" spans="1:20" ht="15.75" x14ac:dyDescent="0.25">
      <c r="A30" s="63" t="str">
        <f>"Inventories "&amp;TEXT(R30,"(00.0%)")</f>
        <v>Inventories (50.0%)</v>
      </c>
      <c r="D30" s="20"/>
      <c r="F30" s="58">
        <f>$R$30*Balance_Sheet!K14</f>
        <v>0</v>
      </c>
      <c r="G30" s="58">
        <f ca="1">$R$30*Balance_Sheet!L14</f>
        <v>0</v>
      </c>
      <c r="H30" s="58">
        <f ca="1">$R$30*Balance_Sheet!M14</f>
        <v>0</v>
      </c>
      <c r="I30" s="58">
        <f ca="1">$R$30*Balance_Sheet!N14</f>
        <v>0</v>
      </c>
      <c r="J30" s="58">
        <f ca="1">$R$30*Balance_Sheet!O14</f>
        <v>0</v>
      </c>
      <c r="K30" s="58">
        <f ca="1">$R$30*Balance_Sheet!P14</f>
        <v>0</v>
      </c>
      <c r="L30" s="58">
        <f ca="1">$R$30*Balance_Sheet!Q14</f>
        <v>0</v>
      </c>
      <c r="M30" s="58">
        <f ca="1">$R$30*Balance_Sheet!R14</f>
        <v>0</v>
      </c>
      <c r="N30" s="58">
        <f ca="1">$R$30*Balance_Sheet!S14</f>
        <v>0</v>
      </c>
      <c r="O30" s="58">
        <f ca="1">$R$30*Balance_Sheet!T14</f>
        <v>0</v>
      </c>
      <c r="P30" s="58">
        <f ca="1">$R$30*Balance_Sheet!U14</f>
        <v>0</v>
      </c>
      <c r="R30" s="155">
        <v>0.5</v>
      </c>
    </row>
    <row r="31" spans="1:20" x14ac:dyDescent="0.2">
      <c r="D31" s="16"/>
    </row>
    <row r="32" spans="1:20" ht="15.75" x14ac:dyDescent="0.25">
      <c r="A32" s="4" t="s">
        <v>179</v>
      </c>
      <c r="D32" s="75"/>
      <c r="F32" s="55">
        <f t="shared" ref="F32:P32" si="2">F29+F30</f>
        <v>0</v>
      </c>
      <c r="G32" s="55">
        <f t="shared" ca="1" si="2"/>
        <v>0</v>
      </c>
      <c r="H32" s="55">
        <f t="shared" ca="1" si="2"/>
        <v>0</v>
      </c>
      <c r="I32" s="55">
        <f t="shared" ca="1" si="2"/>
        <v>0</v>
      </c>
      <c r="J32" s="55">
        <f t="shared" ca="1" si="2"/>
        <v>0</v>
      </c>
      <c r="K32" s="55">
        <f t="shared" ca="1" si="2"/>
        <v>0</v>
      </c>
      <c r="L32" s="55">
        <f t="shared" ca="1" si="2"/>
        <v>0</v>
      </c>
      <c r="M32" s="55">
        <f t="shared" ca="1" si="2"/>
        <v>0</v>
      </c>
      <c r="N32" s="55">
        <f t="shared" ca="1" si="2"/>
        <v>0</v>
      </c>
      <c r="O32" s="55">
        <f t="shared" ca="1" si="2"/>
        <v>0</v>
      </c>
      <c r="P32" s="55">
        <f t="shared" ca="1" si="2"/>
        <v>0</v>
      </c>
      <c r="R32" s="349" t="s">
        <v>182</v>
      </c>
      <c r="S32" s="350"/>
      <c r="T32" s="351"/>
    </row>
    <row r="33" spans="1:20" ht="15.75" x14ac:dyDescent="0.25">
      <c r="R33" s="156"/>
      <c r="S33" s="109"/>
      <c r="T33" s="157"/>
    </row>
    <row r="34" spans="1:20" ht="15.75" x14ac:dyDescent="0.25">
      <c r="A34" s="4" t="s">
        <v>180</v>
      </c>
      <c r="R34" s="217" t="s">
        <v>183</v>
      </c>
      <c r="S34" s="158">
        <v>0</v>
      </c>
      <c r="T34" s="157"/>
    </row>
    <row r="35" spans="1:20" ht="15.75" x14ac:dyDescent="0.25">
      <c r="A35" s="63" t="s">
        <v>181</v>
      </c>
      <c r="F35" s="13">
        <f>IF(F32=0,0,F11/F32)</f>
        <v>0</v>
      </c>
      <c r="G35" s="13">
        <f t="shared" ref="G35:P35" ca="1" si="3">IF(G32=0,0,G11/G32)</f>
        <v>0</v>
      </c>
      <c r="H35" s="13">
        <f t="shared" ca="1" si="3"/>
        <v>0</v>
      </c>
      <c r="I35" s="13">
        <f t="shared" ca="1" si="3"/>
        <v>0</v>
      </c>
      <c r="J35" s="13">
        <f t="shared" ca="1" si="3"/>
        <v>0</v>
      </c>
      <c r="K35" s="13">
        <f t="shared" ca="1" si="3"/>
        <v>0</v>
      </c>
      <c r="L35" s="13">
        <f t="shared" ca="1" si="3"/>
        <v>0</v>
      </c>
      <c r="M35" s="13">
        <f t="shared" ca="1" si="3"/>
        <v>0</v>
      </c>
      <c r="N35" s="13">
        <f t="shared" ca="1" si="3"/>
        <v>0</v>
      </c>
      <c r="O35" s="13">
        <f t="shared" ca="1" si="3"/>
        <v>0</v>
      </c>
      <c r="P35" s="13">
        <f t="shared" ca="1" si="3"/>
        <v>0</v>
      </c>
      <c r="R35" s="218" t="s">
        <v>184</v>
      </c>
      <c r="S35" s="159"/>
      <c r="T35" s="160"/>
    </row>
    <row r="37" spans="1:20" x14ac:dyDescent="0.2">
      <c r="D37" s="16"/>
    </row>
    <row r="38" spans="1:20" ht="6" customHeight="1" x14ac:dyDescent="0.2">
      <c r="D38" s="16"/>
    </row>
    <row r="39" spans="1:20" ht="15.75" x14ac:dyDescent="0.25">
      <c r="D39" s="16"/>
      <c r="F39" s="368" t="str">
        <f>IF(AND(S34=1,Sources_Uses!K12=0),"IF USING ASSET-BACKED REVOLVER, YOU MUST USE REVOLVER AS A SOURCE OF FUNDS","")</f>
        <v/>
      </c>
      <c r="G39" s="368"/>
      <c r="H39" s="368"/>
      <c r="I39" s="368"/>
      <c r="J39" s="368"/>
      <c r="K39" s="368"/>
      <c r="L39" s="368"/>
      <c r="M39" s="368"/>
      <c r="N39" s="368"/>
      <c r="O39" s="368"/>
    </row>
    <row r="40" spans="1:20" x14ac:dyDescent="0.2">
      <c r="D40" s="16"/>
    </row>
  </sheetData>
  <mergeCells count="5">
    <mergeCell ref="F7:P7"/>
    <mergeCell ref="R32:T32"/>
    <mergeCell ref="F39:O39"/>
    <mergeCell ref="A2:S2"/>
    <mergeCell ref="A3:S3"/>
  </mergeCells>
  <phoneticPr fontId="0" type="noConversion"/>
  <conditionalFormatting sqref="F39:O39">
    <cfRule type="cellIs" dxfId="0" priority="1" stopIfTrue="1" operator="notEqual">
      <formula>""</formula>
    </cfRule>
  </conditionalFormatting>
  <printOptions horizontalCentered="1" verticalCentered="1"/>
  <pageMargins left="0.75" right="0.75" top="1" bottom="1" header="0.5" footer="0.5"/>
  <pageSetup scale="68" orientation="landscape" horizontalDpi="300" verticalDpi="300" r:id="rId1"/>
  <headerFooter alignWithMargins="0">
    <oddHeader>&amp;L&amp;D&amp;T&amp;C&amp;P&amp;N&amp;R&amp;F&amp;A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R36"/>
  <sheetViews>
    <sheetView zoomScale="77" zoomScaleNormal="90" workbookViewId="0"/>
  </sheetViews>
  <sheetFormatPr defaultRowHeight="15" x14ac:dyDescent="0.2"/>
  <cols>
    <col min="1" max="12" width="11.28515625" style="1" customWidth="1"/>
    <col min="13" max="13" width="12" style="1" customWidth="1"/>
    <col min="14" max="15" width="11.28515625" style="1" customWidth="1"/>
    <col min="16" max="16384" width="9.140625" style="1"/>
  </cols>
  <sheetData>
    <row r="1" spans="1:18" ht="20.25" customHeight="1" x14ac:dyDescent="0.25">
      <c r="A1" s="257" t="str">
        <f ca="1">Capital_Structure!A1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</row>
    <row r="3" spans="1:18" s="231" customFormat="1" ht="20.25" x14ac:dyDescent="0.3">
      <c r="A3" s="342" t="s">
        <v>217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</row>
    <row r="4" spans="1:18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8" ht="15.75" x14ac:dyDescent="0.25">
      <c r="A5" s="4" t="str">
        <f ca="1">"Performance Case: "&amp;Sources_Uses!M44</f>
        <v>Performance Case: Base</v>
      </c>
    </row>
    <row r="6" spans="1:18" x14ac:dyDescent="0.2">
      <c r="A6" s="1" t="str">
        <f>Sources_Uses!B7</f>
        <v>(FYE January; $ in millions)</v>
      </c>
    </row>
    <row r="7" spans="1:18" x14ac:dyDescent="0.2">
      <c r="D7" s="343" t="s">
        <v>68</v>
      </c>
      <c r="E7" s="343"/>
      <c r="F7" s="343"/>
      <c r="G7" s="343"/>
      <c r="H7" s="343"/>
      <c r="I7" s="343"/>
      <c r="J7" s="343"/>
      <c r="K7" s="343"/>
      <c r="L7" s="343"/>
      <c r="M7" s="343"/>
    </row>
    <row r="8" spans="1:18" ht="15.75" x14ac:dyDescent="0.25">
      <c r="D8" s="5">
        <f>Balance_Sheet!L8</f>
        <v>2000</v>
      </c>
      <c r="E8" s="6">
        <f>D8+1</f>
        <v>2001</v>
      </c>
      <c r="F8" s="6">
        <f t="shared" ref="F8:M8" si="0">E8+1</f>
        <v>2002</v>
      </c>
      <c r="G8" s="6">
        <f t="shared" si="0"/>
        <v>2003</v>
      </c>
      <c r="H8" s="6">
        <f t="shared" si="0"/>
        <v>2004</v>
      </c>
      <c r="I8" s="6">
        <f t="shared" si="0"/>
        <v>2005</v>
      </c>
      <c r="J8" s="6">
        <f t="shared" si="0"/>
        <v>2006</v>
      </c>
      <c r="K8" s="6">
        <f t="shared" si="0"/>
        <v>2007</v>
      </c>
      <c r="L8" s="6">
        <f t="shared" si="0"/>
        <v>2008</v>
      </c>
      <c r="M8" s="7">
        <f t="shared" si="0"/>
        <v>2009</v>
      </c>
    </row>
    <row r="10" spans="1:18" x14ac:dyDescent="0.2">
      <c r="A10" s="1" t="s">
        <v>153</v>
      </c>
      <c r="D10" s="55">
        <f ca="1">Income_Statement!J56</f>
        <v>0</v>
      </c>
      <c r="E10" s="55">
        <f ca="1">Income_Statement!K56</f>
        <v>0</v>
      </c>
      <c r="F10" s="55">
        <f ca="1">Income_Statement!L56</f>
        <v>0</v>
      </c>
      <c r="G10" s="55">
        <f ca="1">Income_Statement!M56</f>
        <v>0</v>
      </c>
      <c r="H10" s="55">
        <f ca="1">Income_Statement!N56</f>
        <v>0</v>
      </c>
      <c r="I10" s="55">
        <f ca="1">Income_Statement!O56</f>
        <v>0</v>
      </c>
      <c r="J10" s="55">
        <f ca="1">Income_Statement!P56</f>
        <v>0</v>
      </c>
      <c r="K10" s="55">
        <f ca="1">Income_Statement!Q56</f>
        <v>0</v>
      </c>
      <c r="L10" s="55">
        <f ca="1">Income_Statement!R56</f>
        <v>0</v>
      </c>
      <c r="M10" s="55">
        <f ca="1">Income_Statement!S56</f>
        <v>0</v>
      </c>
    </row>
    <row r="12" spans="1:18" x14ac:dyDescent="0.2">
      <c r="A12" s="1" t="s">
        <v>218</v>
      </c>
      <c r="D12" s="57">
        <f>Book_Depreciation!J45</f>
        <v>0</v>
      </c>
      <c r="E12" s="57">
        <f>Book_Depreciation!K45</f>
        <v>0</v>
      </c>
      <c r="F12" s="57">
        <f>Book_Depreciation!L45</f>
        <v>0</v>
      </c>
      <c r="G12" s="57">
        <f>Book_Depreciation!M45</f>
        <v>0</v>
      </c>
      <c r="H12" s="57">
        <f>Book_Depreciation!N45</f>
        <v>0</v>
      </c>
      <c r="I12" s="57">
        <f>Book_Depreciation!O45</f>
        <v>0</v>
      </c>
      <c r="J12" s="57">
        <f>Book_Depreciation!P45</f>
        <v>0</v>
      </c>
      <c r="K12" s="57">
        <f>Book_Depreciation!Q45</f>
        <v>0</v>
      </c>
      <c r="L12" s="57">
        <f>Book_Depreciation!R45</f>
        <v>0</v>
      </c>
      <c r="M12" s="57">
        <f>Book_Depreciation!S45</f>
        <v>0</v>
      </c>
    </row>
    <row r="13" spans="1:18" x14ac:dyDescent="0.2">
      <c r="A13" s="1" t="s">
        <v>219</v>
      </c>
      <c r="D13" s="57">
        <f>Tax_Depreciation!J41</f>
        <v>0</v>
      </c>
      <c r="E13" s="57">
        <f>Tax_Depreciation!K41</f>
        <v>0</v>
      </c>
      <c r="F13" s="57">
        <f>Tax_Depreciation!L41</f>
        <v>0</v>
      </c>
      <c r="G13" s="57">
        <f>Tax_Depreciation!M41</f>
        <v>0</v>
      </c>
      <c r="H13" s="57">
        <f>Tax_Depreciation!N41</f>
        <v>0</v>
      </c>
      <c r="I13" s="57">
        <f>Tax_Depreciation!O41</f>
        <v>0</v>
      </c>
      <c r="J13" s="57">
        <f>Tax_Depreciation!P41</f>
        <v>0</v>
      </c>
      <c r="K13" s="57">
        <f>Tax_Depreciation!Q41</f>
        <v>0</v>
      </c>
      <c r="L13" s="57">
        <f>Tax_Depreciation!R41</f>
        <v>0</v>
      </c>
      <c r="M13" s="57">
        <f>Tax_Depreciation!S41</f>
        <v>0</v>
      </c>
    </row>
    <row r="15" spans="1:18" x14ac:dyDescent="0.2">
      <c r="A15" s="1" t="s">
        <v>220</v>
      </c>
      <c r="D15" s="57">
        <f>Asset_Sales!J10-Asset_Sales!J15</f>
        <v>0</v>
      </c>
      <c r="E15" s="57">
        <f>Asset_Sales!K10-Asset_Sales!K15</f>
        <v>0</v>
      </c>
      <c r="F15" s="57">
        <f>Asset_Sales!L10-Asset_Sales!L15</f>
        <v>0</v>
      </c>
      <c r="G15" s="57">
        <f>Asset_Sales!M10-Asset_Sales!M15</f>
        <v>0</v>
      </c>
      <c r="H15" s="57">
        <f>Asset_Sales!N10-Asset_Sales!N15</f>
        <v>0</v>
      </c>
      <c r="I15" s="57">
        <f>Asset_Sales!O10-Asset_Sales!O15</f>
        <v>0</v>
      </c>
      <c r="J15" s="57">
        <f>Asset_Sales!P10-Asset_Sales!P15</f>
        <v>0</v>
      </c>
      <c r="K15" s="57">
        <f>Asset_Sales!Q10-Asset_Sales!Q15</f>
        <v>0</v>
      </c>
      <c r="L15" s="57">
        <f>Asset_Sales!R10-Asset_Sales!R15</f>
        <v>0</v>
      </c>
      <c r="M15" s="57">
        <f>Asset_Sales!S10-Asset_Sales!S15</f>
        <v>0</v>
      </c>
    </row>
    <row r="16" spans="1:18" x14ac:dyDescent="0.2">
      <c r="A16" s="1" t="s">
        <v>389</v>
      </c>
      <c r="D16" s="57">
        <f>Asset_Sales!J13</f>
        <v>0</v>
      </c>
      <c r="E16" s="57">
        <f>Asset_Sales!K13</f>
        <v>0</v>
      </c>
      <c r="F16" s="57">
        <f>Asset_Sales!L13</f>
        <v>0</v>
      </c>
      <c r="G16" s="57">
        <f>Asset_Sales!M13</f>
        <v>0</v>
      </c>
      <c r="H16" s="57">
        <f>Asset_Sales!N13</f>
        <v>0</v>
      </c>
      <c r="I16" s="57">
        <f>Asset_Sales!O13</f>
        <v>0</v>
      </c>
      <c r="J16" s="57">
        <f>Asset_Sales!P13</f>
        <v>0</v>
      </c>
      <c r="K16" s="57">
        <f>Asset_Sales!Q13</f>
        <v>0</v>
      </c>
      <c r="L16" s="57">
        <f>Asset_Sales!R13</f>
        <v>0</v>
      </c>
      <c r="M16" s="57">
        <f>Asset_Sales!S13</f>
        <v>0</v>
      </c>
    </row>
    <row r="18" spans="1:13" x14ac:dyDescent="0.2">
      <c r="A18" s="1" t="s">
        <v>221</v>
      </c>
      <c r="D18" s="58">
        <f>IF(Book_Depreciation!$K$8=1,0,Book_Depreciation!J49)</f>
        <v>0</v>
      </c>
      <c r="E18" s="58">
        <f>IF(Book_Depreciation!$K$8=1,0,Book_Depreciation!K49)</f>
        <v>0</v>
      </c>
      <c r="F18" s="58">
        <f>IF(Book_Depreciation!$K$8=1,0,Book_Depreciation!L49)</f>
        <v>0</v>
      </c>
      <c r="G18" s="58">
        <f>IF(Book_Depreciation!$K$8=1,0,Book_Depreciation!M49)</f>
        <v>0</v>
      </c>
      <c r="H18" s="58">
        <f>IF(Book_Depreciation!$K$8=1,0,Book_Depreciation!N49)</f>
        <v>0</v>
      </c>
      <c r="I18" s="58">
        <f>IF(Book_Depreciation!$K$8=1,0,Book_Depreciation!O49)</f>
        <v>0</v>
      </c>
      <c r="J18" s="58">
        <f>IF(Book_Depreciation!$K$8=1,0,Book_Depreciation!P49)</f>
        <v>0</v>
      </c>
      <c r="K18" s="58">
        <f>IF(Book_Depreciation!$K$8=1,0,Book_Depreciation!Q49)</f>
        <v>0</v>
      </c>
      <c r="L18" s="58">
        <f>IF(Book_Depreciation!$K$8=1,0,Book_Depreciation!R49)</f>
        <v>0</v>
      </c>
      <c r="M18" s="58">
        <f>IF(Book_Depreciation!$K$8=1,0,Book_Depreciation!S49)</f>
        <v>0</v>
      </c>
    </row>
    <row r="20" spans="1:13" x14ac:dyDescent="0.2">
      <c r="A20" s="1" t="s">
        <v>222</v>
      </c>
      <c r="D20" s="57">
        <f ca="1">D10+D12-D13-D15+D16+D18</f>
        <v>0</v>
      </c>
      <c r="E20" s="57">
        <f t="shared" ref="E20:M20" ca="1" si="1">E10+E12-E13-E15+E16+E18</f>
        <v>0</v>
      </c>
      <c r="F20" s="57">
        <f t="shared" ca="1" si="1"/>
        <v>0</v>
      </c>
      <c r="G20" s="57">
        <f t="shared" ca="1" si="1"/>
        <v>0</v>
      </c>
      <c r="H20" s="57">
        <f t="shared" ca="1" si="1"/>
        <v>0</v>
      </c>
      <c r="I20" s="57">
        <f t="shared" ca="1" si="1"/>
        <v>0</v>
      </c>
      <c r="J20" s="57">
        <f t="shared" ca="1" si="1"/>
        <v>0</v>
      </c>
      <c r="K20" s="57">
        <f t="shared" ca="1" si="1"/>
        <v>0</v>
      </c>
      <c r="L20" s="57">
        <f t="shared" ca="1" si="1"/>
        <v>0</v>
      </c>
      <c r="M20" s="57">
        <f t="shared" ca="1" si="1"/>
        <v>0</v>
      </c>
    </row>
    <row r="22" spans="1:13" x14ac:dyDescent="0.2">
      <c r="A22" s="1" t="s">
        <v>223</v>
      </c>
      <c r="D22" s="57">
        <f ca="1">MAX(0,MIN(D20,D32))</f>
        <v>0</v>
      </c>
      <c r="E22" s="57">
        <f t="shared" ref="E22:M22" ca="1" si="2">MAX(0,MIN(E20,E32))</f>
        <v>0</v>
      </c>
      <c r="F22" s="57">
        <f t="shared" ca="1" si="2"/>
        <v>0</v>
      </c>
      <c r="G22" s="57">
        <f t="shared" ca="1" si="2"/>
        <v>0</v>
      </c>
      <c r="H22" s="57">
        <f t="shared" ca="1" si="2"/>
        <v>0</v>
      </c>
      <c r="I22" s="57">
        <f t="shared" ca="1" si="2"/>
        <v>0</v>
      </c>
      <c r="J22" s="57">
        <f t="shared" ca="1" si="2"/>
        <v>0</v>
      </c>
      <c r="K22" s="57">
        <f t="shared" ca="1" si="2"/>
        <v>0</v>
      </c>
      <c r="L22" s="57">
        <f t="shared" ca="1" si="2"/>
        <v>0</v>
      </c>
      <c r="M22" s="57">
        <f t="shared" ca="1" si="2"/>
        <v>0</v>
      </c>
    </row>
    <row r="23" spans="1:13" x14ac:dyDescent="0.2">
      <c r="A23" s="1" t="s">
        <v>224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</row>
    <row r="25" spans="1:13" x14ac:dyDescent="0.2">
      <c r="A25" s="1" t="s">
        <v>225</v>
      </c>
      <c r="D25" s="57">
        <f ca="1">D20-D22</f>
        <v>0</v>
      </c>
      <c r="E25" s="57">
        <f t="shared" ref="E25:M25" ca="1" si="3">E20-E22</f>
        <v>0</v>
      </c>
      <c r="F25" s="57">
        <f t="shared" ca="1" si="3"/>
        <v>0</v>
      </c>
      <c r="G25" s="57">
        <f t="shared" ca="1" si="3"/>
        <v>0</v>
      </c>
      <c r="H25" s="57">
        <f t="shared" ca="1" si="3"/>
        <v>0</v>
      </c>
      <c r="I25" s="57">
        <f t="shared" ca="1" si="3"/>
        <v>0</v>
      </c>
      <c r="J25" s="57">
        <f t="shared" ca="1" si="3"/>
        <v>0</v>
      </c>
      <c r="K25" s="57">
        <f t="shared" ca="1" si="3"/>
        <v>0</v>
      </c>
      <c r="L25" s="57">
        <f t="shared" ca="1" si="3"/>
        <v>0</v>
      </c>
      <c r="M25" s="57">
        <f t="shared" ca="1" si="3"/>
        <v>0</v>
      </c>
    </row>
    <row r="27" spans="1:13" ht="15.75" thickBot="1" x14ac:dyDescent="0.25">
      <c r="A27" s="1" t="s">
        <v>226</v>
      </c>
      <c r="D27" s="134">
        <f ca="1">MAX(0,D25*(Inc_Stmt_Assumptions!J42))</f>
        <v>0</v>
      </c>
      <c r="E27" s="134">
        <f ca="1">MAX(0,E25*(Inc_Stmt_Assumptions!K42))</f>
        <v>0</v>
      </c>
      <c r="F27" s="134">
        <f ca="1">MAX(0,F25*(Inc_Stmt_Assumptions!L42))</f>
        <v>0</v>
      </c>
      <c r="G27" s="134">
        <f ca="1">MAX(0,G25*(Inc_Stmt_Assumptions!M42))</f>
        <v>0</v>
      </c>
      <c r="H27" s="134">
        <f ca="1">MAX(0,H25*(Inc_Stmt_Assumptions!N42))</f>
        <v>0</v>
      </c>
      <c r="I27" s="134">
        <f ca="1">MAX(0,I25*(Inc_Stmt_Assumptions!O42))</f>
        <v>0</v>
      </c>
      <c r="J27" s="134">
        <f ca="1">MAX(0,J25*(Inc_Stmt_Assumptions!P42))</f>
        <v>0</v>
      </c>
      <c r="K27" s="134">
        <f ca="1">MAX(0,K25*(Inc_Stmt_Assumptions!Q42))</f>
        <v>0</v>
      </c>
      <c r="L27" s="134">
        <f ca="1">MAX(0,L25*(Inc_Stmt_Assumptions!R42))</f>
        <v>0</v>
      </c>
      <c r="M27" s="134">
        <f ca="1">MAX(0,M25*(Inc_Stmt_Assumptions!S42))</f>
        <v>0</v>
      </c>
    </row>
    <row r="28" spans="1:13" ht="15.75" thickTop="1" x14ac:dyDescent="0.2"/>
    <row r="29" spans="1:13" x14ac:dyDescent="0.2">
      <c r="A29" s="1" t="s">
        <v>227</v>
      </c>
      <c r="D29" s="57">
        <f ca="1">(D10+D18)*Inc_Stmt_Assumptions!J42</f>
        <v>0</v>
      </c>
      <c r="E29" s="57">
        <f ca="1">(E10+E18)*Inc_Stmt_Assumptions!K42</f>
        <v>0</v>
      </c>
      <c r="F29" s="57">
        <f ca="1">(F10+F18)*Inc_Stmt_Assumptions!L42</f>
        <v>0</v>
      </c>
      <c r="G29" s="57">
        <f ca="1">(G10+G18)*Inc_Stmt_Assumptions!M42</f>
        <v>0</v>
      </c>
      <c r="H29" s="57">
        <f ca="1">(H10+H18)*Inc_Stmt_Assumptions!N42</f>
        <v>0</v>
      </c>
      <c r="I29" s="57">
        <f ca="1">(I10+I18)*Inc_Stmt_Assumptions!O42</f>
        <v>0</v>
      </c>
      <c r="J29" s="57">
        <f ca="1">(J10+J18)*Inc_Stmt_Assumptions!P42</f>
        <v>0</v>
      </c>
      <c r="K29" s="57">
        <f ca="1">(K10+K18)*Inc_Stmt_Assumptions!Q42</f>
        <v>0</v>
      </c>
      <c r="L29" s="57">
        <f ca="1">(L10+L18)*Inc_Stmt_Assumptions!R42</f>
        <v>0</v>
      </c>
      <c r="M29" s="57">
        <f ca="1">(M10+M18)*Inc_Stmt_Assumptions!S42</f>
        <v>0</v>
      </c>
    </row>
    <row r="30" spans="1:13" x14ac:dyDescent="0.2">
      <c r="A30" s="1" t="s">
        <v>57</v>
      </c>
      <c r="D30" s="57">
        <f ca="1">D29-D27</f>
        <v>0</v>
      </c>
      <c r="E30" s="57">
        <f t="shared" ref="E30:M30" ca="1" si="4">E29-E27</f>
        <v>0</v>
      </c>
      <c r="F30" s="57">
        <f t="shared" ca="1" si="4"/>
        <v>0</v>
      </c>
      <c r="G30" s="57">
        <f t="shared" ca="1" si="4"/>
        <v>0</v>
      </c>
      <c r="H30" s="57">
        <f t="shared" ca="1" si="4"/>
        <v>0</v>
      </c>
      <c r="I30" s="57">
        <f t="shared" ca="1" si="4"/>
        <v>0</v>
      </c>
      <c r="J30" s="57">
        <f t="shared" ca="1" si="4"/>
        <v>0</v>
      </c>
      <c r="K30" s="57">
        <f t="shared" ca="1" si="4"/>
        <v>0</v>
      </c>
      <c r="L30" s="57">
        <f t="shared" ca="1" si="4"/>
        <v>0</v>
      </c>
      <c r="M30" s="57">
        <f t="shared" ca="1" si="4"/>
        <v>0</v>
      </c>
    </row>
    <row r="32" spans="1:13" x14ac:dyDescent="0.2">
      <c r="A32" s="1" t="s">
        <v>228</v>
      </c>
      <c r="D32" s="25">
        <v>0</v>
      </c>
      <c r="E32" s="57">
        <f ca="1">D36</f>
        <v>0</v>
      </c>
      <c r="F32" s="57">
        <f t="shared" ref="F32:M32" ca="1" si="5">E36</f>
        <v>0</v>
      </c>
      <c r="G32" s="57">
        <f t="shared" ca="1" si="5"/>
        <v>0</v>
      </c>
      <c r="H32" s="57">
        <f t="shared" ca="1" si="5"/>
        <v>0</v>
      </c>
      <c r="I32" s="57">
        <f t="shared" ca="1" si="5"/>
        <v>0</v>
      </c>
      <c r="J32" s="57">
        <f t="shared" ca="1" si="5"/>
        <v>0</v>
      </c>
      <c r="K32" s="57">
        <f t="shared" ca="1" si="5"/>
        <v>0</v>
      </c>
      <c r="L32" s="57">
        <f t="shared" ca="1" si="5"/>
        <v>0</v>
      </c>
      <c r="M32" s="57">
        <f t="shared" ca="1" si="5"/>
        <v>0</v>
      </c>
    </row>
    <row r="33" spans="1:13" x14ac:dyDescent="0.2">
      <c r="A33" s="1" t="s">
        <v>229</v>
      </c>
      <c r="D33" s="57">
        <f ca="1">-MIN(0,D20)</f>
        <v>0</v>
      </c>
      <c r="E33" s="57">
        <f t="shared" ref="E33:M33" ca="1" si="6">-MIN(0,E20)</f>
        <v>0</v>
      </c>
      <c r="F33" s="57">
        <f t="shared" ca="1" si="6"/>
        <v>0</v>
      </c>
      <c r="G33" s="57">
        <f t="shared" ca="1" si="6"/>
        <v>0</v>
      </c>
      <c r="H33" s="57">
        <f t="shared" ca="1" si="6"/>
        <v>0</v>
      </c>
      <c r="I33" s="57">
        <f t="shared" ca="1" si="6"/>
        <v>0</v>
      </c>
      <c r="J33" s="57">
        <f t="shared" ca="1" si="6"/>
        <v>0</v>
      </c>
      <c r="K33" s="57">
        <f t="shared" ca="1" si="6"/>
        <v>0</v>
      </c>
      <c r="L33" s="57">
        <f t="shared" ca="1" si="6"/>
        <v>0</v>
      </c>
      <c r="M33" s="57">
        <f t="shared" ca="1" si="6"/>
        <v>0</v>
      </c>
    </row>
    <row r="34" spans="1:13" x14ac:dyDescent="0.2">
      <c r="A34" s="1" t="s">
        <v>230</v>
      </c>
      <c r="D34" s="58">
        <f ca="1">D22</f>
        <v>0</v>
      </c>
      <c r="E34" s="58">
        <f t="shared" ref="E34:M34" ca="1" si="7">E22</f>
        <v>0</v>
      </c>
      <c r="F34" s="58">
        <f t="shared" ca="1" si="7"/>
        <v>0</v>
      </c>
      <c r="G34" s="58">
        <f t="shared" ca="1" si="7"/>
        <v>0</v>
      </c>
      <c r="H34" s="58">
        <f t="shared" ca="1" si="7"/>
        <v>0</v>
      </c>
      <c r="I34" s="58">
        <f t="shared" ca="1" si="7"/>
        <v>0</v>
      </c>
      <c r="J34" s="58">
        <f t="shared" ca="1" si="7"/>
        <v>0</v>
      </c>
      <c r="K34" s="58">
        <f t="shared" ca="1" si="7"/>
        <v>0</v>
      </c>
      <c r="L34" s="58">
        <f t="shared" ca="1" si="7"/>
        <v>0</v>
      </c>
      <c r="M34" s="58">
        <f t="shared" ca="1" si="7"/>
        <v>0</v>
      </c>
    </row>
    <row r="36" spans="1:13" ht="15.75" x14ac:dyDescent="0.25">
      <c r="A36" s="4" t="s">
        <v>231</v>
      </c>
      <c r="D36" s="60">
        <f ca="1">D32+D33-D34</f>
        <v>0</v>
      </c>
      <c r="E36" s="60">
        <f t="shared" ref="E36:M36" ca="1" si="8">E32+E33-E34</f>
        <v>0</v>
      </c>
      <c r="F36" s="60">
        <f t="shared" ca="1" si="8"/>
        <v>0</v>
      </c>
      <c r="G36" s="60">
        <f t="shared" ca="1" si="8"/>
        <v>0</v>
      </c>
      <c r="H36" s="60">
        <f t="shared" ca="1" si="8"/>
        <v>0</v>
      </c>
      <c r="I36" s="60">
        <f t="shared" ca="1" si="8"/>
        <v>0</v>
      </c>
      <c r="J36" s="60">
        <f t="shared" ca="1" si="8"/>
        <v>0</v>
      </c>
      <c r="K36" s="60">
        <f t="shared" ca="1" si="8"/>
        <v>0</v>
      </c>
      <c r="L36" s="60">
        <f t="shared" ca="1" si="8"/>
        <v>0</v>
      </c>
      <c r="M36" s="60">
        <f t="shared" ca="1" si="8"/>
        <v>0</v>
      </c>
    </row>
  </sheetData>
  <mergeCells count="3">
    <mergeCell ref="D7:M7"/>
    <mergeCell ref="A2:O2"/>
    <mergeCell ref="A3:O3"/>
  </mergeCells>
  <phoneticPr fontId="0" type="noConversion"/>
  <printOptions horizontalCentered="1" verticalCentered="1"/>
  <pageMargins left="0.75" right="0.75" top="1" bottom="1" header="0.5" footer="0.5"/>
  <pageSetup scale="96" orientation="landscape" horizontalDpi="300" verticalDpi="300" r:id="rId1"/>
  <headerFooter alignWithMargins="0">
    <oddHeader>&amp;L&amp;D&amp;T&amp;C&amp;P&amp;N&amp;R&amp;F&amp;A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41"/>
  <sheetViews>
    <sheetView topLeftCell="A6" zoomScale="71" workbookViewId="0">
      <selection activeCell="J31" sqref="J31"/>
    </sheetView>
  </sheetViews>
  <sheetFormatPr defaultRowHeight="15" outlineLevelCol="1" x14ac:dyDescent="0.2"/>
  <cols>
    <col min="1" max="2" width="10.85546875" style="1" customWidth="1"/>
    <col min="3" max="8" width="10.85546875" style="1" hidden="1" customWidth="1" outlineLevel="1"/>
    <col min="9" max="9" width="10.85546875" style="1" customWidth="1" collapsed="1"/>
    <col min="10" max="12" width="10.85546875" style="1" customWidth="1"/>
    <col min="13" max="14" width="11.85546875" style="1" customWidth="1"/>
    <col min="15" max="15" width="13" style="1" customWidth="1"/>
    <col min="16" max="18" width="10.85546875" style="1" customWidth="1"/>
    <col min="19" max="19" width="12.85546875" style="1" customWidth="1"/>
    <col min="20" max="20" width="2.85546875" style="1" customWidth="1"/>
    <col min="21" max="21" width="12.7109375" style="1" customWidth="1"/>
    <col min="22" max="22" width="12.5703125" style="1" customWidth="1"/>
    <col min="23" max="23" width="13.5703125" style="1" customWidth="1"/>
    <col min="24" max="16384" width="9.140625" style="1"/>
  </cols>
  <sheetData>
    <row r="1" spans="1:23" ht="20.25" customHeight="1" x14ac:dyDescent="0.25">
      <c r="A1" s="257" t="str">
        <f ca="1">Income_Tax_Calc!A1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3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</row>
    <row r="3" spans="1:23" s="231" customFormat="1" ht="20.25" x14ac:dyDescent="0.3">
      <c r="A3" s="342" t="s">
        <v>309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2"/>
      <c r="W3" s="342"/>
    </row>
    <row r="4" spans="1:23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ht="15.75" x14ac:dyDescent="0.25">
      <c r="A5" s="4" t="str">
        <f ca="1">"Performance Case: "&amp;Sources_Uses!M44</f>
        <v>Performance Case: Base</v>
      </c>
    </row>
    <row r="6" spans="1:23" ht="15.75" x14ac:dyDescent="0.25">
      <c r="A6" s="1" t="str">
        <f>Sources_Uses!B7</f>
        <v>(FYE January; $ in millions)</v>
      </c>
      <c r="J6" s="369" t="s">
        <v>393</v>
      </c>
      <c r="K6" s="369"/>
      <c r="L6" s="260">
        <f>Inc_Stmt_Assumptions!J42</f>
        <v>0.4</v>
      </c>
    </row>
    <row r="7" spans="1:23" ht="15.75" x14ac:dyDescent="0.25">
      <c r="D7" s="343" t="s">
        <v>62</v>
      </c>
      <c r="E7" s="343"/>
      <c r="F7" s="343"/>
      <c r="G7" s="343"/>
      <c r="H7" s="343"/>
      <c r="J7" s="343" t="s">
        <v>68</v>
      </c>
      <c r="K7" s="343"/>
      <c r="L7" s="343"/>
      <c r="M7" s="343"/>
      <c r="N7" s="343"/>
      <c r="O7" s="343"/>
      <c r="P7" s="343"/>
      <c r="Q7" s="343"/>
      <c r="R7" s="343"/>
      <c r="S7" s="343"/>
      <c r="U7" s="2" t="s">
        <v>362</v>
      </c>
    </row>
    <row r="8" spans="1:23" ht="15.75" x14ac:dyDescent="0.25">
      <c r="D8" s="5">
        <f>Balance_Sheet!D8</f>
        <v>1995</v>
      </c>
      <c r="E8" s="6">
        <f>D8+1</f>
        <v>1996</v>
      </c>
      <c r="F8" s="6">
        <f>E8+1</f>
        <v>1997</v>
      </c>
      <c r="G8" s="6">
        <f>F8+1</f>
        <v>1998</v>
      </c>
      <c r="H8" s="7">
        <f>G8+1</f>
        <v>1999</v>
      </c>
      <c r="I8" s="8"/>
      <c r="J8" s="5">
        <f>H8+1</f>
        <v>2000</v>
      </c>
      <c r="K8" s="6">
        <f>J8+1</f>
        <v>2001</v>
      </c>
      <c r="L8" s="6">
        <f t="shared" ref="L8:S8" si="0">K8+1</f>
        <v>2002</v>
      </c>
      <c r="M8" s="6">
        <f t="shared" si="0"/>
        <v>2003</v>
      </c>
      <c r="N8" s="6">
        <f t="shared" si="0"/>
        <v>2004</v>
      </c>
      <c r="O8" s="6">
        <f t="shared" si="0"/>
        <v>2005</v>
      </c>
      <c r="P8" s="6">
        <f t="shared" si="0"/>
        <v>2006</v>
      </c>
      <c r="Q8" s="6">
        <f t="shared" si="0"/>
        <v>2007</v>
      </c>
      <c r="R8" s="6">
        <f t="shared" si="0"/>
        <v>2008</v>
      </c>
      <c r="S8" s="7">
        <f t="shared" si="0"/>
        <v>2009</v>
      </c>
      <c r="U8" s="149">
        <f>S8</f>
        <v>2009</v>
      </c>
    </row>
    <row r="10" spans="1:23" ht="15.75" x14ac:dyDescent="0.25">
      <c r="A10" s="4" t="s">
        <v>310</v>
      </c>
      <c r="D10" s="55">
        <f>Income_Statement!D31</f>
        <v>0</v>
      </c>
      <c r="E10" s="55">
        <f>Income_Statement!E31</f>
        <v>0</v>
      </c>
      <c r="F10" s="55">
        <f>Income_Statement!F31</f>
        <v>0</v>
      </c>
      <c r="G10" s="55">
        <f>Income_Statement!G31</f>
        <v>0</v>
      </c>
      <c r="H10" s="55">
        <f>Income_Statement!H31</f>
        <v>0</v>
      </c>
      <c r="I10" s="55"/>
      <c r="J10" s="55">
        <f ca="1">Income_Statement!J31</f>
        <v>0</v>
      </c>
      <c r="K10" s="55">
        <f ca="1">Income_Statement!K31</f>
        <v>0</v>
      </c>
      <c r="L10" s="55">
        <f ca="1">Income_Statement!L31</f>
        <v>0</v>
      </c>
      <c r="M10" s="55">
        <f ca="1">Income_Statement!M31</f>
        <v>0</v>
      </c>
      <c r="N10" s="55">
        <f ca="1">Income_Statement!N31</f>
        <v>0</v>
      </c>
      <c r="O10" s="55">
        <f ca="1">Income_Statement!O31</f>
        <v>0</v>
      </c>
      <c r="P10" s="55">
        <f ca="1">Income_Statement!P31</f>
        <v>0</v>
      </c>
      <c r="Q10" s="55">
        <f ca="1">Income_Statement!Q31</f>
        <v>0</v>
      </c>
      <c r="R10" s="55">
        <f ca="1">Income_Statement!R31</f>
        <v>0</v>
      </c>
      <c r="S10" s="55">
        <f ca="1">Income_Statement!S31</f>
        <v>0</v>
      </c>
      <c r="U10" s="55">
        <f ca="1">S10</f>
        <v>0</v>
      </c>
    </row>
    <row r="12" spans="1:23" x14ac:dyDescent="0.2">
      <c r="A12" s="1" t="str">
        <f>"Less: Taxes on EBIT "&amp;TEXT(Inc_Stmt_Assumptions!J42,"(00.0%)")</f>
        <v>Less: Taxes on EBIT (40.0%)</v>
      </c>
      <c r="D12" s="57">
        <f>D10*$L$6</f>
        <v>0</v>
      </c>
      <c r="E12" s="57">
        <f>E10*$L$6</f>
        <v>0</v>
      </c>
      <c r="F12" s="57">
        <f>F10*$L$6</f>
        <v>0</v>
      </c>
      <c r="G12" s="57">
        <f>G10*$L$6</f>
        <v>0</v>
      </c>
      <c r="H12" s="57">
        <f>H10*$L$6</f>
        <v>0</v>
      </c>
      <c r="J12" s="57">
        <f t="shared" ref="J12:S12" ca="1" si="1">J10*$L$6</f>
        <v>0</v>
      </c>
      <c r="K12" s="57">
        <f t="shared" ca="1" si="1"/>
        <v>0</v>
      </c>
      <c r="L12" s="57">
        <f t="shared" ca="1" si="1"/>
        <v>0</v>
      </c>
      <c r="M12" s="57">
        <f t="shared" ca="1" si="1"/>
        <v>0</v>
      </c>
      <c r="N12" s="57">
        <f t="shared" ca="1" si="1"/>
        <v>0</v>
      </c>
      <c r="O12" s="57">
        <f t="shared" ca="1" si="1"/>
        <v>0</v>
      </c>
      <c r="P12" s="57">
        <f t="shared" ca="1" si="1"/>
        <v>0</v>
      </c>
      <c r="Q12" s="57">
        <f t="shared" ca="1" si="1"/>
        <v>0</v>
      </c>
      <c r="R12" s="57">
        <f t="shared" ca="1" si="1"/>
        <v>0</v>
      </c>
      <c r="S12" s="57">
        <f t="shared" ca="1" si="1"/>
        <v>0</v>
      </c>
      <c r="U12" s="57">
        <f ca="1">S12</f>
        <v>0</v>
      </c>
    </row>
    <row r="14" spans="1:23" x14ac:dyDescent="0.2">
      <c r="A14" s="1" t="s">
        <v>311</v>
      </c>
      <c r="D14" s="58">
        <f>Income_Statement!D29</f>
        <v>0</v>
      </c>
      <c r="E14" s="58">
        <f>Income_Statement!E29</f>
        <v>0</v>
      </c>
      <c r="F14" s="58">
        <f>Income_Statement!F29</f>
        <v>0</v>
      </c>
      <c r="G14" s="58">
        <f>Income_Statement!G29</f>
        <v>0</v>
      </c>
      <c r="H14" s="58">
        <f>Income_Statement!H29</f>
        <v>0</v>
      </c>
      <c r="I14" s="16"/>
      <c r="J14" s="58">
        <f>Income_Statement!J29</f>
        <v>0</v>
      </c>
      <c r="K14" s="58">
        <f>Income_Statement!K29</f>
        <v>0</v>
      </c>
      <c r="L14" s="58">
        <f>Income_Statement!L29</f>
        <v>0</v>
      </c>
      <c r="M14" s="58">
        <f>Income_Statement!M29</f>
        <v>0</v>
      </c>
      <c r="N14" s="58">
        <f>Income_Statement!N29</f>
        <v>0</v>
      </c>
      <c r="O14" s="58">
        <f>Income_Statement!O29</f>
        <v>0</v>
      </c>
      <c r="P14" s="58">
        <f>Income_Statement!P29</f>
        <v>0</v>
      </c>
      <c r="Q14" s="58">
        <f>Income_Statement!Q29</f>
        <v>0</v>
      </c>
      <c r="R14" s="58">
        <f>Income_Statement!R29</f>
        <v>0</v>
      </c>
      <c r="S14" s="58">
        <f>Income_Statement!S29</f>
        <v>0</v>
      </c>
      <c r="U14" s="58">
        <f>S14</f>
        <v>0</v>
      </c>
    </row>
    <row r="16" spans="1:23" ht="15.75" x14ac:dyDescent="0.25">
      <c r="A16" s="4" t="s">
        <v>312</v>
      </c>
      <c r="D16" s="60">
        <f>D10-D12+D14</f>
        <v>0</v>
      </c>
      <c r="E16" s="60">
        <f>E10-E12+E14</f>
        <v>0</v>
      </c>
      <c r="F16" s="60">
        <f>F10-F12+F14</f>
        <v>0</v>
      </c>
      <c r="G16" s="60">
        <f>G10-G12+G14</f>
        <v>0</v>
      </c>
      <c r="H16" s="60">
        <f>H10-H12+H14</f>
        <v>0</v>
      </c>
      <c r="J16" s="60">
        <f ca="1">J10-J12+J14</f>
        <v>0</v>
      </c>
      <c r="K16" s="60">
        <f ca="1">K10-K12+K14</f>
        <v>0</v>
      </c>
      <c r="L16" s="60">
        <f t="shared" ref="L16:U16" ca="1" si="2">L10-L12+L14</f>
        <v>0</v>
      </c>
      <c r="M16" s="60">
        <f t="shared" ca="1" si="2"/>
        <v>0</v>
      </c>
      <c r="N16" s="60">
        <f t="shared" ca="1" si="2"/>
        <v>0</v>
      </c>
      <c r="O16" s="60">
        <f t="shared" ca="1" si="2"/>
        <v>0</v>
      </c>
      <c r="P16" s="60">
        <f t="shared" ca="1" si="2"/>
        <v>0</v>
      </c>
      <c r="Q16" s="60">
        <f t="shared" ca="1" si="2"/>
        <v>0</v>
      </c>
      <c r="R16" s="60">
        <f t="shared" ca="1" si="2"/>
        <v>0</v>
      </c>
      <c r="S16" s="60">
        <f t="shared" ca="1" si="2"/>
        <v>0</v>
      </c>
      <c r="U16" s="60">
        <f t="shared" ca="1" si="2"/>
        <v>0</v>
      </c>
    </row>
    <row r="18" spans="1:23" x14ac:dyDescent="0.2">
      <c r="A18" s="1" t="s">
        <v>313</v>
      </c>
    </row>
    <row r="19" spans="1:23" x14ac:dyDescent="0.2">
      <c r="A19" s="63" t="s">
        <v>137</v>
      </c>
      <c r="J19" s="57">
        <f>Cash_Flow!D44</f>
        <v>0</v>
      </c>
      <c r="K19" s="57">
        <f>Cash_Flow!E44</f>
        <v>0</v>
      </c>
      <c r="L19" s="57">
        <f>Cash_Flow!F44</f>
        <v>0</v>
      </c>
      <c r="M19" s="57">
        <f>Cash_Flow!G44</f>
        <v>0</v>
      </c>
      <c r="N19" s="57">
        <f>Cash_Flow!H44</f>
        <v>0</v>
      </c>
      <c r="O19" s="57">
        <f>Cash_Flow!I44</f>
        <v>0</v>
      </c>
      <c r="P19" s="57">
        <f>Cash_Flow!J44</f>
        <v>0</v>
      </c>
      <c r="Q19" s="57">
        <f>Cash_Flow!K44</f>
        <v>0</v>
      </c>
      <c r="R19" s="57">
        <f>Cash_Flow!L44</f>
        <v>0</v>
      </c>
      <c r="S19" s="57">
        <f>Cash_Flow!M44</f>
        <v>0</v>
      </c>
      <c r="U19" s="57">
        <f>-U14</f>
        <v>0</v>
      </c>
    </row>
    <row r="20" spans="1:23" x14ac:dyDescent="0.2">
      <c r="A20" s="63" t="s">
        <v>413</v>
      </c>
      <c r="J20" s="57">
        <f ca="1">-Cash_Flow!D39</f>
        <v>0</v>
      </c>
      <c r="K20" s="57">
        <f ca="1">-Cash_Flow!E39</f>
        <v>0</v>
      </c>
      <c r="L20" s="57">
        <f ca="1">-Cash_Flow!F39</f>
        <v>0</v>
      </c>
      <c r="M20" s="57">
        <f ca="1">-Cash_Flow!G39</f>
        <v>0</v>
      </c>
      <c r="N20" s="57">
        <f ca="1">-Cash_Flow!H39</f>
        <v>0</v>
      </c>
      <c r="O20" s="57">
        <f ca="1">-Cash_Flow!I39</f>
        <v>0</v>
      </c>
      <c r="P20" s="57">
        <f ca="1">-Cash_Flow!J39</f>
        <v>0</v>
      </c>
      <c r="Q20" s="57">
        <f ca="1">-Cash_Flow!K39</f>
        <v>0</v>
      </c>
      <c r="R20" s="57">
        <f ca="1">-Cash_Flow!L39</f>
        <v>0</v>
      </c>
      <c r="S20" s="57">
        <f ca="1">-Cash_Flow!M39</f>
        <v>0</v>
      </c>
      <c r="U20" s="56">
        <v>0</v>
      </c>
    </row>
    <row r="21" spans="1:23" x14ac:dyDescent="0.2">
      <c r="A21" s="63" t="s">
        <v>57</v>
      </c>
      <c r="J21" s="57">
        <f ca="1">-Income_Tax_Calc!D30</f>
        <v>0</v>
      </c>
      <c r="K21" s="57">
        <f ca="1">-Income_Tax_Calc!E30</f>
        <v>0</v>
      </c>
      <c r="L21" s="57">
        <f ca="1">-Income_Tax_Calc!F30</f>
        <v>0</v>
      </c>
      <c r="M21" s="57">
        <f ca="1">-Income_Tax_Calc!G30</f>
        <v>0</v>
      </c>
      <c r="N21" s="57">
        <f ca="1">-Income_Tax_Calc!H30</f>
        <v>0</v>
      </c>
      <c r="O21" s="57">
        <f ca="1">-Income_Tax_Calc!I30</f>
        <v>0</v>
      </c>
      <c r="P21" s="57">
        <f ca="1">-Income_Tax_Calc!J30</f>
        <v>0</v>
      </c>
      <c r="Q21" s="57">
        <f ca="1">-Income_Tax_Calc!K30</f>
        <v>0</v>
      </c>
      <c r="R21" s="57">
        <f ca="1">-Income_Tax_Calc!L30</f>
        <v>0</v>
      </c>
      <c r="S21" s="57">
        <f ca="1">-Income_Tax_Calc!M30</f>
        <v>0</v>
      </c>
      <c r="U21" s="56">
        <v>0</v>
      </c>
    </row>
    <row r="22" spans="1:23" x14ac:dyDescent="0.2">
      <c r="A22" s="63" t="s">
        <v>404</v>
      </c>
      <c r="J22" s="57">
        <f ca="1">-Cash_Flow!D58</f>
        <v>0</v>
      </c>
      <c r="K22" s="57">
        <f ca="1">-Cash_Flow!E58</f>
        <v>0</v>
      </c>
      <c r="L22" s="57">
        <f ca="1">-Cash_Flow!F58</f>
        <v>0</v>
      </c>
      <c r="M22" s="57">
        <f ca="1">-Cash_Flow!G58</f>
        <v>0</v>
      </c>
      <c r="N22" s="57">
        <f ca="1">-Cash_Flow!H58</f>
        <v>0</v>
      </c>
      <c r="O22" s="57">
        <f ca="1">-Cash_Flow!I58</f>
        <v>0</v>
      </c>
      <c r="P22" s="57">
        <f ca="1">-Cash_Flow!J58</f>
        <v>0</v>
      </c>
      <c r="Q22" s="57">
        <f ca="1">-Cash_Flow!K58</f>
        <v>0</v>
      </c>
      <c r="R22" s="57">
        <f ca="1">-Cash_Flow!L58</f>
        <v>0</v>
      </c>
      <c r="S22" s="57">
        <f ca="1">-Cash_Flow!M58</f>
        <v>0</v>
      </c>
      <c r="U22" s="56">
        <v>0</v>
      </c>
    </row>
    <row r="23" spans="1:23" x14ac:dyDescent="0.2">
      <c r="A23" s="63" t="s">
        <v>405</v>
      </c>
      <c r="J23" s="58">
        <f ca="1">-Cash_Flow!D59</f>
        <v>0</v>
      </c>
      <c r="K23" s="58">
        <f ca="1">-Cash_Flow!E59</f>
        <v>0</v>
      </c>
      <c r="L23" s="58">
        <f ca="1">-Cash_Flow!F59</f>
        <v>0</v>
      </c>
      <c r="M23" s="58">
        <f ca="1">-Cash_Flow!G59</f>
        <v>0</v>
      </c>
      <c r="N23" s="58">
        <f ca="1">-Cash_Flow!H59</f>
        <v>0</v>
      </c>
      <c r="O23" s="58">
        <f ca="1">-Cash_Flow!I59</f>
        <v>0</v>
      </c>
      <c r="P23" s="58">
        <f ca="1">-Cash_Flow!J59</f>
        <v>0</v>
      </c>
      <c r="Q23" s="58">
        <f ca="1">-Cash_Flow!K59</f>
        <v>0</v>
      </c>
      <c r="R23" s="58">
        <f ca="1">-Cash_Flow!L59</f>
        <v>0</v>
      </c>
      <c r="S23" s="58">
        <f ca="1">-Cash_Flow!M59</f>
        <v>0</v>
      </c>
      <c r="U23" s="34">
        <v>0</v>
      </c>
    </row>
    <row r="25" spans="1:23" ht="16.5" thickBot="1" x14ac:dyDescent="0.3">
      <c r="A25" s="4" t="s">
        <v>314</v>
      </c>
      <c r="J25" s="61">
        <f ca="1">J16-SUM(J19:J23)</f>
        <v>0</v>
      </c>
      <c r="K25" s="61">
        <f t="shared" ref="K25:U25" ca="1" si="3">K16-SUM(K19:K23)</f>
        <v>0</v>
      </c>
      <c r="L25" s="61">
        <f t="shared" ca="1" si="3"/>
        <v>0</v>
      </c>
      <c r="M25" s="61">
        <f t="shared" ca="1" si="3"/>
        <v>0</v>
      </c>
      <c r="N25" s="61">
        <f t="shared" ca="1" si="3"/>
        <v>0</v>
      </c>
      <c r="O25" s="61">
        <f t="shared" ca="1" si="3"/>
        <v>0</v>
      </c>
      <c r="P25" s="61">
        <f t="shared" ca="1" si="3"/>
        <v>0</v>
      </c>
      <c r="Q25" s="61">
        <f t="shared" ca="1" si="3"/>
        <v>0</v>
      </c>
      <c r="R25" s="61">
        <f t="shared" ca="1" si="3"/>
        <v>0</v>
      </c>
      <c r="S25" s="61">
        <f t="shared" ca="1" si="3"/>
        <v>0</v>
      </c>
      <c r="U25" s="61">
        <f t="shared" ca="1" si="3"/>
        <v>0</v>
      </c>
    </row>
    <row r="26" spans="1:23" ht="15.75" thickTop="1" x14ac:dyDescent="0.2"/>
    <row r="29" spans="1:23" ht="15.75" x14ac:dyDescent="0.25">
      <c r="A29" s="363" t="s">
        <v>391</v>
      </c>
      <c r="B29" s="364"/>
      <c r="C29" s="364"/>
      <c r="D29" s="364"/>
      <c r="E29" s="364"/>
      <c r="F29" s="364"/>
      <c r="G29" s="364"/>
      <c r="H29" s="364"/>
      <c r="I29" s="364"/>
      <c r="J29" s="365"/>
      <c r="L29" s="363" t="s">
        <v>395</v>
      </c>
      <c r="M29" s="364"/>
      <c r="N29" s="364"/>
      <c r="O29" s="365"/>
      <c r="Q29" s="363" t="s">
        <v>392</v>
      </c>
      <c r="R29" s="364"/>
      <c r="S29" s="364"/>
      <c r="T29" s="364"/>
      <c r="U29" s="364"/>
      <c r="V29" s="364"/>
      <c r="W29" s="365"/>
    </row>
    <row r="30" spans="1:23" x14ac:dyDescent="0.2">
      <c r="A30" s="18"/>
      <c r="B30" s="16"/>
      <c r="C30" s="16"/>
      <c r="D30" s="16"/>
      <c r="E30" s="16"/>
      <c r="F30" s="16"/>
      <c r="G30" s="16"/>
      <c r="H30" s="16"/>
      <c r="I30" s="16"/>
      <c r="J30" s="19"/>
      <c r="L30" s="18"/>
      <c r="M30" s="16"/>
      <c r="N30" s="16"/>
      <c r="O30" s="19"/>
      <c r="Q30" s="18"/>
      <c r="R30" s="16"/>
      <c r="S30" s="16"/>
      <c r="T30" s="16"/>
      <c r="U30" s="224">
        <f>DCF_Analysis!C11</f>
        <v>4</v>
      </c>
      <c r="V30" s="224">
        <f>DCF_Analysis!E11</f>
        <v>6</v>
      </c>
      <c r="W30" s="225">
        <f>DCF_Analysis!G11</f>
        <v>8</v>
      </c>
    </row>
    <row r="31" spans="1:23" x14ac:dyDescent="0.2">
      <c r="A31" s="18" t="str">
        <f>"NPV of FCFF @ "&amp;TEXT(DCF_Analysis!B13,"0.0%")</f>
        <v>NPV of FCFF @ 7.0%</v>
      </c>
      <c r="B31" s="16"/>
      <c r="C31" s="16"/>
      <c r="D31" s="16"/>
      <c r="E31" s="16"/>
      <c r="F31" s="16"/>
      <c r="G31" s="16"/>
      <c r="H31" s="16"/>
      <c r="I31" s="16"/>
      <c r="J31" s="21">
        <f ca="1">NPV(DCF_Analysis!B13,Free_Cash_Flow_Summary!$J$25:S25)</f>
        <v>0</v>
      </c>
      <c r="L31" s="223" t="str">
        <f>"Terminal Value @ "&amp;TEXT(DCF_Analysis!C11,"0.0x")</f>
        <v>Terminal Value @ 4.0x</v>
      </c>
      <c r="M31" s="16"/>
      <c r="N31" s="16"/>
      <c r="O31" s="21">
        <f ca="1">(U10+U14)*DCF_Analysis!C11</f>
        <v>0</v>
      </c>
      <c r="Q31" s="223" t="str">
        <f>"Terminal Value @ "&amp;TEXT(DCF_Analysis!B13,"0.0%")</f>
        <v>Terminal Value @ 7.0%</v>
      </c>
      <c r="R31" s="16"/>
      <c r="S31" s="16"/>
      <c r="T31" s="16"/>
      <c r="U31" s="75">
        <f ca="1">O31/(1+DCF_Analysis!B13)^($S$8-$H$8)</f>
        <v>0</v>
      </c>
      <c r="V31" s="75">
        <f ca="1">O32/(1+DCF_Analysis!B13)^($S$8-$H$8)</f>
        <v>0</v>
      </c>
      <c r="W31" s="21">
        <f ca="1">O33/(1+DCF_Analysis!B13)^($S$8-$H$8)</f>
        <v>0</v>
      </c>
    </row>
    <row r="32" spans="1:23" x14ac:dyDescent="0.2">
      <c r="A32" s="18" t="str">
        <f>"NPV of FCFF @ "&amp;TEXT(DCF_Analysis!B15,"0.0%")</f>
        <v>NPV of FCFF @ 8.0%</v>
      </c>
      <c r="B32" s="16"/>
      <c r="C32" s="16"/>
      <c r="D32" s="16"/>
      <c r="E32" s="16"/>
      <c r="F32" s="16"/>
      <c r="G32" s="16"/>
      <c r="H32" s="16"/>
      <c r="I32" s="16"/>
      <c r="J32" s="39">
        <f ca="1">NPV(DCF_Analysis!B15,Free_Cash_Flow_Summary!$J$25:S26)</f>
        <v>0</v>
      </c>
      <c r="L32" s="223" t="str">
        <f>"Terminal Value @ "&amp;TEXT(DCF_Analysis!E11,"0.0x")</f>
        <v>Terminal Value @ 6.0x</v>
      </c>
      <c r="M32" s="16"/>
      <c r="N32" s="16"/>
      <c r="O32" s="39">
        <f ca="1">(U10+U14)*DCF_Analysis!E11</f>
        <v>0</v>
      </c>
      <c r="Q32" s="223" t="str">
        <f>"Terminal Value @ "&amp;TEXT(DCF_Analysis!B15,"0.0%")</f>
        <v>Terminal Value @ 8.0%</v>
      </c>
      <c r="R32" s="16"/>
      <c r="S32" s="16"/>
      <c r="T32" s="16"/>
      <c r="U32" s="20">
        <f ca="1">O31/(1+DCF_Analysis!B15)^($S$8-$H$8)</f>
        <v>0</v>
      </c>
      <c r="V32" s="20">
        <f ca="1">O32/(1+DCF_Analysis!B15)^($S$8-$H$8)</f>
        <v>0</v>
      </c>
      <c r="W32" s="39">
        <f ca="1">O33/(1+DCF_Analysis!B15)^($S$8-$H$8)</f>
        <v>0</v>
      </c>
    </row>
    <row r="33" spans="1:23" x14ac:dyDescent="0.2">
      <c r="A33" s="18" t="str">
        <f>"NPV of FCFF @ "&amp;TEXT(DCF_Analysis!B17,"0.0%")</f>
        <v>NPV of FCFF @ 9.0%</v>
      </c>
      <c r="B33" s="16"/>
      <c r="C33" s="16"/>
      <c r="D33" s="16"/>
      <c r="E33" s="16"/>
      <c r="F33" s="16"/>
      <c r="G33" s="16"/>
      <c r="H33" s="16"/>
      <c r="I33" s="16"/>
      <c r="J33" s="39">
        <f ca="1">NPV(DCF_Analysis!B17,Free_Cash_Flow_Summary!$J$25:S27)</f>
        <v>0</v>
      </c>
      <c r="L33" s="223" t="str">
        <f>"Terminal Value @ "&amp;TEXT(DCF_Analysis!G11,"0.0x")</f>
        <v>Terminal Value @ 8.0x</v>
      </c>
      <c r="M33" s="16"/>
      <c r="N33" s="16"/>
      <c r="O33" s="39">
        <f ca="1">(U10+U14)*DCF_Analysis!G11</f>
        <v>0</v>
      </c>
      <c r="Q33" s="223" t="str">
        <f>"Terminal Value @ "&amp;TEXT(DCF_Analysis!B17,"0.0%")</f>
        <v>Terminal Value @ 9.0%</v>
      </c>
      <c r="R33" s="16"/>
      <c r="S33" s="16"/>
      <c r="T33" s="16"/>
      <c r="U33" s="20">
        <f ca="1">O31/(1+DCF_Analysis!B17)^($S$8-$H$8)</f>
        <v>0</v>
      </c>
      <c r="V33" s="20">
        <f ca="1">O32/(1+DCF_Analysis!B17)^($S$8-$H$8)</f>
        <v>0</v>
      </c>
      <c r="W33" s="39">
        <f ca="1">O33/(1+DCF_Analysis!B17)^($S$8-$H$8)</f>
        <v>0</v>
      </c>
    </row>
    <row r="34" spans="1:23" x14ac:dyDescent="0.2">
      <c r="A34" s="36"/>
      <c r="B34" s="30"/>
      <c r="C34" s="30"/>
      <c r="D34" s="30"/>
      <c r="E34" s="30"/>
      <c r="F34" s="30"/>
      <c r="G34" s="30"/>
      <c r="H34" s="30"/>
      <c r="I34" s="30"/>
      <c r="J34" s="37"/>
      <c r="L34" s="36"/>
      <c r="M34" s="30"/>
      <c r="N34" s="30"/>
      <c r="O34" s="37"/>
      <c r="Q34" s="36"/>
      <c r="R34" s="30"/>
      <c r="S34" s="30"/>
      <c r="T34" s="30"/>
      <c r="U34" s="30"/>
      <c r="V34" s="30"/>
      <c r="W34" s="37"/>
    </row>
    <row r="36" spans="1:23" ht="15.75" x14ac:dyDescent="0.25">
      <c r="J36" s="363" t="s">
        <v>396</v>
      </c>
      <c r="K36" s="364"/>
      <c r="L36" s="364"/>
      <c r="M36" s="364"/>
      <c r="N36" s="364"/>
      <c r="O36" s="365"/>
      <c r="Q36" s="363" t="s">
        <v>394</v>
      </c>
      <c r="R36" s="364"/>
      <c r="S36" s="364"/>
      <c r="T36" s="364"/>
      <c r="U36" s="364"/>
      <c r="V36" s="364"/>
      <c r="W36" s="365"/>
    </row>
    <row r="37" spans="1:23" x14ac:dyDescent="0.2">
      <c r="J37" s="18"/>
      <c r="K37" s="16"/>
      <c r="L37" s="16"/>
      <c r="M37" s="226">
        <f>U37</f>
        <v>0.01</v>
      </c>
      <c r="N37" s="226">
        <f>V37</f>
        <v>0.02</v>
      </c>
      <c r="O37" s="228">
        <f>W37</f>
        <v>0.03</v>
      </c>
      <c r="Q37" s="18"/>
      <c r="R37" s="16"/>
      <c r="S37" s="16"/>
      <c r="T37" s="16"/>
      <c r="U37" s="226">
        <f>DCF_Analysis!J11</f>
        <v>0.01</v>
      </c>
      <c r="V37" s="226">
        <f>DCF_Analysis!L11</f>
        <v>0.02</v>
      </c>
      <c r="W37" s="227">
        <f>DCF_Analysis!N11</f>
        <v>0.03</v>
      </c>
    </row>
    <row r="38" spans="1:23" x14ac:dyDescent="0.2">
      <c r="J38" s="223" t="str">
        <f>Q38</f>
        <v>Terminal Value @ 7.0%</v>
      </c>
      <c r="K38" s="16"/>
      <c r="L38" s="16"/>
      <c r="M38" s="75">
        <f ca="1">($U$25*(1+M37))/(DCF_Analysis!$B$13-M37)</f>
        <v>0</v>
      </c>
      <c r="N38" s="75">
        <f ca="1">($U$25*(1+N37))/(DCF_Analysis!$B$13-N37)</f>
        <v>0</v>
      </c>
      <c r="O38" s="21">
        <f ca="1">($U$25*(1+O37))/(DCF_Analysis!$B$13-O37)</f>
        <v>0</v>
      </c>
      <c r="Q38" s="223" t="str">
        <f>Q31</f>
        <v>Terminal Value @ 7.0%</v>
      </c>
      <c r="R38" s="16"/>
      <c r="S38" s="16"/>
      <c r="T38" s="16"/>
      <c r="U38" s="75">
        <f ca="1">M38/(1+DCF_Analysis!$B13)^($S$8-$H$8)</f>
        <v>0</v>
      </c>
      <c r="V38" s="75">
        <f ca="1">N38/(1+DCF_Analysis!$B13)^($S$8-$H$8)</f>
        <v>0</v>
      </c>
      <c r="W38" s="21">
        <f ca="1">O38/(1+DCF_Analysis!$B13)^($S$8-$H$8)</f>
        <v>0</v>
      </c>
    </row>
    <row r="39" spans="1:23" x14ac:dyDescent="0.2">
      <c r="J39" s="223" t="str">
        <f>Q39</f>
        <v>Terminal Value @ 8.0%</v>
      </c>
      <c r="K39" s="16"/>
      <c r="L39" s="16"/>
      <c r="M39" s="20">
        <f ca="1">($U$25*(1+M37))/(DCF_Analysis!$B$15-M37)</f>
        <v>0</v>
      </c>
      <c r="N39" s="20">
        <f ca="1">($U$25*(1+N37))/(DCF_Analysis!$B$15-N37)</f>
        <v>0</v>
      </c>
      <c r="O39" s="39">
        <f ca="1">($U$25*(1+O37))/(DCF_Analysis!$B$15-O37)</f>
        <v>0</v>
      </c>
      <c r="Q39" s="223" t="str">
        <f>Q32</f>
        <v>Terminal Value @ 8.0%</v>
      </c>
      <c r="R39" s="16"/>
      <c r="S39" s="16"/>
      <c r="T39" s="16"/>
      <c r="U39" s="20">
        <f ca="1">M39/(1+DCF_Analysis!$B15)^($S$8-$H$8)</f>
        <v>0</v>
      </c>
      <c r="V39" s="20">
        <f ca="1">N39/(1+DCF_Analysis!$B15)^($S$8-$H$8)</f>
        <v>0</v>
      </c>
      <c r="W39" s="39">
        <f ca="1">O39/(1+DCF_Analysis!$B15)^($S$8-$H$8)</f>
        <v>0</v>
      </c>
    </row>
    <row r="40" spans="1:23" x14ac:dyDescent="0.2">
      <c r="J40" s="223" t="str">
        <f>Q40</f>
        <v>Terminal Value @ 9.0%</v>
      </c>
      <c r="K40" s="16"/>
      <c r="L40" s="16"/>
      <c r="M40" s="20">
        <f ca="1">IF(DCF_Analysis!$B$17-M37=0,0,($U$25*(1+M37))/(DCF_Analysis!$B$17-M37))</f>
        <v>0</v>
      </c>
      <c r="N40" s="20">
        <f ca="1">($U$25*(1+N37))/(DCF_Analysis!$B$17-N37)</f>
        <v>0</v>
      </c>
      <c r="O40" s="39">
        <f ca="1">($U$25*(1+O37))/(DCF_Analysis!$B$17-O37)</f>
        <v>0</v>
      </c>
      <c r="Q40" s="223" t="str">
        <f>Q33</f>
        <v>Terminal Value @ 9.0%</v>
      </c>
      <c r="R40" s="16"/>
      <c r="S40" s="16"/>
      <c r="T40" s="16"/>
      <c r="U40" s="20">
        <f ca="1">M40/(1+DCF_Analysis!$B17)^($S$8-$H$8)</f>
        <v>0</v>
      </c>
      <c r="V40" s="20">
        <f ca="1">N40/(1+DCF_Analysis!$B17)^($S$8-$H$8)</f>
        <v>0</v>
      </c>
      <c r="W40" s="39">
        <f ca="1">O40/(1+DCF_Analysis!$B17)^($S$8-$H$8)</f>
        <v>0</v>
      </c>
    </row>
    <row r="41" spans="1:23" x14ac:dyDescent="0.2">
      <c r="J41" s="36"/>
      <c r="K41" s="30"/>
      <c r="L41" s="30"/>
      <c r="M41" s="30"/>
      <c r="N41" s="30"/>
      <c r="O41" s="37"/>
      <c r="Q41" s="36"/>
      <c r="R41" s="30"/>
      <c r="S41" s="30"/>
      <c r="T41" s="30"/>
      <c r="U41" s="30"/>
      <c r="V41" s="30"/>
      <c r="W41" s="37"/>
    </row>
  </sheetData>
  <mergeCells count="10">
    <mergeCell ref="A2:W2"/>
    <mergeCell ref="A3:W3"/>
    <mergeCell ref="J6:K6"/>
    <mergeCell ref="Q36:W36"/>
    <mergeCell ref="J36:O36"/>
    <mergeCell ref="D7:H7"/>
    <mergeCell ref="J7:S7"/>
    <mergeCell ref="A29:J29"/>
    <mergeCell ref="L29:O29"/>
    <mergeCell ref="Q29:W29"/>
  </mergeCells>
  <phoneticPr fontId="0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Z129"/>
  <sheetViews>
    <sheetView zoomScale="70" workbookViewId="0"/>
  </sheetViews>
  <sheetFormatPr defaultColWidth="12.7109375" defaultRowHeight="15" x14ac:dyDescent="0.2"/>
  <cols>
    <col min="1" max="1" width="12.28515625" style="1" customWidth="1"/>
    <col min="2" max="2" width="9.85546875" style="1" customWidth="1"/>
    <col min="3" max="3" width="12.7109375" style="1" customWidth="1"/>
    <col min="4" max="4" width="2.85546875" style="1" customWidth="1"/>
    <col min="5" max="5" width="12.7109375" style="1" customWidth="1"/>
    <col min="6" max="6" width="2.85546875" style="1" customWidth="1"/>
    <col min="7" max="7" width="12.7109375" style="1" customWidth="1"/>
    <col min="8" max="8" width="2.28515625" style="1" customWidth="1"/>
    <col min="9" max="9" width="9.85546875" style="1" customWidth="1"/>
    <col min="10" max="10" width="12.7109375" style="1" customWidth="1"/>
    <col min="11" max="11" width="2.85546875" style="1" customWidth="1"/>
    <col min="12" max="12" width="12.7109375" style="1" customWidth="1"/>
    <col min="13" max="13" width="2.85546875" style="1" customWidth="1"/>
    <col min="14" max="14" width="12.7109375" style="1" customWidth="1"/>
    <col min="15" max="16" width="2.28515625" style="1" customWidth="1"/>
    <col min="17" max="17" width="15" style="1" customWidth="1"/>
    <col min="18" max="18" width="8.7109375" style="1" customWidth="1"/>
    <col min="19" max="21" width="13.5703125" style="1" customWidth="1"/>
    <col min="22" max="16384" width="12.7109375" style="1"/>
  </cols>
  <sheetData>
    <row r="1" spans="1:21" ht="20.25" customHeight="1" x14ac:dyDescent="0.25">
      <c r="A1" s="257" t="str">
        <f ca="1">Free_Cash_Flow_Summary!A1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1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</row>
    <row r="3" spans="1:21" s="231" customFormat="1" ht="20.25" x14ac:dyDescent="0.3">
      <c r="A3" s="342" t="s">
        <v>308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</row>
    <row r="4" spans="1:21" ht="7.5" customHeight="1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ht="15.75" x14ac:dyDescent="0.25">
      <c r="A5" s="4" t="str">
        <f ca="1">"Performance Case: "&amp;Sources_Uses!M44</f>
        <v>Performance Case: Base</v>
      </c>
    </row>
    <row r="6" spans="1:21" x14ac:dyDescent="0.2">
      <c r="A6" s="1" t="str">
        <f>Sources_Uses!B7</f>
        <v>(FYE January; $ in millions)</v>
      </c>
    </row>
    <row r="7" spans="1:21" ht="9.75" customHeight="1" x14ac:dyDescent="0.2"/>
    <row r="8" spans="1:21" ht="15.75" customHeight="1" x14ac:dyDescent="0.25">
      <c r="B8" s="363" t="s">
        <v>371</v>
      </c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5"/>
      <c r="P8" s="52"/>
      <c r="Q8" s="363" t="s">
        <v>367</v>
      </c>
      <c r="R8" s="364"/>
      <c r="S8" s="365"/>
    </row>
    <row r="9" spans="1:21" ht="7.5" customHeight="1" x14ac:dyDescent="0.25">
      <c r="B9" s="229"/>
      <c r="C9" s="16"/>
      <c r="D9" s="16"/>
      <c r="E9" s="16"/>
      <c r="F9" s="16"/>
      <c r="G9" s="16"/>
      <c r="H9" s="19"/>
      <c r="I9" s="18"/>
      <c r="J9" s="16"/>
      <c r="K9" s="16"/>
      <c r="L9" s="16"/>
      <c r="M9" s="16"/>
      <c r="N9" s="16"/>
      <c r="O9" s="19"/>
      <c r="P9" s="16"/>
      <c r="Q9" s="194"/>
      <c r="R9" s="52"/>
      <c r="S9" s="43"/>
    </row>
    <row r="10" spans="1:21" ht="15.75" customHeight="1" x14ac:dyDescent="0.25">
      <c r="B10" s="18"/>
      <c r="C10" s="370" t="s">
        <v>363</v>
      </c>
      <c r="D10" s="370"/>
      <c r="E10" s="370"/>
      <c r="F10" s="370"/>
      <c r="G10" s="370"/>
      <c r="H10" s="19"/>
      <c r="I10" s="18"/>
      <c r="J10" s="370" t="s">
        <v>390</v>
      </c>
      <c r="K10" s="370"/>
      <c r="L10" s="370"/>
      <c r="M10" s="370"/>
      <c r="N10" s="370"/>
      <c r="O10" s="19"/>
      <c r="P10" s="16"/>
      <c r="Q10" s="193" t="s">
        <v>365</v>
      </c>
      <c r="R10" s="16"/>
      <c r="S10" s="192">
        <v>2</v>
      </c>
    </row>
    <row r="11" spans="1:21" ht="15.75" customHeight="1" x14ac:dyDescent="0.25">
      <c r="B11" s="18"/>
      <c r="C11" s="220">
        <f>E11-S10</f>
        <v>4</v>
      </c>
      <c r="D11" s="16"/>
      <c r="E11" s="220">
        <f>Returns_Calculation!C28:C28</f>
        <v>6</v>
      </c>
      <c r="F11" s="16"/>
      <c r="G11" s="220">
        <f>E11+S10</f>
        <v>8</v>
      </c>
      <c r="H11" s="19"/>
      <c r="I11" s="18"/>
      <c r="J11" s="221">
        <v>0.01</v>
      </c>
      <c r="K11" s="26"/>
      <c r="L11" s="222">
        <f>+J11+S12</f>
        <v>0.02</v>
      </c>
      <c r="M11" s="26"/>
      <c r="N11" s="222">
        <f>L11+S12</f>
        <v>0.03</v>
      </c>
      <c r="O11" s="19"/>
      <c r="P11" s="16"/>
      <c r="Q11" s="193" t="s">
        <v>366</v>
      </c>
      <c r="R11" s="16"/>
      <c r="S11" s="45">
        <v>0.01</v>
      </c>
    </row>
    <row r="12" spans="1:21" ht="15.75" customHeight="1" x14ac:dyDescent="0.25">
      <c r="B12" s="18"/>
      <c r="C12" s="16"/>
      <c r="D12" s="16"/>
      <c r="E12" s="16"/>
      <c r="F12" s="16"/>
      <c r="G12" s="16"/>
      <c r="H12" s="19"/>
      <c r="I12" s="18"/>
      <c r="J12" s="16"/>
      <c r="K12" s="16"/>
      <c r="L12" s="16"/>
      <c r="M12" s="16"/>
      <c r="N12" s="16"/>
      <c r="O12" s="19"/>
      <c r="P12" s="16"/>
      <c r="Q12" s="193" t="s">
        <v>368</v>
      </c>
      <c r="R12" s="16"/>
      <c r="S12" s="45">
        <v>0.01</v>
      </c>
    </row>
    <row r="13" spans="1:21" ht="15.75" customHeight="1" x14ac:dyDescent="0.25">
      <c r="B13" s="229">
        <f>B15-S11</f>
        <v>7.0000000000000007E-2</v>
      </c>
      <c r="C13" s="75">
        <f ca="1">Free_Cash_Flow_Summary!J31+Free_Cash_Flow_Summary!U31</f>
        <v>0</v>
      </c>
      <c r="D13" s="16"/>
      <c r="E13" s="75">
        <f ca="1">Free_Cash_Flow_Summary!J31+Free_Cash_Flow_Summary!V31</f>
        <v>0</v>
      </c>
      <c r="F13" s="16"/>
      <c r="G13" s="75">
        <f ca="1">Free_Cash_Flow_Summary!J31+Free_Cash_Flow_Summary!W31</f>
        <v>0</v>
      </c>
      <c r="H13" s="19"/>
      <c r="I13" s="229">
        <f>B13</f>
        <v>7.0000000000000007E-2</v>
      </c>
      <c r="J13" s="75">
        <f ca="1">Free_Cash_Flow_Summary!$J$31+Free_Cash_Flow_Summary!U38</f>
        <v>0</v>
      </c>
      <c r="K13" s="16"/>
      <c r="L13" s="75">
        <f ca="1">Free_Cash_Flow_Summary!$J$31+Free_Cash_Flow_Summary!V38</f>
        <v>0</v>
      </c>
      <c r="M13" s="16"/>
      <c r="N13" s="75">
        <f ca="1">Free_Cash_Flow_Summary!$J$31+Free_Cash_Flow_Summary!W38</f>
        <v>0</v>
      </c>
      <c r="O13" s="19"/>
      <c r="P13" s="16"/>
      <c r="Q13" s="193" t="s">
        <v>378</v>
      </c>
      <c r="R13" s="16"/>
      <c r="S13" s="262">
        <f ca="1">BO81</f>
        <v>0</v>
      </c>
    </row>
    <row r="14" spans="1:21" ht="15.75" customHeight="1" x14ac:dyDescent="0.25">
      <c r="B14" s="229"/>
      <c r="C14" s="16"/>
      <c r="D14" s="16"/>
      <c r="E14" s="16"/>
      <c r="F14" s="16"/>
      <c r="G14" s="16"/>
      <c r="H14" s="19"/>
      <c r="I14" s="18"/>
      <c r="J14" s="16"/>
      <c r="K14" s="16"/>
      <c r="L14" s="16"/>
      <c r="M14" s="16"/>
      <c r="N14" s="16"/>
      <c r="O14" s="19"/>
      <c r="P14" s="16"/>
      <c r="Q14" s="18" t="s">
        <v>398</v>
      </c>
      <c r="S14" s="230">
        <f>Sources_Uses!E23</f>
        <v>0</v>
      </c>
    </row>
    <row r="15" spans="1:21" ht="15.75" customHeight="1" x14ac:dyDescent="0.25">
      <c r="B15" s="229">
        <f>ROUND(WACC_Page!T32,2)</f>
        <v>0.08</v>
      </c>
      <c r="C15" s="20">
        <f ca="1">Free_Cash_Flow_Summary!J32+Free_Cash_Flow_Summary!U32</f>
        <v>0</v>
      </c>
      <c r="D15" s="16"/>
      <c r="E15" s="20">
        <f ca="1">Free_Cash_Flow_Summary!J32+Free_Cash_Flow_Summary!V32</f>
        <v>0</v>
      </c>
      <c r="F15" s="16"/>
      <c r="G15" s="20">
        <f ca="1">Free_Cash_Flow_Summary!J32+Free_Cash_Flow_Summary!W32</f>
        <v>0</v>
      </c>
      <c r="H15" s="19"/>
      <c r="I15" s="229">
        <f>B15</f>
        <v>0.08</v>
      </c>
      <c r="J15" s="20">
        <f ca="1">Free_Cash_Flow_Summary!$J$32+Free_Cash_Flow_Summary!U39</f>
        <v>0</v>
      </c>
      <c r="K15" s="16"/>
      <c r="L15" s="20">
        <f ca="1">Free_Cash_Flow_Summary!$J$32+Free_Cash_Flow_Summary!V39</f>
        <v>0</v>
      </c>
      <c r="M15" s="16"/>
      <c r="N15" s="20">
        <f ca="1">Free_Cash_Flow_Summary!$J$32+Free_Cash_Flow_Summary!W39</f>
        <v>0</v>
      </c>
      <c r="O15" s="19"/>
      <c r="P15" s="16"/>
      <c r="Q15" s="48"/>
      <c r="R15" s="195"/>
      <c r="S15" s="43"/>
    </row>
    <row r="16" spans="1:21" ht="15.75" customHeight="1" x14ac:dyDescent="0.2">
      <c r="B16" s="229"/>
      <c r="C16" s="16"/>
      <c r="D16" s="16"/>
      <c r="E16" s="16"/>
      <c r="F16" s="16"/>
      <c r="G16" s="16"/>
      <c r="H16" s="19"/>
      <c r="I16" s="18"/>
      <c r="J16" s="16"/>
      <c r="K16" s="16"/>
      <c r="L16" s="16"/>
      <c r="M16" s="16"/>
      <c r="N16" s="16"/>
      <c r="O16" s="19"/>
      <c r="P16" s="16"/>
    </row>
    <row r="17" spans="2:21" ht="15.75" customHeight="1" x14ac:dyDescent="0.2">
      <c r="B17" s="229">
        <f>B15+S11</f>
        <v>0.09</v>
      </c>
      <c r="C17" s="20">
        <f ca="1">Free_Cash_Flow_Summary!J33+Free_Cash_Flow_Summary!U33</f>
        <v>0</v>
      </c>
      <c r="D17" s="16"/>
      <c r="E17" s="20">
        <f ca="1">Free_Cash_Flow_Summary!J33+Free_Cash_Flow_Summary!V33</f>
        <v>0</v>
      </c>
      <c r="F17" s="16"/>
      <c r="G17" s="20">
        <f ca="1">Free_Cash_Flow_Summary!J33+Free_Cash_Flow_Summary!W33</f>
        <v>0</v>
      </c>
      <c r="H17" s="19"/>
      <c r="I17" s="229">
        <f>B17</f>
        <v>0.09</v>
      </c>
      <c r="J17" s="20">
        <f ca="1">Free_Cash_Flow_Summary!$J$33+Free_Cash_Flow_Summary!U40</f>
        <v>0</v>
      </c>
      <c r="K17" s="16"/>
      <c r="L17" s="20">
        <f ca="1">Free_Cash_Flow_Summary!$J$33+Free_Cash_Flow_Summary!V40</f>
        <v>0</v>
      </c>
      <c r="M17" s="16"/>
      <c r="N17" s="20">
        <f ca="1">Free_Cash_Flow_Summary!$J$33+Free_Cash_Flow_Summary!W40</f>
        <v>0</v>
      </c>
      <c r="O17" s="19"/>
      <c r="P17" s="16"/>
    </row>
    <row r="18" spans="2:21" ht="15.75" customHeight="1" x14ac:dyDescent="0.2">
      <c r="B18" s="36"/>
      <c r="C18" s="30"/>
      <c r="D18" s="30"/>
      <c r="E18" s="30"/>
      <c r="F18" s="30"/>
      <c r="G18" s="30"/>
      <c r="H18" s="37"/>
      <c r="I18" s="36"/>
      <c r="J18" s="30"/>
      <c r="K18" s="30"/>
      <c r="L18" s="30"/>
      <c r="M18" s="30"/>
      <c r="N18" s="30"/>
      <c r="O18" s="37"/>
      <c r="P18" s="16"/>
      <c r="Q18" s="16"/>
      <c r="R18" s="16"/>
      <c r="S18" s="16"/>
      <c r="T18" s="16"/>
    </row>
    <row r="19" spans="2:21" ht="6.75" customHeight="1" x14ac:dyDescent="0.2">
      <c r="R19" s="16"/>
      <c r="S19" s="16"/>
      <c r="T19" s="16"/>
    </row>
    <row r="20" spans="2:21" ht="15.75" customHeight="1" x14ac:dyDescent="0.25">
      <c r="B20" s="363" t="s">
        <v>379</v>
      </c>
      <c r="C20" s="364"/>
      <c r="D20" s="364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5"/>
      <c r="P20" s="52"/>
      <c r="Q20" s="363" t="s">
        <v>401</v>
      </c>
      <c r="R20" s="364"/>
      <c r="S20" s="364"/>
      <c r="T20" s="364"/>
      <c r="U20" s="365"/>
    </row>
    <row r="21" spans="2:21" ht="7.5" customHeight="1" x14ac:dyDescent="0.25">
      <c r="B21" s="229"/>
      <c r="C21" s="16"/>
      <c r="D21" s="16"/>
      <c r="E21" s="16"/>
      <c r="F21" s="16"/>
      <c r="G21" s="16"/>
      <c r="H21" s="19"/>
      <c r="I21" s="18"/>
      <c r="J21" s="16"/>
      <c r="K21" s="16"/>
      <c r="L21" s="16"/>
      <c r="M21" s="16"/>
      <c r="N21" s="16"/>
      <c r="O21" s="19"/>
      <c r="P21" s="16"/>
      <c r="Q21" s="18"/>
      <c r="R21" s="52"/>
      <c r="S21" s="52"/>
      <c r="T21" s="52"/>
      <c r="U21" s="19"/>
    </row>
    <row r="22" spans="2:21" ht="15.75" customHeight="1" x14ac:dyDescent="0.25">
      <c r="B22" s="18"/>
      <c r="C22" s="370" t="s">
        <v>363</v>
      </c>
      <c r="D22" s="370"/>
      <c r="E22" s="370"/>
      <c r="F22" s="370"/>
      <c r="G22" s="370"/>
      <c r="H22" s="19"/>
      <c r="I22" s="18"/>
      <c r="J22" s="370" t="s">
        <v>390</v>
      </c>
      <c r="K22" s="370"/>
      <c r="L22" s="370"/>
      <c r="M22" s="370"/>
      <c r="N22" s="370"/>
      <c r="O22" s="19"/>
      <c r="P22" s="16"/>
      <c r="Q22" s="18"/>
      <c r="R22" s="16"/>
      <c r="S22" s="370" t="str">
        <f>C22</f>
        <v>EBITDA Multiple Method</v>
      </c>
      <c r="T22" s="370"/>
      <c r="U22" s="374"/>
    </row>
    <row r="23" spans="2:21" ht="15.75" customHeight="1" x14ac:dyDescent="0.2">
      <c r="B23" s="18"/>
      <c r="C23" s="220">
        <f>C11</f>
        <v>4</v>
      </c>
      <c r="D23" s="16"/>
      <c r="E23" s="220">
        <f>E11</f>
        <v>6</v>
      </c>
      <c r="F23" s="16"/>
      <c r="G23" s="220">
        <f>G11</f>
        <v>8</v>
      </c>
      <c r="H23" s="19"/>
      <c r="I23" s="18"/>
      <c r="J23" s="222">
        <f>J11</f>
        <v>0.01</v>
      </c>
      <c r="K23" s="26"/>
      <c r="L23" s="222">
        <f>L11</f>
        <v>0.02</v>
      </c>
      <c r="M23" s="26"/>
      <c r="N23" s="222">
        <f>N11</f>
        <v>0.03</v>
      </c>
      <c r="O23" s="19"/>
      <c r="P23" s="16"/>
      <c r="Q23" s="234" t="s">
        <v>399</v>
      </c>
      <c r="R23" s="16"/>
      <c r="S23" s="224">
        <f>C23</f>
        <v>4</v>
      </c>
      <c r="T23" s="224">
        <f>E23</f>
        <v>6</v>
      </c>
      <c r="U23" s="225">
        <f>G23</f>
        <v>8</v>
      </c>
    </row>
    <row r="24" spans="2:21" ht="15.75" customHeight="1" x14ac:dyDescent="0.2">
      <c r="B24" s="18"/>
      <c r="C24" s="16"/>
      <c r="D24" s="16"/>
      <c r="E24" s="16"/>
      <c r="F24" s="16"/>
      <c r="G24" s="16"/>
      <c r="H24" s="19"/>
      <c r="I24" s="18"/>
      <c r="J24" s="16"/>
      <c r="K24" s="16"/>
      <c r="L24" s="16"/>
      <c r="M24" s="16"/>
      <c r="N24" s="16"/>
      <c r="O24" s="19"/>
      <c r="P24" s="16"/>
      <c r="Q24" s="235" t="str">
        <f>"@ "&amp;TEXT(B25,"0.00%")</f>
        <v>@ 7.00%</v>
      </c>
      <c r="R24" s="16"/>
      <c r="S24" s="40">
        <f ca="1">IF(C13&gt;0,Free_Cash_Flow_Summary!$J$31/C13,0)</f>
        <v>0</v>
      </c>
      <c r="T24" s="40">
        <f ca="1">IF(E13&gt;0,Free_Cash_Flow_Summary!$J$31/E13,0)</f>
        <v>0</v>
      </c>
      <c r="U24" s="24">
        <f ca="1">IF(G13&gt;0,Free_Cash_Flow_Summary!$J$31/G13,0)</f>
        <v>0</v>
      </c>
    </row>
    <row r="25" spans="2:21" ht="15.75" customHeight="1" x14ac:dyDescent="0.2">
      <c r="B25" s="229">
        <f>B13</f>
        <v>7.0000000000000007E-2</v>
      </c>
      <c r="C25" s="75">
        <f ca="1">C13-$S$13</f>
        <v>0</v>
      </c>
      <c r="D25" s="16"/>
      <c r="E25" s="75">
        <f ca="1">E13-$S$13</f>
        <v>0</v>
      </c>
      <c r="F25" s="16"/>
      <c r="G25" s="75">
        <f ca="1">G13-$S$13</f>
        <v>0</v>
      </c>
      <c r="H25" s="19"/>
      <c r="I25" s="229">
        <f>B25</f>
        <v>7.0000000000000007E-2</v>
      </c>
      <c r="J25" s="75">
        <f ca="1">J13-$S$13</f>
        <v>0</v>
      </c>
      <c r="K25" s="16"/>
      <c r="L25" s="75">
        <f ca="1">L13-$S$13</f>
        <v>0</v>
      </c>
      <c r="M25" s="16"/>
      <c r="N25" s="75">
        <f ca="1">N13-$S$13</f>
        <v>0</v>
      </c>
      <c r="O25" s="19"/>
      <c r="P25" s="16"/>
      <c r="Q25" s="235" t="str">
        <f>"@ "&amp;TEXT(B27,"0.00%")</f>
        <v>@ 8.00%</v>
      </c>
      <c r="R25" s="16"/>
      <c r="S25" s="40">
        <f ca="1">IF(C15&gt;0,Free_Cash_Flow_Summary!$J$32/C15,0)</f>
        <v>0</v>
      </c>
      <c r="T25" s="40">
        <f ca="1">IF(E15&gt;0,Free_Cash_Flow_Summary!$J$32/E15,0)</f>
        <v>0</v>
      </c>
      <c r="U25" s="24">
        <f ca="1">IF(G15&gt;0,Free_Cash_Flow_Summary!$J$32/G15,0)</f>
        <v>0</v>
      </c>
    </row>
    <row r="26" spans="2:21" ht="15.75" customHeight="1" x14ac:dyDescent="0.2">
      <c r="B26" s="229"/>
      <c r="C26" s="16"/>
      <c r="D26" s="16"/>
      <c r="E26" s="16"/>
      <c r="F26" s="16"/>
      <c r="G26" s="16"/>
      <c r="H26" s="19"/>
      <c r="I26" s="18"/>
      <c r="J26" s="16"/>
      <c r="K26" s="16"/>
      <c r="L26" s="16"/>
      <c r="M26" s="16"/>
      <c r="N26" s="16"/>
      <c r="O26" s="19"/>
      <c r="P26" s="16"/>
      <c r="Q26" s="235" t="str">
        <f>"@ "&amp;TEXT(B29,"0.00%")</f>
        <v>@ 9.00%</v>
      </c>
      <c r="R26" s="16"/>
      <c r="S26" s="40">
        <f ca="1">IF(C17&gt;0,Free_Cash_Flow_Summary!$J$33/C17,0)</f>
        <v>0</v>
      </c>
      <c r="T26" s="40">
        <f ca="1">IF(E17&gt;0,Free_Cash_Flow_Summary!$J$33/E17,0)</f>
        <v>0</v>
      </c>
      <c r="U26" s="24">
        <f ca="1">IF(G17&gt;0,Free_Cash_Flow_Summary!$J$33/G17,0)</f>
        <v>0</v>
      </c>
    </row>
    <row r="27" spans="2:21" ht="15.75" customHeight="1" x14ac:dyDescent="0.2">
      <c r="B27" s="229">
        <f>B15</f>
        <v>0.08</v>
      </c>
      <c r="C27" s="20">
        <f ca="1">C15-$S$13</f>
        <v>0</v>
      </c>
      <c r="D27" s="16"/>
      <c r="E27" s="20">
        <f ca="1">E15-$S$13</f>
        <v>0</v>
      </c>
      <c r="F27" s="16"/>
      <c r="G27" s="20">
        <f ca="1">G15-$S$13</f>
        <v>0</v>
      </c>
      <c r="H27" s="19"/>
      <c r="I27" s="229">
        <f>B27</f>
        <v>0.08</v>
      </c>
      <c r="J27" s="20">
        <f ca="1">J15-$S$13</f>
        <v>0</v>
      </c>
      <c r="K27" s="16"/>
      <c r="L27" s="20">
        <f ca="1">L15-$S$13</f>
        <v>0</v>
      </c>
      <c r="M27" s="16"/>
      <c r="N27" s="20">
        <f ca="1">N15-$S$13</f>
        <v>0</v>
      </c>
      <c r="O27" s="19"/>
      <c r="P27" s="16"/>
      <c r="Q27" s="236" t="s">
        <v>400</v>
      </c>
      <c r="R27" s="16"/>
      <c r="S27" s="16"/>
      <c r="T27" s="16"/>
      <c r="U27" s="19"/>
    </row>
    <row r="28" spans="2:21" ht="15.75" customHeight="1" x14ac:dyDescent="0.2">
      <c r="B28" s="229"/>
      <c r="C28" s="16"/>
      <c r="D28" s="16"/>
      <c r="E28" s="16"/>
      <c r="F28" s="16"/>
      <c r="G28" s="16"/>
      <c r="H28" s="19"/>
      <c r="I28" s="18"/>
      <c r="J28" s="16"/>
      <c r="K28" s="16"/>
      <c r="L28" s="16"/>
      <c r="M28" s="16"/>
      <c r="N28" s="16"/>
      <c r="O28" s="19"/>
      <c r="P28" s="16"/>
      <c r="Q28" s="235" t="str">
        <f>Q24</f>
        <v>@ 7.00%</v>
      </c>
      <c r="R28" s="16"/>
      <c r="S28" s="40">
        <f ca="1">IF(C13&gt;0,Free_Cash_Flow_Summary!$U$31/DCF_Analysis!C13,0)</f>
        <v>0</v>
      </c>
      <c r="T28" s="40">
        <f ca="1">IF(E13&gt;0,Free_Cash_Flow_Summary!$V$31/DCF_Analysis!E13,0)</f>
        <v>0</v>
      </c>
      <c r="U28" s="24">
        <f ca="1">IF(G13&gt;0,Free_Cash_Flow_Summary!$W$31/DCF_Analysis!G13,0)</f>
        <v>0</v>
      </c>
    </row>
    <row r="29" spans="2:21" ht="15.75" customHeight="1" x14ac:dyDescent="0.2">
      <c r="B29" s="229">
        <f>B17</f>
        <v>0.09</v>
      </c>
      <c r="C29" s="20">
        <f ca="1">C17-$S$13</f>
        <v>0</v>
      </c>
      <c r="D29" s="16"/>
      <c r="E29" s="20">
        <f ca="1">E17-$S$13</f>
        <v>0</v>
      </c>
      <c r="F29" s="16"/>
      <c r="G29" s="20">
        <f ca="1">G17-$S$13</f>
        <v>0</v>
      </c>
      <c r="H29" s="19"/>
      <c r="I29" s="229">
        <f>B29</f>
        <v>0.09</v>
      </c>
      <c r="J29" s="20">
        <f ca="1">J17-$S$13</f>
        <v>0</v>
      </c>
      <c r="K29" s="16"/>
      <c r="L29" s="20">
        <f ca="1">L17-$S$13</f>
        <v>0</v>
      </c>
      <c r="M29" s="16"/>
      <c r="N29" s="20">
        <f ca="1">N17-$S$13</f>
        <v>0</v>
      </c>
      <c r="O29" s="19"/>
      <c r="P29" s="16"/>
      <c r="Q29" s="235" t="str">
        <f>Q25</f>
        <v>@ 8.00%</v>
      </c>
      <c r="R29" s="16"/>
      <c r="S29" s="40">
        <f ca="1">IF(C15&gt;0,Free_Cash_Flow_Summary!$U$32/DCF_Analysis!C15,0)</f>
        <v>0</v>
      </c>
      <c r="T29" s="40">
        <f ca="1">IF(E15&gt;0,Free_Cash_Flow_Summary!$V$32/DCF_Analysis!E15,0)</f>
        <v>0</v>
      </c>
      <c r="U29" s="24">
        <f ca="1">IF(G15&gt;0,Free_Cash_Flow_Summary!$W$32/DCF_Analysis!G15,0)</f>
        <v>0</v>
      </c>
    </row>
    <row r="30" spans="2:21" ht="15.75" customHeight="1" x14ac:dyDescent="0.2">
      <c r="B30" s="36"/>
      <c r="C30" s="30"/>
      <c r="D30" s="30"/>
      <c r="E30" s="30"/>
      <c r="F30" s="30"/>
      <c r="G30" s="30"/>
      <c r="H30" s="37"/>
      <c r="I30" s="36"/>
      <c r="J30" s="30"/>
      <c r="K30" s="30"/>
      <c r="L30" s="30"/>
      <c r="M30" s="30"/>
      <c r="N30" s="30"/>
      <c r="O30" s="37"/>
      <c r="P30" s="16"/>
      <c r="Q30" s="235" t="str">
        <f>Q26</f>
        <v>@ 9.00%</v>
      </c>
      <c r="R30" s="16"/>
      <c r="S30" s="40">
        <f ca="1">IF(C17&gt;0,Free_Cash_Flow_Summary!$U$33/DCF_Analysis!C17,0)</f>
        <v>0</v>
      </c>
      <c r="T30" s="40">
        <f ca="1">IF(E17&gt;0,Free_Cash_Flow_Summary!$V$33/DCF_Analysis!E17,0)</f>
        <v>0</v>
      </c>
      <c r="U30" s="24">
        <f ca="1">IF(G17&gt;0,Free_Cash_Flow_Summary!$W$33/DCF_Analysis!G17,0)</f>
        <v>0</v>
      </c>
    </row>
    <row r="31" spans="2:21" ht="6.75" customHeight="1" x14ac:dyDescent="0.2">
      <c r="Q31" s="18"/>
      <c r="R31" s="16"/>
      <c r="S31" s="16"/>
      <c r="T31" s="16"/>
      <c r="U31" s="19"/>
    </row>
    <row r="32" spans="2:21" ht="15.75" customHeight="1" x14ac:dyDescent="0.25">
      <c r="B32" s="363" t="s">
        <v>397</v>
      </c>
      <c r="C32" s="364"/>
      <c r="D32" s="364"/>
      <c r="E32" s="364"/>
      <c r="F32" s="364"/>
      <c r="G32" s="364"/>
      <c r="H32" s="364"/>
      <c r="I32" s="364"/>
      <c r="J32" s="364"/>
      <c r="K32" s="364"/>
      <c r="L32" s="364"/>
      <c r="M32" s="364"/>
      <c r="N32" s="364"/>
      <c r="O32" s="365"/>
      <c r="P32" s="52"/>
      <c r="Q32" s="18"/>
      <c r="R32" s="16"/>
      <c r="S32" s="16"/>
      <c r="T32" s="16"/>
      <c r="U32" s="19"/>
    </row>
    <row r="33" spans="2:21" ht="7.5" customHeight="1" x14ac:dyDescent="0.25">
      <c r="B33" s="229"/>
      <c r="C33" s="16"/>
      <c r="D33" s="16"/>
      <c r="E33" s="16"/>
      <c r="F33" s="16"/>
      <c r="G33" s="16"/>
      <c r="H33" s="19"/>
      <c r="I33" s="18"/>
      <c r="J33" s="16"/>
      <c r="K33" s="16"/>
      <c r="L33" s="16"/>
      <c r="M33" s="16"/>
      <c r="N33" s="16"/>
      <c r="O33" s="19"/>
      <c r="P33" s="16"/>
      <c r="Q33" s="18"/>
      <c r="R33" s="52"/>
      <c r="S33" s="52"/>
      <c r="T33" s="52"/>
      <c r="U33" s="19"/>
    </row>
    <row r="34" spans="2:21" ht="15.75" customHeight="1" x14ac:dyDescent="0.25">
      <c r="B34" s="18"/>
      <c r="C34" s="370" t="s">
        <v>363</v>
      </c>
      <c r="D34" s="370"/>
      <c r="E34" s="370"/>
      <c r="F34" s="370"/>
      <c r="G34" s="370"/>
      <c r="H34" s="19"/>
      <c r="I34" s="18"/>
      <c r="J34" s="370" t="s">
        <v>390</v>
      </c>
      <c r="K34" s="370"/>
      <c r="L34" s="370"/>
      <c r="M34" s="370"/>
      <c r="N34" s="370"/>
      <c r="O34" s="19"/>
      <c r="P34" s="16"/>
      <c r="Q34" s="18"/>
      <c r="R34" s="16"/>
      <c r="S34" s="370" t="str">
        <f>J34</f>
        <v>Perpertuity Growth Method</v>
      </c>
      <c r="T34" s="370"/>
      <c r="U34" s="374"/>
    </row>
    <row r="35" spans="2:21" ht="15.75" customHeight="1" x14ac:dyDescent="0.2">
      <c r="B35" s="18"/>
      <c r="C35" s="220">
        <f>C23</f>
        <v>4</v>
      </c>
      <c r="D35" s="16"/>
      <c r="E35" s="220">
        <f>E23</f>
        <v>6</v>
      </c>
      <c r="F35" s="16"/>
      <c r="G35" s="220">
        <f>G23</f>
        <v>8</v>
      </c>
      <c r="H35" s="19"/>
      <c r="I35" s="18"/>
      <c r="J35" s="222">
        <f>J23</f>
        <v>0.01</v>
      </c>
      <c r="K35" s="26"/>
      <c r="L35" s="222">
        <f>L23</f>
        <v>0.02</v>
      </c>
      <c r="M35" s="26"/>
      <c r="N35" s="222">
        <f>N23</f>
        <v>0.03</v>
      </c>
      <c r="O35" s="19"/>
      <c r="P35" s="16"/>
      <c r="Q35" s="234" t="s">
        <v>399</v>
      </c>
      <c r="R35" s="16"/>
      <c r="S35" s="226">
        <f>J35</f>
        <v>0.01</v>
      </c>
      <c r="T35" s="226">
        <f>L35</f>
        <v>0.02</v>
      </c>
      <c r="U35" s="228">
        <f>N35</f>
        <v>0.03</v>
      </c>
    </row>
    <row r="36" spans="2:21" ht="15.75" customHeight="1" x14ac:dyDescent="0.2">
      <c r="B36" s="18"/>
      <c r="C36" s="16"/>
      <c r="D36" s="16"/>
      <c r="E36" s="16"/>
      <c r="F36" s="16"/>
      <c r="G36" s="16"/>
      <c r="H36" s="19"/>
      <c r="I36" s="18"/>
      <c r="J36" s="16"/>
      <c r="K36" s="16"/>
      <c r="L36" s="16"/>
      <c r="M36" s="16"/>
      <c r="N36" s="16"/>
      <c r="O36" s="19"/>
      <c r="P36" s="16"/>
      <c r="Q36" s="235" t="str">
        <f>Q24</f>
        <v>@ 7.00%</v>
      </c>
      <c r="R36" s="16"/>
      <c r="S36" s="40">
        <f ca="1">IF(J13&gt;0,Free_Cash_Flow_Summary!$J$31/J13,0)</f>
        <v>0</v>
      </c>
      <c r="T36" s="40">
        <f ca="1">IF(L13&gt;0,Free_Cash_Flow_Summary!$J$31/L13,0)</f>
        <v>0</v>
      </c>
      <c r="U36" s="24">
        <f ca="1">IF(N13&gt;0,Free_Cash_Flow_Summary!$J$31/N13,0)</f>
        <v>0</v>
      </c>
    </row>
    <row r="37" spans="2:21" ht="15.75" customHeight="1" x14ac:dyDescent="0.2">
      <c r="B37" s="229">
        <f>B25</f>
        <v>7.0000000000000007E-2</v>
      </c>
      <c r="C37" s="75">
        <f>IF($S$14=0,0,C25/$S$14)</f>
        <v>0</v>
      </c>
      <c r="D37" s="16"/>
      <c r="E37" s="75">
        <f>IF($S$14=0,0,E25/$S$14)</f>
        <v>0</v>
      </c>
      <c r="F37" s="16"/>
      <c r="G37" s="75">
        <f>IF($S$14=0,0,G25/$S$14)</f>
        <v>0</v>
      </c>
      <c r="H37" s="19"/>
      <c r="I37" s="229">
        <f>B37</f>
        <v>7.0000000000000007E-2</v>
      </c>
      <c r="J37" s="75">
        <f>IF($S$14=0,0,J25/$S$14)</f>
        <v>0</v>
      </c>
      <c r="K37" s="16"/>
      <c r="L37" s="75">
        <f>IF($S$14=0,0,L25/$S$14)</f>
        <v>0</v>
      </c>
      <c r="M37" s="16"/>
      <c r="N37" s="75">
        <f>IF($S$14=0,0,N25/$S$14)</f>
        <v>0</v>
      </c>
      <c r="O37" s="19"/>
      <c r="P37" s="16"/>
      <c r="Q37" s="235" t="str">
        <f>Q25</f>
        <v>@ 8.00%</v>
      </c>
      <c r="R37" s="16"/>
      <c r="S37" s="40">
        <f ca="1">IF(J15&gt;0,Free_Cash_Flow_Summary!$J$32/J15,0)</f>
        <v>0</v>
      </c>
      <c r="T37" s="40">
        <f ca="1">IF(L15&gt;0,Free_Cash_Flow_Summary!$J$32/L15,0)</f>
        <v>0</v>
      </c>
      <c r="U37" s="24">
        <f ca="1">IF(N15&gt;0,Free_Cash_Flow_Summary!$J$32/N15,0)</f>
        <v>0</v>
      </c>
    </row>
    <row r="38" spans="2:21" x14ac:dyDescent="0.2">
      <c r="B38" s="229"/>
      <c r="C38" s="16"/>
      <c r="D38" s="16"/>
      <c r="E38" s="16"/>
      <c r="F38" s="16"/>
      <c r="G38" s="16"/>
      <c r="H38" s="19"/>
      <c r="I38" s="18"/>
      <c r="J38" s="16"/>
      <c r="K38" s="16"/>
      <c r="L38" s="16"/>
      <c r="M38" s="16"/>
      <c r="N38" s="16"/>
      <c r="O38" s="19"/>
      <c r="P38" s="16"/>
      <c r="Q38" s="235" t="str">
        <f>Q26</f>
        <v>@ 9.00%</v>
      </c>
      <c r="R38" s="16"/>
      <c r="S38" s="40">
        <f ca="1">IF(J17&gt;0,Free_Cash_Flow_Summary!$J$33/J17,0)</f>
        <v>0</v>
      </c>
      <c r="T38" s="40">
        <f ca="1">IF(L17&gt;0,Free_Cash_Flow_Summary!$J$33/L17,0)</f>
        <v>0</v>
      </c>
      <c r="U38" s="24">
        <f ca="1">IF(N17&gt;0,Free_Cash_Flow_Summary!$J$33/N17,0)</f>
        <v>0</v>
      </c>
    </row>
    <row r="39" spans="2:21" x14ac:dyDescent="0.2">
      <c r="B39" s="229">
        <f>B27</f>
        <v>0.08</v>
      </c>
      <c r="C39" s="20">
        <f>IF($S$14=0,0,C27/$S$14)</f>
        <v>0</v>
      </c>
      <c r="D39" s="16"/>
      <c r="E39" s="20">
        <f>IF($S$14=0,0,E27/$S$14)</f>
        <v>0</v>
      </c>
      <c r="F39" s="16"/>
      <c r="G39" s="20">
        <f>IF($S$14=0,0,G27/$S$14)</f>
        <v>0</v>
      </c>
      <c r="H39" s="19"/>
      <c r="I39" s="229">
        <f>B39</f>
        <v>0.08</v>
      </c>
      <c r="J39" s="20">
        <f>IF($S$14=0,0,J27/$S$14)</f>
        <v>0</v>
      </c>
      <c r="K39" s="16"/>
      <c r="L39" s="20">
        <f>IF($S$14=0,0,L27/$S$14)</f>
        <v>0</v>
      </c>
      <c r="M39" s="16"/>
      <c r="N39" s="20">
        <f>IF($S$14=0,0,N27/$S$14)</f>
        <v>0</v>
      </c>
      <c r="O39" s="19"/>
      <c r="P39" s="16"/>
      <c r="Q39" s="236" t="s">
        <v>400</v>
      </c>
      <c r="R39" s="16"/>
      <c r="S39" s="16"/>
      <c r="T39" s="16"/>
      <c r="U39" s="19"/>
    </row>
    <row r="40" spans="2:21" x14ac:dyDescent="0.2">
      <c r="B40" s="229"/>
      <c r="C40" s="16"/>
      <c r="D40" s="16"/>
      <c r="E40" s="16"/>
      <c r="F40" s="16"/>
      <c r="G40" s="16"/>
      <c r="H40" s="19"/>
      <c r="I40" s="18"/>
      <c r="J40" s="16"/>
      <c r="K40" s="16"/>
      <c r="L40" s="16"/>
      <c r="M40" s="16"/>
      <c r="N40" s="16"/>
      <c r="O40" s="19"/>
      <c r="P40" s="16"/>
      <c r="Q40" s="235" t="str">
        <f>Q28</f>
        <v>@ 7.00%</v>
      </c>
      <c r="R40" s="16"/>
      <c r="S40" s="40">
        <f ca="1">IF(J13&gt;0,Free_Cash_Flow_Summary!$U$38/DCF_Analysis!J13,0)</f>
        <v>0</v>
      </c>
      <c r="T40" s="40">
        <f ca="1">IF(L13&gt;0,Free_Cash_Flow_Summary!$V$38/DCF_Analysis!L13,0)</f>
        <v>0</v>
      </c>
      <c r="U40" s="24">
        <f ca="1">IF(N13&gt;0,Free_Cash_Flow_Summary!$W$38/DCF_Analysis!N13,0)</f>
        <v>0</v>
      </c>
    </row>
    <row r="41" spans="2:21" x14ac:dyDescent="0.2">
      <c r="B41" s="229">
        <f>B29</f>
        <v>0.09</v>
      </c>
      <c r="C41" s="20">
        <f>IF($S$14=0,0,C29/$S$14)</f>
        <v>0</v>
      </c>
      <c r="D41" s="16"/>
      <c r="E41" s="20">
        <f>IF($S$14=0,0,E29/$S$14)</f>
        <v>0</v>
      </c>
      <c r="F41" s="16"/>
      <c r="G41" s="20">
        <f>IF($S$14=0,0,G29/$S$14)</f>
        <v>0</v>
      </c>
      <c r="H41" s="19"/>
      <c r="I41" s="229">
        <f>B41</f>
        <v>0.09</v>
      </c>
      <c r="J41" s="20">
        <f>IF($S$14=0,0,J29/$S$14)</f>
        <v>0</v>
      </c>
      <c r="K41" s="16"/>
      <c r="L41" s="20">
        <f>IF($S$14=0,0,L29/$S$14)</f>
        <v>0</v>
      </c>
      <c r="M41" s="16"/>
      <c r="N41" s="20">
        <f>IF($S$14=0,0,N29/$S$14)</f>
        <v>0</v>
      </c>
      <c r="O41" s="19"/>
      <c r="P41" s="16"/>
      <c r="Q41" s="235" t="str">
        <f>Q29</f>
        <v>@ 8.00%</v>
      </c>
      <c r="R41" s="16"/>
      <c r="S41" s="40">
        <f ca="1">IF(J15&gt;0,Free_Cash_Flow_Summary!$U$39/DCF_Analysis!J15,0)</f>
        <v>0</v>
      </c>
      <c r="T41" s="40">
        <f ca="1">IF(L15&gt;0,Free_Cash_Flow_Summary!$V$39/DCF_Analysis!L15,0)</f>
        <v>0</v>
      </c>
      <c r="U41" s="24">
        <f ca="1">IF(N15&gt;0,Free_Cash_Flow_Summary!$W$39/DCF_Analysis!N15,0)</f>
        <v>0</v>
      </c>
    </row>
    <row r="42" spans="2:21" x14ac:dyDescent="0.2">
      <c r="B42" s="36"/>
      <c r="C42" s="30"/>
      <c r="D42" s="30"/>
      <c r="E42" s="30"/>
      <c r="F42" s="30"/>
      <c r="G42" s="30"/>
      <c r="H42" s="37"/>
      <c r="I42" s="36"/>
      <c r="J42" s="30"/>
      <c r="K42" s="30"/>
      <c r="L42" s="30"/>
      <c r="M42" s="30"/>
      <c r="N42" s="30"/>
      <c r="O42" s="37"/>
      <c r="P42" s="16"/>
      <c r="Q42" s="237" t="str">
        <f>Q30</f>
        <v>@ 9.00%</v>
      </c>
      <c r="R42" s="30"/>
      <c r="S42" s="41">
        <f ca="1">IF(J17&gt;0,Free_Cash_Flow_Summary!$U$40/DCF_Analysis!J17,0)</f>
        <v>0</v>
      </c>
      <c r="T42" s="41">
        <f ca="1">IF(L17&gt;0,Free_Cash_Flow_Summary!$V$40/DCF_Analysis!L17,0)</f>
        <v>0</v>
      </c>
      <c r="U42" s="35">
        <f ca="1">IF(N17&gt;0,Free_Cash_Flow_Summary!$W$40/DCF_Analysis!N17,0)</f>
        <v>0</v>
      </c>
    </row>
    <row r="68" spans="62:78" ht="15.75" x14ac:dyDescent="0.25">
      <c r="BO68" s="31"/>
      <c r="BP68" s="32"/>
      <c r="BQ68" s="32"/>
      <c r="BR68" s="32"/>
      <c r="BS68" s="200" t="s">
        <v>369</v>
      </c>
      <c r="BT68" s="200"/>
      <c r="BU68" s="32"/>
      <c r="BV68" s="79">
        <f>ROUND(WACC_Page!T32,2)</f>
        <v>0.08</v>
      </c>
      <c r="BW68" s="32"/>
      <c r="BX68" s="32"/>
      <c r="BY68" s="32"/>
      <c r="BZ68" s="73"/>
    </row>
    <row r="69" spans="62:78" x14ac:dyDescent="0.2">
      <c r="BO69" s="18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9"/>
    </row>
    <row r="70" spans="62:78" ht="15.75" x14ac:dyDescent="0.25">
      <c r="BO70" s="373" t="s">
        <v>363</v>
      </c>
      <c r="BP70" s="370"/>
      <c r="BQ70" s="370"/>
      <c r="BR70" s="370"/>
      <c r="BS70" s="370"/>
      <c r="BT70" s="52"/>
      <c r="BU70" s="16"/>
      <c r="BV70" s="370" t="s">
        <v>364</v>
      </c>
      <c r="BW70" s="370"/>
      <c r="BX70" s="370"/>
      <c r="BY70" s="370"/>
      <c r="BZ70" s="374"/>
    </row>
    <row r="71" spans="62:78" x14ac:dyDescent="0.2">
      <c r="BO71" s="18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9"/>
    </row>
    <row r="72" spans="62:78" ht="15.75" x14ac:dyDescent="0.25">
      <c r="BO72" s="201">
        <f>BQ72-S10</f>
        <v>4</v>
      </c>
      <c r="BP72" s="202"/>
      <c r="BQ72" s="196">
        <f>Returns_Calculation!C28</f>
        <v>6</v>
      </c>
      <c r="BR72" s="202"/>
      <c r="BS72" s="196">
        <f>BQ72+S10</f>
        <v>8</v>
      </c>
      <c r="BT72" s="202"/>
      <c r="BU72" s="16"/>
      <c r="BV72" s="198">
        <v>0.01</v>
      </c>
      <c r="BW72" s="203"/>
      <c r="BX72" s="197">
        <f>BV72+S12</f>
        <v>0.02</v>
      </c>
      <c r="BY72" s="203"/>
      <c r="BZ72" s="204">
        <f>BX72+S12</f>
        <v>0.03</v>
      </c>
    </row>
    <row r="73" spans="62:78" x14ac:dyDescent="0.2">
      <c r="BO73" s="18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9"/>
    </row>
    <row r="74" spans="62:78" x14ac:dyDescent="0.2">
      <c r="BJ74" s="1" t="str">
        <f>"Present Value of FCFF ("&amp;Free_Cash_Flow_Summary!J8&amp;" - "&amp;Free_Cash_Flow_Summary!S8&amp;")"</f>
        <v>Present Value of FCFF (2000 - 2009)</v>
      </c>
      <c r="BO74" s="205">
        <f ca="1">NPV($BV$68,Free_Cash_Flow_Summary!$J$25:$S$25)</f>
        <v>0</v>
      </c>
      <c r="BP74" s="16"/>
      <c r="BQ74" s="206">
        <f ca="1">BO74</f>
        <v>0</v>
      </c>
      <c r="BR74" s="16"/>
      <c r="BS74" s="206">
        <f ca="1">BQ74</f>
        <v>0</v>
      </c>
      <c r="BT74" s="206"/>
      <c r="BU74" s="16"/>
      <c r="BV74" s="206">
        <f ca="1">BS74</f>
        <v>0</v>
      </c>
      <c r="BW74" s="16"/>
      <c r="BX74" s="206">
        <f ca="1">BV74</f>
        <v>0</v>
      </c>
      <c r="BY74" s="16"/>
      <c r="BZ74" s="207">
        <f ca="1">BX74</f>
        <v>0</v>
      </c>
    </row>
    <row r="75" spans="62:78" x14ac:dyDescent="0.2">
      <c r="BO75" s="18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9"/>
    </row>
    <row r="76" spans="62:78" x14ac:dyDescent="0.2">
      <c r="BJ76" s="1" t="str">
        <f>"Future Value of Terminal"</f>
        <v>Future Value of Terminal</v>
      </c>
      <c r="BO76" s="208">
        <f ca="1">BO72*(Free_Cash_Flow_Summary!$U$10+Free_Cash_Flow_Summary!$U$14)</f>
        <v>0</v>
      </c>
      <c r="BP76" s="16"/>
      <c r="BQ76" s="20">
        <f ca="1">BQ72*(Free_Cash_Flow_Summary!$U$10+Free_Cash_Flow_Summary!$U$14)</f>
        <v>0</v>
      </c>
      <c r="BR76" s="16"/>
      <c r="BS76" s="20">
        <f ca="1">BS72*(Free_Cash_Flow_Summary!$U$10+Free_Cash_Flow_Summary!$U$14)</f>
        <v>0</v>
      </c>
      <c r="BT76" s="20"/>
      <c r="BU76" s="16"/>
      <c r="BV76" s="20">
        <f ca="1">Free_Cash_Flow_Summary!$U$25*(1+BV72)/($BV$68-BV72)</f>
        <v>0</v>
      </c>
      <c r="BW76" s="20"/>
      <c r="BX76" s="20">
        <f ca="1">Free_Cash_Flow_Summary!$U$25*(1+BX72)/($BV$68-BX72)</f>
        <v>0</v>
      </c>
      <c r="BY76" s="20"/>
      <c r="BZ76" s="39">
        <f ca="1">Free_Cash_Flow_Summary!$U$25*(1+BZ72)/($BV$68-BZ72)</f>
        <v>0</v>
      </c>
    </row>
    <row r="77" spans="62:78" x14ac:dyDescent="0.2">
      <c r="BJ77" s="1" t="str">
        <f>"Present Value of Terminal"</f>
        <v>Present Value of Terminal</v>
      </c>
      <c r="BO77" s="209">
        <f ca="1">BO76/(1+$BV$68)^(Free_Cash_Flow_Summary!$S$8-Free_Cash_Flow_Summary!$J$8)</f>
        <v>0</v>
      </c>
      <c r="BP77" s="16"/>
      <c r="BQ77" s="58">
        <f ca="1">BQ76/(1+$BV$68)^(Free_Cash_Flow_Summary!$S$8-Free_Cash_Flow_Summary!$J$8)</f>
        <v>0</v>
      </c>
      <c r="BR77" s="16"/>
      <c r="BS77" s="58">
        <f ca="1">BS76/(1+$BV$68)^(Free_Cash_Flow_Summary!$S$8-Free_Cash_Flow_Summary!$J$8)</f>
        <v>0</v>
      </c>
      <c r="BT77" s="20"/>
      <c r="BU77" s="16"/>
      <c r="BV77" s="58">
        <f ca="1">BV76/(1+$BV$68)^(Free_Cash_Flow_Summary!$S$8-Free_Cash_Flow_Summary!$J$8)</f>
        <v>0</v>
      </c>
      <c r="BW77" s="16"/>
      <c r="BX77" s="58">
        <f ca="1">BX76/(1+$BV$68)^(Free_Cash_Flow_Summary!$S$8-Free_Cash_Flow_Summary!$J$8)</f>
        <v>0</v>
      </c>
      <c r="BY77" s="16"/>
      <c r="BZ77" s="28">
        <f ca="1">BZ76/(1+$BV$68)^(Free_Cash_Flow_Summary!$S$8-Free_Cash_Flow_Summary!$J$8)</f>
        <v>0</v>
      </c>
    </row>
    <row r="78" spans="62:78" x14ac:dyDescent="0.2">
      <c r="BO78" s="18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9"/>
    </row>
    <row r="79" spans="62:78" ht="15.75" x14ac:dyDescent="0.25">
      <c r="BJ79" s="199" t="s">
        <v>371</v>
      </c>
      <c r="BK79" s="199"/>
      <c r="BO79" s="205">
        <f ca="1">BO77+BO74</f>
        <v>0</v>
      </c>
      <c r="BP79" s="16"/>
      <c r="BQ79" s="206">
        <f ca="1">BQ77+BQ74</f>
        <v>0</v>
      </c>
      <c r="BR79" s="16"/>
      <c r="BS79" s="206">
        <f ca="1">BS77+BS74</f>
        <v>0</v>
      </c>
      <c r="BT79" s="206"/>
      <c r="BU79" s="16"/>
      <c r="BV79" s="206">
        <f ca="1">BV77+BV74</f>
        <v>0</v>
      </c>
      <c r="BW79" s="16"/>
      <c r="BX79" s="206">
        <f ca="1">BX77+BX74</f>
        <v>0</v>
      </c>
      <c r="BY79" s="16"/>
      <c r="BZ79" s="207">
        <f ca="1">BZ77+BZ74</f>
        <v>0</v>
      </c>
    </row>
    <row r="80" spans="62:78" x14ac:dyDescent="0.2">
      <c r="BO80" s="18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9"/>
    </row>
    <row r="81" spans="62:78" x14ac:dyDescent="0.2">
      <c r="BJ81" s="1" t="s">
        <v>372</v>
      </c>
      <c r="BO81" s="208">
        <f ca="1">SUM(Balance_Sheet!$L$59:$L$66)-Balance_Sheet!$L$12</f>
        <v>0</v>
      </c>
      <c r="BP81" s="16"/>
      <c r="BQ81" s="20">
        <f ca="1">BO81</f>
        <v>0</v>
      </c>
      <c r="BR81" s="16"/>
      <c r="BS81" s="20">
        <f ca="1">BQ81</f>
        <v>0</v>
      </c>
      <c r="BT81" s="20"/>
      <c r="BU81" s="16"/>
      <c r="BV81" s="20">
        <f ca="1">BS81</f>
        <v>0</v>
      </c>
      <c r="BW81" s="16"/>
      <c r="BX81" s="20">
        <f ca="1">BV81</f>
        <v>0</v>
      </c>
      <c r="BY81" s="16"/>
      <c r="BZ81" s="39">
        <f ca="1">BX81</f>
        <v>0</v>
      </c>
    </row>
    <row r="82" spans="62:78" x14ac:dyDescent="0.2">
      <c r="BO82" s="18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9"/>
    </row>
    <row r="83" spans="62:78" ht="15.75" x14ac:dyDescent="0.25">
      <c r="BJ83" s="199" t="s">
        <v>373</v>
      </c>
      <c r="BK83" s="199"/>
      <c r="BO83" s="205">
        <f ca="1">BO79-BO81</f>
        <v>0</v>
      </c>
      <c r="BP83" s="16"/>
      <c r="BQ83" s="206">
        <f ca="1">BQ79-BQ81</f>
        <v>0</v>
      </c>
      <c r="BR83" s="16"/>
      <c r="BS83" s="206">
        <f ca="1">BS79-BS81</f>
        <v>0</v>
      </c>
      <c r="BT83" s="206"/>
      <c r="BU83" s="16"/>
      <c r="BV83" s="206">
        <f ca="1">BV79-BV81</f>
        <v>0</v>
      </c>
      <c r="BW83" s="16"/>
      <c r="BX83" s="206">
        <f ca="1">BX79-BX81</f>
        <v>0</v>
      </c>
      <c r="BY83" s="16"/>
      <c r="BZ83" s="207">
        <f ca="1">BZ79-BZ81</f>
        <v>0</v>
      </c>
    </row>
    <row r="84" spans="62:78" x14ac:dyDescent="0.2">
      <c r="BO84" s="18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9"/>
    </row>
    <row r="85" spans="62:78" x14ac:dyDescent="0.2">
      <c r="BJ85" s="1" t="s">
        <v>374</v>
      </c>
      <c r="BO85" s="214">
        <f>Sources_Uses!$E$23</f>
        <v>0</v>
      </c>
      <c r="BP85" s="16"/>
      <c r="BQ85" s="215">
        <f>BO85</f>
        <v>0</v>
      </c>
      <c r="BR85" s="16"/>
      <c r="BS85" s="215">
        <f>BQ85</f>
        <v>0</v>
      </c>
      <c r="BT85" s="210"/>
      <c r="BU85" s="16"/>
      <c r="BV85" s="215">
        <f>BS85</f>
        <v>0</v>
      </c>
      <c r="BW85" s="16"/>
      <c r="BX85" s="215">
        <f>BV85</f>
        <v>0</v>
      </c>
      <c r="BY85" s="16"/>
      <c r="BZ85" s="216">
        <f>BX85</f>
        <v>0</v>
      </c>
    </row>
    <row r="86" spans="62:78" x14ac:dyDescent="0.2">
      <c r="BO86" s="18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9"/>
    </row>
    <row r="87" spans="62:78" ht="15.75" x14ac:dyDescent="0.25">
      <c r="BJ87" s="199" t="s">
        <v>375</v>
      </c>
      <c r="BK87" s="199"/>
      <c r="BO87" s="211" t="e">
        <f ca="1">BO83/BO85</f>
        <v>#DIV/0!</v>
      </c>
      <c r="BP87" s="30"/>
      <c r="BQ87" s="212" t="e">
        <f ca="1">BQ83/BQ85</f>
        <v>#DIV/0!</v>
      </c>
      <c r="BR87" s="30"/>
      <c r="BS87" s="212" t="e">
        <f ca="1">BS83/BS85</f>
        <v>#DIV/0!</v>
      </c>
      <c r="BT87" s="212"/>
      <c r="BU87" s="30"/>
      <c r="BV87" s="212" t="e">
        <f ca="1">BV83/BV85</f>
        <v>#DIV/0!</v>
      </c>
      <c r="BW87" s="30"/>
      <c r="BX87" s="212" t="e">
        <f ca="1">BX83/BX85</f>
        <v>#DIV/0!</v>
      </c>
      <c r="BY87" s="30"/>
      <c r="BZ87" s="213" t="e">
        <f ca="1">BZ83/BZ85</f>
        <v>#DIV/0!</v>
      </c>
    </row>
    <row r="89" spans="62:78" ht="15.75" x14ac:dyDescent="0.25">
      <c r="BO89" s="31"/>
      <c r="BP89" s="32"/>
      <c r="BQ89" s="32"/>
      <c r="BR89" s="32"/>
      <c r="BS89" s="200" t="s">
        <v>369</v>
      </c>
      <c r="BT89" s="200"/>
      <c r="BU89" s="32"/>
      <c r="BV89" s="79">
        <f>BV68-S11</f>
        <v>7.0000000000000007E-2</v>
      </c>
      <c r="BW89" s="32"/>
      <c r="BX89" s="32"/>
      <c r="BY89" s="32"/>
      <c r="BZ89" s="73"/>
    </row>
    <row r="90" spans="62:78" x14ac:dyDescent="0.2">
      <c r="BO90" s="18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9"/>
    </row>
    <row r="91" spans="62:78" ht="15.75" x14ac:dyDescent="0.25">
      <c r="BO91" s="375" t="s">
        <v>363</v>
      </c>
      <c r="BP91" s="371"/>
      <c r="BQ91" s="371"/>
      <c r="BR91" s="371"/>
      <c r="BS91" s="371"/>
      <c r="BT91" s="52"/>
      <c r="BU91" s="16"/>
      <c r="BV91" s="371" t="s">
        <v>364</v>
      </c>
      <c r="BW91" s="371"/>
      <c r="BX91" s="371"/>
      <c r="BY91" s="371"/>
      <c r="BZ91" s="372"/>
    </row>
    <row r="92" spans="62:78" x14ac:dyDescent="0.2">
      <c r="BO92" s="18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9"/>
    </row>
    <row r="93" spans="62:78" ht="15.75" x14ac:dyDescent="0.25">
      <c r="BO93" s="201">
        <f>BO72</f>
        <v>4</v>
      </c>
      <c r="BP93" s="202"/>
      <c r="BQ93" s="196">
        <f>BQ72</f>
        <v>6</v>
      </c>
      <c r="BR93" s="202"/>
      <c r="BS93" s="196">
        <f>BS72</f>
        <v>8</v>
      </c>
      <c r="BT93" s="202"/>
      <c r="BU93" s="16"/>
      <c r="BV93" s="198">
        <f>BV72</f>
        <v>0.01</v>
      </c>
      <c r="BW93" s="203"/>
      <c r="BX93" s="197">
        <f>BX72</f>
        <v>0.02</v>
      </c>
      <c r="BY93" s="203"/>
      <c r="BZ93" s="204">
        <f>BZ72</f>
        <v>0.03</v>
      </c>
    </row>
    <row r="94" spans="62:78" x14ac:dyDescent="0.2">
      <c r="BO94" s="18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9"/>
    </row>
    <row r="95" spans="62:78" x14ac:dyDescent="0.2">
      <c r="BJ95" s="1" t="str">
        <f>BJ74</f>
        <v>Present Value of FCFF (2000 - 2009)</v>
      </c>
      <c r="BO95" s="205">
        <f ca="1">NPV($BV$89,Free_Cash_Flow_Summary!$J$25:$S$25)</f>
        <v>0</v>
      </c>
      <c r="BP95" s="16"/>
      <c r="BQ95" s="206">
        <f ca="1">BO95</f>
        <v>0</v>
      </c>
      <c r="BR95" s="16"/>
      <c r="BS95" s="206">
        <f ca="1">BQ95</f>
        <v>0</v>
      </c>
      <c r="BT95" s="206"/>
      <c r="BU95" s="16"/>
      <c r="BV95" s="206">
        <f ca="1">BS95</f>
        <v>0</v>
      </c>
      <c r="BW95" s="16"/>
      <c r="BX95" s="206">
        <f ca="1">BV95</f>
        <v>0</v>
      </c>
      <c r="BY95" s="16"/>
      <c r="BZ95" s="207">
        <f ca="1">BX95</f>
        <v>0</v>
      </c>
    </row>
    <row r="96" spans="62:78" x14ac:dyDescent="0.2">
      <c r="BO96" s="18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9"/>
    </row>
    <row r="97" spans="62:78" x14ac:dyDescent="0.2">
      <c r="BJ97" s="1" t="str">
        <f>BJ76</f>
        <v>Future Value of Terminal</v>
      </c>
      <c r="BO97" s="208">
        <f ca="1">BO76</f>
        <v>0</v>
      </c>
      <c r="BP97" s="16"/>
      <c r="BQ97" s="20">
        <f ca="1">BQ76</f>
        <v>0</v>
      </c>
      <c r="BR97" s="16"/>
      <c r="BS97" s="20">
        <f ca="1">BS76</f>
        <v>0</v>
      </c>
      <c r="BT97" s="20"/>
      <c r="BU97" s="16"/>
      <c r="BV97" s="20">
        <f ca="1">Free_Cash_Flow_Summary!$U$25*(1+BV93)/($BV$89-BV93)</f>
        <v>0</v>
      </c>
      <c r="BW97" s="16"/>
      <c r="BX97" s="20">
        <f ca="1">Free_Cash_Flow_Summary!$U$25*(1+BX93)/($BV$89-BX93)</f>
        <v>0</v>
      </c>
      <c r="BY97" s="16"/>
      <c r="BZ97" s="39">
        <f ca="1">Free_Cash_Flow_Summary!$U$25*(1+BZ93)/($BV$89-BZ93)</f>
        <v>0</v>
      </c>
    </row>
    <row r="98" spans="62:78" x14ac:dyDescent="0.2">
      <c r="BJ98" s="1" t="str">
        <f>BJ77</f>
        <v>Present Value of Terminal</v>
      </c>
      <c r="BO98" s="209">
        <f ca="1">BO97/(1+$BV$89)^(Free_Cash_Flow_Summary!$S$8-Free_Cash_Flow_Summary!$J$8)</f>
        <v>0</v>
      </c>
      <c r="BP98" s="16"/>
      <c r="BQ98" s="58">
        <f ca="1">BQ97/(1+$BV$89)^(Free_Cash_Flow_Summary!$S$8-Free_Cash_Flow_Summary!$J$8)</f>
        <v>0</v>
      </c>
      <c r="BR98" s="16"/>
      <c r="BS98" s="58">
        <f ca="1">BS97/(1+$BV$89)^(Free_Cash_Flow_Summary!$S$8-Free_Cash_Flow_Summary!$J$8)</f>
        <v>0</v>
      </c>
      <c r="BT98" s="20"/>
      <c r="BU98" s="16"/>
      <c r="BV98" s="58">
        <f ca="1">BV97/(1+$BV$89)^(Free_Cash_Flow_Summary!$S$8-Free_Cash_Flow_Summary!$J$8)</f>
        <v>0</v>
      </c>
      <c r="BW98" s="16"/>
      <c r="BX98" s="58">
        <f ca="1">BX97/(1+$BV$89)^(Free_Cash_Flow_Summary!$S$8-Free_Cash_Flow_Summary!$J$8)</f>
        <v>0</v>
      </c>
      <c r="BY98" s="16"/>
      <c r="BZ98" s="28">
        <f ca="1">BZ97/(1+$BV$89)^(Free_Cash_Flow_Summary!$S$8-Free_Cash_Flow_Summary!$J$8)</f>
        <v>0</v>
      </c>
    </row>
    <row r="99" spans="62:78" x14ac:dyDescent="0.2">
      <c r="BO99" s="18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9"/>
    </row>
    <row r="100" spans="62:78" ht="15.75" x14ac:dyDescent="0.25">
      <c r="BJ100" s="199" t="str">
        <f>BJ79</f>
        <v>Total Enterprise Value</v>
      </c>
      <c r="BK100" s="199"/>
      <c r="BO100" s="205">
        <f ca="1">BO98+BO95</f>
        <v>0</v>
      </c>
      <c r="BP100" s="16"/>
      <c r="BQ100" s="206">
        <f ca="1">BQ98+BQ95</f>
        <v>0</v>
      </c>
      <c r="BR100" s="16"/>
      <c r="BS100" s="206">
        <f ca="1">BS98+BS95</f>
        <v>0</v>
      </c>
      <c r="BT100" s="206"/>
      <c r="BU100" s="16"/>
      <c r="BV100" s="206">
        <f ca="1">BV98+BV95</f>
        <v>0</v>
      </c>
      <c r="BW100" s="16"/>
      <c r="BX100" s="206">
        <f ca="1">BX98+BX95</f>
        <v>0</v>
      </c>
      <c r="BY100" s="16"/>
      <c r="BZ100" s="207">
        <f ca="1">BZ98+BZ95</f>
        <v>0</v>
      </c>
    </row>
    <row r="101" spans="62:78" x14ac:dyDescent="0.2">
      <c r="BO101" s="18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9"/>
    </row>
    <row r="102" spans="62:78" x14ac:dyDescent="0.2">
      <c r="BJ102" s="1" t="str">
        <f>BJ81</f>
        <v>Less: Net Debt</v>
      </c>
      <c r="BO102" s="208">
        <f ca="1">BO81</f>
        <v>0</v>
      </c>
      <c r="BP102" s="16"/>
      <c r="BQ102" s="20">
        <f ca="1">BQ81</f>
        <v>0</v>
      </c>
      <c r="BR102" s="16"/>
      <c r="BS102" s="20">
        <f ca="1">BS81</f>
        <v>0</v>
      </c>
      <c r="BT102" s="20"/>
      <c r="BU102" s="16"/>
      <c r="BV102" s="20">
        <f ca="1">BV81</f>
        <v>0</v>
      </c>
      <c r="BW102" s="16"/>
      <c r="BX102" s="20">
        <f ca="1">BX81</f>
        <v>0</v>
      </c>
      <c r="BY102" s="16"/>
      <c r="BZ102" s="39">
        <f ca="1">BZ81</f>
        <v>0</v>
      </c>
    </row>
    <row r="103" spans="62:78" x14ac:dyDescent="0.2">
      <c r="BO103" s="18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9"/>
    </row>
    <row r="104" spans="62:78" ht="15.75" x14ac:dyDescent="0.25">
      <c r="BJ104" s="199" t="str">
        <f>BJ83</f>
        <v>Equity Value</v>
      </c>
      <c r="BK104" s="199"/>
      <c r="BO104" s="205">
        <f ca="1">BO100-BO102</f>
        <v>0</v>
      </c>
      <c r="BP104" s="16"/>
      <c r="BQ104" s="206">
        <f ca="1">BQ100-BQ102</f>
        <v>0</v>
      </c>
      <c r="BR104" s="16"/>
      <c r="BS104" s="206">
        <f ca="1">BS100-BS102</f>
        <v>0</v>
      </c>
      <c r="BT104" s="206"/>
      <c r="BU104" s="16"/>
      <c r="BV104" s="206">
        <f ca="1">BV100-BV102</f>
        <v>0</v>
      </c>
      <c r="BW104" s="16"/>
      <c r="BX104" s="206">
        <f ca="1">BX100-BX102</f>
        <v>0</v>
      </c>
      <c r="BY104" s="16"/>
      <c r="BZ104" s="207">
        <f ca="1">BZ100-BZ102</f>
        <v>0</v>
      </c>
    </row>
    <row r="105" spans="62:78" x14ac:dyDescent="0.2">
      <c r="BO105" s="18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9"/>
    </row>
    <row r="106" spans="62:78" x14ac:dyDescent="0.2">
      <c r="BJ106" s="1" t="str">
        <f>BJ85</f>
        <v>Fully-Diluted Shares Outstanding</v>
      </c>
      <c r="BO106" s="214">
        <f>BO85</f>
        <v>0</v>
      </c>
      <c r="BP106" s="16"/>
      <c r="BQ106" s="215">
        <f>BO106</f>
        <v>0</v>
      </c>
      <c r="BR106" s="16"/>
      <c r="BS106" s="215">
        <f>BQ106</f>
        <v>0</v>
      </c>
      <c r="BT106" s="210"/>
      <c r="BU106" s="16"/>
      <c r="BV106" s="215">
        <f>BS106</f>
        <v>0</v>
      </c>
      <c r="BW106" s="16"/>
      <c r="BX106" s="215">
        <f>BV106</f>
        <v>0</v>
      </c>
      <c r="BY106" s="16"/>
      <c r="BZ106" s="216">
        <f>BX106</f>
        <v>0</v>
      </c>
    </row>
    <row r="107" spans="62:78" x14ac:dyDescent="0.2">
      <c r="BO107" s="18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9"/>
    </row>
    <row r="108" spans="62:78" ht="15.75" x14ac:dyDescent="0.25">
      <c r="BJ108" s="199" t="str">
        <f>BJ87</f>
        <v>Equity Value Per Share</v>
      </c>
      <c r="BK108" s="199"/>
      <c r="BO108" s="211" t="e">
        <f ca="1">BO104/BO106</f>
        <v>#DIV/0!</v>
      </c>
      <c r="BP108" s="30"/>
      <c r="BQ108" s="212" t="e">
        <f ca="1">BQ104/BQ106</f>
        <v>#DIV/0!</v>
      </c>
      <c r="BR108" s="30"/>
      <c r="BS108" s="212" t="e">
        <f ca="1">BS104/BS106</f>
        <v>#DIV/0!</v>
      </c>
      <c r="BT108" s="212"/>
      <c r="BU108" s="30"/>
      <c r="BV108" s="212" t="e">
        <f ca="1">BV104/BV106</f>
        <v>#DIV/0!</v>
      </c>
      <c r="BW108" s="30"/>
      <c r="BX108" s="212" t="e">
        <f ca="1">BX104/BX106</f>
        <v>#DIV/0!</v>
      </c>
      <c r="BY108" s="30"/>
      <c r="BZ108" s="213" t="e">
        <f ca="1">BZ104/BZ106</f>
        <v>#DIV/0!</v>
      </c>
    </row>
    <row r="110" spans="62:78" ht="15.75" x14ac:dyDescent="0.25">
      <c r="BO110" s="31"/>
      <c r="BP110" s="32"/>
      <c r="BQ110" s="32"/>
      <c r="BR110" s="32"/>
      <c r="BS110" s="200" t="s">
        <v>369</v>
      </c>
      <c r="BT110" s="200"/>
      <c r="BU110" s="32"/>
      <c r="BV110" s="79">
        <f>BV68+S11</f>
        <v>0.09</v>
      </c>
      <c r="BW110" s="32"/>
      <c r="BX110" s="32"/>
      <c r="BY110" s="32"/>
      <c r="BZ110" s="73"/>
    </row>
    <row r="111" spans="62:78" x14ac:dyDescent="0.2">
      <c r="BO111" s="18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9"/>
    </row>
    <row r="112" spans="62:78" ht="15.75" x14ac:dyDescent="0.25">
      <c r="BO112" s="375" t="s">
        <v>363</v>
      </c>
      <c r="BP112" s="371"/>
      <c r="BQ112" s="371"/>
      <c r="BR112" s="371"/>
      <c r="BS112" s="371"/>
      <c r="BT112" s="52"/>
      <c r="BU112" s="16"/>
      <c r="BV112" s="371" t="s">
        <v>364</v>
      </c>
      <c r="BW112" s="371"/>
      <c r="BX112" s="371"/>
      <c r="BY112" s="371"/>
      <c r="BZ112" s="372"/>
    </row>
    <row r="113" spans="62:78" x14ac:dyDescent="0.2">
      <c r="BO113" s="18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9"/>
    </row>
    <row r="114" spans="62:78" ht="15.75" x14ac:dyDescent="0.25">
      <c r="BO114" s="201">
        <f>BO93</f>
        <v>4</v>
      </c>
      <c r="BP114" s="202"/>
      <c r="BQ114" s="196">
        <f>BQ93</f>
        <v>6</v>
      </c>
      <c r="BR114" s="202"/>
      <c r="BS114" s="196">
        <f>BS93</f>
        <v>8</v>
      </c>
      <c r="BT114" s="202"/>
      <c r="BU114" s="16"/>
      <c r="BV114" s="198">
        <f>BV93</f>
        <v>0.01</v>
      </c>
      <c r="BW114" s="203"/>
      <c r="BX114" s="197">
        <f>BX93</f>
        <v>0.02</v>
      </c>
      <c r="BY114" s="203"/>
      <c r="BZ114" s="204">
        <f>BZ93</f>
        <v>0.03</v>
      </c>
    </row>
    <row r="115" spans="62:78" x14ac:dyDescent="0.2">
      <c r="BO115" s="18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9"/>
    </row>
    <row r="116" spans="62:78" x14ac:dyDescent="0.2">
      <c r="BJ116" s="1" t="s">
        <v>376</v>
      </c>
      <c r="BO116" s="205">
        <f ca="1">NPV($BV$110,Free_Cash_Flow_Summary!$J$25:$S$25)</f>
        <v>0</v>
      </c>
      <c r="BP116" s="16"/>
      <c r="BQ116" s="206">
        <f ca="1">BO116</f>
        <v>0</v>
      </c>
      <c r="BR116" s="16"/>
      <c r="BS116" s="206">
        <f ca="1">BQ116</f>
        <v>0</v>
      </c>
      <c r="BT116" s="206"/>
      <c r="BU116" s="16"/>
      <c r="BV116" s="206">
        <f ca="1">BS116</f>
        <v>0</v>
      </c>
      <c r="BW116" s="16"/>
      <c r="BX116" s="206">
        <f ca="1">BV116</f>
        <v>0</v>
      </c>
      <c r="BY116" s="16"/>
      <c r="BZ116" s="207">
        <f ca="1">BX116</f>
        <v>0</v>
      </c>
    </row>
    <row r="117" spans="62:78" x14ac:dyDescent="0.2">
      <c r="BO117" s="18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9"/>
    </row>
    <row r="118" spans="62:78" x14ac:dyDescent="0.2">
      <c r="BJ118" s="1" t="s">
        <v>370</v>
      </c>
      <c r="BO118" s="208">
        <f ca="1">BO97</f>
        <v>0</v>
      </c>
      <c r="BP118" s="16"/>
      <c r="BQ118" s="20">
        <f ca="1">BQ97</f>
        <v>0</v>
      </c>
      <c r="BR118" s="16"/>
      <c r="BS118" s="20">
        <f ca="1">BS97</f>
        <v>0</v>
      </c>
      <c r="BT118" s="20"/>
      <c r="BU118" s="16"/>
      <c r="BV118" s="20">
        <f ca="1">Free_Cash_Flow_Summary!$U$25*(1+BV114)/($BV$110-BV114)</f>
        <v>0</v>
      </c>
      <c r="BW118" s="16"/>
      <c r="BX118" s="20">
        <f ca="1">Free_Cash_Flow_Summary!$U$25*(1+BX114)/($BV$110-BX114)</f>
        <v>0</v>
      </c>
      <c r="BY118" s="16"/>
      <c r="BZ118" s="39">
        <f ca="1">Free_Cash_Flow_Summary!$U$25*(1+BZ114)/($BV$110-BZ114)</f>
        <v>0</v>
      </c>
    </row>
    <row r="119" spans="62:78" x14ac:dyDescent="0.2">
      <c r="BJ119" s="1" t="s">
        <v>377</v>
      </c>
      <c r="BO119" s="209">
        <f ca="1">BO118/(1+$BV$89)^(Free_Cash_Flow_Summary!$S$8-Free_Cash_Flow_Summary!$J$8)</f>
        <v>0</v>
      </c>
      <c r="BP119" s="16"/>
      <c r="BQ119" s="58">
        <f ca="1">BQ118/(1+$BV$89)^(Free_Cash_Flow_Summary!$S$8-Free_Cash_Flow_Summary!$J$8)</f>
        <v>0</v>
      </c>
      <c r="BR119" s="16"/>
      <c r="BS119" s="58">
        <f ca="1">BS118/(1+$BV$89)^(Free_Cash_Flow_Summary!$S$8-Free_Cash_Flow_Summary!$J$8)</f>
        <v>0</v>
      </c>
      <c r="BT119" s="20"/>
      <c r="BU119" s="16"/>
      <c r="BV119" s="58">
        <f ca="1">BV118/(1+$BV$110)^(Free_Cash_Flow_Summary!$S$8-Free_Cash_Flow_Summary!$J$8)</f>
        <v>0</v>
      </c>
      <c r="BW119" s="16"/>
      <c r="BX119" s="58">
        <f ca="1">BX118/(1+$BV$110)^(Free_Cash_Flow_Summary!$S$8-Free_Cash_Flow_Summary!$J$8)</f>
        <v>0</v>
      </c>
      <c r="BY119" s="16"/>
      <c r="BZ119" s="28">
        <f ca="1">BZ118/(1+$BV$110)^(Free_Cash_Flow_Summary!$S$8-Free_Cash_Flow_Summary!$J$8)</f>
        <v>0</v>
      </c>
    </row>
    <row r="120" spans="62:78" x14ac:dyDescent="0.2">
      <c r="BO120" s="18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9"/>
    </row>
    <row r="121" spans="62:78" ht="15.75" x14ac:dyDescent="0.25">
      <c r="BJ121" s="199" t="s">
        <v>371</v>
      </c>
      <c r="BK121" s="199"/>
      <c r="BO121" s="205">
        <f ca="1">BO119+BO116</f>
        <v>0</v>
      </c>
      <c r="BP121" s="16"/>
      <c r="BQ121" s="206">
        <f ca="1">BQ119+BQ116</f>
        <v>0</v>
      </c>
      <c r="BR121" s="16"/>
      <c r="BS121" s="206">
        <f ca="1">BS119+BS116</f>
        <v>0</v>
      </c>
      <c r="BT121" s="206"/>
      <c r="BU121" s="16"/>
      <c r="BV121" s="206">
        <f ca="1">BV119+BV116</f>
        <v>0</v>
      </c>
      <c r="BW121" s="16"/>
      <c r="BX121" s="206">
        <f ca="1">BX119+BX116</f>
        <v>0</v>
      </c>
      <c r="BY121" s="16"/>
      <c r="BZ121" s="207">
        <f ca="1">BZ119+BZ116</f>
        <v>0</v>
      </c>
    </row>
    <row r="122" spans="62:78" x14ac:dyDescent="0.2">
      <c r="BO122" s="18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9"/>
    </row>
    <row r="123" spans="62:78" x14ac:dyDescent="0.2">
      <c r="BJ123" s="1" t="s">
        <v>372</v>
      </c>
      <c r="BO123" s="208">
        <f ca="1">BO102</f>
        <v>0</v>
      </c>
      <c r="BP123" s="16"/>
      <c r="BQ123" s="20">
        <f ca="1">BQ102</f>
        <v>0</v>
      </c>
      <c r="BR123" s="16"/>
      <c r="BS123" s="20">
        <f ca="1">BS102</f>
        <v>0</v>
      </c>
      <c r="BT123" s="20"/>
      <c r="BU123" s="16"/>
      <c r="BV123" s="20">
        <f ca="1">BV102</f>
        <v>0</v>
      </c>
      <c r="BW123" s="16"/>
      <c r="BX123" s="20">
        <f ca="1">BX102</f>
        <v>0</v>
      </c>
      <c r="BY123" s="16"/>
      <c r="BZ123" s="39">
        <f ca="1">BZ102</f>
        <v>0</v>
      </c>
    </row>
    <row r="124" spans="62:78" x14ac:dyDescent="0.2">
      <c r="BO124" s="18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9"/>
    </row>
    <row r="125" spans="62:78" ht="15.75" x14ac:dyDescent="0.25">
      <c r="BJ125" s="199" t="s">
        <v>373</v>
      </c>
      <c r="BK125" s="199"/>
      <c r="BO125" s="205">
        <f ca="1">BO121-BO123</f>
        <v>0</v>
      </c>
      <c r="BP125" s="16"/>
      <c r="BQ125" s="206">
        <f ca="1">BQ121-BQ123</f>
        <v>0</v>
      </c>
      <c r="BR125" s="16"/>
      <c r="BS125" s="206">
        <f ca="1">BS121-BS123</f>
        <v>0</v>
      </c>
      <c r="BT125" s="206"/>
      <c r="BU125" s="16"/>
      <c r="BV125" s="206">
        <f ca="1">BV121-BV123</f>
        <v>0</v>
      </c>
      <c r="BW125" s="16"/>
      <c r="BX125" s="206">
        <f ca="1">BX121-BX123</f>
        <v>0</v>
      </c>
      <c r="BY125" s="16"/>
      <c r="BZ125" s="207">
        <f ca="1">BZ121-BZ123</f>
        <v>0</v>
      </c>
    </row>
    <row r="126" spans="62:78" x14ac:dyDescent="0.2">
      <c r="BO126" s="18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9"/>
    </row>
    <row r="127" spans="62:78" x14ac:dyDescent="0.2">
      <c r="BJ127" s="1" t="s">
        <v>374</v>
      </c>
      <c r="BO127" s="214">
        <f>BO106</f>
        <v>0</v>
      </c>
      <c r="BP127" s="16"/>
      <c r="BQ127" s="215">
        <f>BO127</f>
        <v>0</v>
      </c>
      <c r="BR127" s="16"/>
      <c r="BS127" s="215">
        <f>BQ127</f>
        <v>0</v>
      </c>
      <c r="BT127" s="210"/>
      <c r="BU127" s="16"/>
      <c r="BV127" s="215">
        <f>BS127</f>
        <v>0</v>
      </c>
      <c r="BW127" s="16"/>
      <c r="BX127" s="215">
        <f>BV127</f>
        <v>0</v>
      </c>
      <c r="BY127" s="16"/>
      <c r="BZ127" s="216">
        <f>BX127</f>
        <v>0</v>
      </c>
    </row>
    <row r="128" spans="62:78" x14ac:dyDescent="0.2">
      <c r="BO128" s="18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9"/>
    </row>
    <row r="129" spans="62:78" ht="15.75" x14ac:dyDescent="0.25">
      <c r="BJ129" s="199" t="s">
        <v>375</v>
      </c>
      <c r="BK129" s="199"/>
      <c r="BO129" s="211" t="e">
        <f ca="1">BO125/BO127</f>
        <v>#DIV/0!</v>
      </c>
      <c r="BP129" s="30"/>
      <c r="BQ129" s="212" t="e">
        <f ca="1">BQ125/BQ127</f>
        <v>#DIV/0!</v>
      </c>
      <c r="BR129" s="30"/>
      <c r="BS129" s="212" t="e">
        <f ca="1">BS125/BS127</f>
        <v>#DIV/0!</v>
      </c>
      <c r="BT129" s="212"/>
      <c r="BU129" s="30"/>
      <c r="BV129" s="212" t="e">
        <f ca="1">BV125/BV127</f>
        <v>#DIV/0!</v>
      </c>
      <c r="BW129" s="30"/>
      <c r="BX129" s="212" t="e">
        <f ca="1">BX125/BX127</f>
        <v>#DIV/0!</v>
      </c>
      <c r="BY129" s="30"/>
      <c r="BZ129" s="213" t="e">
        <f ca="1">BZ125/BZ127</f>
        <v>#DIV/0!</v>
      </c>
    </row>
  </sheetData>
  <mergeCells count="21">
    <mergeCell ref="Q8:S8"/>
    <mergeCell ref="A2:U2"/>
    <mergeCell ref="A3:U3"/>
    <mergeCell ref="BO112:BS112"/>
    <mergeCell ref="B32:O32"/>
    <mergeCell ref="C34:G34"/>
    <mergeCell ref="J34:N34"/>
    <mergeCell ref="Q20:U20"/>
    <mergeCell ref="S22:U22"/>
    <mergeCell ref="S34:U34"/>
    <mergeCell ref="B8:O8"/>
    <mergeCell ref="C10:G10"/>
    <mergeCell ref="J10:N10"/>
    <mergeCell ref="J22:N22"/>
    <mergeCell ref="B20:O20"/>
    <mergeCell ref="C22:G22"/>
    <mergeCell ref="BV112:BZ112"/>
    <mergeCell ref="BO70:BS70"/>
    <mergeCell ref="BV70:BZ70"/>
    <mergeCell ref="BO91:BS91"/>
    <mergeCell ref="BV91:BZ91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A1:V72"/>
  <sheetViews>
    <sheetView zoomScale="75" zoomScaleNormal="80" workbookViewId="0"/>
  </sheetViews>
  <sheetFormatPr defaultRowHeight="15" x14ac:dyDescent="0.2"/>
  <cols>
    <col min="1" max="1" width="13.7109375" style="1" customWidth="1"/>
    <col min="2" max="2" width="2" style="1" customWidth="1"/>
    <col min="3" max="3" width="14.140625" style="1" customWidth="1"/>
    <col min="4" max="4" width="10.140625" style="1" customWidth="1"/>
    <col min="5" max="5" width="9.85546875" style="1" customWidth="1"/>
    <col min="6" max="6" width="11.42578125" style="1" customWidth="1"/>
    <col min="7" max="7" width="1.85546875" style="1" customWidth="1"/>
    <col min="8" max="8" width="14.140625" style="1" customWidth="1"/>
    <col min="9" max="9" width="4" style="1" customWidth="1"/>
    <col min="10" max="10" width="11.42578125" style="1" customWidth="1"/>
    <col min="11" max="12" width="3.85546875" style="1" customWidth="1"/>
    <col min="13" max="13" width="9.140625" style="1"/>
    <col min="14" max="14" width="10.7109375" style="1" customWidth="1"/>
    <col min="15" max="15" width="3" style="1" customWidth="1"/>
    <col min="16" max="16" width="13.85546875" style="1" customWidth="1"/>
    <col min="17" max="17" width="3.28515625" style="1" customWidth="1"/>
    <col min="18" max="18" width="10.28515625" style="1" customWidth="1"/>
    <col min="19" max="19" width="3.28515625" style="1" customWidth="1"/>
    <col min="20" max="20" width="13.5703125" style="1" customWidth="1"/>
    <col min="21" max="21" width="3.28515625" style="1" customWidth="1"/>
    <col min="22" max="22" width="3.140625" style="1" customWidth="1"/>
    <col min="23" max="16384" width="9.140625" style="1"/>
  </cols>
  <sheetData>
    <row r="1" spans="1:22" ht="20.25" customHeight="1" x14ac:dyDescent="0.25">
      <c r="A1" s="257" t="str">
        <f ca="1">DCF_Analysis!A1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2" s="231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</row>
    <row r="3" spans="1:22" s="231" customFormat="1" ht="20.25" x14ac:dyDescent="0.3">
      <c r="A3" s="342" t="s">
        <v>232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2"/>
    </row>
    <row r="4" spans="1:22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ht="16.5" thickBot="1" x14ac:dyDescent="0.3">
      <c r="A5" s="4" t="str">
        <f ca="1">"Performance Case: "&amp;Sources_Uses!M44</f>
        <v>Performance Case: Base</v>
      </c>
    </row>
    <row r="6" spans="1:22" ht="15.75" x14ac:dyDescent="0.25">
      <c r="A6" s="1" t="str">
        <f>Sources_Uses!B7</f>
        <v>(FYE January; $ in millions)</v>
      </c>
      <c r="E6" s="349" t="s">
        <v>257</v>
      </c>
      <c r="F6" s="350"/>
      <c r="G6" s="350"/>
      <c r="H6" s="350"/>
      <c r="I6" s="350"/>
      <c r="J6" s="351"/>
      <c r="L6" s="88"/>
      <c r="M6" s="89"/>
      <c r="N6" s="89"/>
      <c r="O6" s="89"/>
      <c r="P6" s="89"/>
      <c r="Q6" s="90"/>
    </row>
    <row r="7" spans="1:22" ht="15.75" x14ac:dyDescent="0.25">
      <c r="E7" s="358" t="s">
        <v>258</v>
      </c>
      <c r="F7" s="359"/>
      <c r="G7" s="359"/>
      <c r="H7" s="359"/>
      <c r="I7" s="359"/>
      <c r="J7" s="360"/>
      <c r="L7" s="91"/>
      <c r="M7" s="16" t="s">
        <v>278</v>
      </c>
      <c r="N7" s="16"/>
      <c r="O7" s="16"/>
      <c r="P7" s="115">
        <f>H8</f>
        <v>1</v>
      </c>
      <c r="Q7" s="92"/>
    </row>
    <row r="8" spans="1:22" ht="16.5" thickBot="1" x14ac:dyDescent="0.3">
      <c r="E8" s="378">
        <v>1</v>
      </c>
      <c r="F8" s="379"/>
      <c r="G8" s="380"/>
      <c r="H8" s="381">
        <f>E8</f>
        <v>1</v>
      </c>
      <c r="I8" s="382"/>
      <c r="J8" s="383"/>
      <c r="L8" s="97"/>
      <c r="M8" s="3"/>
      <c r="N8" s="3"/>
      <c r="O8" s="3"/>
      <c r="P8" s="3"/>
      <c r="Q8" s="98"/>
    </row>
    <row r="9" spans="1:22" ht="15.75" thickBot="1" x14ac:dyDescent="0.25"/>
    <row r="10" spans="1:22" ht="15.75" x14ac:dyDescent="0.25">
      <c r="A10" s="239" t="s">
        <v>235</v>
      </c>
      <c r="B10" s="89"/>
      <c r="C10" s="89"/>
      <c r="D10" s="89"/>
      <c r="E10" s="89"/>
      <c r="F10" s="240" t="s">
        <v>192</v>
      </c>
      <c r="G10" s="241"/>
      <c r="H10" s="242" t="s">
        <v>233</v>
      </c>
      <c r="I10" s="241"/>
      <c r="J10" s="243" t="s">
        <v>234</v>
      </c>
      <c r="L10" s="88"/>
      <c r="M10" s="89"/>
      <c r="N10" s="89"/>
      <c r="O10" s="89"/>
      <c r="P10" s="89"/>
      <c r="Q10" s="89"/>
      <c r="R10" s="89"/>
      <c r="S10" s="89"/>
      <c r="T10" s="89"/>
      <c r="U10" s="90"/>
    </row>
    <row r="11" spans="1:22" ht="15.75" x14ac:dyDescent="0.25">
      <c r="A11" s="91"/>
      <c r="B11" s="16"/>
      <c r="C11" s="16"/>
      <c r="D11" s="16"/>
      <c r="E11" s="16"/>
      <c r="F11" s="16"/>
      <c r="G11" s="16"/>
      <c r="H11" s="16"/>
      <c r="I11" s="16"/>
      <c r="J11" s="92"/>
      <c r="L11" s="91"/>
      <c r="M11" s="8" t="s">
        <v>277</v>
      </c>
      <c r="N11" s="16"/>
      <c r="O11" s="16"/>
      <c r="P11" s="16"/>
      <c r="Q11" s="16"/>
      <c r="R11" s="16"/>
      <c r="S11" s="16"/>
      <c r="T11" s="16"/>
      <c r="U11" s="92"/>
    </row>
    <row r="12" spans="1:22" ht="15.75" x14ac:dyDescent="0.25">
      <c r="A12" s="91"/>
      <c r="B12" s="16"/>
      <c r="C12" s="16" t="str">
        <f>Sources_Uses!G11</f>
        <v>Existing Debt</v>
      </c>
      <c r="D12" s="16"/>
      <c r="E12" s="16"/>
      <c r="F12" s="75">
        <f>Balance_Sheet!K59</f>
        <v>0</v>
      </c>
      <c r="G12" s="16"/>
      <c r="H12" s="102">
        <f>Inc_Stmt_Assumptions!J29</f>
        <v>0</v>
      </c>
      <c r="I12" s="102"/>
      <c r="J12" s="244">
        <f>IF($F$21=0,0,H12*(F12/$F$21))</f>
        <v>0</v>
      </c>
      <c r="L12" s="91"/>
      <c r="M12" s="16"/>
      <c r="N12" s="16"/>
      <c r="O12" s="16"/>
      <c r="P12" s="16"/>
      <c r="Q12" s="26"/>
      <c r="R12" s="5" t="s">
        <v>192</v>
      </c>
      <c r="S12" s="93"/>
      <c r="T12" s="7" t="s">
        <v>247</v>
      </c>
      <c r="U12" s="92"/>
    </row>
    <row r="13" spans="1:22" x14ac:dyDescent="0.2">
      <c r="A13" s="91"/>
      <c r="B13" s="16"/>
      <c r="C13" s="16" t="str">
        <f>Sources_Uses!G12</f>
        <v>Bank Revolver</v>
      </c>
      <c r="D13" s="16"/>
      <c r="E13" s="16"/>
      <c r="F13" s="20">
        <f>Balance_Sheet!K60</f>
        <v>0</v>
      </c>
      <c r="G13" s="16"/>
      <c r="H13" s="102">
        <f>Inc_Stmt_Assumptions!J30</f>
        <v>0</v>
      </c>
      <c r="I13" s="102"/>
      <c r="J13" s="244">
        <f t="shared" ref="J13:J19" si="0">IF($F$21=0,0,H13*(F13/$F$21))</f>
        <v>0</v>
      </c>
      <c r="L13" s="91"/>
      <c r="M13" s="16"/>
      <c r="N13" s="16"/>
      <c r="O13" s="16"/>
      <c r="P13" s="16"/>
      <c r="Q13" s="16"/>
      <c r="R13" s="16"/>
      <c r="S13" s="16"/>
      <c r="T13" s="16"/>
      <c r="U13" s="92"/>
    </row>
    <row r="14" spans="1:22" ht="15.75" x14ac:dyDescent="0.25">
      <c r="A14" s="91"/>
      <c r="B14" s="16"/>
      <c r="C14" s="16" t="str">
        <f>Sources_Uses!G13</f>
        <v>Senior Bank Term "A"</v>
      </c>
      <c r="D14" s="16"/>
      <c r="E14" s="16"/>
      <c r="F14" s="20">
        <f>Balance_Sheet!K61</f>
        <v>0</v>
      </c>
      <c r="G14" s="16"/>
      <c r="H14" s="102">
        <f>Inc_Stmt_Assumptions!J31</f>
        <v>0</v>
      </c>
      <c r="I14" s="102"/>
      <c r="J14" s="244">
        <f t="shared" si="0"/>
        <v>0</v>
      </c>
      <c r="L14" s="91"/>
      <c r="M14" s="94" t="s">
        <v>175</v>
      </c>
      <c r="N14" s="16"/>
      <c r="O14" s="16"/>
      <c r="P14" s="16"/>
      <c r="Q14" s="16"/>
      <c r="R14" s="75">
        <f>F21</f>
        <v>0</v>
      </c>
      <c r="S14" s="16"/>
      <c r="T14" s="40">
        <f>IF(R14=0,0,R14/$R$18)</f>
        <v>0</v>
      </c>
      <c r="U14" s="92"/>
    </row>
    <row r="15" spans="1:22" ht="15.75" x14ac:dyDescent="0.25">
      <c r="A15" s="91"/>
      <c r="B15" s="16"/>
      <c r="C15" s="16" t="str">
        <f>Sources_Uses!G14</f>
        <v>Senior Bank Term "B"</v>
      </c>
      <c r="D15" s="16"/>
      <c r="E15" s="16"/>
      <c r="F15" s="20">
        <f>Balance_Sheet!K62</f>
        <v>0</v>
      </c>
      <c r="G15" s="16"/>
      <c r="H15" s="102">
        <f>Inc_Stmt_Assumptions!J32</f>
        <v>0</v>
      </c>
      <c r="I15" s="102"/>
      <c r="J15" s="244">
        <f t="shared" si="0"/>
        <v>0</v>
      </c>
      <c r="L15" s="91"/>
      <c r="M15" s="94" t="s">
        <v>248</v>
      </c>
      <c r="N15" s="16"/>
      <c r="O15" s="16"/>
      <c r="P15" s="16"/>
      <c r="Q15" s="16"/>
      <c r="R15" s="20">
        <f>F28</f>
        <v>0</v>
      </c>
      <c r="S15" s="16"/>
      <c r="T15" s="40">
        <f>IF(R15=0,0,R15/$R$18)</f>
        <v>0</v>
      </c>
      <c r="U15" s="92"/>
    </row>
    <row r="16" spans="1:22" ht="15.75" x14ac:dyDescent="0.25">
      <c r="A16" s="91"/>
      <c r="B16" s="16"/>
      <c r="C16" s="16" t="str">
        <f>Sources_Uses!G15</f>
        <v>Other Long-Term Debt</v>
      </c>
      <c r="D16" s="16"/>
      <c r="E16" s="16"/>
      <c r="F16" s="20">
        <f>Balance_Sheet!K63</f>
        <v>0</v>
      </c>
      <c r="G16" s="16"/>
      <c r="H16" s="102">
        <f>Inc_Stmt_Assumptions!J33</f>
        <v>0</v>
      </c>
      <c r="I16" s="102"/>
      <c r="J16" s="244">
        <f t="shared" si="0"/>
        <v>0</v>
      </c>
      <c r="L16" s="91"/>
      <c r="M16" s="94" t="s">
        <v>249</v>
      </c>
      <c r="N16" s="16"/>
      <c r="O16" s="16"/>
      <c r="P16" s="16"/>
      <c r="Q16" s="16"/>
      <c r="R16" s="20">
        <f>F32</f>
        <v>0</v>
      </c>
      <c r="S16" s="16"/>
      <c r="T16" s="40">
        <f>IF(R16=0,0,R16/$R$18)</f>
        <v>0</v>
      </c>
      <c r="U16" s="92"/>
    </row>
    <row r="17" spans="1:21" x14ac:dyDescent="0.2">
      <c r="A17" s="91"/>
      <c r="B17" s="16"/>
      <c r="C17" s="16" t="str">
        <f>Sources_Uses!G16</f>
        <v>Senior Subordinated Debt</v>
      </c>
      <c r="D17" s="16"/>
      <c r="E17" s="16"/>
      <c r="F17" s="20">
        <f>Balance_Sheet!K64</f>
        <v>0</v>
      </c>
      <c r="G17" s="16"/>
      <c r="H17" s="102">
        <f>Inc_Stmt_Assumptions!J34</f>
        <v>0</v>
      </c>
      <c r="I17" s="102"/>
      <c r="J17" s="244">
        <f t="shared" si="0"/>
        <v>0</v>
      </c>
      <c r="L17" s="91"/>
      <c r="M17" s="16"/>
      <c r="N17" s="16"/>
      <c r="O17" s="16"/>
      <c r="P17" s="16"/>
      <c r="Q17" s="16"/>
      <c r="R17" s="16"/>
      <c r="S17" s="16"/>
      <c r="T17" s="40"/>
      <c r="U17" s="92"/>
    </row>
    <row r="18" spans="1:21" ht="16.5" thickBot="1" x14ac:dyDescent="0.3">
      <c r="A18" s="91"/>
      <c r="B18" s="16"/>
      <c r="C18" s="16" t="str">
        <f>Sources_Uses!G17</f>
        <v>Junior Subordinated Debt</v>
      </c>
      <c r="D18" s="16"/>
      <c r="E18" s="16"/>
      <c r="F18" s="20">
        <f>Balance_Sheet!K65</f>
        <v>0</v>
      </c>
      <c r="G18" s="16"/>
      <c r="H18" s="102">
        <f>Inc_Stmt_Assumptions!J35</f>
        <v>0</v>
      </c>
      <c r="I18" s="102"/>
      <c r="J18" s="244">
        <f t="shared" si="0"/>
        <v>0</v>
      </c>
      <c r="L18" s="91"/>
      <c r="M18" s="94" t="s">
        <v>250</v>
      </c>
      <c r="N18" s="16"/>
      <c r="O18" s="16"/>
      <c r="P18" s="16"/>
      <c r="Q18" s="16"/>
      <c r="R18" s="61">
        <f>SUM(R14:R16)</f>
        <v>0</v>
      </c>
      <c r="S18" s="16"/>
      <c r="T18" s="95">
        <f>SUM(T14:T16)</f>
        <v>0</v>
      </c>
      <c r="U18" s="92"/>
    </row>
    <row r="19" spans="1:21" ht="16.5" thickTop="1" thickBot="1" x14ac:dyDescent="0.25">
      <c r="A19" s="91"/>
      <c r="B19" s="16"/>
      <c r="C19" s="16" t="str">
        <f>Sources_Uses!G18</f>
        <v>Seller Note</v>
      </c>
      <c r="D19" s="16"/>
      <c r="E19" s="16"/>
      <c r="F19" s="58">
        <f>Balance_Sheet!K66</f>
        <v>0</v>
      </c>
      <c r="G19" s="16"/>
      <c r="H19" s="102">
        <f>Inc_Stmt_Assumptions!J36</f>
        <v>0</v>
      </c>
      <c r="I19" s="102"/>
      <c r="J19" s="245">
        <f t="shared" si="0"/>
        <v>0</v>
      </c>
      <c r="L19" s="97"/>
      <c r="M19" s="3"/>
      <c r="N19" s="3"/>
      <c r="O19" s="3"/>
      <c r="P19" s="3"/>
      <c r="Q19" s="3"/>
      <c r="R19" s="3"/>
      <c r="S19" s="3"/>
      <c r="T19" s="3"/>
      <c r="U19" s="98"/>
    </row>
    <row r="20" spans="1:21" x14ac:dyDescent="0.2">
      <c r="A20" s="91"/>
      <c r="B20" s="16"/>
      <c r="C20" s="16"/>
      <c r="D20" s="16"/>
      <c r="E20" s="16"/>
      <c r="F20" s="16"/>
      <c r="G20" s="16"/>
      <c r="H20" s="16"/>
      <c r="I20" s="16"/>
      <c r="J20" s="92"/>
    </row>
    <row r="21" spans="1:21" ht="16.5" thickBot="1" x14ac:dyDescent="0.3">
      <c r="A21" s="91"/>
      <c r="B21" s="16"/>
      <c r="C21" s="8" t="s">
        <v>201</v>
      </c>
      <c r="D21" s="16"/>
      <c r="E21" s="16"/>
      <c r="F21" s="99">
        <f>SUM(F12:F19)</f>
        <v>0</v>
      </c>
      <c r="G21" s="16"/>
      <c r="H21" s="126" t="s">
        <v>236</v>
      </c>
      <c r="I21" s="16"/>
      <c r="J21" s="246">
        <f>SUM(J12:J19)</f>
        <v>0</v>
      </c>
    </row>
    <row r="22" spans="1:21" ht="15.75" thickTop="1" x14ac:dyDescent="0.2">
      <c r="A22" s="91"/>
      <c r="B22" s="16"/>
      <c r="C22" s="16"/>
      <c r="D22" s="16"/>
      <c r="E22" s="16"/>
      <c r="F22" s="16"/>
      <c r="G22" s="16"/>
      <c r="H22" s="16"/>
      <c r="I22" s="16"/>
      <c r="J22" s="92"/>
      <c r="L22" s="88"/>
      <c r="M22" s="89"/>
      <c r="N22" s="89"/>
      <c r="O22" s="89"/>
      <c r="P22" s="89"/>
      <c r="Q22" s="89"/>
      <c r="R22" s="89"/>
      <c r="S22" s="89"/>
      <c r="T22" s="89"/>
      <c r="U22" s="90"/>
    </row>
    <row r="23" spans="1:21" ht="16.5" thickBot="1" x14ac:dyDescent="0.3">
      <c r="A23" s="91"/>
      <c r="B23" s="16"/>
      <c r="C23" s="16"/>
      <c r="D23" s="16"/>
      <c r="E23" s="16"/>
      <c r="F23" s="16"/>
      <c r="G23" s="16"/>
      <c r="H23" s="247" t="s">
        <v>237</v>
      </c>
      <c r="I23" s="16"/>
      <c r="J23" s="246">
        <f>J21*(1-Inc_Stmt_Assumptions!J42)</f>
        <v>0</v>
      </c>
      <c r="L23" s="91"/>
      <c r="M23" s="16"/>
      <c r="N23" s="16"/>
      <c r="O23" s="16"/>
      <c r="P23" s="5" t="s">
        <v>247</v>
      </c>
      <c r="Q23" s="101"/>
      <c r="R23" s="6" t="s">
        <v>251</v>
      </c>
      <c r="S23" s="101"/>
      <c r="T23" s="7" t="s">
        <v>252</v>
      </c>
      <c r="U23" s="92"/>
    </row>
    <row r="24" spans="1:21" ht="15.75" thickTop="1" x14ac:dyDescent="0.2">
      <c r="A24" s="91"/>
      <c r="B24" s="16"/>
      <c r="C24" s="16"/>
      <c r="D24" s="16"/>
      <c r="E24" s="16"/>
      <c r="F24" s="16"/>
      <c r="G24" s="16"/>
      <c r="H24" s="16"/>
      <c r="I24" s="16"/>
      <c r="J24" s="92"/>
      <c r="L24" s="91"/>
      <c r="M24" s="16"/>
      <c r="N24" s="16"/>
      <c r="O24" s="16"/>
      <c r="P24" s="16"/>
      <c r="Q24" s="16"/>
      <c r="R24" s="16"/>
      <c r="S24" s="16"/>
      <c r="T24" s="16"/>
      <c r="U24" s="92"/>
    </row>
    <row r="25" spans="1:21" ht="7.5" customHeight="1" x14ac:dyDescent="0.2">
      <c r="A25" s="91"/>
      <c r="B25" s="16"/>
      <c r="C25" s="16"/>
      <c r="D25" s="16"/>
      <c r="E25" s="16"/>
      <c r="F25" s="16"/>
      <c r="G25" s="16"/>
      <c r="H25" s="16"/>
      <c r="I25" s="16"/>
      <c r="J25" s="92"/>
      <c r="L25" s="91"/>
      <c r="M25" s="16"/>
      <c r="N25" s="16"/>
      <c r="O25" s="16"/>
      <c r="P25" s="16"/>
      <c r="Q25" s="16"/>
      <c r="R25" s="16"/>
      <c r="S25" s="16"/>
      <c r="T25" s="16"/>
      <c r="U25" s="92"/>
    </row>
    <row r="26" spans="1:21" ht="15.75" x14ac:dyDescent="0.25">
      <c r="A26" s="248" t="s">
        <v>238</v>
      </c>
      <c r="B26" s="16"/>
      <c r="C26" s="16"/>
      <c r="D26" s="16"/>
      <c r="E26" s="16"/>
      <c r="F26" s="5" t="s">
        <v>192</v>
      </c>
      <c r="G26" s="10"/>
      <c r="H26" s="7" t="s">
        <v>233</v>
      </c>
      <c r="I26" s="16"/>
      <c r="J26" s="92"/>
      <c r="L26" s="91"/>
      <c r="M26" s="16" t="s">
        <v>253</v>
      </c>
      <c r="N26" s="16"/>
      <c r="O26" s="16"/>
      <c r="P26" s="40">
        <f>IF(E8=0,F21/(F21+F28+F32),J51)</f>
        <v>0.33333333333333331</v>
      </c>
      <c r="Q26" s="16"/>
      <c r="R26" s="102">
        <f>IF($E$8=0,J23,D47)</f>
        <v>0.05</v>
      </c>
      <c r="S26" s="16"/>
      <c r="T26" s="102">
        <f>R26*P26</f>
        <v>1.6666666666666666E-2</v>
      </c>
      <c r="U26" s="92"/>
    </row>
    <row r="27" spans="1:21" x14ac:dyDescent="0.2">
      <c r="A27" s="91"/>
      <c r="B27" s="16"/>
      <c r="C27" s="16"/>
      <c r="D27" s="16"/>
      <c r="E27" s="16"/>
      <c r="F27" s="16"/>
      <c r="G27" s="16"/>
      <c r="H27" s="16"/>
      <c r="I27" s="16"/>
      <c r="J27" s="92"/>
      <c r="L27" s="91"/>
      <c r="M27" s="16"/>
      <c r="N27" s="16"/>
      <c r="O27" s="16"/>
      <c r="P27" s="40"/>
      <c r="Q27" s="16"/>
      <c r="R27" s="102"/>
      <c r="S27" s="16"/>
      <c r="T27" s="102"/>
      <c r="U27" s="92"/>
    </row>
    <row r="28" spans="1:21" x14ac:dyDescent="0.2">
      <c r="A28" s="91"/>
      <c r="B28" s="16"/>
      <c r="C28" s="16" t="str">
        <f>Sources_Uses!G19</f>
        <v>Preferred Stock</v>
      </c>
      <c r="D28" s="16"/>
      <c r="E28" s="16"/>
      <c r="F28" s="75">
        <f>Balance_Sheet!K74</f>
        <v>0</v>
      </c>
      <c r="G28" s="16"/>
      <c r="H28" s="102">
        <f>Inc_Stmt_Assumptions!J37</f>
        <v>0</v>
      </c>
      <c r="I28" s="16"/>
      <c r="J28" s="92"/>
      <c r="L28" s="91"/>
      <c r="M28" s="16" t="s">
        <v>254</v>
      </c>
      <c r="N28" s="16"/>
      <c r="O28" s="16"/>
      <c r="P28" s="40">
        <f>IF(E8=0,F28/(F21+F28+F32),J53)</f>
        <v>0</v>
      </c>
      <c r="Q28" s="16"/>
      <c r="R28" s="102">
        <f>IF($E$8=0,H28,D49)</f>
        <v>0</v>
      </c>
      <c r="S28" s="16"/>
      <c r="T28" s="102">
        <f>R28*P28</f>
        <v>0</v>
      </c>
      <c r="U28" s="92"/>
    </row>
    <row r="29" spans="1:21" x14ac:dyDescent="0.2">
      <c r="A29" s="91"/>
      <c r="B29" s="16"/>
      <c r="C29" s="16"/>
      <c r="D29" s="16"/>
      <c r="E29" s="16"/>
      <c r="F29" s="16"/>
      <c r="G29" s="16"/>
      <c r="H29" s="16"/>
      <c r="I29" s="16"/>
      <c r="J29" s="92"/>
      <c r="L29" s="91"/>
      <c r="M29" s="16"/>
      <c r="N29" s="16"/>
      <c r="O29" s="16"/>
      <c r="P29" s="40"/>
      <c r="Q29" s="16"/>
      <c r="R29" s="102"/>
      <c r="S29" s="16"/>
      <c r="T29" s="102"/>
      <c r="U29" s="92"/>
    </row>
    <row r="30" spans="1:21" ht="15.75" x14ac:dyDescent="0.25">
      <c r="A30" s="248" t="s">
        <v>239</v>
      </c>
      <c r="B30" s="16"/>
      <c r="C30" s="16"/>
      <c r="D30" s="16"/>
      <c r="E30" s="16"/>
      <c r="F30" s="5" t="s">
        <v>192</v>
      </c>
      <c r="G30" s="10"/>
      <c r="H30" s="7" t="s">
        <v>233</v>
      </c>
      <c r="I30" s="16"/>
      <c r="J30" s="92"/>
      <c r="L30" s="91"/>
      <c r="M30" s="16" t="s">
        <v>255</v>
      </c>
      <c r="N30" s="16"/>
      <c r="O30" s="16"/>
      <c r="P30" s="40">
        <f>IF(E8=0,F32/(F32+F28+F21),(1-J53-J51))</f>
        <v>0.66666666666666674</v>
      </c>
      <c r="Q30" s="16"/>
      <c r="R30" s="102">
        <f>IF($E$8=0,H32,D51)</f>
        <v>0.1</v>
      </c>
      <c r="S30" s="16"/>
      <c r="T30" s="96">
        <f>R30*P30</f>
        <v>6.666666666666668E-2</v>
      </c>
      <c r="U30" s="92"/>
    </row>
    <row r="31" spans="1:21" ht="15.75" thickBot="1" x14ac:dyDescent="0.25">
      <c r="A31" s="91"/>
      <c r="B31" s="16"/>
      <c r="C31" s="16"/>
      <c r="D31" s="16"/>
      <c r="E31" s="16"/>
      <c r="F31" s="16"/>
      <c r="G31" s="16"/>
      <c r="H31" s="16"/>
      <c r="I31" s="16"/>
      <c r="J31" s="92"/>
      <c r="L31" s="91"/>
      <c r="M31" s="16"/>
      <c r="N31" s="16"/>
      <c r="O31" s="16"/>
      <c r="P31" s="16"/>
      <c r="Q31" s="16"/>
      <c r="R31" s="16"/>
      <c r="S31" s="16"/>
      <c r="T31" s="16"/>
      <c r="U31" s="92"/>
    </row>
    <row r="32" spans="1:21" ht="16.5" thickBot="1" x14ac:dyDescent="0.3">
      <c r="A32" s="16"/>
      <c r="B32" s="16"/>
      <c r="C32" s="16" t="s">
        <v>240</v>
      </c>
      <c r="D32" s="16"/>
      <c r="E32" s="16"/>
      <c r="F32" s="75">
        <f>Balance_Sheet!K73+Balance_Sheet!K75</f>
        <v>0</v>
      </c>
      <c r="G32" s="16"/>
      <c r="H32" s="102">
        <f>F41</f>
        <v>7.0000000000000007E-2</v>
      </c>
      <c r="I32" s="16"/>
      <c r="J32" s="92"/>
      <c r="L32" s="91"/>
      <c r="M32" s="8" t="s">
        <v>256</v>
      </c>
      <c r="N32" s="16"/>
      <c r="O32" s="16"/>
      <c r="P32" s="16"/>
      <c r="Q32" s="16"/>
      <c r="R32" s="16"/>
      <c r="S32" s="16"/>
      <c r="T32" s="107">
        <f>T26+T28+T30</f>
        <v>8.3333333333333343E-2</v>
      </c>
      <c r="U32" s="92"/>
    </row>
    <row r="33" spans="1:21" ht="15.75" thickBot="1" x14ac:dyDescent="0.25">
      <c r="A33" s="3"/>
      <c r="B33" s="3"/>
      <c r="C33" s="3"/>
      <c r="D33" s="3"/>
      <c r="E33" s="3"/>
      <c r="F33" s="3"/>
      <c r="G33" s="3"/>
      <c r="H33" s="3"/>
      <c r="I33" s="3"/>
      <c r="J33" s="98"/>
      <c r="L33" s="97"/>
      <c r="M33" s="3"/>
      <c r="N33" s="3"/>
      <c r="O33" s="3"/>
      <c r="P33" s="3"/>
      <c r="Q33" s="3"/>
      <c r="R33" s="3"/>
      <c r="S33" s="3"/>
      <c r="T33" s="3"/>
      <c r="U33" s="98"/>
    </row>
    <row r="35" spans="1:21" ht="15.75" thickBot="1" x14ac:dyDescent="0.25"/>
    <row r="36" spans="1:21" x14ac:dyDescent="0.2">
      <c r="B36" s="103"/>
      <c r="C36" s="104" t="s">
        <v>241</v>
      </c>
      <c r="D36" s="104"/>
      <c r="E36" s="104"/>
      <c r="F36" s="105">
        <v>7.0000000000000007E-2</v>
      </c>
      <c r="G36" s="106"/>
    </row>
    <row r="37" spans="1:21" x14ac:dyDescent="0.2">
      <c r="B37" s="108"/>
      <c r="C37" s="109" t="s">
        <v>242</v>
      </c>
      <c r="D37" s="109"/>
      <c r="E37" s="109"/>
      <c r="F37" s="110">
        <v>6.5000000000000002E-2</v>
      </c>
      <c r="G37" s="111"/>
    </row>
    <row r="38" spans="1:21" x14ac:dyDescent="0.2">
      <c r="B38" s="108"/>
      <c r="C38" s="109" t="s">
        <v>243</v>
      </c>
      <c r="D38" s="109"/>
      <c r="E38" s="109"/>
      <c r="F38" s="112">
        <f>D71</f>
        <v>0</v>
      </c>
      <c r="G38" s="111"/>
    </row>
    <row r="39" spans="1:21" x14ac:dyDescent="0.2">
      <c r="B39" s="108"/>
      <c r="C39" s="109" t="s">
        <v>244</v>
      </c>
      <c r="D39" s="109"/>
      <c r="E39" s="109"/>
      <c r="F39" s="113">
        <f>IF(P26=0,0,P26*(1/(P30)))</f>
        <v>0.49999999999999989</v>
      </c>
      <c r="G39" s="111"/>
      <c r="H39" s="261"/>
    </row>
    <row r="40" spans="1:21" x14ac:dyDescent="0.2">
      <c r="B40" s="108"/>
      <c r="C40" s="109" t="s">
        <v>245</v>
      </c>
      <c r="D40" s="109"/>
      <c r="E40" s="109"/>
      <c r="F40" s="114">
        <f>J71</f>
        <v>0</v>
      </c>
      <c r="G40" s="111"/>
    </row>
    <row r="41" spans="1:21" ht="16.5" thickBot="1" x14ac:dyDescent="0.3">
      <c r="B41" s="116"/>
      <c r="C41" s="117" t="s">
        <v>246</v>
      </c>
      <c r="D41" s="118"/>
      <c r="E41" s="118"/>
      <c r="F41" s="119">
        <f>F36+(F37*F40)</f>
        <v>7.0000000000000007E-2</v>
      </c>
      <c r="G41" s="120"/>
    </row>
    <row r="43" spans="1:21" ht="15.75" thickBo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ht="15.75" thickBot="1" x14ac:dyDescent="0.25"/>
    <row r="45" spans="1:21" ht="15.75" x14ac:dyDescent="0.25">
      <c r="A45" s="121" t="s">
        <v>416</v>
      </c>
      <c r="B45" s="89"/>
      <c r="C45" s="89"/>
      <c r="D45" s="89"/>
      <c r="E45" s="89"/>
      <c r="F45" s="89"/>
      <c r="G45" s="89"/>
      <c r="H45" s="386" t="s">
        <v>262</v>
      </c>
      <c r="I45" s="386"/>
      <c r="J45" s="386"/>
      <c r="K45" s="386"/>
      <c r="L45" s="90"/>
    </row>
    <row r="46" spans="1:21" ht="5.25" customHeight="1" x14ac:dyDescent="0.2">
      <c r="A46" s="91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92"/>
    </row>
    <row r="47" spans="1:21" ht="15.75" x14ac:dyDescent="0.25">
      <c r="A47" s="91" t="s">
        <v>259</v>
      </c>
      <c r="B47" s="16"/>
      <c r="C47" s="16"/>
      <c r="D47" s="384">
        <v>0.05</v>
      </c>
      <c r="E47" s="385"/>
      <c r="F47" s="16"/>
      <c r="G47" s="16"/>
      <c r="H47" s="16" t="s">
        <v>260</v>
      </c>
      <c r="I47" s="16"/>
      <c r="J47" s="387">
        <v>0.5</v>
      </c>
      <c r="K47" s="388"/>
      <c r="L47" s="92"/>
    </row>
    <row r="48" spans="1:21" x14ac:dyDescent="0.2">
      <c r="A48" s="91"/>
      <c r="B48" s="16"/>
      <c r="C48" s="16"/>
      <c r="D48" s="102"/>
      <c r="E48" s="102"/>
      <c r="F48" s="16"/>
      <c r="G48" s="16"/>
      <c r="H48" s="16"/>
      <c r="I48" s="16"/>
      <c r="J48" s="16"/>
      <c r="K48" s="16"/>
      <c r="L48" s="92"/>
    </row>
    <row r="49" spans="1:17" ht="15.75" x14ac:dyDescent="0.25">
      <c r="A49" s="91" t="s">
        <v>254</v>
      </c>
      <c r="B49" s="16"/>
      <c r="C49" s="16"/>
      <c r="D49" s="384">
        <v>0</v>
      </c>
      <c r="E49" s="385"/>
      <c r="F49" s="16"/>
      <c r="G49" s="16"/>
      <c r="H49" s="16" t="s">
        <v>261</v>
      </c>
      <c r="I49" s="16"/>
      <c r="J49" s="389">
        <f>1+J47</f>
        <v>1.5</v>
      </c>
      <c r="K49" s="389"/>
      <c r="L49" s="92"/>
    </row>
    <row r="50" spans="1:17" x14ac:dyDescent="0.2">
      <c r="A50" s="91"/>
      <c r="B50" s="16"/>
      <c r="C50" s="16"/>
      <c r="D50" s="102"/>
      <c r="E50" s="102"/>
      <c r="F50" s="16"/>
      <c r="G50" s="16"/>
      <c r="H50" s="16"/>
      <c r="I50" s="16"/>
      <c r="J50" s="16"/>
      <c r="K50" s="16"/>
      <c r="L50" s="92"/>
    </row>
    <row r="51" spans="1:17" ht="15.75" x14ac:dyDescent="0.25">
      <c r="A51" s="91" t="s">
        <v>255</v>
      </c>
      <c r="B51" s="16"/>
      <c r="C51" s="16"/>
      <c r="D51" s="384">
        <v>0.1</v>
      </c>
      <c r="E51" s="385"/>
      <c r="F51" s="16"/>
      <c r="G51" s="16"/>
      <c r="H51" s="16" t="s">
        <v>263</v>
      </c>
      <c r="I51" s="16"/>
      <c r="J51" s="390">
        <f>J47/J49</f>
        <v>0.33333333333333331</v>
      </c>
      <c r="K51" s="390"/>
      <c r="L51" s="92"/>
    </row>
    <row r="52" spans="1:17" x14ac:dyDescent="0.2">
      <c r="A52" s="91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92"/>
    </row>
    <row r="53" spans="1:17" ht="15.75" x14ac:dyDescent="0.25">
      <c r="A53" s="91"/>
      <c r="B53" s="16"/>
      <c r="C53" s="16"/>
      <c r="D53" s="16"/>
      <c r="E53" s="16"/>
      <c r="F53" s="16"/>
      <c r="G53" s="16"/>
      <c r="H53" s="16" t="s">
        <v>21</v>
      </c>
      <c r="I53" s="16"/>
      <c r="J53" s="376">
        <v>0</v>
      </c>
      <c r="K53" s="377"/>
      <c r="L53" s="92"/>
    </row>
    <row r="54" spans="1:17" ht="15.75" x14ac:dyDescent="0.25">
      <c r="A54" s="122" t="s">
        <v>264</v>
      </c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92"/>
      <c r="M54" s="16"/>
      <c r="N54" s="16"/>
      <c r="O54" s="16"/>
      <c r="P54" s="16"/>
      <c r="Q54" s="16"/>
    </row>
    <row r="55" spans="1:17" ht="5.25" customHeight="1" x14ac:dyDescent="0.2">
      <c r="A55" s="91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92"/>
      <c r="M55" s="16"/>
      <c r="N55" s="16"/>
      <c r="O55" s="16"/>
      <c r="P55" s="16"/>
      <c r="Q55" s="16"/>
    </row>
    <row r="56" spans="1:17" x14ac:dyDescent="0.2">
      <c r="A56" s="91" t="s">
        <v>265</v>
      </c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92"/>
      <c r="M56" s="16"/>
      <c r="N56" s="16"/>
      <c r="O56" s="16"/>
      <c r="P56" s="16"/>
      <c r="Q56" s="16"/>
    </row>
    <row r="57" spans="1:17" x14ac:dyDescent="0.2">
      <c r="A57" s="91" t="s">
        <v>266</v>
      </c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92"/>
      <c r="M57" s="16"/>
      <c r="N57" s="16"/>
      <c r="O57" s="16"/>
      <c r="P57" s="16"/>
      <c r="Q57" s="16"/>
    </row>
    <row r="58" spans="1:17" x14ac:dyDescent="0.2">
      <c r="A58" s="91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92"/>
      <c r="M58" s="16"/>
      <c r="N58" s="16"/>
      <c r="O58" s="16"/>
      <c r="P58" s="16"/>
      <c r="Q58" s="16"/>
    </row>
    <row r="59" spans="1:17" ht="15.75" x14ac:dyDescent="0.25">
      <c r="A59" s="91" t="s">
        <v>267</v>
      </c>
      <c r="B59" s="16"/>
      <c r="C59" s="16"/>
      <c r="D59" s="123">
        <v>0.78</v>
      </c>
      <c r="E59" s="16"/>
      <c r="F59" s="16"/>
      <c r="G59" s="16"/>
      <c r="H59" s="16"/>
      <c r="I59" s="16"/>
      <c r="J59" s="16"/>
      <c r="K59" s="16"/>
      <c r="L59" s="92"/>
      <c r="M59" s="16"/>
      <c r="N59" s="16"/>
      <c r="O59" s="16"/>
      <c r="P59" s="16"/>
      <c r="Q59" s="16"/>
    </row>
    <row r="60" spans="1:17" x14ac:dyDescent="0.2">
      <c r="A60" s="91" t="s">
        <v>8</v>
      </c>
      <c r="B60" s="16"/>
      <c r="C60" s="16"/>
      <c r="D60" s="124">
        <f>Sources_Uses!E19</f>
        <v>0</v>
      </c>
      <c r="E60" s="16"/>
      <c r="F60" s="16"/>
      <c r="G60" s="16"/>
      <c r="H60" s="16"/>
      <c r="I60" s="16"/>
      <c r="J60" s="16"/>
      <c r="K60" s="16"/>
      <c r="L60" s="92"/>
      <c r="M60" s="16"/>
      <c r="N60" s="16"/>
      <c r="O60" s="16"/>
      <c r="P60" s="16"/>
      <c r="Q60" s="16"/>
    </row>
    <row r="61" spans="1:17" x14ac:dyDescent="0.2">
      <c r="A61" s="91" t="s">
        <v>268</v>
      </c>
      <c r="B61" s="16"/>
      <c r="C61" s="16"/>
      <c r="D61" s="125">
        <f>Sources_Uses!E23</f>
        <v>0</v>
      </c>
      <c r="E61" s="16"/>
      <c r="F61" s="16"/>
      <c r="G61" s="16"/>
      <c r="H61" s="16"/>
      <c r="I61" s="16"/>
      <c r="J61" s="16"/>
      <c r="K61" s="16"/>
      <c r="L61" s="92"/>
      <c r="M61" s="16"/>
      <c r="N61" s="16"/>
      <c r="O61" s="16"/>
      <c r="P61" s="16"/>
      <c r="Q61" s="16"/>
    </row>
    <row r="62" spans="1:17" x14ac:dyDescent="0.2">
      <c r="A62" s="91"/>
      <c r="B62" s="16"/>
      <c r="C62" s="16"/>
      <c r="D62" s="126"/>
      <c r="E62" s="16"/>
      <c r="F62" s="16"/>
      <c r="G62" s="16"/>
      <c r="H62" s="16"/>
      <c r="I62" s="16"/>
      <c r="J62" s="16"/>
      <c r="K62" s="16"/>
      <c r="L62" s="92"/>
      <c r="M62" s="16"/>
      <c r="N62" s="16"/>
      <c r="O62" s="16"/>
      <c r="P62" s="16"/>
      <c r="Q62" s="16"/>
    </row>
    <row r="63" spans="1:17" x14ac:dyDescent="0.2">
      <c r="A63" s="91" t="s">
        <v>269</v>
      </c>
      <c r="B63" s="16"/>
      <c r="C63" s="16"/>
      <c r="D63" s="127">
        <f>D61*D60</f>
        <v>0</v>
      </c>
      <c r="E63" s="16"/>
      <c r="F63" s="16"/>
      <c r="G63" s="16"/>
      <c r="H63" s="16"/>
      <c r="I63" s="16"/>
      <c r="J63" s="16"/>
      <c r="K63" s="16"/>
      <c r="L63" s="92"/>
      <c r="M63" s="16"/>
      <c r="N63" s="16"/>
      <c r="O63" s="16"/>
      <c r="P63" s="16"/>
      <c r="Q63" s="16"/>
    </row>
    <row r="64" spans="1:17" x14ac:dyDescent="0.2">
      <c r="A64" s="91" t="s">
        <v>270</v>
      </c>
      <c r="B64" s="16"/>
      <c r="C64" s="16"/>
      <c r="D64" s="58">
        <f>SUM(Balance_Sheet!H59:H66)</f>
        <v>0</v>
      </c>
      <c r="E64" s="16"/>
      <c r="F64" s="16"/>
      <c r="G64" s="16"/>
      <c r="H64" s="16"/>
      <c r="I64" s="16"/>
      <c r="J64" s="16"/>
      <c r="K64" s="16"/>
      <c r="L64" s="92"/>
      <c r="M64" s="16"/>
      <c r="N64" s="16"/>
      <c r="O64" s="16"/>
      <c r="P64" s="16"/>
      <c r="Q64" s="16"/>
    </row>
    <row r="65" spans="1:18" x14ac:dyDescent="0.2">
      <c r="A65" s="91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92"/>
      <c r="M65" s="16"/>
      <c r="N65" s="16"/>
      <c r="O65" s="16"/>
      <c r="P65" s="16"/>
      <c r="Q65" s="16"/>
    </row>
    <row r="66" spans="1:18" x14ac:dyDescent="0.2">
      <c r="A66" s="91" t="s">
        <v>271</v>
      </c>
      <c r="B66" s="16"/>
      <c r="C66" s="16"/>
      <c r="D66" s="75">
        <f>D64+D63</f>
        <v>0</v>
      </c>
      <c r="E66" s="16"/>
      <c r="F66" s="16"/>
      <c r="G66" s="16" t="s">
        <v>274</v>
      </c>
      <c r="H66" s="16"/>
      <c r="I66" s="16"/>
      <c r="J66" s="40">
        <f>P30</f>
        <v>0.66666666666666674</v>
      </c>
      <c r="K66" s="16"/>
      <c r="L66" s="92"/>
      <c r="M66" s="16"/>
      <c r="N66" s="16"/>
      <c r="O66" s="16"/>
      <c r="P66" s="16"/>
      <c r="Q66" s="16"/>
    </row>
    <row r="67" spans="1:18" x14ac:dyDescent="0.2">
      <c r="A67" s="91" t="s">
        <v>272</v>
      </c>
      <c r="B67" s="16"/>
      <c r="C67" s="16"/>
      <c r="D67" s="40">
        <f>Inc_Stmt_Assumptions!J42</f>
        <v>0.4</v>
      </c>
      <c r="E67" s="16"/>
      <c r="F67" s="16"/>
      <c r="G67" s="16" t="s">
        <v>276</v>
      </c>
      <c r="H67" s="16"/>
      <c r="I67" s="16"/>
      <c r="J67" s="75">
        <f>IF(D63=0,0,J66*D69)</f>
        <v>0</v>
      </c>
      <c r="K67" s="16"/>
      <c r="L67" s="92"/>
      <c r="M67" s="16"/>
      <c r="N67" s="16"/>
      <c r="O67" s="16"/>
      <c r="P67" s="16"/>
      <c r="Q67" s="16"/>
    </row>
    <row r="68" spans="1:18" x14ac:dyDescent="0.2">
      <c r="A68" s="91"/>
      <c r="B68" s="16"/>
      <c r="C68" s="16"/>
      <c r="D68" s="16"/>
      <c r="E68" s="16"/>
      <c r="F68" s="16"/>
      <c r="G68" s="16" t="s">
        <v>275</v>
      </c>
      <c r="H68" s="16"/>
      <c r="I68" s="16"/>
      <c r="J68" s="75">
        <f>D69-J67</f>
        <v>0</v>
      </c>
      <c r="K68" s="16"/>
      <c r="L68" s="92"/>
      <c r="M68" s="16"/>
      <c r="N68" s="16"/>
      <c r="O68" s="16"/>
      <c r="P68" s="16"/>
      <c r="Q68" s="16"/>
    </row>
    <row r="69" spans="1:18" x14ac:dyDescent="0.2">
      <c r="A69" s="91" t="s">
        <v>273</v>
      </c>
      <c r="B69" s="16"/>
      <c r="C69" s="16"/>
      <c r="D69" s="75">
        <f>Balance_Sheet!K77+Balance_Sheet!K68</f>
        <v>0</v>
      </c>
      <c r="E69" s="16"/>
      <c r="F69" s="16"/>
      <c r="G69" s="16"/>
      <c r="H69" s="16"/>
      <c r="I69" s="16"/>
      <c r="J69" s="16"/>
      <c r="K69" s="16"/>
      <c r="L69" s="92"/>
      <c r="M69" s="16"/>
      <c r="N69" s="16"/>
      <c r="O69" s="16"/>
      <c r="P69" s="16"/>
      <c r="Q69" s="16"/>
    </row>
    <row r="70" spans="1:18" x14ac:dyDescent="0.2">
      <c r="A70" s="91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92"/>
      <c r="M70" s="16"/>
      <c r="N70" s="16"/>
      <c r="O70" s="16"/>
      <c r="P70" s="16"/>
      <c r="Q70" s="16"/>
    </row>
    <row r="71" spans="1:18" ht="15.75" x14ac:dyDescent="0.25">
      <c r="A71" s="128" t="s">
        <v>243</v>
      </c>
      <c r="B71" s="129"/>
      <c r="C71" s="129"/>
      <c r="D71" s="130">
        <f>IF(D63=0,0,D59*(D63/(D66-(D67*D64))))</f>
        <v>0</v>
      </c>
      <c r="E71" s="129"/>
      <c r="F71" s="129"/>
      <c r="G71" s="131" t="s">
        <v>245</v>
      </c>
      <c r="H71" s="129"/>
      <c r="I71" s="129"/>
      <c r="J71" s="132">
        <f>IF(D63=0,0,D71/(J67/(D69-(D67*J68))))</f>
        <v>0</v>
      </c>
      <c r="K71" s="16"/>
      <c r="L71" s="92"/>
      <c r="M71" s="16"/>
      <c r="N71" s="16"/>
      <c r="O71" s="16"/>
      <c r="P71" s="16"/>
      <c r="Q71" s="16"/>
    </row>
    <row r="72" spans="1:18" ht="15.75" thickBot="1" x14ac:dyDescent="0.25">
      <c r="A72" s="97"/>
      <c r="B72" s="3"/>
      <c r="C72" s="3"/>
      <c r="D72" s="3"/>
      <c r="E72" s="3"/>
      <c r="F72" s="3"/>
      <c r="G72" s="3"/>
      <c r="H72" s="3"/>
      <c r="I72" s="3"/>
      <c r="J72" s="3"/>
      <c r="K72" s="3"/>
      <c r="L72" s="98"/>
      <c r="M72" s="16"/>
      <c r="N72" s="16"/>
      <c r="O72" s="16"/>
      <c r="P72" s="16"/>
      <c r="Q72" s="16"/>
      <c r="R72" s="16"/>
    </row>
  </sheetData>
  <mergeCells count="14">
    <mergeCell ref="E6:J6"/>
    <mergeCell ref="A2:V2"/>
    <mergeCell ref="A3:V3"/>
    <mergeCell ref="E7:J7"/>
    <mergeCell ref="J53:K53"/>
    <mergeCell ref="E8:G8"/>
    <mergeCell ref="H8:J8"/>
    <mergeCell ref="D49:E49"/>
    <mergeCell ref="D51:E51"/>
    <mergeCell ref="H45:K45"/>
    <mergeCell ref="J47:K47"/>
    <mergeCell ref="J49:K49"/>
    <mergeCell ref="J51:K51"/>
    <mergeCell ref="D47:E47"/>
  </mergeCells>
  <phoneticPr fontId="0" type="noConversion"/>
  <printOptions horizontalCentered="1" verticalCentered="1"/>
  <pageMargins left="0.75" right="0.75" top="1" bottom="1" header="0.5" footer="0.5"/>
  <pageSetup scale="74" orientation="landscape" horizontalDpi="300" verticalDpi="300" r:id="rId1"/>
  <headerFooter alignWithMargins="0">
    <oddHeader>&amp;L&amp;D&amp;T&amp;C&amp;P&amp;N&amp;R&amp;F&amp;A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T55"/>
  <sheetViews>
    <sheetView zoomScale="75" workbookViewId="0"/>
  </sheetViews>
  <sheetFormatPr defaultRowHeight="15" x14ac:dyDescent="0.2"/>
  <cols>
    <col min="1" max="1" width="13.7109375" style="1" customWidth="1"/>
    <col min="2" max="2" width="20.85546875" style="1" customWidth="1"/>
    <col min="3" max="3" width="13" style="1" customWidth="1"/>
    <col min="4" max="4" width="12.5703125" style="1" customWidth="1"/>
    <col min="5" max="6" width="11.85546875" style="1" customWidth="1"/>
    <col min="7" max="7" width="3.28515625" style="1" customWidth="1"/>
    <col min="8" max="8" width="26.85546875" style="1" customWidth="1"/>
    <col min="9" max="9" width="14" style="1" customWidth="1"/>
    <col min="10" max="10" width="10.140625" style="1" customWidth="1"/>
    <col min="11" max="18" width="9.140625" style="1"/>
    <col min="19" max="19" width="12.28515625" style="1" customWidth="1"/>
    <col min="20" max="20" width="11.28515625" style="1" customWidth="1"/>
    <col min="21" max="16384" width="9.140625" style="1"/>
  </cols>
  <sheetData>
    <row r="1" spans="1:20" ht="20.25" customHeight="1" x14ac:dyDescent="0.25">
      <c r="A1" s="257" t="str">
        <f ca="1">WACC_Page!A1</f>
        <v>Model Is Balanced --- Circ Breaker Is On --- Cash Min Switch Is Off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0" s="238" customFormat="1" ht="20.25" x14ac:dyDescent="0.3">
      <c r="A2" s="341" t="str">
        <f>Sources_Uses!B3</f>
        <v>Project Template_Leverage Buyout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</row>
    <row r="3" spans="1:20" s="238" customFormat="1" ht="20.25" x14ac:dyDescent="0.3">
      <c r="A3" s="342" t="s">
        <v>279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</row>
    <row r="4" spans="1:20" ht="15.7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15.75" x14ac:dyDescent="0.25">
      <c r="A5" s="4" t="str">
        <f ca="1">"Performance Case: "&amp;Sources_Uses!M44</f>
        <v>Performance Case: Base</v>
      </c>
    </row>
    <row r="6" spans="1:20" x14ac:dyDescent="0.2">
      <c r="A6" s="1" t="str">
        <f>Sources_Uses!B7</f>
        <v>(FYE January; $ in millions)</v>
      </c>
    </row>
    <row r="8" spans="1:20" ht="15.75" x14ac:dyDescent="0.25">
      <c r="A8" s="69" t="s">
        <v>280</v>
      </c>
      <c r="B8" s="70">
        <f>Sources_Uses!E37</f>
        <v>2002</v>
      </c>
      <c r="D8" s="71" t="s">
        <v>307</v>
      </c>
      <c r="F8" s="45">
        <v>0.1</v>
      </c>
      <c r="H8" s="72" t="s">
        <v>302</v>
      </c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73"/>
    </row>
    <row r="9" spans="1:20" ht="15.75" x14ac:dyDescent="0.25">
      <c r="H9" s="18"/>
      <c r="I9" s="16"/>
      <c r="J9" s="5" t="str">
        <f>Balance_Sheet!K8</f>
        <v>Closing</v>
      </c>
      <c r="K9" s="6">
        <f>Balance_Sheet!L8</f>
        <v>2000</v>
      </c>
      <c r="L9" s="6">
        <f>Balance_Sheet!M8</f>
        <v>2001</v>
      </c>
      <c r="M9" s="6">
        <f>Balance_Sheet!N8</f>
        <v>2002</v>
      </c>
      <c r="N9" s="6">
        <f>Balance_Sheet!O8</f>
        <v>2003</v>
      </c>
      <c r="O9" s="6">
        <f>Balance_Sheet!P8</f>
        <v>2004</v>
      </c>
      <c r="P9" s="6">
        <f>Balance_Sheet!Q8</f>
        <v>2005</v>
      </c>
      <c r="Q9" s="6">
        <f>Balance_Sheet!R8</f>
        <v>2006</v>
      </c>
      <c r="R9" s="6">
        <f>Balance_Sheet!S8</f>
        <v>2007</v>
      </c>
      <c r="S9" s="6">
        <f>Balance_Sheet!T8</f>
        <v>2008</v>
      </c>
      <c r="T9" s="7">
        <f>Balance_Sheet!U8</f>
        <v>2009</v>
      </c>
    </row>
    <row r="10" spans="1:20" ht="15.75" x14ac:dyDescent="0.25">
      <c r="A10" s="72" t="s">
        <v>36</v>
      </c>
      <c r="B10" s="32"/>
      <c r="C10" s="32"/>
      <c r="D10" s="359" t="s">
        <v>281</v>
      </c>
      <c r="E10" s="359"/>
      <c r="F10" s="360"/>
      <c r="H10" s="74" t="str">
        <f>A16&amp;" Returns"</f>
        <v>Senior Subordinated Debt Returns</v>
      </c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9"/>
    </row>
    <row r="11" spans="1:20" x14ac:dyDescent="0.2">
      <c r="A11" s="18"/>
      <c r="B11" s="16"/>
      <c r="C11" s="26" t="s">
        <v>282</v>
      </c>
      <c r="D11" s="26" t="s">
        <v>37</v>
      </c>
      <c r="E11" s="26" t="s">
        <v>283</v>
      </c>
      <c r="F11" s="27" t="s">
        <v>284</v>
      </c>
      <c r="H11" s="22" t="s">
        <v>282</v>
      </c>
      <c r="I11" s="16"/>
      <c r="J11" s="75">
        <f>-C16</f>
        <v>0</v>
      </c>
      <c r="K11" s="75">
        <f ca="1">IF(K$9=EXIT_YEAR,-Debt_Repayment!D33+Balance_Sheet!L64,IF(K$9&gt;EXIT_YEAR,0,-Debt_Repayment!D33))</f>
        <v>0</v>
      </c>
      <c r="L11" s="75">
        <f ca="1">IF(L$9=EXIT_YEAR,-Debt_Repayment!E33+Balance_Sheet!M64,IF(L$9&gt;EXIT_YEAR,0,-Debt_Repayment!E33))</f>
        <v>0</v>
      </c>
      <c r="M11" s="75">
        <f ca="1">IF(M$9=EXIT_YEAR,-Debt_Repayment!F33+Balance_Sheet!N64,IF(M$9&gt;EXIT_YEAR,0,-Debt_Repayment!F33))</f>
        <v>0</v>
      </c>
      <c r="N11" s="75">
        <f>IF(N$9=EXIT_YEAR,-Debt_Repayment!G33+Balance_Sheet!O64,IF(N$9&gt;EXIT_YEAR,0,-Debt_Repayment!G33))</f>
        <v>0</v>
      </c>
      <c r="O11" s="75">
        <f>IF(O$9=EXIT_YEAR,-Debt_Repayment!H33+Balance_Sheet!P64,IF(O$9&gt;EXIT_YEAR,0,-Debt_Repayment!H33))</f>
        <v>0</v>
      </c>
      <c r="P11" s="75">
        <f>IF(P$9=EXIT_YEAR,-Debt_Repayment!I33+Balance_Sheet!Q64,IF(P$9&gt;EXIT_YEAR,0,-Debt_Repayment!I33))</f>
        <v>0</v>
      </c>
      <c r="Q11" s="75">
        <f>IF(Q$9=EXIT_YEAR,-Debt_Repayment!J33+Balance_Sheet!R64,IF(Q$9&gt;EXIT_YEAR,0,-Debt_Repayment!J33))</f>
        <v>0</v>
      </c>
      <c r="R11" s="75">
        <f>IF(R$9=EXIT_YEAR,-Debt_Repayment!K33+Balance_Sheet!S64,IF(R$9&gt;EXIT_YEAR,0,-Debt_Repayment!K33))</f>
        <v>0</v>
      </c>
      <c r="S11" s="75">
        <f>IF(S$9=EXIT_YEAR,-Debt_Repayment!L33+Balance_Sheet!T64,IF(S$9&gt;EXIT_YEAR,0,-Debt_Repayment!L33))</f>
        <v>0</v>
      </c>
      <c r="T11" s="21">
        <f>IF(T$9=EXIT_YEAR,-Debt_Repayment!M33+Balance_Sheet!U64,IF(T$9&gt;EXIT_YEAR,0,-Debt_Repayment!M33))</f>
        <v>0</v>
      </c>
    </row>
    <row r="12" spans="1:20" x14ac:dyDescent="0.2">
      <c r="A12" s="18" t="str">
        <f>Sources_Uses!G21</f>
        <v>Sponsor Equity</v>
      </c>
      <c r="B12" s="16"/>
      <c r="C12" s="249">
        <f>Sources_Uses!K21</f>
        <v>0</v>
      </c>
      <c r="D12" s="250">
        <f>IF(C12=0,0,C12/$C$22)</f>
        <v>0</v>
      </c>
      <c r="E12" s="250">
        <f>D12*(1-SUM($E$14:$E$19))</f>
        <v>0</v>
      </c>
      <c r="F12" s="251">
        <f t="shared" ref="F12:F19" si="0">E12*(1-$F$20)</f>
        <v>0</v>
      </c>
      <c r="H12" s="22" t="s">
        <v>303</v>
      </c>
      <c r="I12" s="16"/>
      <c r="J12" s="16"/>
      <c r="K12" s="20">
        <f>IF(K$9&gt;EXIT_YEAR,0,Income_Statement!J48)</f>
        <v>0</v>
      </c>
      <c r="L12" s="20">
        <f ca="1">IF(L$9&gt;EXIT_YEAR,0,Income_Statement!K48)</f>
        <v>0</v>
      </c>
      <c r="M12" s="20">
        <f ca="1">IF(M$9&gt;EXIT_YEAR,0,Income_Statement!L48)</f>
        <v>0</v>
      </c>
      <c r="N12" s="20">
        <f>IF(N$9&gt;EXIT_YEAR,0,Income_Statement!M48)</f>
        <v>0</v>
      </c>
      <c r="O12" s="20">
        <f>IF(O$9&gt;EXIT_YEAR,0,Income_Statement!N48)</f>
        <v>0</v>
      </c>
      <c r="P12" s="20">
        <f>IF(P$9&gt;EXIT_YEAR,0,Income_Statement!O48)</f>
        <v>0</v>
      </c>
      <c r="Q12" s="20">
        <f>IF(Q$9&gt;EXIT_YEAR,0,Income_Statement!P48)</f>
        <v>0</v>
      </c>
      <c r="R12" s="20">
        <f>IF(R$9&gt;EXIT_YEAR,0,Income_Statement!Q48)</f>
        <v>0</v>
      </c>
      <c r="S12" s="20">
        <f>IF(S$9&gt;EXIT_YEAR,0,Income_Statement!R48)</f>
        <v>0</v>
      </c>
      <c r="T12" s="39">
        <f>IF(T$9&gt;EXIT_YEAR,0,Income_Statement!S48)</f>
        <v>0</v>
      </c>
    </row>
    <row r="13" spans="1:20" x14ac:dyDescent="0.2">
      <c r="A13" s="18" t="str">
        <f>Sources_Uses!G22</f>
        <v>Management Equity</v>
      </c>
      <c r="B13" s="16"/>
      <c r="C13" s="252">
        <f>Sources_Uses!K22</f>
        <v>0</v>
      </c>
      <c r="D13" s="76">
        <f>IF(C13=0,0,C13/$C$22)</f>
        <v>0</v>
      </c>
      <c r="E13" s="76">
        <f>D13*(1-SUM($E$14:$E$19))</f>
        <v>0</v>
      </c>
      <c r="F13" s="77">
        <f t="shared" si="0"/>
        <v>0</v>
      </c>
      <c r="H13" s="22" t="s">
        <v>304</v>
      </c>
      <c r="I13" s="16"/>
      <c r="J13" s="30"/>
      <c r="K13" s="58">
        <f t="shared" ref="K13:T13" si="1">IF(K$9=EXIT_YEAR,$F44,0)</f>
        <v>0</v>
      </c>
      <c r="L13" s="58">
        <f t="shared" si="1"/>
        <v>0</v>
      </c>
      <c r="M13" s="58">
        <f t="shared" ca="1" si="1"/>
        <v>0</v>
      </c>
      <c r="N13" s="58">
        <f t="shared" si="1"/>
        <v>0</v>
      </c>
      <c r="O13" s="58">
        <f t="shared" si="1"/>
        <v>0</v>
      </c>
      <c r="P13" s="58">
        <f t="shared" si="1"/>
        <v>0</v>
      </c>
      <c r="Q13" s="58">
        <f t="shared" si="1"/>
        <v>0</v>
      </c>
      <c r="R13" s="58">
        <f t="shared" si="1"/>
        <v>0</v>
      </c>
      <c r="S13" s="58">
        <f t="shared" si="1"/>
        <v>0</v>
      </c>
      <c r="T13" s="28">
        <f t="shared" si="1"/>
        <v>0</v>
      </c>
    </row>
    <row r="14" spans="1:20" ht="15.75" x14ac:dyDescent="0.25">
      <c r="A14" s="18" t="str">
        <f>Sources_Uses!G23</f>
        <v>New Equity</v>
      </c>
      <c r="B14" s="16"/>
      <c r="C14" s="253">
        <f>Sources_Uses!K23</f>
        <v>0</v>
      </c>
      <c r="D14" s="254">
        <f>IF(C14=0,0,C14/$C$22)</f>
        <v>0</v>
      </c>
      <c r="E14" s="255">
        <v>0</v>
      </c>
      <c r="F14" s="256">
        <f t="shared" si="0"/>
        <v>0</v>
      </c>
      <c r="H14" s="78" t="s">
        <v>305</v>
      </c>
      <c r="I14" s="79" t="str">
        <f>IF(J11&lt;0,IRR(J14:T14,$F$8),"")</f>
        <v/>
      </c>
      <c r="J14" s="75">
        <f t="shared" ref="J14:T14" si="2">SUM(J11:J13)</f>
        <v>0</v>
      </c>
      <c r="K14" s="75">
        <f t="shared" ca="1" si="2"/>
        <v>0</v>
      </c>
      <c r="L14" s="75">
        <f t="shared" ca="1" si="2"/>
        <v>0</v>
      </c>
      <c r="M14" s="75">
        <f t="shared" ca="1" si="2"/>
        <v>0</v>
      </c>
      <c r="N14" s="75">
        <f t="shared" si="2"/>
        <v>0</v>
      </c>
      <c r="O14" s="75">
        <f t="shared" si="2"/>
        <v>0</v>
      </c>
      <c r="P14" s="75">
        <f t="shared" si="2"/>
        <v>0</v>
      </c>
      <c r="Q14" s="75">
        <f t="shared" si="2"/>
        <v>0</v>
      </c>
      <c r="R14" s="75">
        <f t="shared" si="2"/>
        <v>0</v>
      </c>
      <c r="S14" s="75">
        <f t="shared" si="2"/>
        <v>0</v>
      </c>
      <c r="T14" s="21">
        <f t="shared" si="2"/>
        <v>0</v>
      </c>
    </row>
    <row r="15" spans="1:20" ht="15.75" x14ac:dyDescent="0.25">
      <c r="A15" s="18" t="str">
        <f>Sources_Uses!G15</f>
        <v>Other Long-Term Debt</v>
      </c>
      <c r="B15" s="16"/>
      <c r="C15" s="20">
        <f>Sources_Uses!K15</f>
        <v>0</v>
      </c>
      <c r="D15" s="40"/>
      <c r="E15" s="38">
        <v>0</v>
      </c>
      <c r="F15" s="24">
        <f t="shared" si="0"/>
        <v>0</v>
      </c>
      <c r="H15" s="78"/>
      <c r="I15" s="80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21"/>
    </row>
    <row r="16" spans="1:20" ht="15.75" x14ac:dyDescent="0.25">
      <c r="A16" s="18" t="str">
        <f>Sources_Uses!G16</f>
        <v>Senior Subordinated Debt</v>
      </c>
      <c r="B16" s="16"/>
      <c r="C16" s="20">
        <f>Sources_Uses!K16</f>
        <v>0</v>
      </c>
      <c r="D16" s="40"/>
      <c r="E16" s="38">
        <v>0</v>
      </c>
      <c r="F16" s="24">
        <f t="shared" si="0"/>
        <v>0</v>
      </c>
      <c r="H16" s="74" t="str">
        <f>A17&amp;" Returns"</f>
        <v>Junior Subordinated Debt Returns</v>
      </c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9"/>
    </row>
    <row r="17" spans="1:20" x14ac:dyDescent="0.2">
      <c r="A17" s="18" t="str">
        <f>Sources_Uses!G17</f>
        <v>Junior Subordinated Debt</v>
      </c>
      <c r="B17" s="16"/>
      <c r="C17" s="20">
        <f>Sources_Uses!K17</f>
        <v>0</v>
      </c>
      <c r="D17" s="40"/>
      <c r="E17" s="38">
        <v>0</v>
      </c>
      <c r="F17" s="24">
        <f t="shared" si="0"/>
        <v>0</v>
      </c>
      <c r="H17" s="18" t="str">
        <f>H11</f>
        <v>Investment</v>
      </c>
      <c r="I17" s="16"/>
      <c r="J17" s="75">
        <f>-C17</f>
        <v>0</v>
      </c>
      <c r="K17" s="75">
        <f ca="1">IF(K$9=EXIT_YEAR,-Debt_Repayment!D37+Balance_Sheet!L65,IF(K$9&gt;EXIT_YEAR,0,-Debt_Repayment!D37))</f>
        <v>0</v>
      </c>
      <c r="L17" s="75">
        <f ca="1">IF(L$9=EXIT_YEAR,-Debt_Repayment!E37+Balance_Sheet!M65,IF(L$9&gt;EXIT_YEAR,0,-Debt_Repayment!E37))</f>
        <v>0</v>
      </c>
      <c r="M17" s="75">
        <f ca="1">IF(M$9=EXIT_YEAR,-Debt_Repayment!F37+Balance_Sheet!N65,IF(M$9&gt;EXIT_YEAR,0,-Debt_Repayment!F37))</f>
        <v>0</v>
      </c>
      <c r="N17" s="75">
        <f>IF(N$9=EXIT_YEAR,-Debt_Repayment!G37+Balance_Sheet!O65,IF(N$9&gt;EXIT_YEAR,0,-Debt_Repayment!G37))</f>
        <v>0</v>
      </c>
      <c r="O17" s="75">
        <f>IF(O$9=EXIT_YEAR,-Debt_Repayment!H37+Balance_Sheet!P65,IF(O$9&gt;EXIT_YEAR,0,-Debt_Repayment!H37))</f>
        <v>0</v>
      </c>
      <c r="P17" s="75">
        <f>IF(P$9=EXIT_YEAR,-Debt_Repayment!I37+Balance_Sheet!Q65,IF(P$9&gt;EXIT_YEAR,0,-Debt_Repayment!I37))</f>
        <v>0</v>
      </c>
      <c r="Q17" s="75">
        <f>IF(Q$9=EXIT_YEAR,-Debt_Repayment!J37+Balance_Sheet!R65,IF(Q$9&gt;EXIT_YEAR,0,-Debt_Repayment!J37))</f>
        <v>0</v>
      </c>
      <c r="R17" s="75">
        <f>IF(R$9=EXIT_YEAR,-Debt_Repayment!K37+Balance_Sheet!S65,IF(R$9&gt;EXIT_YEAR,0,-Debt_Repayment!K37))</f>
        <v>0</v>
      </c>
      <c r="S17" s="75">
        <f>IF(S$9=EXIT_YEAR,-Debt_Repayment!L37+Balance_Sheet!T65,IF(S$9&gt;EXIT_YEAR,0,-Debt_Repayment!L37))</f>
        <v>0</v>
      </c>
      <c r="T17" s="21">
        <f>IF(T$9=EXIT_YEAR,-Debt_Repayment!M37+Balance_Sheet!U65,IF(T$9&gt;EXIT_YEAR,0,-Debt_Repayment!M37))</f>
        <v>0</v>
      </c>
    </row>
    <row r="18" spans="1:20" x14ac:dyDescent="0.2">
      <c r="A18" s="18" t="str">
        <f>Sources_Uses!G19</f>
        <v>Preferred Stock</v>
      </c>
      <c r="B18" s="16"/>
      <c r="C18" s="20">
        <f>Sources_Uses!K19</f>
        <v>0</v>
      </c>
      <c r="D18" s="40"/>
      <c r="E18" s="38">
        <v>0</v>
      </c>
      <c r="F18" s="24">
        <f t="shared" si="0"/>
        <v>0</v>
      </c>
      <c r="H18" s="18" t="str">
        <f>H12</f>
        <v>Interest</v>
      </c>
      <c r="I18" s="16"/>
      <c r="J18" s="16"/>
      <c r="K18" s="20">
        <f>IF(K$9&gt;EXIT_YEAR,0,Income_Statement!J49-Cash_Flow!D17)</f>
        <v>0</v>
      </c>
      <c r="L18" s="20">
        <f ca="1">IF(L$9&gt;EXIT_YEAR,0,Income_Statement!K49-Cash_Flow!E17)</f>
        <v>0</v>
      </c>
      <c r="M18" s="20">
        <f ca="1">IF(M$9&gt;EXIT_YEAR,0,Income_Statement!L49-Cash_Flow!F17)</f>
        <v>0</v>
      </c>
      <c r="N18" s="20">
        <f>IF(N$9&gt;EXIT_YEAR,0,Income_Statement!M49-Cash_Flow!G17)</f>
        <v>0</v>
      </c>
      <c r="O18" s="20">
        <f>IF(O$9&gt;EXIT_YEAR,0,Income_Statement!N49-Cash_Flow!H17)</f>
        <v>0</v>
      </c>
      <c r="P18" s="20">
        <f>IF(P$9&gt;EXIT_YEAR,0,Income_Statement!O49-Cash_Flow!I17)</f>
        <v>0</v>
      </c>
      <c r="Q18" s="20">
        <f>IF(Q$9&gt;EXIT_YEAR,0,Income_Statement!P49-Cash_Flow!J17)</f>
        <v>0</v>
      </c>
      <c r="R18" s="20">
        <f>IF(R$9&gt;EXIT_YEAR,0,Income_Statement!Q49-Cash_Flow!K17)</f>
        <v>0</v>
      </c>
      <c r="S18" s="20">
        <f>IF(S$9&gt;EXIT_YEAR,0,Income_Statement!R49-Cash_Flow!L17)</f>
        <v>0</v>
      </c>
      <c r="T18" s="39">
        <f>IF(T$9&gt;EXIT_YEAR,0,Income_Statement!S49-Cash_Flow!M17)</f>
        <v>0</v>
      </c>
    </row>
    <row r="19" spans="1:20" x14ac:dyDescent="0.2">
      <c r="A19" s="18" t="str">
        <f>Sources_Uses!G18</f>
        <v>Seller Note</v>
      </c>
      <c r="B19" s="16"/>
      <c r="C19" s="20">
        <f>Sources_Uses!K18</f>
        <v>0</v>
      </c>
      <c r="D19" s="40"/>
      <c r="E19" s="38">
        <v>0</v>
      </c>
      <c r="F19" s="24">
        <f t="shared" si="0"/>
        <v>0</v>
      </c>
      <c r="H19" s="18" t="str">
        <f>H13</f>
        <v>Participation</v>
      </c>
      <c r="I19" s="16"/>
      <c r="J19" s="30"/>
      <c r="K19" s="58">
        <f t="shared" ref="K19:T19" si="3">IF(K$9=EXIT_YEAR,$F45,0)</f>
        <v>0</v>
      </c>
      <c r="L19" s="58">
        <f t="shared" si="3"/>
        <v>0</v>
      </c>
      <c r="M19" s="58">
        <f t="shared" ca="1" si="3"/>
        <v>0</v>
      </c>
      <c r="N19" s="58">
        <f t="shared" si="3"/>
        <v>0</v>
      </c>
      <c r="O19" s="58">
        <f t="shared" si="3"/>
        <v>0</v>
      </c>
      <c r="P19" s="58">
        <f t="shared" si="3"/>
        <v>0</v>
      </c>
      <c r="Q19" s="58">
        <f t="shared" si="3"/>
        <v>0</v>
      </c>
      <c r="R19" s="58">
        <f t="shared" si="3"/>
        <v>0</v>
      </c>
      <c r="S19" s="58">
        <f t="shared" si="3"/>
        <v>0</v>
      </c>
      <c r="T19" s="28">
        <f t="shared" si="3"/>
        <v>0</v>
      </c>
    </row>
    <row r="20" spans="1:20" ht="15.75" x14ac:dyDescent="0.25">
      <c r="A20" s="18" t="s">
        <v>285</v>
      </c>
      <c r="B20" s="16"/>
      <c r="C20" s="16"/>
      <c r="D20" s="16"/>
      <c r="E20" s="16"/>
      <c r="F20" s="33">
        <v>0</v>
      </c>
      <c r="H20" s="81" t="str">
        <f>H14</f>
        <v xml:space="preserve">IRR = </v>
      </c>
      <c r="I20" s="79" t="str">
        <f>IF(J17&lt;0,IRR(J20:T20,$F$8),"")</f>
        <v/>
      </c>
      <c r="J20" s="75">
        <f>SUM(J17:J19)</f>
        <v>0</v>
      </c>
      <c r="K20" s="75">
        <f ca="1">SUM(K17:K19)</f>
        <v>0</v>
      </c>
      <c r="L20" s="75">
        <f t="shared" ref="L20:T20" ca="1" si="4">SUM(L17:L19)</f>
        <v>0</v>
      </c>
      <c r="M20" s="75">
        <f t="shared" ca="1" si="4"/>
        <v>0</v>
      </c>
      <c r="N20" s="75">
        <f t="shared" si="4"/>
        <v>0</v>
      </c>
      <c r="O20" s="75">
        <f t="shared" si="4"/>
        <v>0</v>
      </c>
      <c r="P20" s="75">
        <f t="shared" si="4"/>
        <v>0</v>
      </c>
      <c r="Q20" s="75">
        <f t="shared" si="4"/>
        <v>0</v>
      </c>
      <c r="R20" s="75">
        <f t="shared" si="4"/>
        <v>0</v>
      </c>
      <c r="S20" s="75">
        <f t="shared" si="4"/>
        <v>0</v>
      </c>
      <c r="T20" s="21">
        <f t="shared" si="4"/>
        <v>0</v>
      </c>
    </row>
    <row r="21" spans="1:20" x14ac:dyDescent="0.2">
      <c r="A21" s="18"/>
      <c r="B21" s="16"/>
      <c r="C21" s="16"/>
      <c r="D21" s="16"/>
      <c r="E21" s="16"/>
      <c r="F21" s="19"/>
      <c r="H21" s="18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9"/>
    </row>
    <row r="22" spans="1:20" ht="15.75" x14ac:dyDescent="0.25">
      <c r="A22" s="74" t="s">
        <v>286</v>
      </c>
      <c r="B22" s="16"/>
      <c r="C22" s="75">
        <f>SUM(C12:C14)</f>
        <v>0</v>
      </c>
      <c r="D22" s="16"/>
      <c r="E22" s="16"/>
      <c r="F22" s="19"/>
      <c r="H22" s="74" t="str">
        <f>A18&amp;" Returns"</f>
        <v>Preferred Stock Returns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9"/>
    </row>
    <row r="23" spans="1:20" ht="15.75" x14ac:dyDescent="0.25">
      <c r="A23" s="29" t="s">
        <v>287</v>
      </c>
      <c r="B23" s="30"/>
      <c r="C23" s="82">
        <f>SUM(C12:C19)</f>
        <v>0</v>
      </c>
      <c r="D23" s="41">
        <f>SUM(D12:D19)</f>
        <v>0</v>
      </c>
      <c r="E23" s="41">
        <f>SUM(E12:E19)</f>
        <v>0</v>
      </c>
      <c r="F23" s="35">
        <f>SUM(F12:F19)</f>
        <v>0</v>
      </c>
      <c r="H23" s="18" t="str">
        <f>H17</f>
        <v>Investment</v>
      </c>
      <c r="I23" s="16"/>
      <c r="J23" s="75">
        <f>-C18</f>
        <v>0</v>
      </c>
      <c r="K23" s="75">
        <f>IF(K$9=EXIT_YEAR,-Debt_Repayment!D44+Balance_Sheet!L74,IF(K$9&gt;EXIT_YEAR,0,-Debt_Repayment!D44))</f>
        <v>0</v>
      </c>
      <c r="L23" s="75">
        <f>IF(L$9=EXIT_YEAR,-Debt_Repayment!E44+Balance_Sheet!M74,IF(L$9&gt;EXIT_YEAR,0,-Debt_Repayment!E44))</f>
        <v>0</v>
      </c>
      <c r="M23" s="75">
        <f>IF(M$9=EXIT_YEAR,-Debt_Repayment!F44+Balance_Sheet!N74,IF(M$9&gt;EXIT_YEAR,0,-Debt_Repayment!F44))</f>
        <v>0</v>
      </c>
      <c r="N23" s="75">
        <f>IF(N$9=EXIT_YEAR,-Debt_Repayment!G44+Balance_Sheet!O74,IF(N$9&gt;EXIT_YEAR,0,-Debt_Repayment!G44))</f>
        <v>0</v>
      </c>
      <c r="O23" s="75">
        <f>IF(O$9=EXIT_YEAR,-Debt_Repayment!H44+Balance_Sheet!P74,IF(O$9&gt;EXIT_YEAR,0,-Debt_Repayment!H44))</f>
        <v>0</v>
      </c>
      <c r="P23" s="75">
        <f>IF(P$9=EXIT_YEAR,-Debt_Repayment!I44+Balance_Sheet!Q74,IF(P$9&gt;EXIT_YEAR,0,-Debt_Repayment!I44))</f>
        <v>0</v>
      </c>
      <c r="Q23" s="75">
        <f>IF(Q$9=EXIT_YEAR,-Debt_Repayment!J44+Balance_Sheet!R74,IF(Q$9&gt;EXIT_YEAR,0,-Debt_Repayment!J44))</f>
        <v>0</v>
      </c>
      <c r="R23" s="75">
        <f>IF(R$9=EXIT_YEAR,-Debt_Repayment!K44+Balance_Sheet!S74,IF(R$9&gt;EXIT_YEAR,0,-Debt_Repayment!K44))</f>
        <v>0</v>
      </c>
      <c r="S23" s="75">
        <f>IF(S$9=EXIT_YEAR,-Debt_Repayment!L44+Balance_Sheet!T74,IF(S$9&gt;EXIT_YEAR,0,-Debt_Repayment!L44))</f>
        <v>0</v>
      </c>
      <c r="T23" s="21">
        <f>IF(T$9=EXIT_YEAR,-Debt_Repayment!M44+Balance_Sheet!U74,IF(T$9&gt;EXIT_YEAR,0,-Debt_Repayment!M44))</f>
        <v>0</v>
      </c>
    </row>
    <row r="24" spans="1:20" x14ac:dyDescent="0.2">
      <c r="H24" s="22" t="s">
        <v>306</v>
      </c>
      <c r="I24" s="16"/>
      <c r="J24" s="16"/>
      <c r="K24" s="20">
        <f>IF(K$9&gt;EXIT_YEAR,0,Income_Statement!J62-Cash_Flow!D18)</f>
        <v>0</v>
      </c>
      <c r="L24" s="20">
        <f>IF(L$9&gt;EXIT_YEAR,0,Income_Statement!K62-Cash_Flow!E18)</f>
        <v>0</v>
      </c>
      <c r="M24" s="20">
        <f>IF(M$9&gt;EXIT_YEAR,0,Income_Statement!L62-Cash_Flow!F18)</f>
        <v>0</v>
      </c>
      <c r="N24" s="20">
        <f>IF(N$9&gt;EXIT_YEAR,0,Income_Statement!M62-Cash_Flow!G18)</f>
        <v>0</v>
      </c>
      <c r="O24" s="20">
        <f>IF(O$9&gt;EXIT_YEAR,0,Income_Statement!N62-Cash_Flow!H18)</f>
        <v>0</v>
      </c>
      <c r="P24" s="20">
        <f>IF(P$9&gt;EXIT_YEAR,0,Income_Statement!O62-Cash_Flow!I18)</f>
        <v>0</v>
      </c>
      <c r="Q24" s="20">
        <f>IF(Q$9&gt;EXIT_YEAR,0,Income_Statement!P62-Cash_Flow!J18)</f>
        <v>0</v>
      </c>
      <c r="R24" s="20">
        <f>IF(R$9&gt;EXIT_YEAR,0,Income_Statement!Q62-Cash_Flow!K18)</f>
        <v>0</v>
      </c>
      <c r="S24" s="20">
        <f>IF(S$9&gt;EXIT_YEAR,0,Income_Statement!R62-Cash_Flow!L18)</f>
        <v>0</v>
      </c>
      <c r="T24" s="39">
        <f>IF(T$9&gt;EXIT_YEAR,0,Income_Statement!S62-Cash_Flow!M18)</f>
        <v>0</v>
      </c>
    </row>
    <row r="25" spans="1:20" ht="15.75" x14ac:dyDescent="0.25">
      <c r="A25" s="72" t="s">
        <v>288</v>
      </c>
      <c r="B25" s="32"/>
      <c r="C25" s="32"/>
      <c r="D25" s="32"/>
      <c r="E25" s="32"/>
      <c r="F25" s="73"/>
      <c r="H25" s="18" t="str">
        <f>H19</f>
        <v>Participation</v>
      </c>
      <c r="I25" s="16"/>
      <c r="J25" s="30"/>
      <c r="K25" s="58">
        <f t="shared" ref="K25:T25" si="5">IF(K$9=EXIT_YEAR,$F46,0)</f>
        <v>0</v>
      </c>
      <c r="L25" s="58">
        <f t="shared" si="5"/>
        <v>0</v>
      </c>
      <c r="M25" s="58">
        <f t="shared" ca="1" si="5"/>
        <v>0</v>
      </c>
      <c r="N25" s="58">
        <f t="shared" si="5"/>
        <v>0</v>
      </c>
      <c r="O25" s="58">
        <f t="shared" si="5"/>
        <v>0</v>
      </c>
      <c r="P25" s="58">
        <f t="shared" si="5"/>
        <v>0</v>
      </c>
      <c r="Q25" s="58">
        <f t="shared" si="5"/>
        <v>0</v>
      </c>
      <c r="R25" s="58">
        <f t="shared" si="5"/>
        <v>0</v>
      </c>
      <c r="S25" s="58">
        <f t="shared" si="5"/>
        <v>0</v>
      </c>
      <c r="T25" s="28">
        <f t="shared" si="5"/>
        <v>0</v>
      </c>
    </row>
    <row r="26" spans="1:20" ht="15.75" x14ac:dyDescent="0.25">
      <c r="A26" s="18"/>
      <c r="B26" s="16"/>
      <c r="C26" s="16"/>
      <c r="D26" s="16"/>
      <c r="E26" s="16"/>
      <c r="F26" s="19"/>
      <c r="H26" s="81" t="str">
        <f>H20</f>
        <v xml:space="preserve">IRR = </v>
      </c>
      <c r="I26" s="79" t="str">
        <f>IF(J23&lt;0,IRR(J26:T26,$F$8),"")</f>
        <v/>
      </c>
      <c r="J26" s="75">
        <f>SUM(J23:J25)</f>
        <v>0</v>
      </c>
      <c r="K26" s="75">
        <f>SUM(K23:K25)</f>
        <v>0</v>
      </c>
      <c r="L26" s="75">
        <f t="shared" ref="L26:T26" si="6">SUM(L23:L25)</f>
        <v>0</v>
      </c>
      <c r="M26" s="75">
        <f t="shared" ca="1" si="6"/>
        <v>0</v>
      </c>
      <c r="N26" s="75">
        <f t="shared" si="6"/>
        <v>0</v>
      </c>
      <c r="O26" s="75">
        <f t="shared" si="6"/>
        <v>0</v>
      </c>
      <c r="P26" s="75">
        <f t="shared" si="6"/>
        <v>0</v>
      </c>
      <c r="Q26" s="75">
        <f t="shared" si="6"/>
        <v>0</v>
      </c>
      <c r="R26" s="75">
        <f t="shared" si="6"/>
        <v>0</v>
      </c>
      <c r="S26" s="75">
        <f t="shared" si="6"/>
        <v>0</v>
      </c>
      <c r="T26" s="21">
        <f t="shared" si="6"/>
        <v>0</v>
      </c>
    </row>
    <row r="27" spans="1:20" x14ac:dyDescent="0.2">
      <c r="A27" s="18" t="s">
        <v>289</v>
      </c>
      <c r="B27" s="16"/>
      <c r="C27" s="75">
        <f ca="1">IF(EXIT_YEAR&gt;0,OFFSET(Income_Statement!J27,0,EXIT_YEAR-Income_Statement!J8,1,1),0)</f>
        <v>0</v>
      </c>
      <c r="D27" s="16"/>
      <c r="E27" s="16"/>
      <c r="F27" s="19"/>
      <c r="H27" s="18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9"/>
    </row>
    <row r="28" spans="1:20" ht="15.75" x14ac:dyDescent="0.25">
      <c r="A28" s="18" t="s">
        <v>290</v>
      </c>
      <c r="B28" s="16"/>
      <c r="C28" s="191">
        <v>6</v>
      </c>
      <c r="D28" s="16"/>
      <c r="E28" s="16"/>
      <c r="F28" s="19"/>
      <c r="H28" s="74" t="str">
        <f>A19&amp;" Returns"</f>
        <v>Seller Note Returns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9"/>
    </row>
    <row r="29" spans="1:20" x14ac:dyDescent="0.2">
      <c r="A29" s="18"/>
      <c r="B29" s="16"/>
      <c r="C29" s="16"/>
      <c r="D29" s="16"/>
      <c r="E29" s="16"/>
      <c r="F29" s="19"/>
      <c r="H29" s="18" t="str">
        <f>H17</f>
        <v>Investment</v>
      </c>
      <c r="I29" s="16"/>
      <c r="J29" s="75">
        <f>-C19</f>
        <v>0</v>
      </c>
      <c r="K29" s="75">
        <f ca="1">IF(K$9=EXIT_YEAR,-Debt_Repayment!D41+Balance_Sheet!L29,IF(K$9&gt;EXIT_YEAR,0,-Debt_Repayment!D41))</f>
        <v>0</v>
      </c>
      <c r="L29" s="75">
        <f ca="1">IF(L$9=EXIT_YEAR,-Debt_Repayment!E41+Balance_Sheet!M66,IF(L$9&gt;EXIT_YEAR,0,-Debt_Repayment!E41))</f>
        <v>0</v>
      </c>
      <c r="M29" s="75">
        <f ca="1">IF(M$9=EXIT_YEAR,-Debt_Repayment!F41+Balance_Sheet!N66,IF(M$9&gt;EXIT_YEAR,0,-Debt_Repayment!F41))</f>
        <v>0</v>
      </c>
      <c r="N29" s="75">
        <f>IF(N$9=EXIT_YEAR,-Debt_Repayment!G41+Balance_Sheet!O66,IF(N$9&gt;EXIT_YEAR,0,-Debt_Repayment!G41))</f>
        <v>0</v>
      </c>
      <c r="O29" s="75">
        <f>IF(O$9=EXIT_YEAR,-Debt_Repayment!H41+Balance_Sheet!P66,IF(O$9&gt;EXIT_YEAR,0,-Debt_Repayment!H41))</f>
        <v>0</v>
      </c>
      <c r="P29" s="75">
        <f>IF(P$9=EXIT_YEAR,-Debt_Repayment!I41+Balance_Sheet!Q66,IF(P$9&gt;EXIT_YEAR,0,-Debt_Repayment!I41))</f>
        <v>0</v>
      </c>
      <c r="Q29" s="75">
        <f>IF(Q$9=EXIT_YEAR,-Debt_Repayment!J41+Balance_Sheet!R66,IF(Q$9&gt;EXIT_YEAR,0,-Debt_Repayment!J41))</f>
        <v>0</v>
      </c>
      <c r="R29" s="75">
        <f>IF(R$9=EXIT_YEAR,-Debt_Repayment!K41+Balance_Sheet!S66,IF(R$9&gt;EXIT_YEAR,0,-Debt_Repayment!K41))</f>
        <v>0</v>
      </c>
      <c r="S29" s="75">
        <f>IF(S$9=EXIT_YEAR,-Debt_Repayment!L41+Balance_Sheet!T66,IF(S$9&gt;EXIT_YEAR,0,-Debt_Repayment!L41))</f>
        <v>0</v>
      </c>
      <c r="T29" s="21">
        <f>IF(T$9=EXIT_YEAR,-Debt_Repayment!M41+Balance_Sheet!U66,IF(T$9&gt;EXIT_YEAR,0,-Debt_Repayment!M41))</f>
        <v>0</v>
      </c>
    </row>
    <row r="30" spans="1:20" x14ac:dyDescent="0.2">
      <c r="A30" s="18" t="s">
        <v>291</v>
      </c>
      <c r="B30" s="16"/>
      <c r="C30" s="75">
        <f ca="1">C27*C28</f>
        <v>0</v>
      </c>
      <c r="D30" s="16"/>
      <c r="E30" s="16"/>
      <c r="F30" s="19"/>
      <c r="H30" s="18" t="str">
        <f>H18</f>
        <v>Interest</v>
      </c>
      <c r="I30" s="16"/>
      <c r="J30" s="16"/>
      <c r="K30" s="20">
        <f>IF(K$9&gt;EXIT_YEAR,0,Income_Statement!J50)</f>
        <v>0</v>
      </c>
      <c r="L30" s="20">
        <f ca="1">IF(L$9&gt;EXIT_YEAR,0,Income_Statement!K50)</f>
        <v>0</v>
      </c>
      <c r="M30" s="20">
        <f ca="1">IF(M$9&gt;EXIT_YEAR,0,Income_Statement!L50)</f>
        <v>0</v>
      </c>
      <c r="N30" s="20">
        <f>IF(N$9&gt;EXIT_YEAR,0,Income_Statement!M50)</f>
        <v>0</v>
      </c>
      <c r="O30" s="20">
        <f>IF(O$9&gt;EXIT_YEAR,0,Income_Statement!N50)</f>
        <v>0</v>
      </c>
      <c r="P30" s="20">
        <f>IF(P$9&gt;EXIT_YEAR,0,Income_Statement!O50)</f>
        <v>0</v>
      </c>
      <c r="Q30" s="20">
        <f>IF(Q$9&gt;EXIT_YEAR,0,Income_Statement!P50)</f>
        <v>0</v>
      </c>
      <c r="R30" s="20">
        <f>IF(R$9&gt;EXIT_YEAR,0,Income_Statement!Q50)</f>
        <v>0</v>
      </c>
      <c r="S30" s="20">
        <f>IF(S$9&gt;EXIT_YEAR,0,Income_Statement!R50)</f>
        <v>0</v>
      </c>
      <c r="T30" s="39">
        <f>IF(T$9&gt;EXIT_YEAR,0,Income_Statement!S50)</f>
        <v>0</v>
      </c>
    </row>
    <row r="31" spans="1:20" x14ac:dyDescent="0.2">
      <c r="A31" s="18"/>
      <c r="B31" s="16"/>
      <c r="C31" s="16"/>
      <c r="D31" s="16"/>
      <c r="E31" s="16"/>
      <c r="F31" s="19"/>
      <c r="H31" s="18" t="str">
        <f>H19</f>
        <v>Participation</v>
      </c>
      <c r="I31" s="16"/>
      <c r="J31" s="30"/>
      <c r="K31" s="58">
        <f t="shared" ref="K31:T31" si="7">IF(K$9=EXIT_YEAR,$F47,0)</f>
        <v>0</v>
      </c>
      <c r="L31" s="58">
        <f t="shared" si="7"/>
        <v>0</v>
      </c>
      <c r="M31" s="58">
        <f t="shared" ca="1" si="7"/>
        <v>0</v>
      </c>
      <c r="N31" s="58">
        <f t="shared" si="7"/>
        <v>0</v>
      </c>
      <c r="O31" s="58">
        <f t="shared" si="7"/>
        <v>0</v>
      </c>
      <c r="P31" s="58">
        <f t="shared" si="7"/>
        <v>0</v>
      </c>
      <c r="Q31" s="58">
        <f t="shared" si="7"/>
        <v>0</v>
      </c>
      <c r="R31" s="58">
        <f t="shared" si="7"/>
        <v>0</v>
      </c>
      <c r="S31" s="58">
        <f t="shared" si="7"/>
        <v>0</v>
      </c>
      <c r="T31" s="28">
        <f t="shared" si="7"/>
        <v>0</v>
      </c>
    </row>
    <row r="32" spans="1:20" ht="15.75" x14ac:dyDescent="0.25">
      <c r="A32" s="18" t="s">
        <v>293</v>
      </c>
      <c r="B32" s="16"/>
      <c r="C32" s="20">
        <f ca="1">IF(EXIT_YEAR&gt;0,OFFSET(Balance_Sheet!L12,0,EXIT_YEAR-Balance_Sheet!L8,1,1),0)</f>
        <v>0</v>
      </c>
      <c r="D32" s="16"/>
      <c r="E32" s="16"/>
      <c r="F32" s="19"/>
      <c r="H32" s="81" t="str">
        <f>H20</f>
        <v xml:space="preserve">IRR = </v>
      </c>
      <c r="I32" s="79" t="str">
        <f>IF(J29&lt;0,IRR(J32:T32,$F$8),"")</f>
        <v/>
      </c>
      <c r="J32" s="75">
        <f>SUM(J29:J31)</f>
        <v>0</v>
      </c>
      <c r="K32" s="75">
        <f ca="1">SUM(K29:K31)</f>
        <v>0</v>
      </c>
      <c r="L32" s="75">
        <f t="shared" ref="L32:T32" ca="1" si="8">SUM(L29:L31)</f>
        <v>0</v>
      </c>
      <c r="M32" s="75">
        <f t="shared" ca="1" si="8"/>
        <v>0</v>
      </c>
      <c r="N32" s="75">
        <f t="shared" si="8"/>
        <v>0</v>
      </c>
      <c r="O32" s="75">
        <f t="shared" si="8"/>
        <v>0</v>
      </c>
      <c r="P32" s="75">
        <f t="shared" si="8"/>
        <v>0</v>
      </c>
      <c r="Q32" s="75">
        <f t="shared" si="8"/>
        <v>0</v>
      </c>
      <c r="R32" s="75">
        <f t="shared" si="8"/>
        <v>0</v>
      </c>
      <c r="S32" s="75">
        <f t="shared" si="8"/>
        <v>0</v>
      </c>
      <c r="T32" s="21">
        <f t="shared" si="8"/>
        <v>0</v>
      </c>
    </row>
    <row r="33" spans="1:20" x14ac:dyDescent="0.2">
      <c r="A33" s="83" t="s">
        <v>292</v>
      </c>
      <c r="B33" s="16"/>
      <c r="C33" s="20">
        <f>-E43-E44-E45</f>
        <v>0</v>
      </c>
      <c r="D33" s="16"/>
      <c r="E33" s="16"/>
      <c r="F33" s="19"/>
      <c r="H33" s="18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9"/>
    </row>
    <row r="34" spans="1:20" ht="15.75" x14ac:dyDescent="0.25">
      <c r="A34" s="18"/>
      <c r="B34" s="16"/>
      <c r="C34" s="16"/>
      <c r="D34" s="16"/>
      <c r="E34" s="16"/>
      <c r="F34" s="19"/>
      <c r="H34" s="74" t="str">
        <f>A15&amp;" Returns"</f>
        <v>Other Long-Term Debt Returns</v>
      </c>
      <c r="I34" s="16"/>
      <c r="J34" s="20"/>
      <c r="K34" s="16"/>
      <c r="L34" s="16"/>
      <c r="M34" s="16"/>
      <c r="N34" s="16"/>
      <c r="O34" s="16"/>
      <c r="P34" s="16"/>
      <c r="Q34" s="16"/>
      <c r="R34" s="16"/>
      <c r="S34" s="16"/>
      <c r="T34" s="19"/>
    </row>
    <row r="35" spans="1:20" x14ac:dyDescent="0.2">
      <c r="A35" s="18" t="s">
        <v>294</v>
      </c>
      <c r="B35" s="16"/>
      <c r="C35" s="20">
        <f ca="1">IF(EXIT_YEAR&gt;0,-OFFSET(Balance_Sheet!L68,0,EXIT_YEAR-Balance_Sheet!L8,1,1),0)</f>
        <v>0</v>
      </c>
      <c r="D35" s="16"/>
      <c r="E35" s="16"/>
      <c r="F35" s="19"/>
      <c r="H35" s="18" t="str">
        <f>H29</f>
        <v>Investment</v>
      </c>
      <c r="I35" s="16"/>
      <c r="J35" s="75">
        <f>-C15</f>
        <v>0</v>
      </c>
      <c r="K35" s="75">
        <f ca="1">IF(K$9=EXIT_YEAR,-Debt_Repayment!D29+Balance_Sheet!L63,IF(K$9&gt;EXIT_YEAR,0,-Debt_Repayment!D29))</f>
        <v>0</v>
      </c>
      <c r="L35" s="75">
        <f ca="1">IF(L$9=EXIT_YEAR,-Debt_Repayment!E29+Balance_Sheet!M63,IF(L$9&gt;EXIT_YEAR,0,-Debt_Repayment!E29))</f>
        <v>0</v>
      </c>
      <c r="M35" s="75">
        <f ca="1">IF(M$9=EXIT_YEAR,-Debt_Repayment!F29+Balance_Sheet!N63,IF(M$9&gt;EXIT_YEAR,0,-Debt_Repayment!F29))</f>
        <v>0</v>
      </c>
      <c r="N35" s="75">
        <f>IF(N$9=EXIT_YEAR,-Debt_Repayment!G29+Balance_Sheet!O63,IF(N$9&gt;EXIT_YEAR,0,-Debt_Repayment!G29))</f>
        <v>0</v>
      </c>
      <c r="O35" s="75">
        <f>IF(O$9=EXIT_YEAR,-Debt_Repayment!H29+Balance_Sheet!P63,IF(O$9&gt;EXIT_YEAR,0,-Debt_Repayment!H29))</f>
        <v>0</v>
      </c>
      <c r="P35" s="75">
        <f>IF(P$9=EXIT_YEAR,-Debt_Repayment!I29+Balance_Sheet!Q63,IF(P$9&gt;EXIT_YEAR,0,-Debt_Repayment!I29))</f>
        <v>0</v>
      </c>
      <c r="Q35" s="75">
        <f>IF(Q$9=EXIT_YEAR,-Debt_Repayment!J29+Balance_Sheet!R63,IF(Q$9&gt;EXIT_YEAR,0,-Debt_Repayment!J29))</f>
        <v>0</v>
      </c>
      <c r="R35" s="75">
        <f>IF(R$9=EXIT_YEAR,-Debt_Repayment!K29+Balance_Sheet!S63,IF(R$9&gt;EXIT_YEAR,0,-Debt_Repayment!K29))</f>
        <v>0</v>
      </c>
      <c r="S35" s="75">
        <f>IF(S$9=EXIT_YEAR,-Debt_Repayment!L29+Balance_Sheet!T63,IF(S$9&gt;EXIT_YEAR,0,-Debt_Repayment!L29))</f>
        <v>0</v>
      </c>
      <c r="T35" s="21">
        <f>IF(T$9=EXIT_YEAR,-Debt_Repayment!M29+Balance_Sheet!U63,IF(T$9&gt;EXIT_YEAR,0,-Debt_Repayment!M29))</f>
        <v>0</v>
      </c>
    </row>
    <row r="36" spans="1:20" x14ac:dyDescent="0.2">
      <c r="A36" s="83" t="s">
        <v>248</v>
      </c>
      <c r="B36" s="16"/>
      <c r="C36" s="58">
        <f ca="1">IF(EXIT_YEAR&gt;0,-OFFSET(Balance_Sheet!L74,0,EXIT_YEAR-Balance_Sheet!L8,1,1),0)</f>
        <v>0</v>
      </c>
      <c r="D36" s="16"/>
      <c r="E36" s="16"/>
      <c r="F36" s="19"/>
      <c r="H36" s="18" t="str">
        <f>H30</f>
        <v>Interest</v>
      </c>
      <c r="I36" s="16"/>
      <c r="J36" s="16"/>
      <c r="K36" s="20">
        <f>IF(K$9&gt;EXIT_YEAR,0,Income_Statement!J47)</f>
        <v>0</v>
      </c>
      <c r="L36" s="20">
        <f ca="1">IF(L$9&gt;EXIT_YEAR,0,Income_Statement!K47)</f>
        <v>0</v>
      </c>
      <c r="M36" s="20">
        <f ca="1">IF(M$9&gt;EXIT_YEAR,0,Income_Statement!L47)</f>
        <v>0</v>
      </c>
      <c r="N36" s="20">
        <f>IF(N$9&gt;EXIT_YEAR,0,Income_Statement!M47)</f>
        <v>0</v>
      </c>
      <c r="O36" s="20">
        <f>IF(O$9&gt;EXIT_YEAR,0,Income_Statement!N47)</f>
        <v>0</v>
      </c>
      <c r="P36" s="20">
        <f>IF(P$9&gt;EXIT_YEAR,0,Income_Statement!O47)</f>
        <v>0</v>
      </c>
      <c r="Q36" s="20">
        <f>IF(Q$9&gt;EXIT_YEAR,0,Income_Statement!P47)</f>
        <v>0</v>
      </c>
      <c r="R36" s="20">
        <f>IF(R$9&gt;EXIT_YEAR,0,Income_Statement!Q47)</f>
        <v>0</v>
      </c>
      <c r="S36" s="20">
        <f>IF(S$9&gt;EXIT_YEAR,0,Income_Statement!R47)</f>
        <v>0</v>
      </c>
      <c r="T36" s="39">
        <f>IF(T$9&gt;EXIT_YEAR,0,Income_Statement!S47)</f>
        <v>0</v>
      </c>
    </row>
    <row r="37" spans="1:20" x14ac:dyDescent="0.2">
      <c r="A37" s="18"/>
      <c r="B37" s="16"/>
      <c r="C37" s="16"/>
      <c r="D37" s="16"/>
      <c r="E37" s="16"/>
      <c r="F37" s="19"/>
      <c r="H37" s="18" t="str">
        <f>H31</f>
        <v>Participation</v>
      </c>
      <c r="I37" s="16"/>
      <c r="J37" s="30"/>
      <c r="K37" s="58">
        <f>IF(K$9=EXIT_YEAR,$F43,0)</f>
        <v>0</v>
      </c>
      <c r="L37" s="58">
        <f t="shared" ref="L37:T37" si="9">IF(L$9=EXIT_YEAR,$F43,0)</f>
        <v>0</v>
      </c>
      <c r="M37" s="58">
        <f t="shared" ca="1" si="9"/>
        <v>0</v>
      </c>
      <c r="N37" s="58">
        <f t="shared" si="9"/>
        <v>0</v>
      </c>
      <c r="O37" s="58">
        <f t="shared" si="9"/>
        <v>0</v>
      </c>
      <c r="P37" s="58">
        <f t="shared" si="9"/>
        <v>0</v>
      </c>
      <c r="Q37" s="58">
        <f t="shared" si="9"/>
        <v>0</v>
      </c>
      <c r="R37" s="58">
        <f t="shared" si="9"/>
        <v>0</v>
      </c>
      <c r="S37" s="58">
        <f t="shared" si="9"/>
        <v>0</v>
      </c>
      <c r="T37" s="28">
        <f t="shared" si="9"/>
        <v>0</v>
      </c>
    </row>
    <row r="38" spans="1:20" ht="16.5" thickBot="1" x14ac:dyDescent="0.3">
      <c r="A38" s="74" t="s">
        <v>295</v>
      </c>
      <c r="B38" s="16"/>
      <c r="C38" s="61">
        <f ca="1">C30+C32+C33+C35+C36</f>
        <v>0</v>
      </c>
      <c r="D38" s="16"/>
      <c r="E38" s="16"/>
      <c r="F38" s="19"/>
      <c r="H38" s="81" t="str">
        <f>H32</f>
        <v xml:space="preserve">IRR = </v>
      </c>
      <c r="I38" s="79" t="str">
        <f>IF(J35&lt;0,IRR(J38:T38,$F$8),"")</f>
        <v/>
      </c>
      <c r="J38" s="75">
        <f t="shared" ref="J38:T38" si="10">SUM(J35:J37)</f>
        <v>0</v>
      </c>
      <c r="K38" s="75">
        <f t="shared" ca="1" si="10"/>
        <v>0</v>
      </c>
      <c r="L38" s="75">
        <f t="shared" ca="1" si="10"/>
        <v>0</v>
      </c>
      <c r="M38" s="75">
        <f t="shared" ca="1" si="10"/>
        <v>0</v>
      </c>
      <c r="N38" s="75">
        <f t="shared" si="10"/>
        <v>0</v>
      </c>
      <c r="O38" s="75">
        <f t="shared" si="10"/>
        <v>0</v>
      </c>
      <c r="P38" s="75">
        <f t="shared" si="10"/>
        <v>0</v>
      </c>
      <c r="Q38" s="75">
        <f t="shared" si="10"/>
        <v>0</v>
      </c>
      <c r="R38" s="75">
        <f t="shared" si="10"/>
        <v>0</v>
      </c>
      <c r="S38" s="75">
        <f t="shared" si="10"/>
        <v>0</v>
      </c>
      <c r="T38" s="21">
        <f t="shared" si="10"/>
        <v>0</v>
      </c>
    </row>
    <row r="39" spans="1:20" ht="15.75" thickTop="1" x14ac:dyDescent="0.2">
      <c r="A39" s="18"/>
      <c r="B39" s="16"/>
      <c r="C39" s="16"/>
      <c r="D39" s="16"/>
      <c r="E39" s="16"/>
      <c r="F39" s="19"/>
      <c r="H39" s="18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9"/>
    </row>
    <row r="40" spans="1:20" ht="15.75" x14ac:dyDescent="0.25">
      <c r="A40" s="18"/>
      <c r="B40" s="16"/>
      <c r="C40" s="16"/>
      <c r="D40" s="16"/>
      <c r="E40" s="16"/>
      <c r="F40" s="19"/>
      <c r="H40" s="74" t="str">
        <f>A12&amp;" Returns"</f>
        <v>Sponsor Equity Returns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9"/>
    </row>
    <row r="41" spans="1:20" ht="15.75" x14ac:dyDescent="0.25">
      <c r="A41" s="85" t="s">
        <v>296</v>
      </c>
      <c r="B41" s="16"/>
      <c r="C41" s="16"/>
      <c r="D41" s="26" t="s">
        <v>297</v>
      </c>
      <c r="E41" s="26" t="s">
        <v>298</v>
      </c>
      <c r="F41" s="27" t="s">
        <v>300</v>
      </c>
      <c r="H41" s="18" t="str">
        <f>H29</f>
        <v>Investment</v>
      </c>
      <c r="I41" s="16"/>
      <c r="J41" s="75">
        <f>-C12</f>
        <v>0</v>
      </c>
      <c r="K41" s="23">
        <v>0</v>
      </c>
      <c r="L41" s="23">
        <v>0</v>
      </c>
      <c r="M41" s="23">
        <v>0</v>
      </c>
      <c r="N41" s="23">
        <v>0</v>
      </c>
      <c r="O41" s="23">
        <v>0</v>
      </c>
      <c r="P41" s="23">
        <v>0</v>
      </c>
      <c r="Q41" s="23">
        <v>0</v>
      </c>
      <c r="R41" s="23">
        <v>0</v>
      </c>
      <c r="S41" s="23">
        <v>0</v>
      </c>
      <c r="T41" s="86">
        <v>0</v>
      </c>
    </row>
    <row r="42" spans="1:20" x14ac:dyDescent="0.2">
      <c r="A42" s="18"/>
      <c r="B42" s="16"/>
      <c r="C42" s="49" t="s">
        <v>28</v>
      </c>
      <c r="D42" s="49" t="s">
        <v>296</v>
      </c>
      <c r="E42" s="49" t="s">
        <v>299</v>
      </c>
      <c r="F42" s="50" t="s">
        <v>296</v>
      </c>
      <c r="H42" s="18" t="str">
        <f>H31</f>
        <v>Participation</v>
      </c>
      <c r="I42" s="16"/>
      <c r="J42" s="30"/>
      <c r="K42" s="58">
        <f t="shared" ref="K42:T42" si="11">IF(K$9=EXIT_YEAR,$F48,0)</f>
        <v>0</v>
      </c>
      <c r="L42" s="58">
        <f t="shared" si="11"/>
        <v>0</v>
      </c>
      <c r="M42" s="58">
        <f t="shared" ca="1" si="11"/>
        <v>0</v>
      </c>
      <c r="N42" s="58">
        <f t="shared" si="11"/>
        <v>0</v>
      </c>
      <c r="O42" s="58">
        <f t="shared" si="11"/>
        <v>0</v>
      </c>
      <c r="P42" s="58">
        <f t="shared" si="11"/>
        <v>0</v>
      </c>
      <c r="Q42" s="58">
        <f t="shared" si="11"/>
        <v>0</v>
      </c>
      <c r="R42" s="58">
        <f t="shared" si="11"/>
        <v>0</v>
      </c>
      <c r="S42" s="58">
        <f t="shared" si="11"/>
        <v>0</v>
      </c>
      <c r="T42" s="28">
        <f t="shared" si="11"/>
        <v>0</v>
      </c>
    </row>
    <row r="43" spans="1:20" ht="15.75" x14ac:dyDescent="0.25">
      <c r="A43" s="18" t="str">
        <f>A15&amp;" Share"</f>
        <v>Other Long-Term Debt Share</v>
      </c>
      <c r="B43" s="16"/>
      <c r="C43" s="40">
        <f>F15</f>
        <v>0</v>
      </c>
      <c r="D43" s="75">
        <f ca="1">C38*C43</f>
        <v>0</v>
      </c>
      <c r="E43" s="75">
        <f>IF(SUM($F$12:$F$14)=0,0,-(SUM($C$12:$C$14)/SUM($F$12:$F$14))*F15)</f>
        <v>0</v>
      </c>
      <c r="F43" s="21">
        <f ca="1">SUM(D43:E43)</f>
        <v>0</v>
      </c>
      <c r="H43" s="81" t="str">
        <f>H32</f>
        <v xml:space="preserve">IRR = </v>
      </c>
      <c r="I43" s="79" t="str">
        <f>IF(J41&lt;0,IRR(J43:T43,$F$8),"")</f>
        <v/>
      </c>
      <c r="J43" s="75">
        <f>SUM(J41:J42)</f>
        <v>0</v>
      </c>
      <c r="K43" s="75">
        <f t="shared" ref="K43:T43" si="12">SUM(K41:K42)</f>
        <v>0</v>
      </c>
      <c r="L43" s="75">
        <f t="shared" si="12"/>
        <v>0</v>
      </c>
      <c r="M43" s="75">
        <f t="shared" ca="1" si="12"/>
        <v>0</v>
      </c>
      <c r="N43" s="75">
        <f t="shared" si="12"/>
        <v>0</v>
      </c>
      <c r="O43" s="75">
        <f t="shared" si="12"/>
        <v>0</v>
      </c>
      <c r="P43" s="75">
        <f t="shared" si="12"/>
        <v>0</v>
      </c>
      <c r="Q43" s="75">
        <f t="shared" si="12"/>
        <v>0</v>
      </c>
      <c r="R43" s="75">
        <f t="shared" si="12"/>
        <v>0</v>
      </c>
      <c r="S43" s="75">
        <f t="shared" si="12"/>
        <v>0</v>
      </c>
      <c r="T43" s="21">
        <f t="shared" si="12"/>
        <v>0</v>
      </c>
    </row>
    <row r="44" spans="1:20" x14ac:dyDescent="0.2">
      <c r="A44" s="18" t="str">
        <f>A16&amp;" Share"</f>
        <v>Senior Subordinated Debt Share</v>
      </c>
      <c r="B44" s="16"/>
      <c r="C44" s="40">
        <f>F16</f>
        <v>0</v>
      </c>
      <c r="D44" s="20">
        <f ca="1">C38*C44</f>
        <v>0</v>
      </c>
      <c r="E44" s="20">
        <f>IF(SUM($F$12:$F$14)=0,0,-(SUM($C$12:$C$14)/SUM($F$12:$F$14))*F16)</f>
        <v>0</v>
      </c>
      <c r="F44" s="39">
        <f ca="1">SUM(D44:E44)</f>
        <v>0</v>
      </c>
      <c r="H44" s="18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9"/>
    </row>
    <row r="45" spans="1:20" ht="15.75" x14ac:dyDescent="0.25">
      <c r="A45" s="18" t="str">
        <f>A17&amp;" Share"</f>
        <v>Junior Subordinated Debt Share</v>
      </c>
      <c r="B45" s="16"/>
      <c r="C45" s="40">
        <f>F17</f>
        <v>0</v>
      </c>
      <c r="D45" s="20">
        <f ca="1">C38*C45</f>
        <v>0</v>
      </c>
      <c r="E45" s="20">
        <f>IF(SUM($F$12:$F$14)=0,0,-(SUM($C$12:$C$14)/SUM($F$12:$F$14))*F17)</f>
        <v>0</v>
      </c>
      <c r="F45" s="39">
        <f ca="1">SUM(D45:E45)</f>
        <v>0</v>
      </c>
      <c r="H45" s="74" t="str">
        <f>A13&amp;" Returns"</f>
        <v>Management Equity Returns</v>
      </c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9"/>
    </row>
    <row r="46" spans="1:20" x14ac:dyDescent="0.2">
      <c r="A46" s="18" t="str">
        <f>A18&amp;" Share"</f>
        <v>Preferred Stock Share</v>
      </c>
      <c r="B46" s="16"/>
      <c r="C46" s="40">
        <f>F18</f>
        <v>0</v>
      </c>
      <c r="D46" s="16"/>
      <c r="E46" s="16"/>
      <c r="F46" s="39">
        <f ca="1">$C$38*C46</f>
        <v>0</v>
      </c>
      <c r="H46" s="18" t="str">
        <f>H41</f>
        <v>Investment</v>
      </c>
      <c r="I46" s="16"/>
      <c r="J46" s="75">
        <f>-C13</f>
        <v>0</v>
      </c>
      <c r="K46" s="23">
        <v>0</v>
      </c>
      <c r="L46" s="23">
        <v>0</v>
      </c>
      <c r="M46" s="23">
        <v>0</v>
      </c>
      <c r="N46" s="23">
        <v>0</v>
      </c>
      <c r="O46" s="23">
        <v>0</v>
      </c>
      <c r="P46" s="23">
        <v>0</v>
      </c>
      <c r="Q46" s="23">
        <v>0</v>
      </c>
      <c r="R46" s="23">
        <v>0</v>
      </c>
      <c r="S46" s="23">
        <v>0</v>
      </c>
      <c r="T46" s="86">
        <v>0</v>
      </c>
    </row>
    <row r="47" spans="1:20" x14ac:dyDescent="0.2">
      <c r="A47" s="18" t="str">
        <f>A19&amp;" Share"</f>
        <v>Seller Note Share</v>
      </c>
      <c r="B47" s="16"/>
      <c r="C47" s="40">
        <f>F19</f>
        <v>0</v>
      </c>
      <c r="D47" s="16"/>
      <c r="E47" s="16"/>
      <c r="F47" s="39">
        <f ca="1">$C$38*C47</f>
        <v>0</v>
      </c>
      <c r="H47" s="18" t="str">
        <f>H42</f>
        <v>Participation</v>
      </c>
      <c r="I47" s="16"/>
      <c r="J47" s="30"/>
      <c r="K47" s="58">
        <f t="shared" ref="K47:T47" si="13">IF(K$9=EXIT_YEAR,$F49,0)</f>
        <v>0</v>
      </c>
      <c r="L47" s="58">
        <f t="shared" si="13"/>
        <v>0</v>
      </c>
      <c r="M47" s="58">
        <f t="shared" ca="1" si="13"/>
        <v>0</v>
      </c>
      <c r="N47" s="58">
        <f t="shared" si="13"/>
        <v>0</v>
      </c>
      <c r="O47" s="58">
        <f t="shared" si="13"/>
        <v>0</v>
      </c>
      <c r="P47" s="58">
        <f t="shared" si="13"/>
        <v>0</v>
      </c>
      <c r="Q47" s="58">
        <f t="shared" si="13"/>
        <v>0</v>
      </c>
      <c r="R47" s="58">
        <f t="shared" si="13"/>
        <v>0</v>
      </c>
      <c r="S47" s="58">
        <f t="shared" si="13"/>
        <v>0</v>
      </c>
      <c r="T47" s="28">
        <f t="shared" si="13"/>
        <v>0</v>
      </c>
    </row>
    <row r="48" spans="1:20" x14ac:dyDescent="0.2">
      <c r="A48" s="18" t="str">
        <f>A12&amp;" Share"</f>
        <v>Sponsor Equity Share</v>
      </c>
      <c r="B48" s="16"/>
      <c r="C48" s="40">
        <f>F12</f>
        <v>0</v>
      </c>
      <c r="D48" s="16"/>
      <c r="E48" s="16"/>
      <c r="F48" s="39">
        <f ca="1">$C$38*C48</f>
        <v>0</v>
      </c>
      <c r="H48" s="18"/>
      <c r="I48" s="16"/>
      <c r="J48" s="16"/>
      <c r="K48" s="20"/>
      <c r="L48" s="20"/>
      <c r="M48" s="20"/>
      <c r="N48" s="20"/>
      <c r="O48" s="20"/>
      <c r="P48" s="20"/>
      <c r="Q48" s="20"/>
      <c r="R48" s="20"/>
      <c r="S48" s="20"/>
      <c r="T48" s="39"/>
    </row>
    <row r="49" spans="1:20" ht="15.75" x14ac:dyDescent="0.25">
      <c r="A49" s="18" t="str">
        <f>A13&amp;" Share"</f>
        <v>Management Equity Share</v>
      </c>
      <c r="B49" s="16"/>
      <c r="C49" s="40">
        <f>F13+F20</f>
        <v>0</v>
      </c>
      <c r="D49" s="16"/>
      <c r="E49" s="16"/>
      <c r="F49" s="39">
        <f ca="1">$C$38*C49</f>
        <v>0</v>
      </c>
      <c r="H49" s="81" t="str">
        <f>H43</f>
        <v xml:space="preserve">IRR = </v>
      </c>
      <c r="I49" s="79" t="str">
        <f>IF(J46&lt;0,IRR(J49:T49,$F$8),"")</f>
        <v/>
      </c>
      <c r="J49" s="75">
        <f t="shared" ref="J49:T49" si="14">SUM(J46:J47)</f>
        <v>0</v>
      </c>
      <c r="K49" s="75">
        <f t="shared" si="14"/>
        <v>0</v>
      </c>
      <c r="L49" s="75">
        <f t="shared" si="14"/>
        <v>0</v>
      </c>
      <c r="M49" s="75">
        <f t="shared" ca="1" si="14"/>
        <v>0</v>
      </c>
      <c r="N49" s="75">
        <f t="shared" si="14"/>
        <v>0</v>
      </c>
      <c r="O49" s="75">
        <f t="shared" si="14"/>
        <v>0</v>
      </c>
      <c r="P49" s="75">
        <f t="shared" si="14"/>
        <v>0</v>
      </c>
      <c r="Q49" s="75">
        <f t="shared" si="14"/>
        <v>0</v>
      </c>
      <c r="R49" s="75">
        <f t="shared" si="14"/>
        <v>0</v>
      </c>
      <c r="S49" s="75">
        <f t="shared" si="14"/>
        <v>0</v>
      </c>
      <c r="T49" s="21">
        <f t="shared" si="14"/>
        <v>0</v>
      </c>
    </row>
    <row r="50" spans="1:20" x14ac:dyDescent="0.2">
      <c r="A50" s="18" t="str">
        <f>A14&amp;" Share"</f>
        <v>New Equity Share</v>
      </c>
      <c r="B50" s="16"/>
      <c r="C50" s="41">
        <f>F14</f>
        <v>0</v>
      </c>
      <c r="D50" s="16"/>
      <c r="E50" s="16"/>
      <c r="F50" s="39">
        <f ca="1">$C$38*C50</f>
        <v>0</v>
      </c>
      <c r="H50" s="18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9"/>
    </row>
    <row r="51" spans="1:20" ht="15.75" x14ac:dyDescent="0.25">
      <c r="A51" s="18"/>
      <c r="B51" s="16"/>
      <c r="C51" s="16"/>
      <c r="D51" s="16"/>
      <c r="E51" s="16"/>
      <c r="F51" s="19"/>
      <c r="H51" s="74" t="str">
        <f>A14&amp;" Returns"</f>
        <v>New Equity Returns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9"/>
    </row>
    <row r="52" spans="1:20" ht="16.5" thickBot="1" x14ac:dyDescent="0.3">
      <c r="A52" s="18"/>
      <c r="B52" s="8" t="s">
        <v>301</v>
      </c>
      <c r="C52" s="87">
        <f>SUM(C44:C50)</f>
        <v>0</v>
      </c>
      <c r="D52" s="16"/>
      <c r="E52" s="16"/>
      <c r="F52" s="19"/>
      <c r="H52" s="18" t="str">
        <f>H46</f>
        <v>Investment</v>
      </c>
      <c r="I52" s="16"/>
      <c r="J52" s="75">
        <f>-C14</f>
        <v>0</v>
      </c>
      <c r="K52" s="75">
        <f>IF(K$9=EXIT_YEAR,-(Balance_Sheet!L73-Balance_Sheet!K73),0)</f>
        <v>0</v>
      </c>
      <c r="L52" s="75">
        <f>IF(L$9=EXIT_YEAR,-(Balance_Sheet!M73-Balance_Sheet!L73),0)</f>
        <v>0</v>
      </c>
      <c r="M52" s="75">
        <f>IF(M$9=EXIT_YEAR,-(Balance_Sheet!N73-Balance_Sheet!M73),0)</f>
        <v>0</v>
      </c>
      <c r="N52" s="75">
        <f>IF(N$9=EXIT_YEAR,-(Balance_Sheet!O73-Balance_Sheet!N73),0)</f>
        <v>0</v>
      </c>
      <c r="O52" s="75">
        <f>IF(O$9=EXIT_YEAR,-(Balance_Sheet!P73-Balance_Sheet!O73),0)</f>
        <v>0</v>
      </c>
      <c r="P52" s="75">
        <f>IF(P$9=EXIT_YEAR,-(Balance_Sheet!Q73-Balance_Sheet!P73),0)</f>
        <v>0</v>
      </c>
      <c r="Q52" s="75">
        <f>IF(Q$9=EXIT_YEAR,-(Balance_Sheet!R73-Balance_Sheet!Q73),0)</f>
        <v>0</v>
      </c>
      <c r="R52" s="75">
        <f>IF(R$9=EXIT_YEAR,-(Balance_Sheet!S73-Balance_Sheet!R73),0)</f>
        <v>0</v>
      </c>
      <c r="S52" s="75">
        <f>IF(S$9=EXIT_YEAR,-(Balance_Sheet!T73-Balance_Sheet!S73),0)</f>
        <v>0</v>
      </c>
      <c r="T52" s="21">
        <f>IF(T$9=EXIT_YEAR,-(Balance_Sheet!U73-Balance_Sheet!T73),0)</f>
        <v>0</v>
      </c>
    </row>
    <row r="53" spans="1:20" ht="15.75" thickTop="1" x14ac:dyDescent="0.2">
      <c r="A53" s="36"/>
      <c r="B53" s="30"/>
      <c r="C53" s="30"/>
      <c r="D53" s="30"/>
      <c r="E53" s="30"/>
      <c r="F53" s="37"/>
      <c r="H53" s="18" t="str">
        <f>H47</f>
        <v>Participation</v>
      </c>
      <c r="I53" s="16"/>
      <c r="J53" s="30"/>
      <c r="K53" s="58">
        <f t="shared" ref="K53:T53" si="15">IF(K$9=EXIT_YEAR,$F50,0)</f>
        <v>0</v>
      </c>
      <c r="L53" s="58">
        <f t="shared" si="15"/>
        <v>0</v>
      </c>
      <c r="M53" s="58">
        <f t="shared" ca="1" si="15"/>
        <v>0</v>
      </c>
      <c r="N53" s="58">
        <f t="shared" si="15"/>
        <v>0</v>
      </c>
      <c r="O53" s="58">
        <f t="shared" si="15"/>
        <v>0</v>
      </c>
      <c r="P53" s="58">
        <f t="shared" si="15"/>
        <v>0</v>
      </c>
      <c r="Q53" s="58">
        <f t="shared" si="15"/>
        <v>0</v>
      </c>
      <c r="R53" s="58">
        <f t="shared" si="15"/>
        <v>0</v>
      </c>
      <c r="S53" s="58">
        <f t="shared" si="15"/>
        <v>0</v>
      </c>
      <c r="T53" s="28">
        <f t="shared" si="15"/>
        <v>0</v>
      </c>
    </row>
    <row r="54" spans="1:20" ht="15.75" x14ac:dyDescent="0.25">
      <c r="H54" s="81" t="str">
        <f>H49</f>
        <v xml:space="preserve">IRR = </v>
      </c>
      <c r="I54" s="79" t="str">
        <f>IF(J52&lt;0,IRR(J54:T54,$F$8),"")</f>
        <v/>
      </c>
      <c r="J54" s="75">
        <f t="shared" ref="J54:T54" si="16">SUM(J52:J53)</f>
        <v>0</v>
      </c>
      <c r="K54" s="75">
        <f t="shared" si="16"/>
        <v>0</v>
      </c>
      <c r="L54" s="75">
        <f t="shared" si="16"/>
        <v>0</v>
      </c>
      <c r="M54" s="75">
        <f t="shared" ca="1" si="16"/>
        <v>0</v>
      </c>
      <c r="N54" s="75">
        <f t="shared" si="16"/>
        <v>0</v>
      </c>
      <c r="O54" s="75">
        <f t="shared" si="16"/>
        <v>0</v>
      </c>
      <c r="P54" s="75">
        <f t="shared" si="16"/>
        <v>0</v>
      </c>
      <c r="Q54" s="75">
        <f t="shared" si="16"/>
        <v>0</v>
      </c>
      <c r="R54" s="75">
        <f t="shared" si="16"/>
        <v>0</v>
      </c>
      <c r="S54" s="75">
        <f t="shared" si="16"/>
        <v>0</v>
      </c>
      <c r="T54" s="21">
        <f t="shared" si="16"/>
        <v>0</v>
      </c>
    </row>
    <row r="55" spans="1:20" x14ac:dyDescent="0.2">
      <c r="H55" s="36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7"/>
    </row>
  </sheetData>
  <mergeCells count="3">
    <mergeCell ref="D10:F10"/>
    <mergeCell ref="A2:T2"/>
    <mergeCell ref="A3:T3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13</vt:i4>
      </vt:variant>
    </vt:vector>
  </HeadingPairs>
  <TitlesOfParts>
    <vt:vector size="31" baseType="lpstr">
      <vt:lpstr>Sources_Uses</vt:lpstr>
      <vt:lpstr>Balance_Sheet</vt:lpstr>
      <vt:lpstr>Income_Statement</vt:lpstr>
      <vt:lpstr>Cash_Flow</vt:lpstr>
      <vt:lpstr>Debt_Repayment</vt:lpstr>
      <vt:lpstr>Book_Depreciation</vt:lpstr>
      <vt:lpstr>Tax_Depreciation</vt:lpstr>
      <vt:lpstr>Ratio_Analysis</vt:lpstr>
      <vt:lpstr>WC_BS_Assumptions</vt:lpstr>
      <vt:lpstr>Inc_Stmt_Assumptions</vt:lpstr>
      <vt:lpstr>Performance_Assumptions</vt:lpstr>
      <vt:lpstr>Asset_Sales</vt:lpstr>
      <vt:lpstr>Capital_Structure</vt:lpstr>
      <vt:lpstr>Income_Tax_Calc</vt:lpstr>
      <vt:lpstr>Free_Cash_Flow_Summary</vt:lpstr>
      <vt:lpstr>DCF_Analysis</vt:lpstr>
      <vt:lpstr>WACC_Page</vt:lpstr>
      <vt:lpstr>Returns_Calculation</vt:lpstr>
      <vt:lpstr>Case</vt:lpstr>
      <vt:lpstr>EXIT_YEAR</vt:lpstr>
      <vt:lpstr>Balance_Sheet!Print_Area</vt:lpstr>
      <vt:lpstr>Book_Depreciation!Print_Area</vt:lpstr>
      <vt:lpstr>Debt_Repayment!Print_Area</vt:lpstr>
      <vt:lpstr>Inc_Stmt_Assumptions!Print_Area</vt:lpstr>
      <vt:lpstr>Income_Statement!Print_Area</vt:lpstr>
      <vt:lpstr>Income_Tax_Calc!Print_Area</vt:lpstr>
      <vt:lpstr>Performance_Assumptions!Print_Area</vt:lpstr>
      <vt:lpstr>Sources_Uses!Print_Area</vt:lpstr>
      <vt:lpstr>Tax_Depreciation!Print_Area</vt:lpstr>
      <vt:lpstr>WACC_Page!Print_Area</vt:lpstr>
      <vt:lpstr>WC_BS_Assumptions!Print_Area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Harman Arora</dc:creator>
  <cp:lastModifiedBy>admin</cp:lastModifiedBy>
  <cp:lastPrinted>1999-08-04T12:27:04Z</cp:lastPrinted>
  <dcterms:created xsi:type="dcterms:W3CDTF">1999-08-01T04:13:57Z</dcterms:created>
  <dcterms:modified xsi:type="dcterms:W3CDTF">2018-08-01T16:36:24Z</dcterms:modified>
</cp:coreProperties>
</file>
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0325" codeName="{A93C3448-2578-E12B-C58C-25EFAD1D314E}"/>
  <workbookPr codeName="ThisWorkbook"/>
  <mc:AlternateContent xmlns:mc="http://schemas.openxmlformats.org/markup-compatibility/2006">
    <mc:Choice Requires="x15">
      <x15ac:absPath xmlns:x15ac="http://schemas.microsoft.com/office/spreadsheetml/2010/11/ac" url="C:\Users\admin\Desktop\"/>
    </mc:Choice>
  </mc:AlternateContent>
  <xr:revisionPtr revIDLastSave="0" documentId="8_{745BFD86-9F32-4E25-8C13-152D6E8F54B5}" xr6:coauthVersionLast="34" xr6:coauthVersionMax="34" xr10:uidLastSave="{00000000-0000-0000-0000-000000000000}"/>
  <bookViews>
    <workbookView xWindow="0" yWindow="0" windowWidth="20490" windowHeight="8415" activeTab="1"/>
  </bookViews>
  <sheets>
    <sheet name="Model" sheetId="1" r:id="rId1"/>
    <sheet name="MCsim" sheetId="3" r:id="rId2"/>
  </sheets>
  <definedNames>
    <definedName name="_xlnm.Print_Area" localSheetId="0">Model!$A$1:$J$62</definedName>
    <definedName name="valuevx">42.314159</definedName>
  </definedNames>
  <calcPr calcId="162913"/>
</workbook>
</file>

<file path=xl/calcChain.xml><?xml version="1.0" encoding="utf-8"?>
<calcChain xmlns="http://schemas.openxmlformats.org/spreadsheetml/2006/main">
  <c r="F13" i="1" l="1"/>
  <c r="G13" i="1"/>
  <c r="C2" i="3"/>
  <c r="D2" i="3"/>
  <c r="B2" i="3"/>
  <c r="E2" i="3"/>
  <c r="C3" i="3"/>
  <c r="D3" i="3"/>
  <c r="B3" i="3"/>
  <c r="E3" i="3"/>
  <c r="C4" i="3"/>
  <c r="D4" i="3"/>
  <c r="B4" i="3"/>
  <c r="E4" i="3"/>
  <c r="C5" i="3"/>
  <c r="D5" i="3"/>
  <c r="B5" i="3"/>
  <c r="E5" i="3"/>
  <c r="C6" i="3"/>
  <c r="D6" i="3"/>
  <c r="B6" i="3"/>
  <c r="E6" i="3"/>
  <c r="C7" i="3"/>
  <c r="D7" i="3"/>
  <c r="B7" i="3"/>
  <c r="E7" i="3"/>
  <c r="A8" i="3"/>
  <c r="C8" i="3"/>
  <c r="D8" i="3"/>
  <c r="B8" i="3"/>
  <c r="E8" i="3"/>
  <c r="C9" i="3"/>
  <c r="D9" i="3"/>
  <c r="B9" i="3"/>
  <c r="E9" i="3"/>
  <c r="C10" i="3"/>
  <c r="D10" i="3"/>
  <c r="B10" i="3"/>
  <c r="E10" i="3"/>
  <c r="C11" i="3"/>
  <c r="D11" i="3"/>
  <c r="B11" i="3"/>
  <c r="E11" i="3"/>
  <c r="C12" i="3"/>
  <c r="D12" i="3"/>
  <c r="B12" i="3"/>
  <c r="E12" i="3"/>
  <c r="C13" i="3"/>
  <c r="D13" i="3"/>
  <c r="B13" i="3"/>
  <c r="E13" i="3"/>
  <c r="C14" i="3"/>
  <c r="D14" i="3"/>
  <c r="B14" i="3"/>
  <c r="E14" i="3"/>
  <c r="C15" i="3"/>
  <c r="D15" i="3"/>
  <c r="B15" i="3"/>
  <c r="E15" i="3"/>
  <c r="C16" i="3"/>
  <c r="D16" i="3"/>
  <c r="B16" i="3"/>
  <c r="E16" i="3"/>
  <c r="C17" i="3"/>
  <c r="D17" i="3"/>
  <c r="B17" i="3"/>
  <c r="E17" i="3"/>
  <c r="A18" i="3"/>
  <c r="C18" i="3"/>
  <c r="D18" i="3"/>
  <c r="B18" i="3"/>
  <c r="E18" i="3"/>
  <c r="C19" i="3"/>
  <c r="D19" i="3"/>
  <c r="B19" i="3"/>
  <c r="E19" i="3"/>
  <c r="C20" i="3"/>
  <c r="D20" i="3"/>
  <c r="B20" i="3"/>
  <c r="E20" i="3"/>
  <c r="C21" i="3"/>
  <c r="D21" i="3"/>
  <c r="B21" i="3"/>
  <c r="E21" i="3"/>
  <c r="C22" i="3"/>
  <c r="D22" i="3"/>
  <c r="B22" i="3"/>
  <c r="E22" i="3"/>
  <c r="C23" i="3"/>
  <c r="D23" i="3"/>
  <c r="B23" i="3"/>
  <c r="E23" i="3"/>
  <c r="A24" i="3"/>
  <c r="C24" i="3"/>
  <c r="D24" i="3"/>
  <c r="B24" i="3"/>
  <c r="E24" i="3"/>
  <c r="C25" i="3"/>
  <c r="D25" i="3"/>
  <c r="B25" i="3"/>
  <c r="E25" i="3"/>
  <c r="C26" i="3"/>
  <c r="D26" i="3"/>
  <c r="B26" i="3"/>
  <c r="E26" i="3"/>
  <c r="C27" i="3"/>
  <c r="D27" i="3"/>
  <c r="B27" i="3"/>
  <c r="E27" i="3"/>
  <c r="A28" i="3"/>
  <c r="C28" i="3"/>
  <c r="D28" i="3"/>
  <c r="B28" i="3"/>
  <c r="E28" i="3"/>
  <c r="C29" i="3"/>
  <c r="D29" i="3"/>
  <c r="B29" i="3"/>
  <c r="E29" i="3"/>
  <c r="C30" i="3"/>
  <c r="D30" i="3"/>
  <c r="B30" i="3"/>
  <c r="E30" i="3"/>
  <c r="C31" i="3"/>
  <c r="D31" i="3"/>
  <c r="B31" i="3"/>
  <c r="E31" i="3"/>
  <c r="C32" i="3"/>
  <c r="D32" i="3"/>
  <c r="B32" i="3"/>
  <c r="E32" i="3"/>
  <c r="C33" i="3"/>
  <c r="D33" i="3"/>
  <c r="B33" i="3"/>
  <c r="E33" i="3"/>
  <c r="C34" i="3"/>
  <c r="D34" i="3"/>
  <c r="B34" i="3"/>
  <c r="E34" i="3"/>
  <c r="C35" i="3"/>
  <c r="D35" i="3"/>
  <c r="B35" i="3"/>
  <c r="E35" i="3"/>
  <c r="C36" i="3"/>
  <c r="D36" i="3"/>
  <c r="B36" i="3"/>
  <c r="E36" i="3"/>
  <c r="C37" i="3"/>
  <c r="D37" i="3"/>
  <c r="B37" i="3"/>
  <c r="E37" i="3"/>
  <c r="C38" i="3"/>
  <c r="D38" i="3"/>
  <c r="B38" i="3"/>
  <c r="E38" i="3"/>
  <c r="C39" i="3"/>
  <c r="D39" i="3"/>
  <c r="B39" i="3"/>
  <c r="E39" i="3"/>
  <c r="C40" i="3"/>
  <c r="D40" i="3"/>
  <c r="B40" i="3"/>
  <c r="E40" i="3"/>
  <c r="C41" i="3"/>
  <c r="D41" i="3"/>
  <c r="B41" i="3"/>
  <c r="E41" i="3"/>
  <c r="C42" i="3"/>
  <c r="D42" i="3"/>
  <c r="B42" i="3"/>
  <c r="E42" i="3"/>
  <c r="C43" i="3"/>
  <c r="D43" i="3"/>
  <c r="B43" i="3"/>
  <c r="E43" i="3"/>
  <c r="C44" i="3"/>
  <c r="D44" i="3"/>
  <c r="B44" i="3"/>
  <c r="E44" i="3"/>
  <c r="C45" i="3"/>
  <c r="D45" i="3"/>
  <c r="B45" i="3"/>
  <c r="E45" i="3"/>
  <c r="C46" i="3"/>
  <c r="D46" i="3"/>
  <c r="B46" i="3"/>
  <c r="E46" i="3"/>
  <c r="C47" i="3"/>
  <c r="D47" i="3"/>
  <c r="B47" i="3"/>
  <c r="E47" i="3"/>
  <c r="C48" i="3"/>
  <c r="D48" i="3"/>
  <c r="B48" i="3"/>
  <c r="E48" i="3"/>
  <c r="C49" i="3"/>
  <c r="D49" i="3"/>
  <c r="B49" i="3"/>
  <c r="E49" i="3"/>
  <c r="C50" i="3"/>
  <c r="D50" i="3"/>
  <c r="B50" i="3"/>
  <c r="E50" i="3"/>
  <c r="C51" i="3"/>
  <c r="D51" i="3"/>
  <c r="B51" i="3"/>
  <c r="E51" i="3"/>
  <c r="C52" i="3"/>
  <c r="D52" i="3"/>
  <c r="B52" i="3"/>
  <c r="E52" i="3"/>
  <c r="C53" i="3"/>
  <c r="D53" i="3"/>
  <c r="B53" i="3"/>
  <c r="E53" i="3"/>
  <c r="C54" i="3"/>
  <c r="D54" i="3"/>
  <c r="B54" i="3"/>
  <c r="E54" i="3"/>
  <c r="C55" i="3"/>
  <c r="D55" i="3"/>
  <c r="B55" i="3"/>
  <c r="E55" i="3"/>
  <c r="A56" i="3"/>
  <c r="C56" i="3"/>
  <c r="D56" i="3"/>
  <c r="B56" i="3"/>
  <c r="E56" i="3"/>
  <c r="C57" i="3"/>
  <c r="D57" i="3"/>
  <c r="B57" i="3"/>
  <c r="E57" i="3"/>
  <c r="A58" i="3"/>
  <c r="C58" i="3"/>
  <c r="D58" i="3"/>
  <c r="B58" i="3"/>
  <c r="E58" i="3"/>
  <c r="C59" i="3"/>
  <c r="D59" i="3"/>
  <c r="B59" i="3"/>
  <c r="E59" i="3"/>
  <c r="C60" i="3"/>
  <c r="D60" i="3"/>
  <c r="B60" i="3"/>
  <c r="E60" i="3"/>
  <c r="C61" i="3"/>
  <c r="D61" i="3"/>
  <c r="B61" i="3"/>
  <c r="E61" i="3"/>
  <c r="C62" i="3"/>
  <c r="D62" i="3"/>
  <c r="B62" i="3"/>
  <c r="E62" i="3"/>
  <c r="C63" i="3"/>
  <c r="D63" i="3"/>
  <c r="B63" i="3"/>
  <c r="E63" i="3"/>
  <c r="C64" i="3"/>
  <c r="D64" i="3"/>
  <c r="B64" i="3"/>
  <c r="E64" i="3"/>
  <c r="C65" i="3"/>
  <c r="D65" i="3"/>
  <c r="B65" i="3"/>
  <c r="E65" i="3"/>
  <c r="C66" i="3"/>
  <c r="D66" i="3"/>
  <c r="B66" i="3"/>
  <c r="E66" i="3"/>
  <c r="C67" i="3"/>
  <c r="D67" i="3"/>
  <c r="B67" i="3"/>
  <c r="E67" i="3"/>
  <c r="A68" i="3"/>
  <c r="C68" i="3"/>
  <c r="D68" i="3"/>
  <c r="B68" i="3"/>
  <c r="E68" i="3"/>
  <c r="C69" i="3"/>
  <c r="D69" i="3"/>
  <c r="B69" i="3"/>
  <c r="E69" i="3"/>
  <c r="C70" i="3"/>
  <c r="D70" i="3"/>
  <c r="B70" i="3"/>
  <c r="E70" i="3"/>
  <c r="C71" i="3"/>
  <c r="D71" i="3"/>
  <c r="B71" i="3"/>
  <c r="E71" i="3"/>
  <c r="C72" i="3"/>
  <c r="D72" i="3"/>
  <c r="B72" i="3"/>
  <c r="E72" i="3"/>
  <c r="C73" i="3"/>
  <c r="D73" i="3"/>
  <c r="B73" i="3"/>
  <c r="E73" i="3"/>
  <c r="C74" i="3"/>
  <c r="D74" i="3"/>
  <c r="B74" i="3"/>
  <c r="E74" i="3"/>
  <c r="C75" i="3"/>
  <c r="D75" i="3"/>
  <c r="B75" i="3"/>
  <c r="E75" i="3"/>
  <c r="C76" i="3"/>
  <c r="D76" i="3"/>
  <c r="B76" i="3"/>
  <c r="E76" i="3"/>
  <c r="C77" i="3"/>
  <c r="D77" i="3"/>
  <c r="B77" i="3"/>
  <c r="E77" i="3"/>
  <c r="C78" i="3"/>
  <c r="D78" i="3"/>
  <c r="B78" i="3"/>
  <c r="E78" i="3"/>
  <c r="C79" i="3"/>
  <c r="D79" i="3"/>
  <c r="B79" i="3"/>
  <c r="E79" i="3"/>
  <c r="C80" i="3"/>
  <c r="D80" i="3"/>
  <c r="B80" i="3"/>
  <c r="E80" i="3"/>
  <c r="C81" i="3"/>
  <c r="D81" i="3"/>
  <c r="B81" i="3"/>
  <c r="E81" i="3"/>
  <c r="C82" i="3"/>
  <c r="D82" i="3"/>
  <c r="B82" i="3"/>
  <c r="E82" i="3"/>
  <c r="C83" i="3"/>
  <c r="D83" i="3"/>
  <c r="B83" i="3"/>
  <c r="E83" i="3"/>
  <c r="C84" i="3"/>
  <c r="D84" i="3"/>
  <c r="B84" i="3"/>
  <c r="E84" i="3"/>
  <c r="C85" i="3"/>
  <c r="D85" i="3"/>
  <c r="B85" i="3"/>
  <c r="E85" i="3"/>
  <c r="C86" i="3"/>
  <c r="D86" i="3"/>
  <c r="B86" i="3"/>
  <c r="E86" i="3"/>
  <c r="C87" i="3"/>
  <c r="D87" i="3"/>
  <c r="B87" i="3"/>
  <c r="E87" i="3"/>
  <c r="C88" i="3"/>
  <c r="D88" i="3"/>
  <c r="B88" i="3"/>
  <c r="E88" i="3"/>
  <c r="C89" i="3"/>
  <c r="D89" i="3"/>
  <c r="B89" i="3"/>
  <c r="E89" i="3"/>
  <c r="A90" i="3"/>
  <c r="C90" i="3"/>
  <c r="D90" i="3"/>
  <c r="B90" i="3"/>
  <c r="E90" i="3"/>
  <c r="C91" i="3"/>
  <c r="D91" i="3"/>
  <c r="B91" i="3"/>
  <c r="E91" i="3"/>
  <c r="C92" i="3"/>
  <c r="D92" i="3"/>
  <c r="B92" i="3"/>
  <c r="E92" i="3"/>
  <c r="C93" i="3"/>
  <c r="D93" i="3"/>
  <c r="B93" i="3"/>
  <c r="E93" i="3"/>
  <c r="C94" i="3"/>
  <c r="D94" i="3"/>
  <c r="B94" i="3"/>
  <c r="E94" i="3"/>
  <c r="C95" i="3"/>
  <c r="D95" i="3"/>
  <c r="B95" i="3"/>
  <c r="E95" i="3"/>
  <c r="A96" i="3"/>
  <c r="C96" i="3"/>
  <c r="D96" i="3"/>
  <c r="B96" i="3"/>
  <c r="E96" i="3"/>
  <c r="C97" i="3"/>
  <c r="D97" i="3"/>
  <c r="B97" i="3"/>
  <c r="E97" i="3"/>
  <c r="C98" i="3"/>
  <c r="D98" i="3"/>
  <c r="B98" i="3"/>
  <c r="E98" i="3"/>
  <c r="C99" i="3"/>
  <c r="D99" i="3"/>
  <c r="B99" i="3"/>
  <c r="E99" i="3"/>
  <c r="A100" i="3"/>
  <c r="C100" i="3"/>
  <c r="D100" i="3"/>
  <c r="B100" i="3"/>
  <c r="E100" i="3"/>
  <c r="C101" i="3"/>
  <c r="D101" i="3"/>
  <c r="B101" i="3"/>
  <c r="E101" i="3"/>
  <c r="C102" i="3"/>
  <c r="D102" i="3"/>
  <c r="B102" i="3"/>
  <c r="E102" i="3"/>
  <c r="C103" i="3"/>
  <c r="D103" i="3"/>
  <c r="B103" i="3"/>
  <c r="E103" i="3"/>
  <c r="C104" i="3"/>
  <c r="D104" i="3"/>
  <c r="B104" i="3"/>
  <c r="E104" i="3"/>
  <c r="C105" i="3"/>
  <c r="D105" i="3"/>
  <c r="B105" i="3"/>
  <c r="E105" i="3"/>
  <c r="A106" i="3"/>
  <c r="C106" i="3"/>
  <c r="D106" i="3"/>
  <c r="B106" i="3"/>
  <c r="E106" i="3"/>
  <c r="C107" i="3"/>
  <c r="D107" i="3"/>
  <c r="B107" i="3"/>
  <c r="E107" i="3"/>
  <c r="C108" i="3"/>
  <c r="D108" i="3"/>
  <c r="B108" i="3"/>
  <c r="E108" i="3"/>
  <c r="C109" i="3"/>
  <c r="D109" i="3"/>
  <c r="B109" i="3"/>
  <c r="E109" i="3"/>
  <c r="C110" i="3"/>
  <c r="D110" i="3"/>
  <c r="B110" i="3"/>
  <c r="E110" i="3"/>
  <c r="C111" i="3"/>
  <c r="D111" i="3"/>
  <c r="B111" i="3"/>
  <c r="E111" i="3"/>
  <c r="C112" i="3"/>
  <c r="D112" i="3"/>
  <c r="B112" i="3"/>
  <c r="E112" i="3"/>
  <c r="C113" i="3"/>
  <c r="D113" i="3"/>
  <c r="B113" i="3"/>
  <c r="E113" i="3"/>
  <c r="C114" i="3"/>
  <c r="D114" i="3"/>
  <c r="B114" i="3"/>
  <c r="E114" i="3"/>
  <c r="C115" i="3"/>
  <c r="D115" i="3"/>
  <c r="B115" i="3"/>
  <c r="E115" i="3"/>
  <c r="C116" i="3"/>
  <c r="D116" i="3"/>
  <c r="B116" i="3"/>
  <c r="E116" i="3"/>
  <c r="C117" i="3"/>
  <c r="D117" i="3"/>
  <c r="B117" i="3"/>
  <c r="E117" i="3"/>
  <c r="C118" i="3"/>
  <c r="D118" i="3"/>
  <c r="B118" i="3"/>
  <c r="E118" i="3"/>
  <c r="C119" i="3"/>
  <c r="D119" i="3"/>
  <c r="B119" i="3"/>
  <c r="E119" i="3"/>
  <c r="C120" i="3"/>
  <c r="D120" i="3"/>
  <c r="B120" i="3"/>
  <c r="E120" i="3"/>
  <c r="C121" i="3"/>
  <c r="D121" i="3"/>
  <c r="B121" i="3"/>
  <c r="E121" i="3"/>
  <c r="A122" i="3"/>
  <c r="C122" i="3"/>
  <c r="D122" i="3"/>
  <c r="B122" i="3"/>
  <c r="E122" i="3"/>
  <c r="C123" i="3"/>
  <c r="D123" i="3"/>
  <c r="B123" i="3"/>
  <c r="E123" i="3"/>
  <c r="C124" i="3"/>
  <c r="D124" i="3"/>
  <c r="B124" i="3"/>
  <c r="E124" i="3"/>
  <c r="C125" i="3"/>
  <c r="D125" i="3"/>
  <c r="B125" i="3"/>
  <c r="E125" i="3"/>
  <c r="C126" i="3"/>
  <c r="D126" i="3"/>
  <c r="B126" i="3"/>
  <c r="E126" i="3"/>
  <c r="C127" i="3"/>
  <c r="D127" i="3"/>
  <c r="B127" i="3"/>
  <c r="E127" i="3"/>
  <c r="A128" i="3"/>
  <c r="C128" i="3"/>
  <c r="D128" i="3"/>
  <c r="B128" i="3"/>
  <c r="E128" i="3"/>
  <c r="C129" i="3"/>
  <c r="D129" i="3"/>
  <c r="B129" i="3"/>
  <c r="E129" i="3"/>
  <c r="C130" i="3"/>
  <c r="D130" i="3"/>
  <c r="B130" i="3"/>
  <c r="E130" i="3"/>
  <c r="C131" i="3"/>
  <c r="D131" i="3"/>
  <c r="B131" i="3"/>
  <c r="E131" i="3"/>
  <c r="A132" i="3"/>
  <c r="C132" i="3"/>
  <c r="D132" i="3"/>
  <c r="B132" i="3"/>
  <c r="E132" i="3"/>
  <c r="C133" i="3"/>
  <c r="D133" i="3"/>
  <c r="B133" i="3"/>
  <c r="E133" i="3"/>
  <c r="C134" i="3"/>
  <c r="D134" i="3"/>
  <c r="B134" i="3"/>
  <c r="E134" i="3"/>
  <c r="C135" i="3"/>
  <c r="D135" i="3"/>
  <c r="B135" i="3"/>
  <c r="E135" i="3"/>
  <c r="C136" i="3"/>
  <c r="D136" i="3"/>
  <c r="B136" i="3"/>
  <c r="E136" i="3"/>
  <c r="C137" i="3"/>
  <c r="D137" i="3"/>
  <c r="B137" i="3"/>
  <c r="E137" i="3"/>
  <c r="A138" i="3"/>
  <c r="C138" i="3"/>
  <c r="D138" i="3"/>
  <c r="B138" i="3"/>
  <c r="E138" i="3"/>
  <c r="C139" i="3"/>
  <c r="D139" i="3"/>
  <c r="B139" i="3"/>
  <c r="E139" i="3"/>
  <c r="C140" i="3"/>
  <c r="D140" i="3"/>
  <c r="B140" i="3"/>
  <c r="E140" i="3"/>
  <c r="C141" i="3"/>
  <c r="D141" i="3"/>
  <c r="B141" i="3"/>
  <c r="E141" i="3"/>
  <c r="C142" i="3"/>
  <c r="D142" i="3"/>
  <c r="B142" i="3"/>
  <c r="E142" i="3"/>
  <c r="C143" i="3"/>
  <c r="D143" i="3"/>
  <c r="B143" i="3"/>
  <c r="E143" i="3"/>
  <c r="C144" i="3"/>
  <c r="D144" i="3"/>
  <c r="B144" i="3"/>
  <c r="E144" i="3"/>
  <c r="C145" i="3"/>
  <c r="D145" i="3"/>
  <c r="B145" i="3"/>
  <c r="E145" i="3"/>
  <c r="C146" i="3"/>
  <c r="D146" i="3"/>
  <c r="B146" i="3"/>
  <c r="E146" i="3"/>
  <c r="C147" i="3"/>
  <c r="D147" i="3"/>
  <c r="B147" i="3"/>
  <c r="E147" i="3"/>
  <c r="C148" i="3"/>
  <c r="D148" i="3"/>
  <c r="B148" i="3"/>
  <c r="E148" i="3"/>
  <c r="C149" i="3"/>
  <c r="D149" i="3"/>
  <c r="B149" i="3"/>
  <c r="E149" i="3"/>
  <c r="C150" i="3"/>
  <c r="D150" i="3"/>
  <c r="B150" i="3"/>
  <c r="E150" i="3"/>
  <c r="C151" i="3"/>
  <c r="D151" i="3"/>
  <c r="B151" i="3"/>
  <c r="E151" i="3"/>
  <c r="C152" i="3"/>
  <c r="D152" i="3"/>
  <c r="B152" i="3"/>
  <c r="E152" i="3"/>
  <c r="C153" i="3"/>
  <c r="D153" i="3"/>
  <c r="B153" i="3"/>
  <c r="E153" i="3"/>
  <c r="C154" i="3"/>
  <c r="D154" i="3"/>
  <c r="B154" i="3"/>
  <c r="E154" i="3"/>
  <c r="C155" i="3"/>
  <c r="D155" i="3"/>
  <c r="B155" i="3"/>
  <c r="E155" i="3"/>
  <c r="C156" i="3"/>
  <c r="D156" i="3"/>
  <c r="B156" i="3"/>
  <c r="E156" i="3"/>
  <c r="C157" i="3"/>
  <c r="D157" i="3"/>
  <c r="B157" i="3"/>
  <c r="E157" i="3"/>
  <c r="C158" i="3"/>
  <c r="D158" i="3"/>
  <c r="B158" i="3"/>
  <c r="E158" i="3"/>
  <c r="C159" i="3"/>
  <c r="D159" i="3"/>
  <c r="B159" i="3"/>
  <c r="E159" i="3"/>
  <c r="A160" i="3"/>
  <c r="C160" i="3"/>
  <c r="D160" i="3"/>
  <c r="B160" i="3"/>
  <c r="E160" i="3"/>
  <c r="C161" i="3"/>
  <c r="D161" i="3"/>
  <c r="B161" i="3"/>
  <c r="E161" i="3"/>
  <c r="C162" i="3"/>
  <c r="D162" i="3"/>
  <c r="B162" i="3"/>
  <c r="E162" i="3"/>
  <c r="C163" i="3"/>
  <c r="D163" i="3"/>
  <c r="B163" i="3"/>
  <c r="E163" i="3"/>
  <c r="C164" i="3"/>
  <c r="D164" i="3"/>
  <c r="B164" i="3"/>
  <c r="E164" i="3"/>
  <c r="C165" i="3"/>
  <c r="D165" i="3"/>
  <c r="B165" i="3"/>
  <c r="E165" i="3"/>
  <c r="C166" i="3"/>
  <c r="D166" i="3"/>
  <c r="B166" i="3"/>
  <c r="E166" i="3"/>
  <c r="C167" i="3"/>
  <c r="D167" i="3"/>
  <c r="B167" i="3"/>
  <c r="E167" i="3"/>
  <c r="C168" i="3"/>
  <c r="D168" i="3"/>
  <c r="B168" i="3"/>
  <c r="E168" i="3"/>
  <c r="C169" i="3"/>
  <c r="D169" i="3"/>
  <c r="B169" i="3"/>
  <c r="E169" i="3"/>
  <c r="A170" i="3"/>
  <c r="C170" i="3"/>
  <c r="D170" i="3"/>
  <c r="B170" i="3"/>
  <c r="E170" i="3"/>
  <c r="C171" i="3"/>
  <c r="D171" i="3"/>
  <c r="B171" i="3"/>
  <c r="E171" i="3"/>
  <c r="A172" i="3"/>
  <c r="C172" i="3"/>
  <c r="D172" i="3"/>
  <c r="B172" i="3"/>
  <c r="E172" i="3"/>
  <c r="C173" i="3"/>
  <c r="D173" i="3"/>
  <c r="B173" i="3"/>
  <c r="E173" i="3"/>
  <c r="C174" i="3"/>
  <c r="D174" i="3"/>
  <c r="B174" i="3"/>
  <c r="E174" i="3"/>
  <c r="C175" i="3"/>
  <c r="D175" i="3"/>
  <c r="B175" i="3"/>
  <c r="E175" i="3"/>
  <c r="C176" i="3"/>
  <c r="D176" i="3"/>
  <c r="B176" i="3"/>
  <c r="E176" i="3"/>
  <c r="A177" i="3"/>
  <c r="C177" i="3"/>
  <c r="D177" i="3"/>
  <c r="B177" i="3"/>
  <c r="E177" i="3"/>
  <c r="C178" i="3"/>
  <c r="D178" i="3"/>
  <c r="B178" i="3"/>
  <c r="E178" i="3"/>
  <c r="A179" i="3"/>
  <c r="C179" i="3"/>
  <c r="D179" i="3"/>
  <c r="B179" i="3"/>
  <c r="E179" i="3"/>
  <c r="C180" i="3"/>
  <c r="D180" i="3"/>
  <c r="B180" i="3"/>
  <c r="E180" i="3"/>
  <c r="C181" i="3"/>
  <c r="D181" i="3"/>
  <c r="B181" i="3"/>
  <c r="E181" i="3"/>
  <c r="A182" i="3"/>
  <c r="C182" i="3"/>
  <c r="D182" i="3"/>
  <c r="B182" i="3"/>
  <c r="E182" i="3"/>
  <c r="C183" i="3"/>
  <c r="D183" i="3"/>
  <c r="B183" i="3"/>
  <c r="E183" i="3"/>
  <c r="C184" i="3"/>
  <c r="D184" i="3"/>
  <c r="B184" i="3"/>
  <c r="E184" i="3"/>
  <c r="C185" i="3"/>
  <c r="D185" i="3"/>
  <c r="B185" i="3"/>
  <c r="E185" i="3"/>
  <c r="C186" i="3"/>
  <c r="D186" i="3"/>
  <c r="B186" i="3"/>
  <c r="E186" i="3"/>
  <c r="C187" i="3"/>
  <c r="D187" i="3"/>
  <c r="B187" i="3"/>
  <c r="E187" i="3"/>
  <c r="C188" i="3"/>
  <c r="D188" i="3"/>
  <c r="B188" i="3"/>
  <c r="E188" i="3"/>
  <c r="A189" i="3"/>
  <c r="C189" i="3"/>
  <c r="D189" i="3"/>
  <c r="B189" i="3"/>
  <c r="E189" i="3"/>
  <c r="C190" i="3"/>
  <c r="D190" i="3"/>
  <c r="B190" i="3"/>
  <c r="E190" i="3"/>
  <c r="C191" i="3"/>
  <c r="D191" i="3"/>
  <c r="B191" i="3"/>
  <c r="E191" i="3"/>
  <c r="A192" i="3"/>
  <c r="C192" i="3"/>
  <c r="D192" i="3"/>
  <c r="B192" i="3"/>
  <c r="E192" i="3"/>
  <c r="A193" i="3"/>
  <c r="C193" i="3"/>
  <c r="D193" i="3"/>
  <c r="B193" i="3"/>
  <c r="E193" i="3"/>
  <c r="C194" i="3"/>
  <c r="D194" i="3"/>
  <c r="B194" i="3"/>
  <c r="E194" i="3"/>
  <c r="C195" i="3"/>
  <c r="D195" i="3"/>
  <c r="B195" i="3"/>
  <c r="E195" i="3"/>
  <c r="A196" i="3"/>
  <c r="C196" i="3"/>
  <c r="D196" i="3"/>
  <c r="B196" i="3"/>
  <c r="E196" i="3"/>
  <c r="C197" i="3"/>
  <c r="D197" i="3"/>
  <c r="B197" i="3"/>
  <c r="E197" i="3"/>
  <c r="C198" i="3"/>
  <c r="D198" i="3"/>
  <c r="B198" i="3"/>
  <c r="E198" i="3"/>
  <c r="C199" i="3"/>
  <c r="D199" i="3"/>
  <c r="B199" i="3"/>
  <c r="E199" i="3"/>
  <c r="C200" i="3"/>
  <c r="D200" i="3"/>
  <c r="B200" i="3"/>
  <c r="E200" i="3"/>
  <c r="C201" i="3"/>
  <c r="D201" i="3"/>
  <c r="B201" i="3"/>
  <c r="E201" i="3"/>
  <c r="C202" i="3"/>
  <c r="D202" i="3"/>
  <c r="B202" i="3"/>
  <c r="E202" i="3"/>
  <c r="A203" i="3"/>
  <c r="C203" i="3"/>
  <c r="D203" i="3"/>
  <c r="B203" i="3"/>
  <c r="E203" i="3"/>
  <c r="C204" i="3"/>
  <c r="D204" i="3"/>
  <c r="B204" i="3"/>
  <c r="E204" i="3"/>
  <c r="C205" i="3"/>
  <c r="D205" i="3"/>
  <c r="B205" i="3"/>
  <c r="E205" i="3"/>
  <c r="A206" i="3"/>
  <c r="C206" i="3"/>
  <c r="D206" i="3"/>
  <c r="B206" i="3"/>
  <c r="E206" i="3"/>
  <c r="C207" i="3"/>
  <c r="D207" i="3"/>
  <c r="B207" i="3"/>
  <c r="E207" i="3"/>
  <c r="A208" i="3"/>
  <c r="C208" i="3"/>
  <c r="D208" i="3"/>
  <c r="B208" i="3"/>
  <c r="E208" i="3"/>
  <c r="C209" i="3"/>
  <c r="D209" i="3"/>
  <c r="B209" i="3"/>
  <c r="E209" i="3"/>
  <c r="C210" i="3"/>
  <c r="D210" i="3"/>
  <c r="B210" i="3"/>
  <c r="E210" i="3"/>
  <c r="C211" i="3"/>
  <c r="D211" i="3"/>
  <c r="B211" i="3"/>
  <c r="E211" i="3"/>
  <c r="C212" i="3"/>
  <c r="D212" i="3"/>
  <c r="B212" i="3"/>
  <c r="E212" i="3"/>
  <c r="A213" i="3"/>
  <c r="C213" i="3"/>
  <c r="D213" i="3"/>
  <c r="B213" i="3"/>
  <c r="E213" i="3"/>
  <c r="C214" i="3"/>
  <c r="D214" i="3"/>
  <c r="B214" i="3"/>
  <c r="E214" i="3"/>
  <c r="C215" i="3"/>
  <c r="D215" i="3"/>
  <c r="B215" i="3"/>
  <c r="E215" i="3"/>
  <c r="C216" i="3"/>
  <c r="D216" i="3"/>
  <c r="B216" i="3"/>
  <c r="E216" i="3"/>
  <c r="A217" i="3"/>
  <c r="C217" i="3"/>
  <c r="D217" i="3"/>
  <c r="B217" i="3"/>
  <c r="E217" i="3"/>
  <c r="C218" i="3"/>
  <c r="D218" i="3"/>
  <c r="B218" i="3"/>
  <c r="E218" i="3"/>
  <c r="C219" i="3"/>
  <c r="D219" i="3"/>
  <c r="B219" i="3"/>
  <c r="E219" i="3"/>
  <c r="A220" i="3"/>
  <c r="C220" i="3"/>
  <c r="D220" i="3"/>
  <c r="B220" i="3"/>
  <c r="E220" i="3"/>
  <c r="C221" i="3"/>
  <c r="D221" i="3"/>
  <c r="B221" i="3"/>
  <c r="E221" i="3"/>
  <c r="A222" i="3"/>
  <c r="C222" i="3"/>
  <c r="D222" i="3"/>
  <c r="B222" i="3"/>
  <c r="E222" i="3"/>
  <c r="C223" i="3"/>
  <c r="D223" i="3"/>
  <c r="B223" i="3"/>
  <c r="E223" i="3"/>
  <c r="C224" i="3"/>
  <c r="D224" i="3"/>
  <c r="B224" i="3"/>
  <c r="E224" i="3"/>
  <c r="C225" i="3"/>
  <c r="D225" i="3"/>
  <c r="B225" i="3"/>
  <c r="E225" i="3"/>
  <c r="C226" i="3"/>
  <c r="D226" i="3"/>
  <c r="B226" i="3"/>
  <c r="E226" i="3"/>
  <c r="A227" i="3"/>
  <c r="C227" i="3"/>
  <c r="D227" i="3"/>
  <c r="B227" i="3"/>
  <c r="E227" i="3"/>
  <c r="C228" i="3"/>
  <c r="D228" i="3"/>
  <c r="B228" i="3"/>
  <c r="E228" i="3"/>
  <c r="A229" i="3"/>
  <c r="C229" i="3"/>
  <c r="D229" i="3"/>
  <c r="B229" i="3"/>
  <c r="E229" i="3"/>
  <c r="C230" i="3"/>
  <c r="D230" i="3"/>
  <c r="B230" i="3"/>
  <c r="E230" i="3"/>
  <c r="C231" i="3"/>
  <c r="D231" i="3"/>
  <c r="B231" i="3"/>
  <c r="E231" i="3"/>
  <c r="A232" i="3"/>
  <c r="C232" i="3"/>
  <c r="D232" i="3"/>
  <c r="B232" i="3"/>
  <c r="E232" i="3"/>
  <c r="C233" i="3"/>
  <c r="D233" i="3"/>
  <c r="B233" i="3"/>
  <c r="E233" i="3"/>
  <c r="C234" i="3"/>
  <c r="D234" i="3"/>
  <c r="B234" i="3"/>
  <c r="E234" i="3"/>
  <c r="C235" i="3"/>
  <c r="D235" i="3"/>
  <c r="B235" i="3"/>
  <c r="E235" i="3"/>
  <c r="A236" i="3"/>
  <c r="C236" i="3"/>
  <c r="D236" i="3"/>
  <c r="B236" i="3"/>
  <c r="E236" i="3"/>
  <c r="C237" i="3"/>
  <c r="D237" i="3"/>
  <c r="B237" i="3"/>
  <c r="E237" i="3"/>
  <c r="C238" i="3"/>
  <c r="D238" i="3"/>
  <c r="B238" i="3"/>
  <c r="E238" i="3"/>
  <c r="C239" i="3"/>
  <c r="D239" i="3"/>
  <c r="B239" i="3"/>
  <c r="E239" i="3"/>
  <c r="C240" i="3"/>
  <c r="D240" i="3"/>
  <c r="B240" i="3"/>
  <c r="E240" i="3"/>
  <c r="A241" i="3"/>
  <c r="C241" i="3"/>
  <c r="D241" i="3"/>
  <c r="B241" i="3"/>
  <c r="E241" i="3"/>
  <c r="C242" i="3"/>
  <c r="D242" i="3"/>
  <c r="B242" i="3"/>
  <c r="E242" i="3"/>
  <c r="A243" i="3"/>
  <c r="C243" i="3"/>
  <c r="D243" i="3"/>
  <c r="B243" i="3"/>
  <c r="E243" i="3"/>
  <c r="C244" i="3"/>
  <c r="D244" i="3"/>
  <c r="B244" i="3"/>
  <c r="E244" i="3"/>
  <c r="C245" i="3"/>
  <c r="D245" i="3"/>
  <c r="B245" i="3"/>
  <c r="E245" i="3"/>
  <c r="A246" i="3"/>
  <c r="C246" i="3"/>
  <c r="D246" i="3"/>
  <c r="B246" i="3"/>
  <c r="E246" i="3"/>
  <c r="C247" i="3"/>
  <c r="D247" i="3"/>
  <c r="B247" i="3"/>
  <c r="E247" i="3"/>
  <c r="C248" i="3"/>
  <c r="D248" i="3"/>
  <c r="B248" i="3"/>
  <c r="E248" i="3"/>
  <c r="C249" i="3"/>
  <c r="D249" i="3"/>
  <c r="B249" i="3"/>
  <c r="E249" i="3"/>
  <c r="C250" i="3"/>
  <c r="D250" i="3"/>
  <c r="B250" i="3"/>
  <c r="E250" i="3"/>
  <c r="C251" i="3"/>
  <c r="D251" i="3"/>
  <c r="B251" i="3"/>
  <c r="E251" i="3"/>
  <c r="C252" i="3"/>
  <c r="D252" i="3"/>
  <c r="B252" i="3"/>
  <c r="E252" i="3"/>
  <c r="A253" i="3"/>
  <c r="C253" i="3"/>
  <c r="D253" i="3"/>
  <c r="B253" i="3"/>
  <c r="E253" i="3"/>
  <c r="C254" i="3"/>
  <c r="D254" i="3"/>
  <c r="B254" i="3"/>
  <c r="E254" i="3"/>
  <c r="C255" i="3"/>
  <c r="D255" i="3"/>
  <c r="B255" i="3"/>
  <c r="E255" i="3"/>
  <c r="A256" i="3"/>
  <c r="C256" i="3"/>
  <c r="D256" i="3"/>
  <c r="B256" i="3"/>
  <c r="E256" i="3"/>
  <c r="A257" i="3"/>
  <c r="C257" i="3"/>
  <c r="D257" i="3"/>
  <c r="B257" i="3"/>
  <c r="E257" i="3"/>
  <c r="C258" i="3"/>
  <c r="D258" i="3"/>
  <c r="B258" i="3"/>
  <c r="E258" i="3"/>
  <c r="C259" i="3"/>
  <c r="D259" i="3"/>
  <c r="B259" i="3"/>
  <c r="E259" i="3"/>
  <c r="A260" i="3"/>
  <c r="C260" i="3"/>
  <c r="D260" i="3"/>
  <c r="B260" i="3"/>
  <c r="E260" i="3"/>
  <c r="C261" i="3"/>
  <c r="D261" i="3"/>
  <c r="B261" i="3"/>
  <c r="E261" i="3"/>
  <c r="C262" i="3"/>
  <c r="D262" i="3"/>
  <c r="B262" i="3"/>
  <c r="E262" i="3"/>
  <c r="C263" i="3"/>
  <c r="D263" i="3"/>
  <c r="B263" i="3"/>
  <c r="E263" i="3"/>
  <c r="C264" i="3"/>
  <c r="D264" i="3"/>
  <c r="B264" i="3"/>
  <c r="E264" i="3"/>
  <c r="C265" i="3"/>
  <c r="D265" i="3"/>
  <c r="B265" i="3"/>
  <c r="E265" i="3"/>
  <c r="C266" i="3"/>
  <c r="D266" i="3"/>
  <c r="B266" i="3"/>
  <c r="E266" i="3"/>
  <c r="A267" i="3"/>
  <c r="C267" i="3"/>
  <c r="D267" i="3"/>
  <c r="B267" i="3"/>
  <c r="E267" i="3"/>
  <c r="C268" i="3"/>
  <c r="D268" i="3"/>
  <c r="B268" i="3"/>
  <c r="E268" i="3"/>
  <c r="C269" i="3"/>
  <c r="D269" i="3"/>
  <c r="B269" i="3"/>
  <c r="E269" i="3"/>
  <c r="A270" i="3"/>
  <c r="C270" i="3"/>
  <c r="D270" i="3"/>
  <c r="B270" i="3"/>
  <c r="E270" i="3"/>
  <c r="A271" i="3"/>
  <c r="C271" i="3"/>
  <c r="D271" i="3"/>
  <c r="B271" i="3"/>
  <c r="E271" i="3"/>
  <c r="C272" i="3"/>
  <c r="D272" i="3"/>
  <c r="B272" i="3"/>
  <c r="E272" i="3"/>
  <c r="A273" i="3"/>
  <c r="C273" i="3"/>
  <c r="D273" i="3"/>
  <c r="B273" i="3"/>
  <c r="E273" i="3"/>
  <c r="C274" i="3"/>
  <c r="D274" i="3"/>
  <c r="B274" i="3"/>
  <c r="E274" i="3"/>
  <c r="A275" i="3"/>
  <c r="C275" i="3"/>
  <c r="D275" i="3"/>
  <c r="B275" i="3"/>
  <c r="E275" i="3"/>
  <c r="C276" i="3"/>
  <c r="D276" i="3"/>
  <c r="B276" i="3"/>
  <c r="E276" i="3"/>
  <c r="C277" i="3"/>
  <c r="D277" i="3"/>
  <c r="B277" i="3"/>
  <c r="E277" i="3"/>
  <c r="C278" i="3"/>
  <c r="D278" i="3"/>
  <c r="B278" i="3"/>
  <c r="E278" i="3"/>
  <c r="C279" i="3"/>
  <c r="D279" i="3"/>
  <c r="B279" i="3"/>
  <c r="E279" i="3"/>
  <c r="C280" i="3"/>
  <c r="D280" i="3"/>
  <c r="B280" i="3"/>
  <c r="E280" i="3"/>
  <c r="C281" i="3"/>
  <c r="D281" i="3"/>
  <c r="B281" i="3"/>
  <c r="E281" i="3"/>
  <c r="A282" i="3"/>
  <c r="C282" i="3"/>
  <c r="D282" i="3"/>
  <c r="B282" i="3"/>
  <c r="E282" i="3"/>
  <c r="C283" i="3"/>
  <c r="D283" i="3"/>
  <c r="B283" i="3"/>
  <c r="E283" i="3"/>
  <c r="A284" i="3"/>
  <c r="C284" i="3"/>
  <c r="D284" i="3"/>
  <c r="B284" i="3"/>
  <c r="E284" i="3"/>
  <c r="C285" i="3"/>
  <c r="D285" i="3"/>
  <c r="B285" i="3"/>
  <c r="E285" i="3"/>
  <c r="A286" i="3"/>
  <c r="C286" i="3"/>
  <c r="D286" i="3"/>
  <c r="B286" i="3"/>
  <c r="E286" i="3"/>
  <c r="A287" i="3"/>
  <c r="C287" i="3"/>
  <c r="D287" i="3"/>
  <c r="B287" i="3"/>
  <c r="E287" i="3"/>
  <c r="C288" i="3"/>
  <c r="D288" i="3"/>
  <c r="B288" i="3"/>
  <c r="E288" i="3"/>
  <c r="A289" i="3"/>
  <c r="C289" i="3"/>
  <c r="D289" i="3"/>
  <c r="B289" i="3"/>
  <c r="E289" i="3"/>
  <c r="C290" i="3"/>
  <c r="D290" i="3"/>
  <c r="B290" i="3"/>
  <c r="E290" i="3"/>
  <c r="A291" i="3"/>
  <c r="C291" i="3"/>
  <c r="D291" i="3"/>
  <c r="B291" i="3"/>
  <c r="E291" i="3"/>
  <c r="C292" i="3"/>
  <c r="D292" i="3"/>
  <c r="B292" i="3"/>
  <c r="E292" i="3"/>
  <c r="C293" i="3"/>
  <c r="D293" i="3"/>
  <c r="B293" i="3"/>
  <c r="E293" i="3"/>
  <c r="C294" i="3"/>
  <c r="D294" i="3"/>
  <c r="B294" i="3"/>
  <c r="E294" i="3"/>
  <c r="C295" i="3"/>
  <c r="D295" i="3"/>
  <c r="B295" i="3"/>
  <c r="E295" i="3"/>
  <c r="C296" i="3"/>
  <c r="D296" i="3"/>
  <c r="B296" i="3"/>
  <c r="E296" i="3"/>
  <c r="C297" i="3"/>
  <c r="D297" i="3"/>
  <c r="B297" i="3"/>
  <c r="E297" i="3"/>
  <c r="A298" i="3"/>
  <c r="C298" i="3"/>
  <c r="D298" i="3"/>
  <c r="B298" i="3"/>
  <c r="E298" i="3"/>
  <c r="C299" i="3"/>
  <c r="D299" i="3"/>
  <c r="B299" i="3"/>
  <c r="E299" i="3"/>
  <c r="A300" i="3"/>
  <c r="C300" i="3"/>
  <c r="D300" i="3"/>
  <c r="B300" i="3"/>
  <c r="E300" i="3"/>
  <c r="C301" i="3"/>
  <c r="D301" i="3"/>
  <c r="B301" i="3"/>
  <c r="E301" i="3"/>
  <c r="A302" i="3"/>
  <c r="C302" i="3"/>
  <c r="D302" i="3"/>
  <c r="B302" i="3"/>
  <c r="E302" i="3"/>
  <c r="A303" i="3"/>
  <c r="C303" i="3"/>
  <c r="D303" i="3"/>
  <c r="B303" i="3"/>
  <c r="E303" i="3"/>
  <c r="C304" i="3"/>
  <c r="D304" i="3"/>
  <c r="B304" i="3"/>
  <c r="E304" i="3"/>
  <c r="A305" i="3"/>
  <c r="C305" i="3"/>
  <c r="D305" i="3"/>
  <c r="B305" i="3"/>
  <c r="E305" i="3"/>
  <c r="C306" i="3"/>
  <c r="D306" i="3"/>
  <c r="B306" i="3"/>
  <c r="E306" i="3"/>
  <c r="A307" i="3"/>
  <c r="C307" i="3"/>
  <c r="D307" i="3"/>
  <c r="B307" i="3"/>
  <c r="E307" i="3"/>
  <c r="C308" i="3"/>
  <c r="D308" i="3"/>
  <c r="B308" i="3"/>
  <c r="E308" i="3"/>
  <c r="C309" i="3"/>
  <c r="D309" i="3"/>
  <c r="B309" i="3"/>
  <c r="E309" i="3"/>
  <c r="C310" i="3"/>
  <c r="D310" i="3"/>
  <c r="B310" i="3"/>
  <c r="E310" i="3"/>
  <c r="C311" i="3"/>
  <c r="D311" i="3"/>
  <c r="B311" i="3"/>
  <c r="E311" i="3"/>
  <c r="C312" i="3"/>
  <c r="D312" i="3"/>
  <c r="B312" i="3"/>
  <c r="E312" i="3"/>
  <c r="C313" i="3"/>
  <c r="D313" i="3"/>
  <c r="B313" i="3"/>
  <c r="E313" i="3"/>
  <c r="A314" i="3"/>
  <c r="C314" i="3"/>
  <c r="D314" i="3"/>
  <c r="B314" i="3"/>
  <c r="E314" i="3"/>
  <c r="C315" i="3"/>
  <c r="D315" i="3"/>
  <c r="B315" i="3"/>
  <c r="E315" i="3"/>
  <c r="A316" i="3"/>
  <c r="C316" i="3"/>
  <c r="D316" i="3"/>
  <c r="B316" i="3"/>
  <c r="E316" i="3"/>
  <c r="C317" i="3"/>
  <c r="D317" i="3"/>
  <c r="B317" i="3"/>
  <c r="E317" i="3"/>
  <c r="A318" i="3"/>
  <c r="C318" i="3"/>
  <c r="D318" i="3"/>
  <c r="B318" i="3"/>
  <c r="E318" i="3"/>
  <c r="A319" i="3"/>
  <c r="C319" i="3"/>
  <c r="D319" i="3"/>
  <c r="B319" i="3"/>
  <c r="E319" i="3"/>
  <c r="C320" i="3"/>
  <c r="D320" i="3"/>
  <c r="B320" i="3"/>
  <c r="E320" i="3"/>
  <c r="A321" i="3"/>
  <c r="C321" i="3"/>
  <c r="D321" i="3"/>
  <c r="B321" i="3"/>
  <c r="E321" i="3"/>
  <c r="C322" i="3"/>
  <c r="D322" i="3"/>
  <c r="B322" i="3"/>
  <c r="E322" i="3"/>
  <c r="A323" i="3"/>
  <c r="C323" i="3"/>
  <c r="D323" i="3"/>
  <c r="B323" i="3"/>
  <c r="E323" i="3"/>
  <c r="C324" i="3"/>
  <c r="D324" i="3"/>
  <c r="B324" i="3"/>
  <c r="E324" i="3"/>
  <c r="C325" i="3"/>
  <c r="D325" i="3"/>
  <c r="B325" i="3"/>
  <c r="E325" i="3"/>
  <c r="C326" i="3"/>
  <c r="D326" i="3"/>
  <c r="B326" i="3"/>
  <c r="E326" i="3"/>
  <c r="C327" i="3"/>
  <c r="D327" i="3"/>
  <c r="B327" i="3"/>
  <c r="E327" i="3"/>
  <c r="C328" i="3"/>
  <c r="D328" i="3"/>
  <c r="B328" i="3"/>
  <c r="E328" i="3"/>
  <c r="C329" i="3"/>
  <c r="D329" i="3"/>
  <c r="B329" i="3"/>
  <c r="E329" i="3"/>
  <c r="A330" i="3"/>
  <c r="C330" i="3"/>
  <c r="D330" i="3"/>
  <c r="B330" i="3"/>
  <c r="E330" i="3"/>
  <c r="C331" i="3"/>
  <c r="D331" i="3"/>
  <c r="B331" i="3"/>
  <c r="E331" i="3"/>
  <c r="A332" i="3"/>
  <c r="C332" i="3"/>
  <c r="D332" i="3"/>
  <c r="B332" i="3"/>
  <c r="E332" i="3"/>
  <c r="C333" i="3"/>
  <c r="D333" i="3"/>
  <c r="B333" i="3"/>
  <c r="E333" i="3"/>
  <c r="A334" i="3"/>
  <c r="C334" i="3"/>
  <c r="D334" i="3"/>
  <c r="B334" i="3"/>
  <c r="E334" i="3"/>
  <c r="A335" i="3"/>
  <c r="C335" i="3"/>
  <c r="D335" i="3"/>
  <c r="B335" i="3"/>
  <c r="E335" i="3"/>
  <c r="C336" i="3"/>
  <c r="D336" i="3"/>
  <c r="B336" i="3"/>
  <c r="E336" i="3"/>
  <c r="A337" i="3"/>
  <c r="C337" i="3"/>
  <c r="D337" i="3"/>
  <c r="B337" i="3"/>
  <c r="E337" i="3"/>
  <c r="C338" i="3"/>
  <c r="D338" i="3"/>
  <c r="B338" i="3"/>
  <c r="E338" i="3"/>
  <c r="A339" i="3"/>
  <c r="C339" i="3"/>
  <c r="D339" i="3"/>
  <c r="B339" i="3"/>
  <c r="E339" i="3"/>
  <c r="C340" i="3"/>
  <c r="D340" i="3"/>
  <c r="B340" i="3"/>
  <c r="E340" i="3"/>
  <c r="C341" i="3"/>
  <c r="D341" i="3"/>
  <c r="B341" i="3"/>
  <c r="E341" i="3"/>
  <c r="C342" i="3"/>
  <c r="D342" i="3"/>
  <c r="B342" i="3"/>
  <c r="E342" i="3"/>
  <c r="C343" i="3"/>
  <c r="D343" i="3"/>
  <c r="B343" i="3"/>
  <c r="E343" i="3"/>
  <c r="C344" i="3"/>
  <c r="D344" i="3"/>
  <c r="B344" i="3"/>
  <c r="E344" i="3"/>
  <c r="C345" i="3"/>
  <c r="D345" i="3"/>
  <c r="B345" i="3"/>
  <c r="E345" i="3"/>
  <c r="A346" i="3"/>
  <c r="C346" i="3"/>
  <c r="D346" i="3"/>
  <c r="B346" i="3"/>
  <c r="E346" i="3"/>
  <c r="C347" i="3"/>
  <c r="D347" i="3"/>
  <c r="B347" i="3"/>
  <c r="E347" i="3"/>
  <c r="A348" i="3"/>
  <c r="C348" i="3"/>
  <c r="D348" i="3"/>
  <c r="B348" i="3"/>
  <c r="E348" i="3"/>
  <c r="C349" i="3"/>
  <c r="D349" i="3"/>
  <c r="B349" i="3"/>
  <c r="E349" i="3"/>
  <c r="A350" i="3"/>
  <c r="C350" i="3"/>
  <c r="D350" i="3"/>
  <c r="B350" i="3"/>
  <c r="E350" i="3"/>
  <c r="A351" i="3"/>
  <c r="C351" i="3"/>
  <c r="D351" i="3"/>
  <c r="B351" i="3"/>
  <c r="E351" i="3"/>
  <c r="C352" i="3"/>
  <c r="D352" i="3"/>
  <c r="B352" i="3"/>
  <c r="E352" i="3"/>
  <c r="A353" i="3"/>
  <c r="C353" i="3"/>
  <c r="D353" i="3"/>
  <c r="B353" i="3"/>
  <c r="E353" i="3"/>
  <c r="C354" i="3"/>
  <c r="D354" i="3"/>
  <c r="B354" i="3"/>
  <c r="E354" i="3"/>
  <c r="A355" i="3"/>
  <c r="C355" i="3"/>
  <c r="D355" i="3"/>
  <c r="B355" i="3"/>
  <c r="E355" i="3"/>
  <c r="C356" i="3"/>
  <c r="D356" i="3"/>
  <c r="B356" i="3"/>
  <c r="E356" i="3"/>
  <c r="C357" i="3"/>
  <c r="D357" i="3"/>
  <c r="B357" i="3"/>
  <c r="E357" i="3"/>
  <c r="C358" i="3"/>
  <c r="D358" i="3"/>
  <c r="B358" i="3"/>
  <c r="E358" i="3"/>
  <c r="C359" i="3"/>
  <c r="D359" i="3"/>
  <c r="B359" i="3"/>
  <c r="E359" i="3"/>
  <c r="C360" i="3"/>
  <c r="D360" i="3"/>
  <c r="B360" i="3"/>
  <c r="E360" i="3"/>
  <c r="C361" i="3"/>
  <c r="D361" i="3"/>
  <c r="B361" i="3"/>
  <c r="E361" i="3"/>
  <c r="A362" i="3"/>
  <c r="C362" i="3"/>
  <c r="D362" i="3"/>
  <c r="B362" i="3"/>
  <c r="E362" i="3"/>
  <c r="C363" i="3"/>
  <c r="D363" i="3"/>
  <c r="B363" i="3"/>
  <c r="E363" i="3"/>
  <c r="A364" i="3"/>
  <c r="C364" i="3"/>
  <c r="D364" i="3"/>
  <c r="B364" i="3"/>
  <c r="E364" i="3"/>
  <c r="C365" i="3"/>
  <c r="D365" i="3"/>
  <c r="B365" i="3"/>
  <c r="E365" i="3"/>
  <c r="A366" i="3"/>
  <c r="C366" i="3"/>
  <c r="D366" i="3"/>
  <c r="B366" i="3"/>
  <c r="E366" i="3"/>
  <c r="A367" i="3"/>
  <c r="C367" i="3"/>
  <c r="D367" i="3"/>
  <c r="B367" i="3"/>
  <c r="E367" i="3"/>
  <c r="C368" i="3"/>
  <c r="D368" i="3"/>
  <c r="B368" i="3"/>
  <c r="E368" i="3"/>
  <c r="A369" i="3"/>
  <c r="C369" i="3"/>
  <c r="D369" i="3"/>
  <c r="B369" i="3"/>
  <c r="E369" i="3"/>
  <c r="C370" i="3"/>
  <c r="D370" i="3"/>
  <c r="B370" i="3"/>
  <c r="E370" i="3"/>
  <c r="A371" i="3"/>
  <c r="C371" i="3"/>
  <c r="D371" i="3"/>
  <c r="B371" i="3"/>
  <c r="E371" i="3"/>
  <c r="C372" i="3"/>
  <c r="D372" i="3"/>
  <c r="B372" i="3"/>
  <c r="E372" i="3"/>
  <c r="C373" i="3"/>
  <c r="D373" i="3"/>
  <c r="B373" i="3"/>
  <c r="E373" i="3"/>
  <c r="C374" i="3"/>
  <c r="D374" i="3"/>
  <c r="B374" i="3"/>
  <c r="E374" i="3"/>
  <c r="C375" i="3"/>
  <c r="D375" i="3"/>
  <c r="B375" i="3"/>
  <c r="E375" i="3"/>
  <c r="C376" i="3"/>
  <c r="D376" i="3"/>
  <c r="B376" i="3"/>
  <c r="E376" i="3"/>
  <c r="C377" i="3"/>
  <c r="D377" i="3"/>
  <c r="B377" i="3"/>
  <c r="E377" i="3"/>
  <c r="A378" i="3"/>
  <c r="C378" i="3"/>
  <c r="D378" i="3"/>
  <c r="B378" i="3"/>
  <c r="E378" i="3"/>
  <c r="C379" i="3"/>
  <c r="D379" i="3"/>
  <c r="B379" i="3"/>
  <c r="E379" i="3"/>
  <c r="A380" i="3"/>
  <c r="C380" i="3"/>
  <c r="D380" i="3"/>
  <c r="B380" i="3"/>
  <c r="E380" i="3"/>
  <c r="C381" i="3"/>
  <c r="D381" i="3"/>
  <c r="B381" i="3"/>
  <c r="E381" i="3"/>
  <c r="A382" i="3"/>
  <c r="C382" i="3"/>
  <c r="D382" i="3"/>
  <c r="B382" i="3"/>
  <c r="E382" i="3"/>
  <c r="A383" i="3"/>
  <c r="C383" i="3"/>
  <c r="D383" i="3"/>
  <c r="B383" i="3"/>
  <c r="E383" i="3"/>
  <c r="C384" i="3"/>
  <c r="D384" i="3"/>
  <c r="B384" i="3"/>
  <c r="E384" i="3"/>
  <c r="A385" i="3"/>
  <c r="C385" i="3"/>
  <c r="D385" i="3"/>
  <c r="B385" i="3"/>
  <c r="E385" i="3"/>
  <c r="C386" i="3"/>
  <c r="D386" i="3"/>
  <c r="B386" i="3"/>
  <c r="E386" i="3"/>
  <c r="C387" i="3"/>
  <c r="D387" i="3"/>
  <c r="B387" i="3"/>
  <c r="E387" i="3"/>
  <c r="C388" i="3"/>
  <c r="D388" i="3"/>
  <c r="B388" i="3"/>
  <c r="E388" i="3"/>
  <c r="A389" i="3"/>
  <c r="C389" i="3"/>
  <c r="D389" i="3"/>
  <c r="B389" i="3"/>
  <c r="E389" i="3"/>
  <c r="C390" i="3"/>
  <c r="D390" i="3"/>
  <c r="B390" i="3"/>
  <c r="E390" i="3"/>
  <c r="C391" i="3"/>
  <c r="D391" i="3"/>
  <c r="B391" i="3"/>
  <c r="E391" i="3"/>
  <c r="C392" i="3"/>
  <c r="D392" i="3"/>
  <c r="B392" i="3"/>
  <c r="E392" i="3"/>
  <c r="A393" i="3"/>
  <c r="C393" i="3"/>
  <c r="D393" i="3"/>
  <c r="B393" i="3"/>
  <c r="E393" i="3"/>
  <c r="C394" i="3"/>
  <c r="D394" i="3"/>
  <c r="B394" i="3"/>
  <c r="E394" i="3"/>
  <c r="C395" i="3"/>
  <c r="D395" i="3"/>
  <c r="B395" i="3"/>
  <c r="E395" i="3"/>
  <c r="C396" i="3"/>
  <c r="D396" i="3"/>
  <c r="B396" i="3"/>
  <c r="E396" i="3"/>
  <c r="A397" i="3"/>
  <c r="C397" i="3"/>
  <c r="D397" i="3"/>
  <c r="B397" i="3"/>
  <c r="E397" i="3"/>
  <c r="C398" i="3"/>
  <c r="D398" i="3"/>
  <c r="B398" i="3"/>
  <c r="E398" i="3"/>
  <c r="C399" i="3"/>
  <c r="D399" i="3"/>
  <c r="B399" i="3"/>
  <c r="E399" i="3"/>
  <c r="C400" i="3"/>
  <c r="D400" i="3"/>
  <c r="B400" i="3"/>
  <c r="E400" i="3"/>
  <c r="A401" i="3"/>
  <c r="C401" i="3"/>
  <c r="D401" i="3"/>
  <c r="B401" i="3"/>
  <c r="E401" i="3"/>
  <c r="C402" i="3"/>
  <c r="D402" i="3"/>
  <c r="B402" i="3"/>
  <c r="E402" i="3"/>
  <c r="C403" i="3"/>
  <c r="D403" i="3"/>
  <c r="B403" i="3"/>
  <c r="E403" i="3"/>
  <c r="C404" i="3"/>
  <c r="D404" i="3"/>
  <c r="B404" i="3"/>
  <c r="E404" i="3"/>
  <c r="A405" i="3"/>
  <c r="C405" i="3"/>
  <c r="D405" i="3"/>
  <c r="B405" i="3"/>
  <c r="E405" i="3"/>
  <c r="C406" i="3"/>
  <c r="D406" i="3"/>
  <c r="B406" i="3"/>
  <c r="E406" i="3"/>
  <c r="C407" i="3"/>
  <c r="D407" i="3"/>
  <c r="B407" i="3"/>
  <c r="E407" i="3"/>
  <c r="C408" i="3"/>
  <c r="D408" i="3"/>
  <c r="B408" i="3"/>
  <c r="E408" i="3"/>
  <c r="A409" i="3"/>
  <c r="C409" i="3"/>
  <c r="D409" i="3"/>
  <c r="B409" i="3"/>
  <c r="E409" i="3"/>
  <c r="C410" i="3"/>
  <c r="D410" i="3"/>
  <c r="B410" i="3"/>
  <c r="E410" i="3"/>
  <c r="C411" i="3"/>
  <c r="D411" i="3"/>
  <c r="B411" i="3"/>
  <c r="E411" i="3"/>
  <c r="C412" i="3"/>
  <c r="D412" i="3"/>
  <c r="B412" i="3"/>
  <c r="E412" i="3"/>
  <c r="A413" i="3"/>
  <c r="C413" i="3"/>
  <c r="D413" i="3"/>
  <c r="B413" i="3"/>
  <c r="E413" i="3"/>
  <c r="C414" i="3"/>
  <c r="D414" i="3"/>
  <c r="B414" i="3"/>
  <c r="E414" i="3"/>
  <c r="C415" i="3"/>
  <c r="D415" i="3"/>
  <c r="B415" i="3"/>
  <c r="E415" i="3"/>
  <c r="C416" i="3"/>
  <c r="D416" i="3"/>
  <c r="B416" i="3"/>
  <c r="E416" i="3"/>
  <c r="A417" i="3"/>
  <c r="C417" i="3"/>
  <c r="D417" i="3"/>
  <c r="B417" i="3"/>
  <c r="E417" i="3"/>
  <c r="C418" i="3"/>
  <c r="D418" i="3"/>
  <c r="B418" i="3"/>
  <c r="E418" i="3"/>
  <c r="C419" i="3"/>
  <c r="D419" i="3"/>
  <c r="B419" i="3"/>
  <c r="E419" i="3"/>
  <c r="C420" i="3"/>
  <c r="D420" i="3"/>
  <c r="B420" i="3"/>
  <c r="E420" i="3"/>
  <c r="A421" i="3"/>
  <c r="C421" i="3"/>
  <c r="D421" i="3"/>
  <c r="B421" i="3"/>
  <c r="E421" i="3"/>
  <c r="C422" i="3"/>
  <c r="D422" i="3"/>
  <c r="B422" i="3"/>
  <c r="E422" i="3"/>
  <c r="C423" i="3"/>
  <c r="D423" i="3"/>
  <c r="B423" i="3"/>
  <c r="E423" i="3"/>
  <c r="C424" i="3"/>
  <c r="D424" i="3"/>
  <c r="B424" i="3"/>
  <c r="E424" i="3"/>
  <c r="A425" i="3"/>
  <c r="C425" i="3"/>
  <c r="D425" i="3"/>
  <c r="B425" i="3"/>
  <c r="E425" i="3"/>
  <c r="C426" i="3"/>
  <c r="D426" i="3"/>
  <c r="B426" i="3"/>
  <c r="E426" i="3"/>
  <c r="C427" i="3"/>
  <c r="D427" i="3"/>
  <c r="B427" i="3"/>
  <c r="E427" i="3"/>
  <c r="C428" i="3"/>
  <c r="D428" i="3"/>
  <c r="B428" i="3"/>
  <c r="E428" i="3"/>
  <c r="A429" i="3"/>
  <c r="C429" i="3"/>
  <c r="D429" i="3"/>
  <c r="B429" i="3"/>
  <c r="E429" i="3"/>
  <c r="C430" i="3"/>
  <c r="D430" i="3"/>
  <c r="B430" i="3"/>
  <c r="E430" i="3"/>
  <c r="C431" i="3"/>
  <c r="D431" i="3"/>
  <c r="B431" i="3"/>
  <c r="E431" i="3"/>
  <c r="C432" i="3"/>
  <c r="D432" i="3"/>
  <c r="B432" i="3"/>
  <c r="E432" i="3"/>
  <c r="A433" i="3"/>
  <c r="C433" i="3"/>
  <c r="D433" i="3"/>
  <c r="B433" i="3"/>
  <c r="E433" i="3"/>
  <c r="C434" i="3"/>
  <c r="D434" i="3"/>
  <c r="B434" i="3"/>
  <c r="E434" i="3"/>
  <c r="C435" i="3"/>
  <c r="D435" i="3"/>
  <c r="B435" i="3"/>
  <c r="E435" i="3"/>
  <c r="C436" i="3"/>
  <c r="D436" i="3"/>
  <c r="B436" i="3"/>
  <c r="E436" i="3"/>
  <c r="A437" i="3"/>
  <c r="C437" i="3"/>
  <c r="D437" i="3"/>
  <c r="B437" i="3"/>
  <c r="E437" i="3"/>
  <c r="C438" i="3"/>
  <c r="D438" i="3"/>
  <c r="B438" i="3"/>
  <c r="E438" i="3"/>
  <c r="C439" i="3"/>
  <c r="D439" i="3"/>
  <c r="B439" i="3"/>
  <c r="E439" i="3"/>
  <c r="C440" i="3"/>
  <c r="D440" i="3"/>
  <c r="B440" i="3"/>
  <c r="E440" i="3"/>
  <c r="A441" i="3"/>
  <c r="C441" i="3"/>
  <c r="D441" i="3"/>
  <c r="B441" i="3"/>
  <c r="E441" i="3"/>
  <c r="C442" i="3"/>
  <c r="D442" i="3"/>
  <c r="B442" i="3"/>
  <c r="E442" i="3"/>
  <c r="C443" i="3"/>
  <c r="D443" i="3"/>
  <c r="B443" i="3"/>
  <c r="E443" i="3"/>
  <c r="C444" i="3"/>
  <c r="D444" i="3"/>
  <c r="B444" i="3"/>
  <c r="E444" i="3"/>
  <c r="A445" i="3"/>
  <c r="C445" i="3"/>
  <c r="D445" i="3"/>
  <c r="B445" i="3"/>
  <c r="E445" i="3"/>
  <c r="C446" i="3"/>
  <c r="D446" i="3"/>
  <c r="B446" i="3"/>
  <c r="E446" i="3"/>
  <c r="C447" i="3"/>
  <c r="D447" i="3"/>
  <c r="B447" i="3"/>
  <c r="E447" i="3"/>
  <c r="C448" i="3"/>
  <c r="D448" i="3"/>
  <c r="B448" i="3"/>
  <c r="E448" i="3"/>
  <c r="A449" i="3"/>
  <c r="C449" i="3"/>
  <c r="D449" i="3"/>
  <c r="B449" i="3"/>
  <c r="E449" i="3"/>
  <c r="C450" i="3"/>
  <c r="D450" i="3"/>
  <c r="B450" i="3"/>
  <c r="E450" i="3"/>
  <c r="C451" i="3"/>
  <c r="D451" i="3"/>
  <c r="B451" i="3"/>
  <c r="E451" i="3"/>
  <c r="C452" i="3"/>
  <c r="D452" i="3"/>
  <c r="B452" i="3"/>
  <c r="E452" i="3"/>
  <c r="A453" i="3"/>
  <c r="C453" i="3"/>
  <c r="D453" i="3"/>
  <c r="B453" i="3"/>
  <c r="E453" i="3"/>
  <c r="C454" i="3"/>
  <c r="D454" i="3"/>
  <c r="B454" i="3"/>
  <c r="E454" i="3"/>
  <c r="C455" i="3"/>
  <c r="D455" i="3"/>
  <c r="B455" i="3"/>
  <c r="E455" i="3"/>
  <c r="C456" i="3"/>
  <c r="D456" i="3"/>
  <c r="B456" i="3"/>
  <c r="E456" i="3"/>
  <c r="A457" i="3"/>
  <c r="C457" i="3"/>
  <c r="D457" i="3"/>
  <c r="B457" i="3"/>
  <c r="E457" i="3"/>
  <c r="C458" i="3"/>
  <c r="D458" i="3"/>
  <c r="B458" i="3"/>
  <c r="E458" i="3"/>
  <c r="C459" i="3"/>
  <c r="D459" i="3"/>
  <c r="B459" i="3"/>
  <c r="E459" i="3"/>
  <c r="C460" i="3"/>
  <c r="D460" i="3"/>
  <c r="B460" i="3"/>
  <c r="E460" i="3"/>
  <c r="A461" i="3"/>
  <c r="C461" i="3"/>
  <c r="D461" i="3"/>
  <c r="B461" i="3"/>
  <c r="E461" i="3"/>
  <c r="C462" i="3"/>
  <c r="D462" i="3"/>
  <c r="B462" i="3"/>
  <c r="E462" i="3"/>
  <c r="C463" i="3"/>
  <c r="D463" i="3"/>
  <c r="B463" i="3"/>
  <c r="E463" i="3"/>
  <c r="C464" i="3"/>
  <c r="D464" i="3"/>
  <c r="B464" i="3"/>
  <c r="E464" i="3"/>
  <c r="A465" i="3"/>
  <c r="C465" i="3"/>
  <c r="D465" i="3"/>
  <c r="B465" i="3"/>
  <c r="E465" i="3"/>
  <c r="C466" i="3"/>
  <c r="D466" i="3"/>
  <c r="B466" i="3"/>
  <c r="E466" i="3"/>
  <c r="C467" i="3"/>
  <c r="D467" i="3"/>
  <c r="B467" i="3"/>
  <c r="E467" i="3"/>
  <c r="C468" i="3"/>
  <c r="D468" i="3"/>
  <c r="B468" i="3"/>
  <c r="E468" i="3"/>
  <c r="A469" i="3"/>
  <c r="C469" i="3"/>
  <c r="D469" i="3"/>
  <c r="B469" i="3"/>
  <c r="E469" i="3"/>
  <c r="C470" i="3"/>
  <c r="D470" i="3"/>
  <c r="B470" i="3"/>
  <c r="E470" i="3"/>
  <c r="C471" i="3"/>
  <c r="D471" i="3"/>
  <c r="B471" i="3"/>
  <c r="E471" i="3"/>
  <c r="C472" i="3"/>
  <c r="D472" i="3"/>
  <c r="B472" i="3"/>
  <c r="E472" i="3"/>
  <c r="A473" i="3"/>
  <c r="C473" i="3"/>
  <c r="D473" i="3"/>
  <c r="B473" i="3"/>
  <c r="E473" i="3"/>
  <c r="C474" i="3"/>
  <c r="D474" i="3"/>
  <c r="B474" i="3"/>
  <c r="E474" i="3"/>
  <c r="A475" i="3"/>
  <c r="C475" i="3"/>
  <c r="D475" i="3"/>
  <c r="B475" i="3"/>
  <c r="E475" i="3"/>
  <c r="C476" i="3"/>
  <c r="D476" i="3"/>
  <c r="B476" i="3"/>
  <c r="E476" i="3"/>
  <c r="A477" i="3"/>
  <c r="C477" i="3"/>
  <c r="D477" i="3"/>
  <c r="B477" i="3"/>
  <c r="E477" i="3"/>
  <c r="C478" i="3"/>
  <c r="D478" i="3"/>
  <c r="B478" i="3"/>
  <c r="E478" i="3"/>
  <c r="C479" i="3"/>
  <c r="D479" i="3"/>
  <c r="B479" i="3"/>
  <c r="E479" i="3"/>
  <c r="C480" i="3"/>
  <c r="D480" i="3"/>
  <c r="B480" i="3"/>
  <c r="E480" i="3"/>
  <c r="A481" i="3"/>
  <c r="C481" i="3"/>
  <c r="D481" i="3"/>
  <c r="B481" i="3"/>
  <c r="E481" i="3"/>
  <c r="C482" i="3"/>
  <c r="D482" i="3"/>
  <c r="B482" i="3"/>
  <c r="E482" i="3"/>
  <c r="A483" i="3"/>
  <c r="C483" i="3"/>
  <c r="D483" i="3"/>
  <c r="B483" i="3"/>
  <c r="E483" i="3"/>
  <c r="C484" i="3"/>
  <c r="D484" i="3"/>
  <c r="B484" i="3"/>
  <c r="E484" i="3"/>
  <c r="A485" i="3"/>
  <c r="C485" i="3"/>
  <c r="D485" i="3"/>
  <c r="B485" i="3"/>
  <c r="E485" i="3"/>
  <c r="C486" i="3"/>
  <c r="D486" i="3"/>
  <c r="B486" i="3"/>
  <c r="E486" i="3"/>
  <c r="C487" i="3"/>
  <c r="D487" i="3"/>
  <c r="B487" i="3"/>
  <c r="E487" i="3"/>
  <c r="C488" i="3"/>
  <c r="D488" i="3"/>
  <c r="B488" i="3"/>
  <c r="E488" i="3"/>
  <c r="A489" i="3"/>
  <c r="C489" i="3"/>
  <c r="D489" i="3"/>
  <c r="B489" i="3"/>
  <c r="E489" i="3"/>
  <c r="C490" i="3"/>
  <c r="D490" i="3"/>
  <c r="B490" i="3"/>
  <c r="E490" i="3"/>
  <c r="A491" i="3"/>
  <c r="C491" i="3"/>
  <c r="D491" i="3"/>
  <c r="B491" i="3"/>
  <c r="E491" i="3"/>
  <c r="C492" i="3"/>
  <c r="D492" i="3"/>
  <c r="B492" i="3"/>
  <c r="E492" i="3"/>
  <c r="A493" i="3"/>
  <c r="C493" i="3"/>
  <c r="D493" i="3"/>
  <c r="B493" i="3"/>
  <c r="E493" i="3"/>
  <c r="C494" i="3"/>
  <c r="D494" i="3"/>
  <c r="B494" i="3"/>
  <c r="E494" i="3"/>
  <c r="C495" i="3"/>
  <c r="D495" i="3"/>
  <c r="B495" i="3"/>
  <c r="E495" i="3"/>
  <c r="C496" i="3"/>
  <c r="D496" i="3"/>
  <c r="B496" i="3"/>
  <c r="E496" i="3"/>
  <c r="A497" i="3"/>
  <c r="C497" i="3"/>
  <c r="D497" i="3"/>
  <c r="B497" i="3"/>
  <c r="E497" i="3"/>
  <c r="C498" i="3"/>
  <c r="D498" i="3"/>
  <c r="B498" i="3"/>
  <c r="E498" i="3"/>
  <c r="A499" i="3"/>
  <c r="C499" i="3"/>
  <c r="D499" i="3"/>
  <c r="B499" i="3"/>
  <c r="E499" i="3"/>
  <c r="C500" i="3"/>
  <c r="D500" i="3"/>
  <c r="B500" i="3"/>
  <c r="E500" i="3"/>
  <c r="A501" i="3"/>
  <c r="C501" i="3"/>
  <c r="D501" i="3"/>
  <c r="B501" i="3"/>
  <c r="E501" i="3"/>
  <c r="C502" i="3"/>
  <c r="D502" i="3"/>
  <c r="B502" i="3"/>
  <c r="E502" i="3"/>
  <c r="C503" i="3"/>
  <c r="D503" i="3"/>
  <c r="B503" i="3"/>
  <c r="E503" i="3"/>
  <c r="C504" i="3"/>
  <c r="D504" i="3"/>
  <c r="B504" i="3"/>
  <c r="E504" i="3"/>
  <c r="A505" i="3"/>
  <c r="C505" i="3"/>
  <c r="D505" i="3"/>
  <c r="B505" i="3"/>
  <c r="E505" i="3"/>
  <c r="C506" i="3"/>
  <c r="D506" i="3"/>
  <c r="B506" i="3"/>
  <c r="E506" i="3"/>
  <c r="A507" i="3"/>
  <c r="C507" i="3"/>
  <c r="D507" i="3"/>
  <c r="B507" i="3"/>
  <c r="E507" i="3"/>
  <c r="C508" i="3"/>
  <c r="D508" i="3"/>
  <c r="B508" i="3"/>
  <c r="E508" i="3"/>
  <c r="A509" i="3"/>
  <c r="C509" i="3"/>
  <c r="D509" i="3"/>
  <c r="B509" i="3"/>
  <c r="E509" i="3"/>
  <c r="C510" i="3"/>
  <c r="D510" i="3"/>
  <c r="B510" i="3"/>
  <c r="E510" i="3"/>
  <c r="C511" i="3"/>
  <c r="D511" i="3"/>
  <c r="B511" i="3"/>
  <c r="E511" i="3"/>
  <c r="A512" i="3"/>
  <c r="C512" i="3"/>
  <c r="D512" i="3"/>
  <c r="B512" i="3"/>
  <c r="E512" i="3"/>
  <c r="C513" i="3"/>
  <c r="D513" i="3"/>
  <c r="B513" i="3"/>
  <c r="E513" i="3"/>
  <c r="A514" i="3"/>
  <c r="C514" i="3"/>
  <c r="D514" i="3"/>
  <c r="B514" i="3"/>
  <c r="E514" i="3"/>
  <c r="C515" i="3"/>
  <c r="D515" i="3"/>
  <c r="B515" i="3"/>
  <c r="E515" i="3"/>
  <c r="A516" i="3"/>
  <c r="C516" i="3"/>
  <c r="D516" i="3"/>
  <c r="B516" i="3"/>
  <c r="E516" i="3"/>
  <c r="C517" i="3"/>
  <c r="D517" i="3"/>
  <c r="B517" i="3"/>
  <c r="E517" i="3"/>
  <c r="A518" i="3"/>
  <c r="C518" i="3"/>
  <c r="D518" i="3"/>
  <c r="B518" i="3"/>
  <c r="E518" i="3"/>
  <c r="C519" i="3"/>
  <c r="D519" i="3"/>
  <c r="B519" i="3"/>
  <c r="E519" i="3"/>
  <c r="A520" i="3"/>
  <c r="C520" i="3"/>
  <c r="D520" i="3"/>
  <c r="B520" i="3"/>
  <c r="E520" i="3"/>
  <c r="C521" i="3"/>
  <c r="D521" i="3"/>
  <c r="B521" i="3"/>
  <c r="E521" i="3"/>
  <c r="A522" i="3"/>
  <c r="C522" i="3"/>
  <c r="D522" i="3"/>
  <c r="B522" i="3"/>
  <c r="E522" i="3"/>
  <c r="C523" i="3"/>
  <c r="D523" i="3"/>
  <c r="B523" i="3"/>
  <c r="E523" i="3"/>
  <c r="A524" i="3"/>
  <c r="C524" i="3"/>
  <c r="D524" i="3"/>
  <c r="B524" i="3"/>
  <c r="E524" i="3"/>
  <c r="C525" i="3"/>
  <c r="D525" i="3"/>
  <c r="B525" i="3"/>
  <c r="E525" i="3"/>
  <c r="A526" i="3"/>
  <c r="C526" i="3"/>
  <c r="D526" i="3"/>
  <c r="B526" i="3"/>
  <c r="E526" i="3"/>
  <c r="C527" i="3"/>
  <c r="D527" i="3"/>
  <c r="B527" i="3"/>
  <c r="E527" i="3"/>
  <c r="A528" i="3"/>
  <c r="C528" i="3"/>
  <c r="D528" i="3"/>
  <c r="B528" i="3"/>
  <c r="E528" i="3"/>
  <c r="C529" i="3"/>
  <c r="D529" i="3"/>
  <c r="B529" i="3"/>
  <c r="E529" i="3"/>
  <c r="A530" i="3"/>
  <c r="C530" i="3"/>
  <c r="D530" i="3"/>
  <c r="B530" i="3"/>
  <c r="E530" i="3"/>
  <c r="C531" i="3"/>
  <c r="D531" i="3"/>
  <c r="B531" i="3"/>
  <c r="E531" i="3"/>
  <c r="A532" i="3"/>
  <c r="C532" i="3"/>
  <c r="D532" i="3"/>
  <c r="B532" i="3"/>
  <c r="E532" i="3"/>
  <c r="C533" i="3"/>
  <c r="D533" i="3"/>
  <c r="B533" i="3"/>
  <c r="E533" i="3"/>
  <c r="A534" i="3"/>
  <c r="C534" i="3"/>
  <c r="D534" i="3"/>
  <c r="B534" i="3"/>
  <c r="E534" i="3"/>
  <c r="C535" i="3"/>
  <c r="D535" i="3"/>
  <c r="B535" i="3"/>
  <c r="E535" i="3"/>
  <c r="A536" i="3"/>
  <c r="C536" i="3"/>
  <c r="D536" i="3"/>
  <c r="B536" i="3"/>
  <c r="E536" i="3"/>
  <c r="C537" i="3"/>
  <c r="D537" i="3"/>
  <c r="B537" i="3"/>
  <c r="E537" i="3"/>
  <c r="A538" i="3"/>
  <c r="C538" i="3"/>
  <c r="D538" i="3"/>
  <c r="B538" i="3"/>
  <c r="E538" i="3"/>
  <c r="C539" i="3"/>
  <c r="D539" i="3"/>
  <c r="B539" i="3"/>
  <c r="E539" i="3"/>
  <c r="A540" i="3"/>
  <c r="C540" i="3"/>
  <c r="D540" i="3"/>
  <c r="B540" i="3"/>
  <c r="E540" i="3"/>
  <c r="C541" i="3"/>
  <c r="D541" i="3"/>
  <c r="B541" i="3"/>
  <c r="E541" i="3"/>
  <c r="A542" i="3"/>
  <c r="C542" i="3"/>
  <c r="D542" i="3"/>
  <c r="B542" i="3"/>
  <c r="E542" i="3"/>
  <c r="C543" i="3"/>
  <c r="D543" i="3"/>
  <c r="B543" i="3"/>
  <c r="E543" i="3"/>
  <c r="A544" i="3"/>
  <c r="C544" i="3"/>
  <c r="D544" i="3"/>
  <c r="B544" i="3"/>
  <c r="E544" i="3"/>
  <c r="C545" i="3"/>
  <c r="D545" i="3"/>
  <c r="B545" i="3"/>
  <c r="E545" i="3"/>
  <c r="A546" i="3"/>
  <c r="C546" i="3"/>
  <c r="D546" i="3"/>
  <c r="B546" i="3"/>
  <c r="E546" i="3"/>
  <c r="C547" i="3"/>
  <c r="D547" i="3"/>
  <c r="B547" i="3"/>
  <c r="E547" i="3"/>
  <c r="A548" i="3"/>
  <c r="C548" i="3"/>
  <c r="D548" i="3"/>
  <c r="B548" i="3"/>
  <c r="E548" i="3"/>
  <c r="C549" i="3"/>
  <c r="D549" i="3"/>
  <c r="B549" i="3"/>
  <c r="E549" i="3"/>
  <c r="A550" i="3"/>
  <c r="C550" i="3"/>
  <c r="D550" i="3"/>
  <c r="B550" i="3"/>
  <c r="E550" i="3"/>
  <c r="C551" i="3"/>
  <c r="D551" i="3"/>
  <c r="B551" i="3"/>
  <c r="E551" i="3"/>
  <c r="A552" i="3"/>
  <c r="C552" i="3"/>
  <c r="D552" i="3"/>
  <c r="B552" i="3"/>
  <c r="E552" i="3"/>
  <c r="C553" i="3"/>
  <c r="D553" i="3"/>
  <c r="B553" i="3"/>
  <c r="E553" i="3"/>
  <c r="A554" i="3"/>
  <c r="C554" i="3"/>
  <c r="D554" i="3"/>
  <c r="B554" i="3"/>
  <c r="E554" i="3"/>
  <c r="C555" i="3"/>
  <c r="D555" i="3"/>
  <c r="B555" i="3"/>
  <c r="E555" i="3"/>
  <c r="A556" i="3"/>
  <c r="C556" i="3"/>
  <c r="D556" i="3"/>
  <c r="B556" i="3"/>
  <c r="E556" i="3"/>
  <c r="C557" i="3"/>
  <c r="D557" i="3"/>
  <c r="B557" i="3"/>
  <c r="E557" i="3"/>
  <c r="A558" i="3"/>
  <c r="C558" i="3"/>
  <c r="D558" i="3"/>
  <c r="B558" i="3"/>
  <c r="E558" i="3"/>
  <c r="C559" i="3"/>
  <c r="D559" i="3"/>
  <c r="B559" i="3"/>
  <c r="E559" i="3"/>
  <c r="A560" i="3"/>
  <c r="C560" i="3"/>
  <c r="D560" i="3"/>
  <c r="B560" i="3"/>
  <c r="E560" i="3"/>
  <c r="C561" i="3"/>
  <c r="D561" i="3"/>
  <c r="B561" i="3"/>
  <c r="E561" i="3"/>
  <c r="A562" i="3"/>
  <c r="C562" i="3"/>
  <c r="D562" i="3"/>
  <c r="B562" i="3"/>
  <c r="E562" i="3"/>
  <c r="C563" i="3"/>
  <c r="D563" i="3"/>
  <c r="B563" i="3"/>
  <c r="E563" i="3"/>
  <c r="A564" i="3"/>
  <c r="C564" i="3"/>
  <c r="D564" i="3"/>
  <c r="B564" i="3"/>
  <c r="E564" i="3"/>
  <c r="C565" i="3"/>
  <c r="D565" i="3"/>
  <c r="B565" i="3"/>
  <c r="E565" i="3"/>
  <c r="A566" i="3"/>
  <c r="C566" i="3"/>
  <c r="D566" i="3"/>
  <c r="B566" i="3"/>
  <c r="E566" i="3"/>
  <c r="C567" i="3"/>
  <c r="D567" i="3"/>
  <c r="B567" i="3"/>
  <c r="E567" i="3"/>
  <c r="A568" i="3"/>
  <c r="C568" i="3"/>
  <c r="D568" i="3"/>
  <c r="B568" i="3"/>
  <c r="E568" i="3"/>
  <c r="C569" i="3"/>
  <c r="D569" i="3"/>
  <c r="B569" i="3"/>
  <c r="E569" i="3"/>
  <c r="A570" i="3"/>
  <c r="C570" i="3"/>
  <c r="D570" i="3"/>
  <c r="B570" i="3"/>
  <c r="E570" i="3"/>
  <c r="C571" i="3"/>
  <c r="D571" i="3"/>
  <c r="B571" i="3"/>
  <c r="E571" i="3"/>
  <c r="A572" i="3"/>
  <c r="C572" i="3"/>
  <c r="D572" i="3"/>
  <c r="B572" i="3"/>
  <c r="E572" i="3"/>
  <c r="C573" i="3"/>
  <c r="D573" i="3"/>
  <c r="B573" i="3"/>
  <c r="E573" i="3"/>
  <c r="A574" i="3"/>
  <c r="C574" i="3"/>
  <c r="D574" i="3"/>
  <c r="B574" i="3"/>
  <c r="E574" i="3"/>
  <c r="C575" i="3"/>
  <c r="D575" i="3"/>
  <c r="B575" i="3"/>
  <c r="E575" i="3"/>
  <c r="A576" i="3"/>
  <c r="C576" i="3"/>
  <c r="D576" i="3"/>
  <c r="B576" i="3"/>
  <c r="E576" i="3"/>
  <c r="C577" i="3"/>
  <c r="D577" i="3"/>
  <c r="B577" i="3"/>
  <c r="E577" i="3"/>
  <c r="A578" i="3"/>
  <c r="C578" i="3"/>
  <c r="D578" i="3"/>
  <c r="B578" i="3"/>
  <c r="E578" i="3"/>
  <c r="C579" i="3"/>
  <c r="D579" i="3"/>
  <c r="B579" i="3"/>
  <c r="E579" i="3"/>
  <c r="A580" i="3"/>
  <c r="C580" i="3"/>
  <c r="D580" i="3"/>
  <c r="B580" i="3"/>
  <c r="E580" i="3"/>
  <c r="C581" i="3"/>
  <c r="D581" i="3"/>
  <c r="B581" i="3"/>
  <c r="E581" i="3"/>
  <c r="A582" i="3"/>
  <c r="C582" i="3"/>
  <c r="D582" i="3"/>
  <c r="B582" i="3"/>
  <c r="E582" i="3"/>
  <c r="C583" i="3"/>
  <c r="D583" i="3"/>
  <c r="B583" i="3"/>
  <c r="E583" i="3"/>
  <c r="A584" i="3"/>
  <c r="C584" i="3"/>
  <c r="D584" i="3"/>
  <c r="B584" i="3"/>
  <c r="E584" i="3"/>
  <c r="C585" i="3"/>
  <c r="D585" i="3"/>
  <c r="B585" i="3"/>
  <c r="E585" i="3"/>
  <c r="A586" i="3"/>
  <c r="C586" i="3"/>
  <c r="D586" i="3"/>
  <c r="B586" i="3"/>
  <c r="E586" i="3"/>
  <c r="C587" i="3"/>
  <c r="D587" i="3"/>
  <c r="B587" i="3"/>
  <c r="E587" i="3"/>
  <c r="A588" i="3"/>
  <c r="C588" i="3"/>
  <c r="D588" i="3"/>
  <c r="B588" i="3"/>
  <c r="E588" i="3"/>
  <c r="C589" i="3"/>
  <c r="D589" i="3"/>
  <c r="B589" i="3"/>
  <c r="E589" i="3"/>
  <c r="A590" i="3"/>
  <c r="C590" i="3"/>
  <c r="D590" i="3"/>
  <c r="B590" i="3"/>
  <c r="E590" i="3"/>
  <c r="C591" i="3"/>
  <c r="D591" i="3"/>
  <c r="B591" i="3"/>
  <c r="E591" i="3"/>
  <c r="A592" i="3"/>
  <c r="C592" i="3"/>
  <c r="D592" i="3"/>
  <c r="B592" i="3"/>
  <c r="E592" i="3"/>
  <c r="C593" i="3"/>
  <c r="D593" i="3"/>
  <c r="B593" i="3"/>
  <c r="E593" i="3"/>
  <c r="A594" i="3"/>
  <c r="C594" i="3"/>
  <c r="D594" i="3"/>
  <c r="B594" i="3"/>
  <c r="E594" i="3"/>
  <c r="C595" i="3"/>
  <c r="D595" i="3"/>
  <c r="B595" i="3"/>
  <c r="E595" i="3"/>
  <c r="A596" i="3"/>
  <c r="C596" i="3"/>
  <c r="D596" i="3"/>
  <c r="B596" i="3"/>
  <c r="E596" i="3"/>
  <c r="C597" i="3"/>
  <c r="D597" i="3"/>
  <c r="B597" i="3"/>
  <c r="E597" i="3"/>
  <c r="A598" i="3"/>
  <c r="C598" i="3"/>
  <c r="D598" i="3"/>
  <c r="B598" i="3"/>
  <c r="E598" i="3"/>
  <c r="C599" i="3"/>
  <c r="D599" i="3"/>
  <c r="B599" i="3"/>
  <c r="E599" i="3"/>
  <c r="A600" i="3"/>
  <c r="C600" i="3"/>
  <c r="D600" i="3"/>
  <c r="B600" i="3"/>
  <c r="E600" i="3"/>
  <c r="C601" i="3"/>
  <c r="D601" i="3"/>
  <c r="B601" i="3"/>
  <c r="E601" i="3"/>
  <c r="A602" i="3"/>
  <c r="C602" i="3"/>
  <c r="D602" i="3"/>
  <c r="B602" i="3"/>
  <c r="E602" i="3"/>
  <c r="C603" i="3"/>
  <c r="D603" i="3"/>
  <c r="B603" i="3"/>
  <c r="E603" i="3"/>
  <c r="A604" i="3"/>
  <c r="C604" i="3"/>
  <c r="D604" i="3"/>
  <c r="B604" i="3"/>
  <c r="E604" i="3"/>
  <c r="C605" i="3"/>
  <c r="D605" i="3"/>
  <c r="B605" i="3"/>
  <c r="E605" i="3"/>
  <c r="A606" i="3"/>
  <c r="C606" i="3"/>
  <c r="D606" i="3"/>
  <c r="B606" i="3"/>
  <c r="E606" i="3"/>
  <c r="C607" i="3"/>
  <c r="D607" i="3"/>
  <c r="B607" i="3"/>
  <c r="E607" i="3"/>
  <c r="A608" i="3"/>
  <c r="C608" i="3"/>
  <c r="D608" i="3"/>
  <c r="B608" i="3"/>
  <c r="E608" i="3"/>
  <c r="C609" i="3"/>
  <c r="D609" i="3"/>
  <c r="B609" i="3"/>
  <c r="E609" i="3"/>
  <c r="A610" i="3"/>
  <c r="C610" i="3"/>
  <c r="D610" i="3"/>
  <c r="B610" i="3"/>
  <c r="E610" i="3"/>
  <c r="C611" i="3"/>
  <c r="D611" i="3"/>
  <c r="B611" i="3"/>
  <c r="E611" i="3"/>
  <c r="A612" i="3"/>
  <c r="C612" i="3"/>
  <c r="D612" i="3"/>
  <c r="B612" i="3"/>
  <c r="E612" i="3"/>
  <c r="C613" i="3"/>
  <c r="D613" i="3"/>
  <c r="B613" i="3"/>
  <c r="E613" i="3"/>
  <c r="A614" i="3"/>
  <c r="C614" i="3"/>
  <c r="D614" i="3"/>
  <c r="B614" i="3"/>
  <c r="E614" i="3"/>
  <c r="C615" i="3"/>
  <c r="D615" i="3"/>
  <c r="B615" i="3"/>
  <c r="E615" i="3"/>
  <c r="A616" i="3"/>
  <c r="C616" i="3"/>
  <c r="D616" i="3"/>
  <c r="B616" i="3"/>
  <c r="E616" i="3"/>
  <c r="C617" i="3"/>
  <c r="D617" i="3"/>
  <c r="B617" i="3"/>
  <c r="E617" i="3"/>
  <c r="A618" i="3"/>
  <c r="C618" i="3"/>
  <c r="D618" i="3"/>
  <c r="B618" i="3"/>
  <c r="E618" i="3"/>
  <c r="C619" i="3"/>
  <c r="D619" i="3"/>
  <c r="B619" i="3"/>
  <c r="E619" i="3"/>
  <c r="A620" i="3"/>
  <c r="C620" i="3"/>
  <c r="D620" i="3"/>
  <c r="B620" i="3"/>
  <c r="E620" i="3"/>
  <c r="C621" i="3"/>
  <c r="D621" i="3"/>
  <c r="B621" i="3"/>
  <c r="E621" i="3"/>
  <c r="A622" i="3"/>
  <c r="C622" i="3"/>
  <c r="D622" i="3"/>
  <c r="B622" i="3"/>
  <c r="E622" i="3"/>
  <c r="C623" i="3"/>
  <c r="D623" i="3"/>
  <c r="B623" i="3"/>
  <c r="E623" i="3"/>
  <c r="A624" i="3"/>
  <c r="C624" i="3"/>
  <c r="D624" i="3"/>
  <c r="B624" i="3"/>
  <c r="E624" i="3"/>
  <c r="C625" i="3"/>
  <c r="D625" i="3"/>
  <c r="B625" i="3"/>
  <c r="E625" i="3"/>
  <c r="A626" i="3"/>
  <c r="C626" i="3"/>
  <c r="D626" i="3"/>
  <c r="B626" i="3"/>
  <c r="E626" i="3"/>
  <c r="C627" i="3"/>
  <c r="D627" i="3"/>
  <c r="B627" i="3"/>
  <c r="E627" i="3"/>
  <c r="A628" i="3"/>
  <c r="C628" i="3"/>
  <c r="D628" i="3"/>
  <c r="B628" i="3"/>
  <c r="E628" i="3"/>
  <c r="C629" i="3"/>
  <c r="D629" i="3"/>
  <c r="B629" i="3"/>
  <c r="E629" i="3"/>
  <c r="A630" i="3"/>
  <c r="C630" i="3"/>
  <c r="D630" i="3"/>
  <c r="B630" i="3"/>
  <c r="E630" i="3"/>
  <c r="C631" i="3"/>
  <c r="D631" i="3"/>
  <c r="B631" i="3"/>
  <c r="E631" i="3"/>
  <c r="A632" i="3"/>
  <c r="C632" i="3"/>
  <c r="D632" i="3"/>
  <c r="B632" i="3"/>
  <c r="E632" i="3"/>
  <c r="C633" i="3"/>
  <c r="D633" i="3"/>
  <c r="B633" i="3"/>
  <c r="E633" i="3"/>
  <c r="A634" i="3"/>
  <c r="C634" i="3"/>
  <c r="D634" i="3"/>
  <c r="B634" i="3"/>
  <c r="E634" i="3"/>
  <c r="C635" i="3"/>
  <c r="D635" i="3"/>
  <c r="B635" i="3"/>
  <c r="E635" i="3"/>
  <c r="A636" i="3"/>
  <c r="C636" i="3"/>
  <c r="D636" i="3"/>
  <c r="B636" i="3"/>
  <c r="E636" i="3"/>
  <c r="C637" i="3"/>
  <c r="D637" i="3"/>
  <c r="B637" i="3"/>
  <c r="E637" i="3"/>
  <c r="A638" i="3"/>
  <c r="C638" i="3"/>
  <c r="D638" i="3"/>
  <c r="B638" i="3"/>
  <c r="E638" i="3"/>
  <c r="C639" i="3"/>
  <c r="D639" i="3"/>
  <c r="B639" i="3"/>
  <c r="E639" i="3"/>
  <c r="A640" i="3"/>
  <c r="C640" i="3"/>
  <c r="D640" i="3"/>
  <c r="B640" i="3"/>
  <c r="E640" i="3"/>
  <c r="C641" i="3"/>
  <c r="D641" i="3"/>
  <c r="B641" i="3"/>
  <c r="E641" i="3"/>
  <c r="A642" i="3"/>
  <c r="C642" i="3"/>
  <c r="D642" i="3"/>
  <c r="B642" i="3"/>
  <c r="E642" i="3"/>
  <c r="C643" i="3"/>
  <c r="D643" i="3"/>
  <c r="B643" i="3"/>
  <c r="E643" i="3"/>
  <c r="A644" i="3"/>
  <c r="C644" i="3"/>
  <c r="D644" i="3"/>
  <c r="B644" i="3"/>
  <c r="E644" i="3"/>
  <c r="C645" i="3"/>
  <c r="D645" i="3"/>
  <c r="B645" i="3"/>
  <c r="E645" i="3"/>
  <c r="A646" i="3"/>
  <c r="C646" i="3"/>
  <c r="D646" i="3"/>
  <c r="B646" i="3"/>
  <c r="E646" i="3"/>
  <c r="C647" i="3"/>
  <c r="D647" i="3"/>
  <c r="B647" i="3"/>
  <c r="E647" i="3"/>
  <c r="A648" i="3"/>
  <c r="C648" i="3"/>
  <c r="D648" i="3"/>
  <c r="B648" i="3"/>
  <c r="E648" i="3"/>
  <c r="C649" i="3"/>
  <c r="D649" i="3"/>
  <c r="B649" i="3"/>
  <c r="E649" i="3"/>
  <c r="A650" i="3"/>
  <c r="C650" i="3"/>
  <c r="D650" i="3"/>
  <c r="B650" i="3"/>
  <c r="E650" i="3"/>
  <c r="C651" i="3"/>
  <c r="D651" i="3"/>
  <c r="B651" i="3"/>
  <c r="E651" i="3"/>
  <c r="A652" i="3"/>
  <c r="C652" i="3"/>
  <c r="D652" i="3"/>
  <c r="B652" i="3"/>
  <c r="E652" i="3"/>
  <c r="C653" i="3"/>
  <c r="D653" i="3"/>
  <c r="B653" i="3"/>
  <c r="E653" i="3"/>
  <c r="A654" i="3"/>
  <c r="C654" i="3"/>
  <c r="D654" i="3"/>
  <c r="B654" i="3"/>
  <c r="E654" i="3"/>
  <c r="C655" i="3"/>
  <c r="D655" i="3"/>
  <c r="B655" i="3"/>
  <c r="E655" i="3"/>
  <c r="A656" i="3"/>
  <c r="C656" i="3"/>
  <c r="D656" i="3"/>
  <c r="B656" i="3"/>
  <c r="E656" i="3"/>
  <c r="C657" i="3"/>
  <c r="D657" i="3"/>
  <c r="B657" i="3"/>
  <c r="E657" i="3"/>
  <c r="A658" i="3"/>
  <c r="C658" i="3"/>
  <c r="D658" i="3"/>
  <c r="B658" i="3"/>
  <c r="E658" i="3"/>
  <c r="C659" i="3"/>
  <c r="D659" i="3"/>
  <c r="B659" i="3"/>
  <c r="E659" i="3"/>
  <c r="A660" i="3"/>
  <c r="C660" i="3"/>
  <c r="D660" i="3"/>
  <c r="B660" i="3"/>
  <c r="E660" i="3"/>
  <c r="C661" i="3"/>
  <c r="D661" i="3"/>
  <c r="B661" i="3"/>
  <c r="E661" i="3"/>
  <c r="A662" i="3"/>
  <c r="C662" i="3"/>
  <c r="D662" i="3"/>
  <c r="B662" i="3"/>
  <c r="E662" i="3"/>
  <c r="C663" i="3"/>
  <c r="D663" i="3"/>
  <c r="B663" i="3"/>
  <c r="E663" i="3"/>
  <c r="A664" i="3"/>
  <c r="C664" i="3"/>
  <c r="D664" i="3"/>
  <c r="B664" i="3"/>
  <c r="E664" i="3"/>
  <c r="C665" i="3"/>
  <c r="D665" i="3"/>
  <c r="B665" i="3"/>
  <c r="E665" i="3"/>
  <c r="A666" i="3"/>
  <c r="C666" i="3"/>
  <c r="D666" i="3"/>
  <c r="B666" i="3"/>
  <c r="E666" i="3"/>
  <c r="C667" i="3"/>
  <c r="D667" i="3"/>
  <c r="B667" i="3"/>
  <c r="E667" i="3"/>
  <c r="A668" i="3"/>
  <c r="C668" i="3"/>
  <c r="D668" i="3"/>
  <c r="B668" i="3"/>
  <c r="E668" i="3"/>
  <c r="C669" i="3"/>
  <c r="D669" i="3"/>
  <c r="B669" i="3"/>
  <c r="E669" i="3"/>
  <c r="A670" i="3"/>
  <c r="C670" i="3"/>
  <c r="D670" i="3"/>
  <c r="B670" i="3"/>
  <c r="E670" i="3"/>
  <c r="C671" i="3"/>
  <c r="D671" i="3"/>
  <c r="B671" i="3"/>
  <c r="E671" i="3"/>
  <c r="A672" i="3"/>
  <c r="C672" i="3"/>
  <c r="D672" i="3"/>
  <c r="B672" i="3"/>
  <c r="E672" i="3"/>
  <c r="C673" i="3"/>
  <c r="D673" i="3"/>
  <c r="B673" i="3"/>
  <c r="E673" i="3"/>
  <c r="A674" i="3"/>
  <c r="C674" i="3"/>
  <c r="D674" i="3"/>
  <c r="B674" i="3"/>
  <c r="E674" i="3"/>
  <c r="C675" i="3"/>
  <c r="D675" i="3"/>
  <c r="B675" i="3"/>
  <c r="E675" i="3"/>
  <c r="A676" i="3"/>
  <c r="C676" i="3"/>
  <c r="D676" i="3"/>
  <c r="B676" i="3"/>
  <c r="E676" i="3"/>
  <c r="C677" i="3"/>
  <c r="D677" i="3"/>
  <c r="B677" i="3"/>
  <c r="E677" i="3"/>
  <c r="A678" i="3"/>
  <c r="C678" i="3"/>
  <c r="D678" i="3"/>
  <c r="B678" i="3"/>
  <c r="E678" i="3"/>
  <c r="C679" i="3"/>
  <c r="D679" i="3"/>
  <c r="B679" i="3"/>
  <c r="E679" i="3"/>
  <c r="A680" i="3"/>
  <c r="C680" i="3"/>
  <c r="D680" i="3"/>
  <c r="B680" i="3"/>
  <c r="E680" i="3"/>
  <c r="C681" i="3"/>
  <c r="D681" i="3"/>
  <c r="B681" i="3"/>
  <c r="E681" i="3"/>
  <c r="A682" i="3"/>
  <c r="C682" i="3"/>
  <c r="D682" i="3"/>
  <c r="B682" i="3"/>
  <c r="E682" i="3"/>
  <c r="C683" i="3"/>
  <c r="D683" i="3"/>
  <c r="B683" i="3"/>
  <c r="E683" i="3"/>
  <c r="A684" i="3"/>
  <c r="C684" i="3"/>
  <c r="D684" i="3"/>
  <c r="B684" i="3"/>
  <c r="E684" i="3"/>
  <c r="C685" i="3"/>
  <c r="D685" i="3"/>
  <c r="B685" i="3"/>
  <c r="E685" i="3"/>
  <c r="A686" i="3"/>
  <c r="C686" i="3"/>
  <c r="D686" i="3"/>
  <c r="B686" i="3"/>
  <c r="E686" i="3"/>
  <c r="C687" i="3"/>
  <c r="D687" i="3"/>
  <c r="B687" i="3"/>
  <c r="E687" i="3"/>
  <c r="A688" i="3"/>
  <c r="C688" i="3"/>
  <c r="D688" i="3"/>
  <c r="B688" i="3"/>
  <c r="E688" i="3"/>
  <c r="C689" i="3"/>
  <c r="D689" i="3"/>
  <c r="B689" i="3"/>
  <c r="E689" i="3"/>
  <c r="A690" i="3"/>
  <c r="C690" i="3"/>
  <c r="D690" i="3"/>
  <c r="B690" i="3"/>
  <c r="E690" i="3"/>
  <c r="C691" i="3"/>
  <c r="D691" i="3"/>
  <c r="B691" i="3"/>
  <c r="E691" i="3"/>
  <c r="A692" i="3"/>
  <c r="C692" i="3"/>
  <c r="D692" i="3"/>
  <c r="B692" i="3"/>
  <c r="E692" i="3"/>
  <c r="C693" i="3"/>
  <c r="D693" i="3"/>
  <c r="B693" i="3"/>
  <c r="E693" i="3"/>
  <c r="A694" i="3"/>
  <c r="C694" i="3"/>
  <c r="D694" i="3"/>
  <c r="B694" i="3"/>
  <c r="E694" i="3"/>
  <c r="C695" i="3"/>
  <c r="D695" i="3"/>
  <c r="B695" i="3"/>
  <c r="E695" i="3"/>
  <c r="A696" i="3"/>
  <c r="C696" i="3"/>
  <c r="D696" i="3"/>
  <c r="B696" i="3"/>
  <c r="E696" i="3"/>
  <c r="C697" i="3"/>
  <c r="D697" i="3"/>
  <c r="B697" i="3"/>
  <c r="E697" i="3"/>
  <c r="A698" i="3"/>
  <c r="C698" i="3"/>
  <c r="D698" i="3"/>
  <c r="B698" i="3"/>
  <c r="E698" i="3"/>
  <c r="C699" i="3"/>
  <c r="D699" i="3"/>
  <c r="B699" i="3"/>
  <c r="E699" i="3"/>
  <c r="A700" i="3"/>
  <c r="C700" i="3"/>
  <c r="D700" i="3"/>
  <c r="B700" i="3"/>
  <c r="E700" i="3"/>
  <c r="C701" i="3"/>
  <c r="D701" i="3"/>
  <c r="B701" i="3"/>
  <c r="E701" i="3"/>
  <c r="A702" i="3"/>
  <c r="C702" i="3"/>
  <c r="D702" i="3"/>
  <c r="B702" i="3"/>
  <c r="E702" i="3"/>
  <c r="C703" i="3"/>
  <c r="D703" i="3"/>
  <c r="B703" i="3"/>
  <c r="E703" i="3"/>
  <c r="A704" i="3"/>
  <c r="C704" i="3"/>
  <c r="D704" i="3"/>
  <c r="B704" i="3"/>
  <c r="E704" i="3"/>
  <c r="C705" i="3"/>
  <c r="D705" i="3"/>
  <c r="B705" i="3"/>
  <c r="E705" i="3"/>
  <c r="A706" i="3"/>
  <c r="C706" i="3"/>
  <c r="D706" i="3"/>
  <c r="B706" i="3"/>
  <c r="E706" i="3"/>
  <c r="C707" i="3"/>
  <c r="D707" i="3"/>
  <c r="B707" i="3"/>
  <c r="E707" i="3"/>
  <c r="A708" i="3"/>
  <c r="C708" i="3"/>
  <c r="D708" i="3"/>
  <c r="B708" i="3"/>
  <c r="E708" i="3"/>
  <c r="C709" i="3"/>
  <c r="D709" i="3"/>
  <c r="B709" i="3"/>
  <c r="E709" i="3"/>
  <c r="A710" i="3"/>
  <c r="C710" i="3"/>
  <c r="D710" i="3"/>
  <c r="B710" i="3"/>
  <c r="E710" i="3"/>
  <c r="C711" i="3"/>
  <c r="D711" i="3"/>
  <c r="B711" i="3"/>
  <c r="E711" i="3"/>
  <c r="A712" i="3"/>
  <c r="C712" i="3"/>
  <c r="D712" i="3"/>
  <c r="B712" i="3"/>
  <c r="E712" i="3"/>
  <c r="C713" i="3"/>
  <c r="D713" i="3"/>
  <c r="B713" i="3"/>
  <c r="E713" i="3"/>
  <c r="A714" i="3"/>
  <c r="C714" i="3"/>
  <c r="D714" i="3"/>
  <c r="B714" i="3"/>
  <c r="E714" i="3"/>
  <c r="C715" i="3"/>
  <c r="D715" i="3"/>
  <c r="B715" i="3"/>
  <c r="E715" i="3"/>
  <c r="A716" i="3"/>
  <c r="C716" i="3"/>
  <c r="D716" i="3"/>
  <c r="B716" i="3"/>
  <c r="E716" i="3"/>
  <c r="C717" i="3"/>
  <c r="D717" i="3"/>
  <c r="B717" i="3"/>
  <c r="E717" i="3"/>
  <c r="A718" i="3"/>
  <c r="C718" i="3"/>
  <c r="D718" i="3"/>
  <c r="B718" i="3"/>
  <c r="E718" i="3"/>
  <c r="C719" i="3"/>
  <c r="D719" i="3"/>
  <c r="B719" i="3"/>
  <c r="E719" i="3"/>
  <c r="A720" i="3"/>
  <c r="C720" i="3"/>
  <c r="D720" i="3"/>
  <c r="B720" i="3"/>
  <c r="E720" i="3"/>
  <c r="C721" i="3"/>
  <c r="D721" i="3"/>
  <c r="B721" i="3"/>
  <c r="E721" i="3"/>
  <c r="A722" i="3"/>
  <c r="C722" i="3"/>
  <c r="D722" i="3"/>
  <c r="B722" i="3"/>
  <c r="E722" i="3"/>
  <c r="C723" i="3"/>
  <c r="D723" i="3"/>
  <c r="B723" i="3"/>
  <c r="E723" i="3"/>
  <c r="A724" i="3"/>
  <c r="C724" i="3"/>
  <c r="D724" i="3"/>
  <c r="B724" i="3"/>
  <c r="E724" i="3"/>
  <c r="C725" i="3"/>
  <c r="D725" i="3"/>
  <c r="B725" i="3"/>
  <c r="E725" i="3"/>
  <c r="A726" i="3"/>
  <c r="C726" i="3"/>
  <c r="D726" i="3"/>
  <c r="B726" i="3"/>
  <c r="E726" i="3"/>
  <c r="C727" i="3"/>
  <c r="D727" i="3"/>
  <c r="B727" i="3"/>
  <c r="E727" i="3"/>
  <c r="A728" i="3"/>
  <c r="C728" i="3"/>
  <c r="D728" i="3"/>
  <c r="B728" i="3"/>
  <c r="E728" i="3"/>
  <c r="C729" i="3"/>
  <c r="D729" i="3"/>
  <c r="B729" i="3"/>
  <c r="E729" i="3"/>
  <c r="A730" i="3"/>
  <c r="C730" i="3"/>
  <c r="D730" i="3"/>
  <c r="B730" i="3"/>
  <c r="E730" i="3"/>
  <c r="C731" i="3"/>
  <c r="D731" i="3"/>
  <c r="B731" i="3"/>
  <c r="E731" i="3"/>
  <c r="A732" i="3"/>
  <c r="C732" i="3"/>
  <c r="D732" i="3"/>
  <c r="B732" i="3"/>
  <c r="E732" i="3"/>
  <c r="C733" i="3"/>
  <c r="D733" i="3"/>
  <c r="B733" i="3"/>
  <c r="E733" i="3"/>
  <c r="A734" i="3"/>
  <c r="C734" i="3"/>
  <c r="D734" i="3"/>
  <c r="B734" i="3"/>
  <c r="E734" i="3"/>
  <c r="C735" i="3"/>
  <c r="D735" i="3"/>
  <c r="B735" i="3"/>
  <c r="E735" i="3"/>
  <c r="A736" i="3"/>
  <c r="C736" i="3"/>
  <c r="D736" i="3"/>
  <c r="B736" i="3"/>
  <c r="E736" i="3"/>
  <c r="C737" i="3"/>
  <c r="D737" i="3"/>
  <c r="B737" i="3"/>
  <c r="E737" i="3"/>
  <c r="A738" i="3"/>
  <c r="C738" i="3"/>
  <c r="D738" i="3"/>
  <c r="B738" i="3"/>
  <c r="E738" i="3"/>
  <c r="C739" i="3"/>
  <c r="D739" i="3"/>
  <c r="B739" i="3"/>
  <c r="E739" i="3"/>
  <c r="A740" i="3"/>
  <c r="C740" i="3"/>
  <c r="D740" i="3"/>
  <c r="B740" i="3"/>
  <c r="E740" i="3"/>
  <c r="C741" i="3"/>
  <c r="D741" i="3"/>
  <c r="B741" i="3"/>
  <c r="E741" i="3"/>
  <c r="A742" i="3"/>
  <c r="C742" i="3"/>
  <c r="D742" i="3"/>
  <c r="B742" i="3"/>
  <c r="E742" i="3"/>
  <c r="C743" i="3"/>
  <c r="D743" i="3"/>
  <c r="B743" i="3"/>
  <c r="E743" i="3"/>
  <c r="A744" i="3"/>
  <c r="C744" i="3"/>
  <c r="D744" i="3"/>
  <c r="B744" i="3"/>
  <c r="E744" i="3"/>
  <c r="C745" i="3"/>
  <c r="D745" i="3"/>
  <c r="B745" i="3"/>
  <c r="E745" i="3"/>
  <c r="A746" i="3"/>
  <c r="C746" i="3"/>
  <c r="D746" i="3"/>
  <c r="B746" i="3"/>
  <c r="E746" i="3"/>
  <c r="C747" i="3"/>
  <c r="D747" i="3"/>
  <c r="B747" i="3"/>
  <c r="E747" i="3"/>
  <c r="A748" i="3"/>
  <c r="C748" i="3"/>
  <c r="D748" i="3"/>
  <c r="B748" i="3"/>
  <c r="E748" i="3"/>
  <c r="C749" i="3"/>
  <c r="D749" i="3"/>
  <c r="B749" i="3"/>
  <c r="E749" i="3"/>
  <c r="A750" i="3"/>
  <c r="C750" i="3"/>
  <c r="D750" i="3"/>
  <c r="B750" i="3"/>
  <c r="E750" i="3"/>
  <c r="C751" i="3"/>
  <c r="D751" i="3"/>
  <c r="B751" i="3"/>
  <c r="E751" i="3"/>
  <c r="A752" i="3"/>
  <c r="C752" i="3"/>
  <c r="D752" i="3"/>
  <c r="B752" i="3"/>
  <c r="E752" i="3"/>
  <c r="C753" i="3"/>
  <c r="D753" i="3"/>
  <c r="B753" i="3"/>
  <c r="E753" i="3"/>
  <c r="A754" i="3"/>
  <c r="C754" i="3"/>
  <c r="D754" i="3"/>
  <c r="B754" i="3"/>
  <c r="E754" i="3"/>
  <c r="C755" i="3"/>
  <c r="D755" i="3"/>
  <c r="B755" i="3"/>
  <c r="E755" i="3"/>
  <c r="A756" i="3"/>
  <c r="C756" i="3"/>
  <c r="D756" i="3"/>
  <c r="B756" i="3"/>
  <c r="E756" i="3"/>
  <c r="C757" i="3"/>
  <c r="D757" i="3"/>
  <c r="B757" i="3"/>
  <c r="E757" i="3"/>
  <c r="A758" i="3"/>
  <c r="C758" i="3"/>
  <c r="D758" i="3"/>
  <c r="B758" i="3"/>
  <c r="E758" i="3"/>
  <c r="C759" i="3"/>
  <c r="D759" i="3"/>
  <c r="B759" i="3"/>
  <c r="E759" i="3"/>
  <c r="A760" i="3"/>
  <c r="C760" i="3"/>
  <c r="D760" i="3"/>
  <c r="B760" i="3"/>
  <c r="E760" i="3"/>
  <c r="C761" i="3"/>
  <c r="D761" i="3"/>
  <c r="B761" i="3"/>
  <c r="E761" i="3"/>
  <c r="A762" i="3"/>
  <c r="C762" i="3"/>
  <c r="D762" i="3"/>
  <c r="B762" i="3"/>
  <c r="E762" i="3"/>
  <c r="C763" i="3"/>
  <c r="D763" i="3"/>
  <c r="B763" i="3"/>
  <c r="E763" i="3"/>
  <c r="A764" i="3"/>
  <c r="C764" i="3"/>
  <c r="D764" i="3"/>
  <c r="B764" i="3"/>
  <c r="E764" i="3"/>
  <c r="C765" i="3"/>
  <c r="D765" i="3"/>
  <c r="B765" i="3"/>
  <c r="E765" i="3"/>
  <c r="A766" i="3"/>
  <c r="C766" i="3"/>
  <c r="D766" i="3"/>
  <c r="B766" i="3"/>
  <c r="E766" i="3"/>
  <c r="C767" i="3"/>
  <c r="D767" i="3"/>
  <c r="B767" i="3"/>
  <c r="E767" i="3"/>
  <c r="A768" i="3"/>
  <c r="C768" i="3"/>
  <c r="D768" i="3"/>
  <c r="B768" i="3"/>
  <c r="E768" i="3"/>
  <c r="C769" i="3"/>
  <c r="D769" i="3"/>
  <c r="B769" i="3"/>
  <c r="E769" i="3"/>
  <c r="A770" i="3"/>
  <c r="C770" i="3"/>
  <c r="D770" i="3"/>
  <c r="B770" i="3"/>
  <c r="E770" i="3"/>
  <c r="C771" i="3"/>
  <c r="D771" i="3"/>
  <c r="B771" i="3"/>
  <c r="E771" i="3"/>
  <c r="A772" i="3"/>
  <c r="C772" i="3"/>
  <c r="D772" i="3"/>
  <c r="B772" i="3"/>
  <c r="E772" i="3"/>
  <c r="C773" i="3"/>
  <c r="D773" i="3"/>
  <c r="B773" i="3"/>
  <c r="E773" i="3"/>
  <c r="A774" i="3"/>
  <c r="C774" i="3"/>
  <c r="D774" i="3"/>
  <c r="B774" i="3"/>
  <c r="E774" i="3"/>
  <c r="C775" i="3"/>
  <c r="D775" i="3"/>
  <c r="B775" i="3"/>
  <c r="E775" i="3"/>
  <c r="A776" i="3"/>
  <c r="C776" i="3"/>
  <c r="D776" i="3"/>
  <c r="B776" i="3"/>
  <c r="E776" i="3"/>
  <c r="C777" i="3"/>
  <c r="D777" i="3"/>
  <c r="B777" i="3"/>
  <c r="E777" i="3"/>
  <c r="A778" i="3"/>
  <c r="C778" i="3"/>
  <c r="D778" i="3"/>
  <c r="B778" i="3"/>
  <c r="E778" i="3"/>
  <c r="C779" i="3"/>
  <c r="D779" i="3"/>
  <c r="B779" i="3"/>
  <c r="E779" i="3"/>
  <c r="A780" i="3"/>
  <c r="C780" i="3"/>
  <c r="D780" i="3"/>
  <c r="B780" i="3"/>
  <c r="E780" i="3"/>
  <c r="C781" i="3"/>
  <c r="D781" i="3"/>
  <c r="B781" i="3"/>
  <c r="E781" i="3"/>
  <c r="A782" i="3"/>
  <c r="C782" i="3"/>
  <c r="D782" i="3"/>
  <c r="B782" i="3"/>
  <c r="E782" i="3"/>
  <c r="C783" i="3"/>
  <c r="D783" i="3"/>
  <c r="B783" i="3"/>
  <c r="E783" i="3"/>
  <c r="A784" i="3"/>
  <c r="C784" i="3"/>
  <c r="D784" i="3"/>
  <c r="B784" i="3"/>
  <c r="E784" i="3"/>
  <c r="C785" i="3"/>
  <c r="D785" i="3"/>
  <c r="B785" i="3"/>
  <c r="E785" i="3"/>
  <c r="A786" i="3"/>
  <c r="C786" i="3"/>
  <c r="D786" i="3"/>
  <c r="B786" i="3"/>
  <c r="E786" i="3"/>
  <c r="C787" i="3"/>
  <c r="D787" i="3"/>
  <c r="B787" i="3"/>
  <c r="E787" i="3"/>
  <c r="A788" i="3"/>
  <c r="C788" i="3"/>
  <c r="D788" i="3"/>
  <c r="B788" i="3"/>
  <c r="E788" i="3"/>
  <c r="C789" i="3"/>
  <c r="D789" i="3"/>
  <c r="B789" i="3"/>
  <c r="E789" i="3"/>
  <c r="A790" i="3"/>
  <c r="C790" i="3"/>
  <c r="D790" i="3"/>
  <c r="B790" i="3"/>
  <c r="E790" i="3"/>
  <c r="C791" i="3"/>
  <c r="D791" i="3"/>
  <c r="B791" i="3"/>
  <c r="E791" i="3"/>
  <c r="A792" i="3"/>
  <c r="C792" i="3"/>
  <c r="D792" i="3"/>
  <c r="B792" i="3"/>
  <c r="E792" i="3"/>
  <c r="C793" i="3"/>
  <c r="D793" i="3"/>
  <c r="B793" i="3"/>
  <c r="E793" i="3"/>
  <c r="A794" i="3"/>
  <c r="C794" i="3"/>
  <c r="D794" i="3"/>
  <c r="B794" i="3"/>
  <c r="E794" i="3"/>
  <c r="C795" i="3"/>
  <c r="D795" i="3"/>
  <c r="B795" i="3"/>
  <c r="E795" i="3"/>
  <c r="A796" i="3"/>
  <c r="C796" i="3"/>
  <c r="D796" i="3"/>
  <c r="B796" i="3"/>
  <c r="E796" i="3"/>
  <c r="C797" i="3"/>
  <c r="D797" i="3"/>
  <c r="B797" i="3"/>
  <c r="E797" i="3"/>
  <c r="A798" i="3"/>
  <c r="C798" i="3"/>
  <c r="D798" i="3"/>
  <c r="B798" i="3"/>
  <c r="E798" i="3"/>
  <c r="C799" i="3"/>
  <c r="D799" i="3"/>
  <c r="B799" i="3"/>
  <c r="E799" i="3"/>
  <c r="A800" i="3"/>
  <c r="C800" i="3"/>
  <c r="D800" i="3"/>
  <c r="B800" i="3"/>
  <c r="E800" i="3"/>
  <c r="C801" i="3"/>
  <c r="D801" i="3"/>
  <c r="B801" i="3"/>
  <c r="E801" i="3"/>
  <c r="A802" i="3"/>
  <c r="C802" i="3"/>
  <c r="D802" i="3"/>
  <c r="B802" i="3"/>
  <c r="E802" i="3"/>
  <c r="C803" i="3"/>
  <c r="D803" i="3"/>
  <c r="B803" i="3"/>
  <c r="E803" i="3"/>
  <c r="A804" i="3"/>
  <c r="C804" i="3"/>
  <c r="D804" i="3"/>
  <c r="B804" i="3"/>
  <c r="E804" i="3"/>
  <c r="C805" i="3"/>
  <c r="D805" i="3"/>
  <c r="B805" i="3"/>
  <c r="E805" i="3"/>
  <c r="A806" i="3"/>
  <c r="C806" i="3"/>
  <c r="D806" i="3"/>
  <c r="B806" i="3"/>
  <c r="E806" i="3"/>
  <c r="C807" i="3"/>
  <c r="D807" i="3"/>
  <c r="B807" i="3"/>
  <c r="E807" i="3"/>
  <c r="A808" i="3"/>
  <c r="C808" i="3"/>
  <c r="D808" i="3"/>
  <c r="B808" i="3"/>
  <c r="E808" i="3"/>
  <c r="C809" i="3"/>
  <c r="D809" i="3"/>
  <c r="B809" i="3"/>
  <c r="E809" i="3"/>
  <c r="A810" i="3"/>
  <c r="C810" i="3"/>
  <c r="D810" i="3"/>
  <c r="B810" i="3"/>
  <c r="E810" i="3"/>
  <c r="C811" i="3"/>
  <c r="D811" i="3"/>
  <c r="B811" i="3"/>
  <c r="E811" i="3"/>
  <c r="A812" i="3"/>
  <c r="C812" i="3"/>
  <c r="D812" i="3"/>
  <c r="B812" i="3"/>
  <c r="E812" i="3"/>
  <c r="C813" i="3"/>
  <c r="D813" i="3"/>
  <c r="B813" i="3"/>
  <c r="E813" i="3"/>
  <c r="A814" i="3"/>
  <c r="C814" i="3"/>
  <c r="D814" i="3"/>
  <c r="B814" i="3"/>
  <c r="E814" i="3"/>
  <c r="C815" i="3"/>
  <c r="D815" i="3"/>
  <c r="B815" i="3"/>
  <c r="E815" i="3"/>
  <c r="A816" i="3"/>
  <c r="C816" i="3"/>
  <c r="D816" i="3"/>
  <c r="B816" i="3"/>
  <c r="E816" i="3"/>
  <c r="C817" i="3"/>
  <c r="D817" i="3"/>
  <c r="B817" i="3"/>
  <c r="E817" i="3"/>
  <c r="A818" i="3"/>
  <c r="C818" i="3"/>
  <c r="D818" i="3"/>
  <c r="B818" i="3"/>
  <c r="E818" i="3"/>
  <c r="C819" i="3"/>
  <c r="D819" i="3"/>
  <c r="B819" i="3"/>
  <c r="E819" i="3"/>
  <c r="A820" i="3"/>
  <c r="C820" i="3"/>
  <c r="D820" i="3"/>
  <c r="B820" i="3"/>
  <c r="E820" i="3"/>
  <c r="C821" i="3"/>
  <c r="D821" i="3"/>
  <c r="B821" i="3"/>
  <c r="E821" i="3"/>
  <c r="A822" i="3"/>
  <c r="C822" i="3"/>
  <c r="D822" i="3"/>
  <c r="B822" i="3"/>
  <c r="E822" i="3"/>
  <c r="C823" i="3"/>
  <c r="D823" i="3"/>
  <c r="B823" i="3"/>
  <c r="E823" i="3"/>
  <c r="A824" i="3"/>
  <c r="C824" i="3"/>
  <c r="D824" i="3"/>
  <c r="B824" i="3"/>
  <c r="E824" i="3"/>
  <c r="C825" i="3"/>
  <c r="D825" i="3"/>
  <c r="B825" i="3"/>
  <c r="E825" i="3"/>
  <c r="A826" i="3"/>
  <c r="C826" i="3"/>
  <c r="D826" i="3"/>
  <c r="B826" i="3"/>
  <c r="E826" i="3"/>
  <c r="C827" i="3"/>
  <c r="D827" i="3"/>
  <c r="B827" i="3"/>
  <c r="E827" i="3"/>
  <c r="A828" i="3"/>
  <c r="C828" i="3"/>
  <c r="D828" i="3"/>
  <c r="B828" i="3"/>
  <c r="E828" i="3"/>
  <c r="C829" i="3"/>
  <c r="D829" i="3"/>
  <c r="B829" i="3"/>
  <c r="E829" i="3"/>
  <c r="A830" i="3"/>
  <c r="C830" i="3"/>
  <c r="D830" i="3"/>
  <c r="B830" i="3"/>
  <c r="E830" i="3"/>
  <c r="C831" i="3"/>
  <c r="D831" i="3"/>
  <c r="B831" i="3"/>
  <c r="E831" i="3"/>
  <c r="A832" i="3"/>
  <c r="C832" i="3"/>
  <c r="D832" i="3"/>
  <c r="B832" i="3"/>
  <c r="E832" i="3"/>
  <c r="C833" i="3"/>
  <c r="D833" i="3"/>
  <c r="B833" i="3"/>
  <c r="E833" i="3"/>
  <c r="A834" i="3"/>
  <c r="C834" i="3"/>
  <c r="D834" i="3"/>
  <c r="B834" i="3"/>
  <c r="E834" i="3"/>
  <c r="C835" i="3"/>
  <c r="D835" i="3"/>
  <c r="B835" i="3"/>
  <c r="E835" i="3"/>
  <c r="A836" i="3"/>
  <c r="C836" i="3"/>
  <c r="D836" i="3"/>
  <c r="B836" i="3"/>
  <c r="E836" i="3"/>
  <c r="C837" i="3"/>
  <c r="D837" i="3"/>
  <c r="B837" i="3"/>
  <c r="E837" i="3"/>
  <c r="A838" i="3"/>
  <c r="C838" i="3"/>
  <c r="D838" i="3"/>
  <c r="B838" i="3"/>
  <c r="E838" i="3"/>
  <c r="C839" i="3"/>
  <c r="D839" i="3"/>
  <c r="B839" i="3"/>
  <c r="E839" i="3"/>
  <c r="A840" i="3"/>
  <c r="C840" i="3"/>
  <c r="D840" i="3"/>
  <c r="B840" i="3"/>
  <c r="E840" i="3"/>
  <c r="C841" i="3"/>
  <c r="D841" i="3"/>
  <c r="B841" i="3"/>
  <c r="E841" i="3"/>
  <c r="A842" i="3"/>
  <c r="C842" i="3"/>
  <c r="D842" i="3"/>
  <c r="B842" i="3"/>
  <c r="E842" i="3"/>
  <c r="C843" i="3"/>
  <c r="D843" i="3"/>
  <c r="B843" i="3"/>
  <c r="E843" i="3"/>
  <c r="A844" i="3"/>
  <c r="C844" i="3"/>
  <c r="D844" i="3"/>
  <c r="B844" i="3"/>
  <c r="E844" i="3"/>
  <c r="C845" i="3"/>
  <c r="D845" i="3"/>
  <c r="B845" i="3"/>
  <c r="E845" i="3"/>
  <c r="A846" i="3"/>
  <c r="C846" i="3"/>
  <c r="D846" i="3"/>
  <c r="B846" i="3"/>
  <c r="E846" i="3"/>
  <c r="C847" i="3"/>
  <c r="D847" i="3"/>
  <c r="B847" i="3"/>
  <c r="E847" i="3"/>
  <c r="A848" i="3"/>
  <c r="C848" i="3"/>
  <c r="D848" i="3"/>
  <c r="B848" i="3"/>
  <c r="E848" i="3"/>
  <c r="C849" i="3"/>
  <c r="D849" i="3"/>
  <c r="B849" i="3"/>
  <c r="E849" i="3"/>
  <c r="A850" i="3"/>
  <c r="C850" i="3"/>
  <c r="D850" i="3"/>
  <c r="B850" i="3"/>
  <c r="E850" i="3"/>
  <c r="C851" i="3"/>
  <c r="D851" i="3"/>
  <c r="B851" i="3"/>
  <c r="E851" i="3"/>
  <c r="A852" i="3"/>
  <c r="C852" i="3"/>
  <c r="D852" i="3"/>
  <c r="B852" i="3"/>
  <c r="E852" i="3"/>
  <c r="C853" i="3"/>
  <c r="D853" i="3"/>
  <c r="B853" i="3"/>
  <c r="E853" i="3"/>
  <c r="A854" i="3"/>
  <c r="C854" i="3"/>
  <c r="D854" i="3"/>
  <c r="B854" i="3"/>
  <c r="E854" i="3"/>
  <c r="C855" i="3"/>
  <c r="D855" i="3"/>
  <c r="B855" i="3"/>
  <c r="E855" i="3"/>
  <c r="A856" i="3"/>
  <c r="C856" i="3"/>
  <c r="D856" i="3"/>
  <c r="B856" i="3"/>
  <c r="E856" i="3"/>
  <c r="C857" i="3"/>
  <c r="D857" i="3"/>
  <c r="B857" i="3"/>
  <c r="E857" i="3"/>
  <c r="A858" i="3"/>
  <c r="C858" i="3"/>
  <c r="D858" i="3"/>
  <c r="B858" i="3"/>
  <c r="E858" i="3"/>
  <c r="C859" i="3"/>
  <c r="D859" i="3"/>
  <c r="B859" i="3"/>
  <c r="E859" i="3"/>
  <c r="A860" i="3"/>
  <c r="C860" i="3"/>
  <c r="D860" i="3"/>
  <c r="B860" i="3"/>
  <c r="E860" i="3"/>
  <c r="C861" i="3"/>
  <c r="D861" i="3"/>
  <c r="B861" i="3"/>
  <c r="E861" i="3"/>
  <c r="A862" i="3"/>
  <c r="C862" i="3"/>
  <c r="D862" i="3"/>
  <c r="B862" i="3"/>
  <c r="E862" i="3"/>
  <c r="C863" i="3"/>
  <c r="D863" i="3"/>
  <c r="B863" i="3"/>
  <c r="E863" i="3"/>
  <c r="A864" i="3"/>
  <c r="C864" i="3"/>
  <c r="D864" i="3"/>
  <c r="B864" i="3"/>
  <c r="E864" i="3"/>
  <c r="C865" i="3"/>
  <c r="D865" i="3"/>
  <c r="B865" i="3"/>
  <c r="E865" i="3"/>
  <c r="A866" i="3"/>
  <c r="C866" i="3"/>
  <c r="D866" i="3"/>
  <c r="B866" i="3"/>
  <c r="E866" i="3"/>
  <c r="C867" i="3"/>
  <c r="D867" i="3"/>
  <c r="B867" i="3"/>
  <c r="E867" i="3"/>
  <c r="A868" i="3"/>
  <c r="C868" i="3"/>
  <c r="D868" i="3"/>
  <c r="B868" i="3"/>
  <c r="E868" i="3"/>
  <c r="C869" i="3"/>
  <c r="D869" i="3"/>
  <c r="B869" i="3"/>
  <c r="E869" i="3"/>
  <c r="A870" i="3"/>
  <c r="C870" i="3"/>
  <c r="D870" i="3"/>
  <c r="B870" i="3"/>
  <c r="E870" i="3"/>
  <c r="C871" i="3"/>
  <c r="D871" i="3"/>
  <c r="B871" i="3"/>
  <c r="E871" i="3"/>
  <c r="A872" i="3"/>
  <c r="C872" i="3"/>
  <c r="D872" i="3"/>
  <c r="B872" i="3"/>
  <c r="E872" i="3"/>
  <c r="C873" i="3"/>
  <c r="D873" i="3"/>
  <c r="B873" i="3"/>
  <c r="E873" i="3"/>
  <c r="A874" i="3"/>
  <c r="C874" i="3"/>
  <c r="D874" i="3"/>
  <c r="B874" i="3"/>
  <c r="E874" i="3"/>
  <c r="C875" i="3"/>
  <c r="D875" i="3"/>
  <c r="B875" i="3"/>
  <c r="E875" i="3"/>
  <c r="A876" i="3"/>
  <c r="C876" i="3"/>
  <c r="D876" i="3"/>
  <c r="B876" i="3"/>
  <c r="E876" i="3"/>
  <c r="C877" i="3"/>
  <c r="D877" i="3"/>
  <c r="B877" i="3"/>
  <c r="E877" i="3"/>
  <c r="A878" i="3"/>
  <c r="C878" i="3"/>
  <c r="D878" i="3"/>
  <c r="B878" i="3"/>
  <c r="E878" i="3"/>
  <c r="C879" i="3"/>
  <c r="D879" i="3"/>
  <c r="B879" i="3"/>
  <c r="E879" i="3"/>
  <c r="A880" i="3"/>
  <c r="C880" i="3"/>
  <c r="D880" i="3"/>
  <c r="B880" i="3"/>
  <c r="E880" i="3"/>
  <c r="C881" i="3"/>
  <c r="D881" i="3"/>
  <c r="B881" i="3"/>
  <c r="E881" i="3"/>
  <c r="A882" i="3"/>
  <c r="C882" i="3"/>
  <c r="D882" i="3"/>
  <c r="B882" i="3"/>
  <c r="E882" i="3"/>
  <c r="C883" i="3"/>
  <c r="D883" i="3"/>
  <c r="B883" i="3"/>
  <c r="E883" i="3"/>
  <c r="A884" i="3"/>
  <c r="C884" i="3"/>
  <c r="D884" i="3"/>
  <c r="B884" i="3"/>
  <c r="E884" i="3"/>
  <c r="C885" i="3"/>
  <c r="D885" i="3"/>
  <c r="B885" i="3"/>
  <c r="E885" i="3"/>
  <c r="A886" i="3"/>
  <c r="C886" i="3"/>
  <c r="D886" i="3"/>
  <c r="B886" i="3"/>
  <c r="E886" i="3"/>
  <c r="C887" i="3"/>
  <c r="D887" i="3"/>
  <c r="B887" i="3"/>
  <c r="E887" i="3"/>
  <c r="A888" i="3"/>
  <c r="C888" i="3"/>
  <c r="D888" i="3"/>
  <c r="B888" i="3"/>
  <c r="E888" i="3"/>
  <c r="C889" i="3"/>
  <c r="D889" i="3"/>
  <c r="B889" i="3"/>
  <c r="E889" i="3"/>
  <c r="A890" i="3"/>
  <c r="C890" i="3"/>
  <c r="D890" i="3"/>
  <c r="B890" i="3"/>
  <c r="E890" i="3"/>
  <c r="C891" i="3"/>
  <c r="D891" i="3"/>
  <c r="B891" i="3"/>
  <c r="E891" i="3"/>
  <c r="A892" i="3"/>
  <c r="C892" i="3"/>
  <c r="D892" i="3"/>
  <c r="B892" i="3"/>
  <c r="E892" i="3"/>
  <c r="C893" i="3"/>
  <c r="D893" i="3"/>
  <c r="B893" i="3"/>
  <c r="E893" i="3"/>
  <c r="A894" i="3"/>
  <c r="C894" i="3"/>
  <c r="D894" i="3"/>
  <c r="B894" i="3"/>
  <c r="E894" i="3"/>
  <c r="C895" i="3"/>
  <c r="D895" i="3"/>
  <c r="B895" i="3"/>
  <c r="E895" i="3"/>
  <c r="A896" i="3"/>
  <c r="C896" i="3"/>
  <c r="D896" i="3"/>
  <c r="B896" i="3"/>
  <c r="E896" i="3"/>
  <c r="C897" i="3"/>
  <c r="D897" i="3"/>
  <c r="B897" i="3"/>
  <c r="E897" i="3"/>
  <c r="A898" i="3"/>
  <c r="C898" i="3"/>
  <c r="D898" i="3"/>
  <c r="B898" i="3"/>
  <c r="E898" i="3"/>
  <c r="C899" i="3"/>
  <c r="D899" i="3"/>
  <c r="B899" i="3"/>
  <c r="E899" i="3"/>
  <c r="A900" i="3"/>
  <c r="C900" i="3"/>
  <c r="D900" i="3"/>
  <c r="B900" i="3"/>
  <c r="E900" i="3"/>
  <c r="C901" i="3"/>
  <c r="D901" i="3"/>
  <c r="B901" i="3"/>
  <c r="E901" i="3"/>
  <c r="A902" i="3"/>
  <c r="C902" i="3"/>
  <c r="D902" i="3"/>
  <c r="B902" i="3"/>
  <c r="E902" i="3"/>
  <c r="C903" i="3"/>
  <c r="D903" i="3"/>
  <c r="B903" i="3"/>
  <c r="E903" i="3"/>
  <c r="A904" i="3"/>
  <c r="C904" i="3"/>
  <c r="D904" i="3"/>
  <c r="B904" i="3"/>
  <c r="E904" i="3"/>
  <c r="C905" i="3"/>
  <c r="D905" i="3"/>
  <c r="B905" i="3"/>
  <c r="E905" i="3"/>
  <c r="A906" i="3"/>
  <c r="C906" i="3"/>
  <c r="D906" i="3"/>
  <c r="B906" i="3"/>
  <c r="E906" i="3"/>
  <c r="C907" i="3"/>
  <c r="D907" i="3"/>
  <c r="B907" i="3"/>
  <c r="E907" i="3"/>
  <c r="A908" i="3"/>
  <c r="C908" i="3"/>
  <c r="D908" i="3"/>
  <c r="B908" i="3"/>
  <c r="E908" i="3"/>
  <c r="C909" i="3"/>
  <c r="D909" i="3"/>
  <c r="B909" i="3"/>
  <c r="E909" i="3"/>
  <c r="A910" i="3"/>
  <c r="C910" i="3"/>
  <c r="D910" i="3"/>
  <c r="B910" i="3"/>
  <c r="E910" i="3"/>
  <c r="C911" i="3"/>
  <c r="D911" i="3"/>
  <c r="B911" i="3"/>
  <c r="E911" i="3"/>
  <c r="A912" i="3"/>
  <c r="C912" i="3"/>
  <c r="D912" i="3"/>
  <c r="B912" i="3"/>
  <c r="E912" i="3"/>
  <c r="C913" i="3"/>
  <c r="D913" i="3"/>
  <c r="B913" i="3"/>
  <c r="E913" i="3"/>
  <c r="A914" i="3"/>
  <c r="C914" i="3"/>
  <c r="D914" i="3"/>
  <c r="B914" i="3"/>
  <c r="E914" i="3"/>
  <c r="C915" i="3"/>
  <c r="D915" i="3"/>
  <c r="B915" i="3"/>
  <c r="E915" i="3"/>
  <c r="A916" i="3"/>
  <c r="C916" i="3"/>
  <c r="D916" i="3"/>
  <c r="B916" i="3"/>
  <c r="E916" i="3"/>
  <c r="C917" i="3"/>
  <c r="D917" i="3"/>
  <c r="B917" i="3"/>
  <c r="E917" i="3"/>
  <c r="A918" i="3"/>
  <c r="C918" i="3"/>
  <c r="D918" i="3"/>
  <c r="B918" i="3"/>
  <c r="E918" i="3"/>
  <c r="C919" i="3"/>
  <c r="D919" i="3"/>
  <c r="B919" i="3"/>
  <c r="E919" i="3"/>
  <c r="A920" i="3"/>
  <c r="C920" i="3"/>
  <c r="D920" i="3"/>
  <c r="B920" i="3"/>
  <c r="E920" i="3"/>
  <c r="C921" i="3"/>
  <c r="D921" i="3"/>
  <c r="B921" i="3"/>
  <c r="E921" i="3"/>
  <c r="A922" i="3"/>
  <c r="C922" i="3"/>
  <c r="D922" i="3"/>
  <c r="B922" i="3"/>
  <c r="E922" i="3"/>
  <c r="C923" i="3"/>
  <c r="D923" i="3"/>
  <c r="B923" i="3"/>
  <c r="E923" i="3"/>
  <c r="A924" i="3"/>
  <c r="C924" i="3"/>
  <c r="D924" i="3"/>
  <c r="B924" i="3"/>
  <c r="E924" i="3"/>
  <c r="C925" i="3"/>
  <c r="D925" i="3"/>
  <c r="B925" i="3"/>
  <c r="E925" i="3"/>
  <c r="A926" i="3"/>
  <c r="C926" i="3"/>
  <c r="D926" i="3"/>
  <c r="B926" i="3"/>
  <c r="E926" i="3"/>
  <c r="C927" i="3"/>
  <c r="D927" i="3"/>
  <c r="B927" i="3"/>
  <c r="E927" i="3"/>
  <c r="A928" i="3"/>
  <c r="C928" i="3"/>
  <c r="D928" i="3"/>
  <c r="B928" i="3"/>
  <c r="E928" i="3"/>
  <c r="C929" i="3"/>
  <c r="D929" i="3"/>
  <c r="B929" i="3"/>
  <c r="E929" i="3"/>
  <c r="A930" i="3"/>
  <c r="C930" i="3"/>
  <c r="D930" i="3"/>
  <c r="B930" i="3"/>
  <c r="E930" i="3"/>
  <c r="C931" i="3"/>
  <c r="D931" i="3"/>
  <c r="B931" i="3"/>
  <c r="E931" i="3"/>
  <c r="A932" i="3"/>
  <c r="C932" i="3"/>
  <c r="D932" i="3"/>
  <c r="B932" i="3"/>
  <c r="E932" i="3"/>
  <c r="C933" i="3"/>
  <c r="D933" i="3"/>
  <c r="B933" i="3"/>
  <c r="E933" i="3"/>
  <c r="A934" i="3"/>
  <c r="C934" i="3"/>
  <c r="D934" i="3"/>
  <c r="B934" i="3"/>
  <c r="E934" i="3"/>
  <c r="C935" i="3"/>
  <c r="D935" i="3"/>
  <c r="B935" i="3"/>
  <c r="E935" i="3"/>
  <c r="A936" i="3"/>
  <c r="C936" i="3"/>
  <c r="D936" i="3"/>
  <c r="B936" i="3"/>
  <c r="E936" i="3"/>
  <c r="C937" i="3"/>
  <c r="D937" i="3"/>
  <c r="B937" i="3"/>
  <c r="E937" i="3"/>
  <c r="A938" i="3"/>
  <c r="C938" i="3"/>
  <c r="D938" i="3"/>
  <c r="B938" i="3"/>
  <c r="E938" i="3"/>
  <c r="A939" i="3"/>
  <c r="C939" i="3"/>
  <c r="D939" i="3"/>
  <c r="B939" i="3"/>
  <c r="E939" i="3"/>
  <c r="A940" i="3"/>
  <c r="C940" i="3"/>
  <c r="D940" i="3"/>
  <c r="B940" i="3"/>
  <c r="E940" i="3"/>
  <c r="A941" i="3"/>
  <c r="C941" i="3"/>
  <c r="D941" i="3"/>
  <c r="B941" i="3"/>
  <c r="E941" i="3"/>
  <c r="A942" i="3"/>
  <c r="C942" i="3"/>
  <c r="D942" i="3"/>
  <c r="B942" i="3"/>
  <c r="E942" i="3"/>
  <c r="A943" i="3"/>
  <c r="C943" i="3"/>
  <c r="D943" i="3"/>
  <c r="B943" i="3"/>
  <c r="E943" i="3"/>
  <c r="A944" i="3"/>
  <c r="C944" i="3"/>
  <c r="D944" i="3"/>
  <c r="B944" i="3"/>
  <c r="E944" i="3"/>
  <c r="A945" i="3"/>
  <c r="C945" i="3"/>
  <c r="D945" i="3"/>
  <c r="B945" i="3"/>
  <c r="E945" i="3"/>
  <c r="A946" i="3"/>
  <c r="C946" i="3"/>
  <c r="D946" i="3"/>
  <c r="B946" i="3"/>
  <c r="E946" i="3"/>
  <c r="A947" i="3"/>
  <c r="C947" i="3"/>
  <c r="D947" i="3"/>
  <c r="B947" i="3"/>
  <c r="E947" i="3"/>
  <c r="A948" i="3"/>
  <c r="C948" i="3"/>
  <c r="D948" i="3"/>
  <c r="B948" i="3"/>
  <c r="E948" i="3"/>
  <c r="A949" i="3"/>
  <c r="C949" i="3"/>
  <c r="D949" i="3"/>
  <c r="B949" i="3"/>
  <c r="E949" i="3"/>
  <c r="A950" i="3"/>
  <c r="C950" i="3"/>
  <c r="D950" i="3"/>
  <c r="B950" i="3"/>
  <c r="E950" i="3"/>
  <c r="A951" i="3"/>
  <c r="C951" i="3"/>
  <c r="D951" i="3"/>
  <c r="B951" i="3"/>
  <c r="E951" i="3"/>
  <c r="A952" i="3"/>
  <c r="C952" i="3"/>
  <c r="D952" i="3"/>
  <c r="B952" i="3"/>
  <c r="E952" i="3"/>
  <c r="A953" i="3"/>
  <c r="C953" i="3"/>
  <c r="D953" i="3"/>
  <c r="B953" i="3"/>
  <c r="E953" i="3"/>
  <c r="A954" i="3"/>
  <c r="C954" i="3"/>
  <c r="D954" i="3"/>
  <c r="B954" i="3"/>
  <c r="E954" i="3"/>
  <c r="A955" i="3"/>
  <c r="C955" i="3"/>
  <c r="D955" i="3"/>
  <c r="B955" i="3"/>
  <c r="E955" i="3"/>
  <c r="A956" i="3"/>
  <c r="C956" i="3"/>
  <c r="D956" i="3"/>
  <c r="B956" i="3"/>
  <c r="E956" i="3"/>
  <c r="A957" i="3"/>
  <c r="C957" i="3"/>
  <c r="D957" i="3"/>
  <c r="B957" i="3"/>
  <c r="E957" i="3"/>
  <c r="A958" i="3"/>
  <c r="C958" i="3"/>
  <c r="D958" i="3"/>
  <c r="B958" i="3"/>
  <c r="E958" i="3"/>
  <c r="A959" i="3"/>
  <c r="C959" i="3"/>
  <c r="D959" i="3"/>
  <c r="B959" i="3"/>
  <c r="E959" i="3"/>
  <c r="A960" i="3"/>
  <c r="C960" i="3"/>
  <c r="D960" i="3"/>
  <c r="B960" i="3"/>
  <c r="E960" i="3"/>
  <c r="A961" i="3"/>
  <c r="C961" i="3"/>
  <c r="D961" i="3"/>
  <c r="B961" i="3"/>
  <c r="E961" i="3"/>
  <c r="A962" i="3"/>
  <c r="C962" i="3"/>
  <c r="D962" i="3"/>
  <c r="B962" i="3"/>
  <c r="E962" i="3"/>
  <c r="A963" i="3"/>
  <c r="C963" i="3"/>
  <c r="D963" i="3"/>
  <c r="B963" i="3"/>
  <c r="E963" i="3"/>
  <c r="A964" i="3"/>
  <c r="C964" i="3"/>
  <c r="D964" i="3"/>
  <c r="B964" i="3"/>
  <c r="E964" i="3"/>
  <c r="A965" i="3"/>
  <c r="C965" i="3"/>
  <c r="D965" i="3"/>
  <c r="B965" i="3"/>
  <c r="E965" i="3"/>
  <c r="A966" i="3"/>
  <c r="C966" i="3"/>
  <c r="D966" i="3"/>
  <c r="B966" i="3"/>
  <c r="E966" i="3"/>
  <c r="A967" i="3"/>
  <c r="C967" i="3"/>
  <c r="D967" i="3"/>
  <c r="B967" i="3"/>
  <c r="E967" i="3"/>
  <c r="A968" i="3"/>
  <c r="C968" i="3"/>
  <c r="D968" i="3"/>
  <c r="B968" i="3"/>
  <c r="E968" i="3"/>
  <c r="A969" i="3"/>
  <c r="C969" i="3"/>
  <c r="D969" i="3"/>
  <c r="B969" i="3"/>
  <c r="E969" i="3"/>
  <c r="A970" i="3"/>
  <c r="C970" i="3"/>
  <c r="D970" i="3"/>
  <c r="B970" i="3"/>
  <c r="E970" i="3"/>
  <c r="A971" i="3"/>
  <c r="C971" i="3"/>
  <c r="D971" i="3"/>
  <c r="B971" i="3"/>
  <c r="E971" i="3"/>
  <c r="A972" i="3"/>
  <c r="C972" i="3"/>
  <c r="D972" i="3"/>
  <c r="B972" i="3"/>
  <c r="E972" i="3"/>
  <c r="A973" i="3"/>
  <c r="C973" i="3"/>
  <c r="D973" i="3"/>
  <c r="B973" i="3"/>
  <c r="E973" i="3"/>
  <c r="A974" i="3"/>
  <c r="C974" i="3"/>
  <c r="D974" i="3"/>
  <c r="B974" i="3"/>
  <c r="E974" i="3"/>
  <c r="A975" i="3"/>
  <c r="C975" i="3"/>
  <c r="D975" i="3"/>
  <c r="B975" i="3"/>
  <c r="E975" i="3"/>
  <c r="A976" i="3"/>
  <c r="C976" i="3"/>
  <c r="D976" i="3"/>
  <c r="B976" i="3"/>
  <c r="E976" i="3"/>
  <c r="A977" i="3"/>
  <c r="C977" i="3"/>
  <c r="D977" i="3"/>
  <c r="B977" i="3"/>
  <c r="E977" i="3"/>
  <c r="A978" i="3"/>
  <c r="C978" i="3"/>
  <c r="D978" i="3"/>
  <c r="B978" i="3"/>
  <c r="E978" i="3"/>
  <c r="A979" i="3"/>
  <c r="C979" i="3"/>
  <c r="D979" i="3"/>
  <c r="B979" i="3"/>
  <c r="E979" i="3"/>
  <c r="A980" i="3"/>
  <c r="C980" i="3"/>
  <c r="D980" i="3"/>
  <c r="B980" i="3"/>
  <c r="E980" i="3"/>
  <c r="A981" i="3"/>
  <c r="C981" i="3"/>
  <c r="D981" i="3"/>
  <c r="B981" i="3"/>
  <c r="E981" i="3"/>
  <c r="A982" i="3"/>
  <c r="C982" i="3"/>
  <c r="D982" i="3"/>
  <c r="B982" i="3"/>
  <c r="E982" i="3"/>
  <c r="A983" i="3"/>
  <c r="C983" i="3"/>
  <c r="D983" i="3"/>
  <c r="B983" i="3"/>
  <c r="E983" i="3"/>
  <c r="A984" i="3"/>
  <c r="C984" i="3"/>
  <c r="D984" i="3"/>
  <c r="B984" i="3"/>
  <c r="E984" i="3"/>
  <c r="A985" i="3"/>
  <c r="C985" i="3"/>
  <c r="D985" i="3"/>
  <c r="B985" i="3"/>
  <c r="E985" i="3"/>
  <c r="A986" i="3"/>
  <c r="C986" i="3"/>
  <c r="D986" i="3"/>
  <c r="B986" i="3"/>
  <c r="E986" i="3"/>
  <c r="A987" i="3"/>
  <c r="C987" i="3"/>
  <c r="D987" i="3"/>
  <c r="B987" i="3"/>
  <c r="E987" i="3"/>
  <c r="A988" i="3"/>
  <c r="C988" i="3"/>
  <c r="D988" i="3"/>
  <c r="B988" i="3"/>
  <c r="E988" i="3"/>
  <c r="A989" i="3"/>
  <c r="C989" i="3"/>
  <c r="D989" i="3"/>
  <c r="B989" i="3"/>
  <c r="E989" i="3"/>
  <c r="A990" i="3"/>
  <c r="C990" i="3"/>
  <c r="D990" i="3"/>
  <c r="B990" i="3"/>
  <c r="E990" i="3"/>
  <c r="A991" i="3"/>
  <c r="C991" i="3"/>
  <c r="D991" i="3"/>
  <c r="B991" i="3"/>
  <c r="E991" i="3"/>
  <c r="A992" i="3"/>
  <c r="C992" i="3"/>
  <c r="D992" i="3"/>
  <c r="B992" i="3"/>
  <c r="E992" i="3"/>
  <c r="A993" i="3"/>
  <c r="C993" i="3"/>
  <c r="D993" i="3"/>
  <c r="B993" i="3"/>
  <c r="E993" i="3"/>
  <c r="A994" i="3"/>
  <c r="C994" i="3"/>
  <c r="D994" i="3"/>
  <c r="B994" i="3"/>
  <c r="E994" i="3"/>
  <c r="A995" i="3"/>
  <c r="C995" i="3"/>
  <c r="D995" i="3"/>
  <c r="B995" i="3"/>
  <c r="E995" i="3"/>
  <c r="A996" i="3"/>
  <c r="C996" i="3"/>
  <c r="D996" i="3"/>
  <c r="B996" i="3"/>
  <c r="E996" i="3"/>
  <c r="A997" i="3"/>
  <c r="C997" i="3"/>
  <c r="D997" i="3"/>
  <c r="B997" i="3"/>
  <c r="E997" i="3"/>
  <c r="A998" i="3"/>
  <c r="C998" i="3"/>
  <c r="D998" i="3"/>
  <c r="B998" i="3"/>
  <c r="E998" i="3"/>
  <c r="A999" i="3"/>
  <c r="C999" i="3"/>
  <c r="D999" i="3"/>
  <c r="B999" i="3"/>
  <c r="E999" i="3"/>
  <c r="A1000" i="3"/>
  <c r="C1000" i="3"/>
  <c r="D1000" i="3"/>
  <c r="B1000" i="3"/>
  <c r="E1000" i="3"/>
  <c r="A1001" i="3"/>
  <c r="C1001" i="3"/>
  <c r="D1001" i="3"/>
  <c r="B1001" i="3"/>
  <c r="E1001" i="3"/>
  <c r="A1002" i="3"/>
  <c r="C1002" i="3"/>
  <c r="D1002" i="3"/>
  <c r="B1002" i="3"/>
  <c r="E1002" i="3"/>
  <c r="A1003" i="3"/>
  <c r="C1003" i="3"/>
  <c r="D1003" i="3"/>
  <c r="B1003" i="3"/>
  <c r="E1003" i="3"/>
  <c r="A1004" i="3"/>
  <c r="C1004" i="3"/>
  <c r="D1004" i="3"/>
  <c r="B1004" i="3"/>
  <c r="E1004" i="3"/>
  <c r="A1005" i="3"/>
  <c r="C1005" i="3"/>
  <c r="D1005" i="3"/>
  <c r="B1005" i="3"/>
  <c r="E1005" i="3"/>
  <c r="A1006" i="3"/>
  <c r="C1006" i="3"/>
  <c r="D1006" i="3"/>
  <c r="B1006" i="3"/>
  <c r="E1006" i="3"/>
  <c r="A1007" i="3"/>
  <c r="C1007" i="3"/>
  <c r="D1007" i="3"/>
  <c r="B1007" i="3"/>
  <c r="E1007" i="3"/>
  <c r="A1008" i="3"/>
  <c r="C1008" i="3"/>
  <c r="D1008" i="3"/>
  <c r="B1008" i="3"/>
  <c r="E1008" i="3"/>
  <c r="A1009" i="3"/>
  <c r="C1009" i="3"/>
  <c r="D1009" i="3"/>
  <c r="B1009" i="3"/>
  <c r="E1009" i="3"/>
  <c r="A1010" i="3"/>
  <c r="C1010" i="3"/>
  <c r="D1010" i="3"/>
  <c r="B1010" i="3"/>
  <c r="E1010" i="3"/>
  <c r="A1011" i="3"/>
  <c r="C1011" i="3"/>
  <c r="D1011" i="3"/>
  <c r="B1011" i="3"/>
  <c r="E1011" i="3"/>
  <c r="A1012" i="3"/>
  <c r="C1012" i="3"/>
  <c r="D1012" i="3"/>
  <c r="B1012" i="3"/>
  <c r="E1012" i="3"/>
  <c r="A1013" i="3"/>
  <c r="C1013" i="3"/>
  <c r="D1013" i="3"/>
  <c r="B1013" i="3"/>
  <c r="E1013" i="3"/>
  <c r="A1014" i="3"/>
  <c r="C1014" i="3"/>
  <c r="D1014" i="3"/>
  <c r="B1014" i="3"/>
  <c r="E1014" i="3"/>
  <c r="A1015" i="3"/>
  <c r="C1015" i="3"/>
  <c r="D1015" i="3"/>
  <c r="B1015" i="3"/>
  <c r="E1015" i="3"/>
  <c r="A1016" i="3"/>
  <c r="C1016" i="3"/>
  <c r="D1016" i="3"/>
  <c r="B1016" i="3"/>
  <c r="E1016" i="3"/>
  <c r="A1017" i="3"/>
  <c r="C1017" i="3"/>
  <c r="D1017" i="3"/>
  <c r="B1017" i="3"/>
  <c r="E1017" i="3"/>
  <c r="A1018" i="3"/>
  <c r="C1018" i="3"/>
  <c r="D1018" i="3"/>
  <c r="B1018" i="3"/>
  <c r="E1018" i="3"/>
  <c r="A1019" i="3"/>
  <c r="C1019" i="3"/>
  <c r="D1019" i="3"/>
  <c r="B1019" i="3"/>
  <c r="E1019" i="3"/>
  <c r="A1020" i="3"/>
  <c r="C1020" i="3"/>
  <c r="D1020" i="3"/>
  <c r="B1020" i="3"/>
  <c r="E1020" i="3"/>
  <c r="A1021" i="3"/>
  <c r="C1021" i="3"/>
  <c r="D1021" i="3"/>
  <c r="B1021" i="3"/>
  <c r="E1021" i="3"/>
  <c r="A1022" i="3"/>
  <c r="C1022" i="3"/>
  <c r="D1022" i="3"/>
  <c r="B1022" i="3"/>
  <c r="E1022" i="3"/>
  <c r="A1023" i="3"/>
  <c r="C1023" i="3"/>
  <c r="D1023" i="3"/>
  <c r="B1023" i="3"/>
  <c r="E1023" i="3"/>
  <c r="A1024" i="3"/>
  <c r="C1024" i="3"/>
  <c r="D1024" i="3"/>
  <c r="B1024" i="3"/>
  <c r="E1024" i="3"/>
  <c r="A1025" i="3"/>
  <c r="C1025" i="3"/>
  <c r="D1025" i="3"/>
  <c r="B1025" i="3"/>
  <c r="E1025" i="3"/>
  <c r="A1026" i="3"/>
  <c r="C1026" i="3"/>
  <c r="D1026" i="3"/>
  <c r="B1026" i="3"/>
  <c r="E1026" i="3"/>
  <c r="A1027" i="3"/>
  <c r="C1027" i="3"/>
  <c r="D1027" i="3"/>
  <c r="B1027" i="3"/>
  <c r="E1027" i="3"/>
  <c r="A1028" i="3"/>
  <c r="C1028" i="3"/>
  <c r="D1028" i="3"/>
  <c r="B1028" i="3"/>
  <c r="E1028" i="3"/>
  <c r="A1029" i="3"/>
  <c r="C1029" i="3"/>
  <c r="D1029" i="3"/>
  <c r="B1029" i="3"/>
  <c r="E1029" i="3"/>
  <c r="A1030" i="3"/>
  <c r="C1030" i="3"/>
  <c r="D1030" i="3"/>
  <c r="B1030" i="3"/>
  <c r="E1030" i="3"/>
  <c r="A1031" i="3"/>
  <c r="C1031" i="3"/>
  <c r="D1031" i="3"/>
  <c r="B1031" i="3"/>
  <c r="E1031" i="3"/>
  <c r="A1032" i="3"/>
  <c r="C1032" i="3"/>
  <c r="D1032" i="3"/>
  <c r="B1032" i="3"/>
  <c r="E1032" i="3"/>
  <c r="A1033" i="3"/>
  <c r="C1033" i="3"/>
  <c r="D1033" i="3"/>
  <c r="B1033" i="3"/>
  <c r="E1033" i="3"/>
  <c r="A1034" i="3"/>
  <c r="C1034" i="3"/>
  <c r="D1034" i="3"/>
  <c r="B1034" i="3"/>
  <c r="E1034" i="3"/>
  <c r="A1035" i="3"/>
  <c r="C1035" i="3"/>
  <c r="D1035" i="3"/>
  <c r="B1035" i="3"/>
  <c r="E1035" i="3"/>
  <c r="A1036" i="3"/>
  <c r="C1036" i="3"/>
  <c r="D1036" i="3"/>
  <c r="B1036" i="3"/>
  <c r="E1036" i="3"/>
  <c r="A1037" i="3"/>
  <c r="C1037" i="3"/>
  <c r="D1037" i="3"/>
  <c r="B1037" i="3"/>
  <c r="E1037" i="3"/>
  <c r="A1038" i="3"/>
  <c r="C1038" i="3"/>
  <c r="D1038" i="3"/>
  <c r="B1038" i="3"/>
  <c r="E1038" i="3"/>
  <c r="A1039" i="3"/>
  <c r="C1039" i="3"/>
  <c r="D1039" i="3"/>
  <c r="B1039" i="3"/>
  <c r="E1039" i="3"/>
  <c r="A1040" i="3"/>
  <c r="C1040" i="3"/>
  <c r="D1040" i="3"/>
  <c r="B1040" i="3"/>
  <c r="E1040" i="3"/>
  <c r="A1041" i="3"/>
  <c r="C1041" i="3"/>
  <c r="D1041" i="3"/>
  <c r="B1041" i="3"/>
  <c r="E1041" i="3"/>
  <c r="A1042" i="3"/>
  <c r="C1042" i="3"/>
  <c r="D1042" i="3"/>
  <c r="B1042" i="3"/>
  <c r="E1042" i="3"/>
  <c r="A1043" i="3"/>
  <c r="C1043" i="3"/>
  <c r="D1043" i="3"/>
  <c r="B1043" i="3"/>
  <c r="E1043" i="3"/>
  <c r="A1044" i="3"/>
  <c r="C1044" i="3"/>
  <c r="D1044" i="3"/>
  <c r="B1044" i="3"/>
  <c r="E1044" i="3"/>
  <c r="A1045" i="3"/>
  <c r="C1045" i="3"/>
  <c r="D1045" i="3"/>
  <c r="B1045" i="3"/>
  <c r="E1045" i="3"/>
  <c r="A1046" i="3"/>
  <c r="C1046" i="3"/>
  <c r="D1046" i="3"/>
  <c r="B1046" i="3"/>
  <c r="E1046" i="3"/>
  <c r="A1047" i="3"/>
  <c r="C1047" i="3"/>
  <c r="D1047" i="3"/>
  <c r="B1047" i="3"/>
  <c r="E1047" i="3"/>
  <c r="A1048" i="3"/>
  <c r="C1048" i="3"/>
  <c r="D1048" i="3"/>
  <c r="B1048" i="3"/>
  <c r="E1048" i="3"/>
  <c r="A1049" i="3"/>
  <c r="C1049" i="3"/>
  <c r="D1049" i="3"/>
  <c r="B1049" i="3"/>
  <c r="E1049" i="3"/>
  <c r="A1050" i="3"/>
  <c r="C1050" i="3"/>
  <c r="D1050" i="3"/>
  <c r="B1050" i="3"/>
  <c r="E1050" i="3"/>
  <c r="A1051" i="3"/>
  <c r="C1051" i="3"/>
  <c r="D1051" i="3"/>
  <c r="B1051" i="3"/>
  <c r="E1051" i="3"/>
  <c r="A1052" i="3"/>
  <c r="C1052" i="3"/>
  <c r="D1052" i="3"/>
  <c r="B1052" i="3"/>
  <c r="E1052" i="3"/>
  <c r="A1053" i="3"/>
  <c r="C1053" i="3"/>
  <c r="D1053" i="3"/>
  <c r="B1053" i="3"/>
  <c r="E1053" i="3"/>
  <c r="A1054" i="3"/>
  <c r="C1054" i="3"/>
  <c r="D1054" i="3"/>
  <c r="B1054" i="3"/>
  <c r="E1054" i="3"/>
  <c r="A1055" i="3"/>
  <c r="C1055" i="3"/>
  <c r="D1055" i="3"/>
  <c r="B1055" i="3"/>
  <c r="E1055" i="3"/>
  <c r="A1056" i="3"/>
  <c r="C1056" i="3"/>
  <c r="D1056" i="3"/>
  <c r="B1056" i="3"/>
  <c r="E1056" i="3"/>
  <c r="A1057" i="3"/>
  <c r="C1057" i="3"/>
  <c r="D1057" i="3"/>
  <c r="B1057" i="3"/>
  <c r="E1057" i="3"/>
  <c r="A1058" i="3"/>
  <c r="C1058" i="3"/>
  <c r="D1058" i="3"/>
  <c r="B1058" i="3"/>
  <c r="E1058" i="3"/>
  <c r="A1059" i="3"/>
  <c r="C1059" i="3"/>
  <c r="D1059" i="3"/>
  <c r="B1059" i="3"/>
  <c r="E1059" i="3"/>
  <c r="A1060" i="3"/>
  <c r="C1060" i="3"/>
  <c r="D1060" i="3"/>
  <c r="B1060" i="3"/>
  <c r="E1060" i="3"/>
  <c r="A1061" i="3"/>
  <c r="C1061" i="3"/>
  <c r="D1061" i="3"/>
  <c r="B1061" i="3"/>
  <c r="E1061" i="3"/>
  <c r="A1062" i="3"/>
  <c r="C1062" i="3"/>
  <c r="D1062" i="3"/>
  <c r="B1062" i="3"/>
  <c r="E1062" i="3"/>
  <c r="A1063" i="3"/>
  <c r="C1063" i="3"/>
  <c r="D1063" i="3"/>
  <c r="B1063" i="3"/>
  <c r="E1063" i="3"/>
  <c r="A1064" i="3"/>
  <c r="C1064" i="3"/>
  <c r="D1064" i="3"/>
  <c r="B1064" i="3"/>
  <c r="E1064" i="3"/>
  <c r="A1065" i="3"/>
  <c r="C1065" i="3"/>
  <c r="D1065" i="3"/>
  <c r="B1065" i="3"/>
  <c r="E1065" i="3"/>
  <c r="A1066" i="3"/>
  <c r="C1066" i="3"/>
  <c r="D1066" i="3"/>
  <c r="B1066" i="3"/>
  <c r="E1066" i="3"/>
  <c r="A1067" i="3"/>
  <c r="C1067" i="3"/>
  <c r="D1067" i="3"/>
  <c r="B1067" i="3"/>
  <c r="E1067" i="3"/>
  <c r="A1068" i="3"/>
  <c r="C1068" i="3"/>
  <c r="D1068" i="3"/>
  <c r="B1068" i="3"/>
  <c r="E1068" i="3"/>
  <c r="A1069" i="3"/>
  <c r="C1069" i="3"/>
  <c r="D1069" i="3"/>
  <c r="B1069" i="3"/>
  <c r="E1069" i="3"/>
  <c r="A1070" i="3"/>
  <c r="C1070" i="3"/>
  <c r="D1070" i="3"/>
  <c r="B1070" i="3"/>
  <c r="E1070" i="3"/>
  <c r="A1071" i="3"/>
  <c r="C1071" i="3"/>
  <c r="D1071" i="3"/>
  <c r="B1071" i="3"/>
  <c r="E1071" i="3"/>
  <c r="A1072" i="3"/>
  <c r="C1072" i="3"/>
  <c r="D1072" i="3"/>
  <c r="B1072" i="3"/>
  <c r="E1072" i="3"/>
  <c r="A1073" i="3"/>
  <c r="C1073" i="3"/>
  <c r="D1073" i="3"/>
  <c r="B1073" i="3"/>
  <c r="E1073" i="3"/>
  <c r="A1074" i="3"/>
  <c r="C1074" i="3"/>
  <c r="D1074" i="3"/>
  <c r="B1074" i="3"/>
  <c r="E1074" i="3"/>
  <c r="A1075" i="3"/>
  <c r="C1075" i="3"/>
  <c r="D1075" i="3"/>
  <c r="B1075" i="3"/>
  <c r="E1075" i="3"/>
  <c r="A1076" i="3"/>
  <c r="C1076" i="3"/>
  <c r="D1076" i="3"/>
  <c r="B1076" i="3"/>
  <c r="E1076" i="3"/>
  <c r="A1077" i="3"/>
  <c r="C1077" i="3"/>
  <c r="D1077" i="3"/>
  <c r="B1077" i="3"/>
  <c r="E1077" i="3"/>
  <c r="A1078" i="3"/>
  <c r="C1078" i="3"/>
  <c r="D1078" i="3"/>
  <c r="B1078" i="3"/>
  <c r="E1078" i="3"/>
  <c r="A1079" i="3"/>
  <c r="C1079" i="3"/>
  <c r="D1079" i="3"/>
  <c r="B1079" i="3"/>
  <c r="E1079" i="3"/>
  <c r="A1080" i="3"/>
  <c r="C1080" i="3"/>
  <c r="D1080" i="3"/>
  <c r="B1080" i="3"/>
  <c r="E1080" i="3"/>
  <c r="A1081" i="3"/>
  <c r="C1081" i="3"/>
  <c r="D1081" i="3"/>
  <c r="B1081" i="3"/>
  <c r="E1081" i="3"/>
  <c r="A1082" i="3"/>
  <c r="C1082" i="3"/>
  <c r="D1082" i="3"/>
  <c r="B1082" i="3"/>
  <c r="E1082" i="3"/>
  <c r="A1083" i="3"/>
  <c r="C1083" i="3"/>
  <c r="D1083" i="3"/>
  <c r="B1083" i="3"/>
  <c r="E1083" i="3"/>
  <c r="A1084" i="3"/>
  <c r="C1084" i="3"/>
  <c r="D1084" i="3"/>
  <c r="B1084" i="3"/>
  <c r="E1084" i="3"/>
  <c r="A1085" i="3"/>
  <c r="C1085" i="3"/>
  <c r="D1085" i="3"/>
  <c r="B1085" i="3"/>
  <c r="E1085" i="3"/>
  <c r="A1086" i="3"/>
  <c r="C1086" i="3"/>
  <c r="D1086" i="3"/>
  <c r="B1086" i="3"/>
  <c r="E1086" i="3"/>
  <c r="A1087" i="3"/>
  <c r="C1087" i="3"/>
  <c r="D1087" i="3"/>
  <c r="B1087" i="3"/>
  <c r="E1087" i="3"/>
  <c r="A1088" i="3"/>
  <c r="C1088" i="3"/>
  <c r="D1088" i="3"/>
  <c r="B1088" i="3"/>
  <c r="E1088" i="3"/>
  <c r="A1089" i="3"/>
  <c r="C1089" i="3"/>
  <c r="D1089" i="3"/>
  <c r="B1089" i="3"/>
  <c r="E1089" i="3"/>
  <c r="A1090" i="3"/>
  <c r="C1090" i="3"/>
  <c r="D1090" i="3"/>
  <c r="B1090" i="3"/>
  <c r="E1090" i="3"/>
  <c r="A1091" i="3"/>
  <c r="C1091" i="3"/>
  <c r="D1091" i="3"/>
  <c r="B1091" i="3"/>
  <c r="E1091" i="3"/>
  <c r="A1092" i="3"/>
  <c r="C1092" i="3"/>
  <c r="D1092" i="3"/>
  <c r="B1092" i="3"/>
  <c r="E1092" i="3"/>
  <c r="A1093" i="3"/>
  <c r="C1093" i="3"/>
  <c r="D1093" i="3"/>
  <c r="B1093" i="3"/>
  <c r="E1093" i="3"/>
  <c r="A1094" i="3"/>
  <c r="C1094" i="3"/>
  <c r="D1094" i="3"/>
  <c r="B1094" i="3"/>
  <c r="E1094" i="3"/>
  <c r="A1095" i="3"/>
  <c r="C1095" i="3"/>
  <c r="D1095" i="3"/>
  <c r="B1095" i="3"/>
  <c r="E1095" i="3"/>
  <c r="A1096" i="3"/>
  <c r="C1096" i="3"/>
  <c r="D1096" i="3"/>
  <c r="B1096" i="3"/>
  <c r="E1096" i="3"/>
  <c r="A1097" i="3"/>
  <c r="C1097" i="3"/>
  <c r="D1097" i="3"/>
  <c r="B1097" i="3"/>
  <c r="E1097" i="3"/>
  <c r="A1098" i="3"/>
  <c r="C1098" i="3"/>
  <c r="D1098" i="3"/>
  <c r="B1098" i="3"/>
  <c r="E1098" i="3"/>
  <c r="A1099" i="3"/>
  <c r="C1099" i="3"/>
  <c r="D1099" i="3"/>
  <c r="B1099" i="3"/>
  <c r="E1099" i="3"/>
  <c r="A1100" i="3"/>
  <c r="C1100" i="3"/>
  <c r="D1100" i="3"/>
  <c r="B1100" i="3"/>
  <c r="E1100" i="3"/>
  <c r="A1101" i="3"/>
  <c r="C1101" i="3"/>
  <c r="D1101" i="3"/>
  <c r="B1101" i="3"/>
  <c r="E1101" i="3"/>
  <c r="A1102" i="3"/>
  <c r="C1102" i="3"/>
  <c r="D1102" i="3"/>
  <c r="B1102" i="3"/>
  <c r="E1102" i="3"/>
  <c r="A1103" i="3"/>
  <c r="C1103" i="3"/>
  <c r="D1103" i="3"/>
  <c r="B1103" i="3"/>
  <c r="E1103" i="3"/>
  <c r="A1104" i="3"/>
  <c r="C1104" i="3"/>
  <c r="D1104" i="3"/>
  <c r="B1104" i="3"/>
  <c r="E1104" i="3"/>
  <c r="A1105" i="3"/>
  <c r="C1105" i="3"/>
  <c r="D1105" i="3"/>
  <c r="B1105" i="3"/>
  <c r="E1105" i="3"/>
  <c r="A1106" i="3"/>
  <c r="C1106" i="3"/>
  <c r="D1106" i="3"/>
  <c r="B1106" i="3"/>
  <c r="E1106" i="3"/>
  <c r="A1107" i="3"/>
  <c r="C1107" i="3"/>
  <c r="D1107" i="3"/>
  <c r="B1107" i="3"/>
  <c r="E1107" i="3"/>
  <c r="A1108" i="3"/>
  <c r="C1108" i="3"/>
  <c r="D1108" i="3"/>
  <c r="B1108" i="3"/>
  <c r="E1108" i="3"/>
  <c r="A1109" i="3"/>
  <c r="C1109" i="3"/>
  <c r="D1109" i="3"/>
  <c r="B1109" i="3"/>
  <c r="E1109" i="3"/>
  <c r="A1110" i="3"/>
  <c r="C1110" i="3"/>
  <c r="D1110" i="3"/>
  <c r="B1110" i="3"/>
  <c r="E1110" i="3"/>
  <c r="A1111" i="3"/>
  <c r="C1111" i="3"/>
  <c r="D1111" i="3"/>
  <c r="B1111" i="3"/>
  <c r="E1111" i="3"/>
  <c r="A1112" i="3"/>
  <c r="C1112" i="3"/>
  <c r="D1112" i="3"/>
  <c r="B1112" i="3"/>
  <c r="E1112" i="3"/>
  <c r="A1113" i="3"/>
  <c r="C1113" i="3"/>
  <c r="D1113" i="3"/>
  <c r="B1113" i="3"/>
  <c r="E1113" i="3"/>
  <c r="A1114" i="3"/>
  <c r="C1114" i="3"/>
  <c r="D1114" i="3"/>
  <c r="B1114" i="3"/>
  <c r="E1114" i="3"/>
  <c r="A1115" i="3"/>
  <c r="C1115" i="3"/>
  <c r="D1115" i="3"/>
  <c r="B1115" i="3"/>
  <c r="E1115" i="3"/>
  <c r="A1116" i="3"/>
  <c r="C1116" i="3"/>
  <c r="D1116" i="3"/>
  <c r="B1116" i="3"/>
  <c r="E1116" i="3"/>
  <c r="A1117" i="3"/>
  <c r="C1117" i="3"/>
  <c r="D1117" i="3"/>
  <c r="B1117" i="3"/>
  <c r="E1117" i="3"/>
  <c r="A1118" i="3"/>
  <c r="C1118" i="3"/>
  <c r="D1118" i="3"/>
  <c r="B1118" i="3"/>
  <c r="E1118" i="3"/>
  <c r="A1119" i="3"/>
  <c r="C1119" i="3"/>
  <c r="D1119" i="3"/>
  <c r="B1119" i="3"/>
  <c r="E1119" i="3"/>
  <c r="A1120" i="3"/>
  <c r="C1120" i="3"/>
  <c r="D1120" i="3"/>
  <c r="B1120" i="3"/>
  <c r="E1120" i="3"/>
  <c r="A1121" i="3"/>
  <c r="C1121" i="3"/>
  <c r="D1121" i="3"/>
  <c r="B1121" i="3"/>
  <c r="E1121" i="3"/>
  <c r="A1122" i="3"/>
  <c r="C1122" i="3"/>
  <c r="D1122" i="3"/>
  <c r="B1122" i="3"/>
  <c r="E1122" i="3"/>
  <c r="A1123" i="3"/>
  <c r="C1123" i="3"/>
  <c r="D1123" i="3"/>
  <c r="B1123" i="3"/>
  <c r="E1123" i="3"/>
  <c r="A1124" i="3"/>
  <c r="C1124" i="3"/>
  <c r="D1124" i="3"/>
  <c r="B1124" i="3"/>
  <c r="E1124" i="3"/>
  <c r="A1125" i="3"/>
  <c r="C1125" i="3"/>
  <c r="D1125" i="3"/>
  <c r="B1125" i="3"/>
  <c r="E1125" i="3"/>
  <c r="A1126" i="3"/>
  <c r="C1126" i="3"/>
  <c r="D1126" i="3"/>
  <c r="B1126" i="3"/>
  <c r="E1126" i="3"/>
  <c r="A1127" i="3"/>
  <c r="C1127" i="3"/>
  <c r="D1127" i="3"/>
  <c r="B1127" i="3"/>
  <c r="E1127" i="3"/>
  <c r="A1128" i="3"/>
  <c r="C1128" i="3"/>
  <c r="D1128" i="3"/>
  <c r="B1128" i="3"/>
  <c r="E1128" i="3"/>
  <c r="A1129" i="3"/>
  <c r="C1129" i="3"/>
  <c r="D1129" i="3"/>
  <c r="B1129" i="3"/>
  <c r="E1129" i="3"/>
  <c r="A1130" i="3"/>
  <c r="C1130" i="3"/>
  <c r="D1130" i="3"/>
  <c r="B1130" i="3"/>
  <c r="E1130" i="3"/>
  <c r="A1131" i="3"/>
  <c r="C1131" i="3"/>
  <c r="D1131" i="3"/>
  <c r="B1131" i="3"/>
  <c r="E1131" i="3"/>
  <c r="A1132" i="3"/>
  <c r="C1132" i="3"/>
  <c r="D1132" i="3"/>
  <c r="B1132" i="3"/>
  <c r="E1132" i="3"/>
  <c r="A1133" i="3"/>
  <c r="C1133" i="3"/>
  <c r="D1133" i="3"/>
  <c r="B1133" i="3"/>
  <c r="E1133" i="3"/>
  <c r="A1134" i="3"/>
  <c r="C1134" i="3"/>
  <c r="D1134" i="3"/>
  <c r="B1134" i="3"/>
  <c r="E1134" i="3"/>
  <c r="A1135" i="3"/>
  <c r="C1135" i="3"/>
  <c r="D1135" i="3"/>
  <c r="B1135" i="3"/>
  <c r="E1135" i="3"/>
  <c r="A1136" i="3"/>
  <c r="C1136" i="3"/>
  <c r="D1136" i="3"/>
  <c r="B1136" i="3"/>
  <c r="E1136" i="3"/>
  <c r="A1137" i="3"/>
  <c r="C1137" i="3"/>
  <c r="D1137" i="3"/>
  <c r="B1137" i="3"/>
  <c r="E1137" i="3"/>
  <c r="A1138" i="3"/>
  <c r="C1138" i="3"/>
  <c r="D1138" i="3"/>
  <c r="B1138" i="3"/>
  <c r="E1138" i="3"/>
  <c r="A1139" i="3"/>
  <c r="C1139" i="3"/>
  <c r="D1139" i="3"/>
  <c r="B1139" i="3"/>
  <c r="E1139" i="3"/>
  <c r="A1140" i="3"/>
  <c r="C1140" i="3"/>
  <c r="D1140" i="3"/>
  <c r="B1140" i="3"/>
  <c r="E1140" i="3"/>
  <c r="A1141" i="3"/>
  <c r="C1141" i="3"/>
  <c r="D1141" i="3"/>
  <c r="B1141" i="3"/>
  <c r="E1141" i="3"/>
  <c r="A1142" i="3"/>
  <c r="C1142" i="3"/>
  <c r="D1142" i="3"/>
  <c r="B1142" i="3"/>
  <c r="E1142" i="3"/>
  <c r="A1143" i="3"/>
  <c r="C1143" i="3"/>
  <c r="D1143" i="3"/>
  <c r="B1143" i="3"/>
  <c r="E1143" i="3"/>
  <c r="A1144" i="3"/>
  <c r="C1144" i="3"/>
  <c r="D1144" i="3"/>
  <c r="B1144" i="3"/>
  <c r="E1144" i="3"/>
  <c r="A1145" i="3"/>
  <c r="C1145" i="3"/>
  <c r="D1145" i="3"/>
  <c r="B1145" i="3"/>
  <c r="E1145" i="3"/>
  <c r="A1146" i="3"/>
  <c r="C1146" i="3"/>
  <c r="D1146" i="3"/>
  <c r="B1146" i="3"/>
  <c r="E1146" i="3"/>
  <c r="A1147" i="3"/>
  <c r="C1147" i="3"/>
  <c r="D1147" i="3"/>
  <c r="B1147" i="3"/>
  <c r="E1147" i="3"/>
  <c r="A1148" i="3"/>
  <c r="C1148" i="3"/>
  <c r="D1148" i="3"/>
  <c r="B1148" i="3"/>
  <c r="E1148" i="3"/>
  <c r="A1149" i="3"/>
  <c r="C1149" i="3"/>
  <c r="D1149" i="3"/>
  <c r="B1149" i="3"/>
  <c r="E1149" i="3"/>
  <c r="A1150" i="3"/>
  <c r="C1150" i="3"/>
  <c r="D1150" i="3"/>
  <c r="B1150" i="3"/>
  <c r="E1150" i="3"/>
  <c r="A1151" i="3"/>
  <c r="C1151" i="3"/>
  <c r="D1151" i="3"/>
  <c r="B1151" i="3"/>
  <c r="E1151" i="3"/>
  <c r="A1152" i="3"/>
  <c r="C1152" i="3"/>
  <c r="D1152" i="3"/>
  <c r="B1152" i="3"/>
  <c r="E1152" i="3"/>
  <c r="A1153" i="3"/>
  <c r="C1153" i="3"/>
  <c r="D1153" i="3"/>
  <c r="B1153" i="3"/>
  <c r="E1153" i="3"/>
  <c r="A1154" i="3"/>
  <c r="C1154" i="3"/>
  <c r="D1154" i="3"/>
  <c r="B1154" i="3"/>
  <c r="E1154" i="3"/>
  <c r="A1155" i="3"/>
  <c r="C1155" i="3"/>
  <c r="D1155" i="3"/>
  <c r="B1155" i="3"/>
  <c r="E1155" i="3"/>
  <c r="A1156" i="3"/>
  <c r="C1156" i="3"/>
  <c r="D1156" i="3"/>
  <c r="B1156" i="3"/>
  <c r="E1156" i="3"/>
  <c r="A1157" i="3"/>
  <c r="C1157" i="3"/>
  <c r="D1157" i="3"/>
  <c r="B1157" i="3"/>
  <c r="E1157" i="3"/>
  <c r="A1158" i="3"/>
  <c r="C1158" i="3"/>
  <c r="D1158" i="3"/>
  <c r="B1158" i="3"/>
  <c r="E1158" i="3"/>
  <c r="A1159" i="3"/>
  <c r="C1159" i="3"/>
  <c r="D1159" i="3"/>
  <c r="B1159" i="3"/>
  <c r="E1159" i="3"/>
  <c r="A1160" i="3"/>
  <c r="C1160" i="3"/>
  <c r="D1160" i="3"/>
  <c r="B1160" i="3"/>
  <c r="E1160" i="3"/>
  <c r="A1161" i="3"/>
  <c r="C1161" i="3"/>
  <c r="D1161" i="3"/>
  <c r="B1161" i="3"/>
  <c r="E1161" i="3"/>
  <c r="A1162" i="3"/>
  <c r="C1162" i="3"/>
  <c r="D1162" i="3"/>
  <c r="B1162" i="3"/>
  <c r="E1162" i="3"/>
  <c r="A1163" i="3"/>
  <c r="C1163" i="3"/>
  <c r="D1163" i="3"/>
  <c r="B1163" i="3"/>
  <c r="E1163" i="3"/>
  <c r="A1164" i="3"/>
  <c r="C1164" i="3"/>
  <c r="D1164" i="3"/>
  <c r="B1164" i="3"/>
  <c r="E1164" i="3"/>
  <c r="A1165" i="3"/>
  <c r="C1165" i="3"/>
  <c r="D1165" i="3"/>
  <c r="B1165" i="3"/>
  <c r="E1165" i="3"/>
  <c r="A1166" i="3"/>
  <c r="C1166" i="3"/>
  <c r="D1166" i="3"/>
  <c r="B1166" i="3"/>
  <c r="E1166" i="3"/>
  <c r="A1167" i="3"/>
  <c r="C1167" i="3"/>
  <c r="D1167" i="3"/>
  <c r="B1167" i="3"/>
  <c r="E1167" i="3"/>
  <c r="A1168" i="3"/>
  <c r="C1168" i="3"/>
  <c r="D1168" i="3"/>
  <c r="B1168" i="3"/>
  <c r="E1168" i="3"/>
  <c r="A1169" i="3"/>
  <c r="C1169" i="3"/>
  <c r="D1169" i="3"/>
  <c r="B1169" i="3"/>
  <c r="E1169" i="3"/>
  <c r="A1170" i="3"/>
  <c r="C1170" i="3"/>
  <c r="D1170" i="3"/>
  <c r="B1170" i="3"/>
  <c r="E1170" i="3"/>
  <c r="A1171" i="3"/>
  <c r="C1171" i="3"/>
  <c r="D1171" i="3"/>
  <c r="B1171" i="3"/>
  <c r="E1171" i="3"/>
  <c r="A1172" i="3"/>
  <c r="C1172" i="3"/>
  <c r="D1172" i="3"/>
  <c r="B1172" i="3"/>
  <c r="E1172" i="3"/>
  <c r="A1173" i="3"/>
  <c r="C1173" i="3"/>
  <c r="D1173" i="3"/>
  <c r="B1173" i="3"/>
  <c r="E1173" i="3"/>
  <c r="A1174" i="3"/>
  <c r="C1174" i="3"/>
  <c r="D1174" i="3"/>
  <c r="B1174" i="3"/>
  <c r="E1174" i="3"/>
  <c r="A1175" i="3"/>
  <c r="C1175" i="3"/>
  <c r="D1175" i="3"/>
  <c r="B1175" i="3"/>
  <c r="E1175" i="3"/>
  <c r="A1176" i="3"/>
  <c r="C1176" i="3"/>
  <c r="D1176" i="3"/>
  <c r="B1176" i="3"/>
  <c r="E1176" i="3"/>
  <c r="A1177" i="3"/>
  <c r="C1177" i="3"/>
  <c r="D1177" i="3"/>
  <c r="B1177" i="3"/>
  <c r="E1177" i="3"/>
  <c r="A1178" i="3"/>
  <c r="C1178" i="3"/>
  <c r="D1178" i="3"/>
  <c r="B1178" i="3"/>
  <c r="E1178" i="3"/>
  <c r="A1179" i="3"/>
  <c r="C1179" i="3"/>
  <c r="D1179" i="3"/>
  <c r="B1179" i="3"/>
  <c r="E1179" i="3"/>
  <c r="A1180" i="3"/>
  <c r="C1180" i="3"/>
  <c r="D1180" i="3"/>
  <c r="B1180" i="3"/>
  <c r="E1180" i="3"/>
  <c r="A1181" i="3"/>
  <c r="C1181" i="3"/>
  <c r="D1181" i="3"/>
  <c r="B1181" i="3"/>
  <c r="E1181" i="3"/>
  <c r="A1182" i="3"/>
  <c r="C1182" i="3"/>
  <c r="D1182" i="3"/>
  <c r="B1182" i="3"/>
  <c r="E1182" i="3"/>
  <c r="A1183" i="3"/>
  <c r="C1183" i="3"/>
  <c r="D1183" i="3"/>
  <c r="B1183" i="3"/>
  <c r="E1183" i="3"/>
  <c r="A1184" i="3"/>
  <c r="C1184" i="3"/>
  <c r="D1184" i="3"/>
  <c r="B1184" i="3"/>
  <c r="E1184" i="3"/>
  <c r="A1185" i="3"/>
  <c r="C1185" i="3"/>
  <c r="D1185" i="3"/>
  <c r="B1185" i="3"/>
  <c r="E1185" i="3"/>
  <c r="A1186" i="3"/>
  <c r="C1186" i="3"/>
  <c r="D1186" i="3"/>
  <c r="B1186" i="3"/>
  <c r="E1186" i="3"/>
  <c r="A1187" i="3"/>
  <c r="C1187" i="3"/>
  <c r="D1187" i="3"/>
  <c r="B1187" i="3"/>
  <c r="E1187" i="3"/>
  <c r="A1188" i="3"/>
  <c r="C1188" i="3"/>
  <c r="D1188" i="3"/>
  <c r="B1188" i="3"/>
  <c r="E1188" i="3"/>
  <c r="A1189" i="3"/>
  <c r="C1189" i="3"/>
  <c r="D1189" i="3"/>
  <c r="B1189" i="3"/>
  <c r="E1189" i="3"/>
  <c r="A1190" i="3"/>
  <c r="C1190" i="3"/>
  <c r="D1190" i="3"/>
  <c r="B1190" i="3"/>
  <c r="E1190" i="3"/>
  <c r="A1191" i="3"/>
  <c r="C1191" i="3"/>
  <c r="D1191" i="3"/>
  <c r="B1191" i="3"/>
  <c r="E1191" i="3"/>
  <c r="A1192" i="3"/>
  <c r="C1192" i="3"/>
  <c r="D1192" i="3"/>
  <c r="B1192" i="3"/>
  <c r="E1192" i="3"/>
  <c r="A1193" i="3"/>
  <c r="C1193" i="3"/>
  <c r="D1193" i="3"/>
  <c r="B1193" i="3"/>
  <c r="E1193" i="3"/>
  <c r="A1194" i="3"/>
  <c r="C1194" i="3"/>
  <c r="D1194" i="3"/>
  <c r="B1194" i="3"/>
  <c r="E1194" i="3"/>
  <c r="A1195" i="3"/>
  <c r="C1195" i="3"/>
  <c r="D1195" i="3"/>
  <c r="B1195" i="3"/>
  <c r="E1195" i="3"/>
  <c r="A1196" i="3"/>
  <c r="C1196" i="3"/>
  <c r="D1196" i="3"/>
  <c r="B1196" i="3"/>
  <c r="E1196" i="3"/>
  <c r="A1197" i="3"/>
  <c r="C1197" i="3"/>
  <c r="D1197" i="3"/>
  <c r="B1197" i="3"/>
  <c r="E1197" i="3"/>
  <c r="A1198" i="3"/>
  <c r="C1198" i="3"/>
  <c r="D1198" i="3"/>
  <c r="B1198" i="3"/>
  <c r="E1198" i="3"/>
  <c r="A1199" i="3"/>
  <c r="C1199" i="3"/>
  <c r="D1199" i="3"/>
  <c r="B1199" i="3"/>
  <c r="E1199" i="3"/>
  <c r="A1200" i="3"/>
  <c r="C1200" i="3"/>
  <c r="D1200" i="3"/>
  <c r="B1200" i="3"/>
  <c r="E1200" i="3"/>
  <c r="A1201" i="3"/>
  <c r="C1201" i="3"/>
  <c r="D1201" i="3"/>
  <c r="B1201" i="3"/>
  <c r="E1201" i="3"/>
  <c r="A1202" i="3"/>
  <c r="C1202" i="3"/>
  <c r="D1202" i="3"/>
  <c r="B1202" i="3"/>
  <c r="E1202" i="3"/>
  <c r="A1203" i="3"/>
  <c r="C1203" i="3"/>
  <c r="D1203" i="3"/>
  <c r="B1203" i="3"/>
  <c r="E1203" i="3"/>
  <c r="A1204" i="3"/>
  <c r="C1204" i="3"/>
  <c r="D1204" i="3"/>
  <c r="B1204" i="3"/>
  <c r="E1204" i="3"/>
  <c r="A1205" i="3"/>
  <c r="C1205" i="3"/>
  <c r="D1205" i="3"/>
  <c r="B1205" i="3"/>
  <c r="E1205" i="3"/>
  <c r="A1206" i="3"/>
  <c r="C1206" i="3"/>
  <c r="D1206" i="3"/>
  <c r="B1206" i="3"/>
  <c r="E1206" i="3"/>
  <c r="A1207" i="3"/>
  <c r="C1207" i="3"/>
  <c r="D1207" i="3"/>
  <c r="B1207" i="3"/>
  <c r="E1207" i="3"/>
  <c r="A1208" i="3"/>
  <c r="C1208" i="3"/>
  <c r="D1208" i="3"/>
  <c r="B1208" i="3"/>
  <c r="E1208" i="3"/>
  <c r="A1209" i="3"/>
  <c r="C1209" i="3"/>
  <c r="D1209" i="3"/>
  <c r="B1209" i="3"/>
  <c r="E1209" i="3"/>
  <c r="A1210" i="3"/>
  <c r="C1210" i="3"/>
  <c r="D1210" i="3"/>
  <c r="B1210" i="3"/>
  <c r="E1210" i="3"/>
  <c r="A1211" i="3"/>
  <c r="C1211" i="3"/>
  <c r="D1211" i="3"/>
  <c r="B1211" i="3"/>
  <c r="E1211" i="3"/>
  <c r="A1212" i="3"/>
  <c r="C1212" i="3"/>
  <c r="D1212" i="3"/>
  <c r="B1212" i="3"/>
  <c r="E1212" i="3"/>
  <c r="A1213" i="3"/>
  <c r="C1213" i="3"/>
  <c r="D1213" i="3"/>
  <c r="B1213" i="3"/>
  <c r="E1213" i="3"/>
  <c r="A1214" i="3"/>
  <c r="C1214" i="3"/>
  <c r="D1214" i="3"/>
  <c r="B1214" i="3"/>
  <c r="E1214" i="3"/>
  <c r="A1215" i="3"/>
  <c r="C1215" i="3"/>
  <c r="D1215" i="3"/>
  <c r="B1215" i="3"/>
  <c r="E1215" i="3"/>
  <c r="A1216" i="3"/>
  <c r="C1216" i="3"/>
  <c r="D1216" i="3"/>
  <c r="B1216" i="3"/>
  <c r="E1216" i="3"/>
  <c r="A1217" i="3"/>
  <c r="C1217" i="3"/>
  <c r="D1217" i="3"/>
  <c r="B1217" i="3"/>
  <c r="E1217" i="3"/>
  <c r="A1218" i="3"/>
  <c r="C1218" i="3"/>
  <c r="D1218" i="3"/>
  <c r="B1218" i="3"/>
  <c r="E1218" i="3"/>
  <c r="A1219" i="3"/>
  <c r="C1219" i="3"/>
  <c r="D1219" i="3"/>
  <c r="B1219" i="3"/>
  <c r="E1219" i="3"/>
  <c r="A1220" i="3"/>
  <c r="C1220" i="3"/>
  <c r="D1220" i="3"/>
  <c r="B1220" i="3"/>
  <c r="E1220" i="3"/>
  <c r="A1221" i="3"/>
  <c r="C1221" i="3"/>
  <c r="D1221" i="3"/>
  <c r="B1221" i="3"/>
  <c r="E1221" i="3"/>
  <c r="A1222" i="3"/>
  <c r="C1222" i="3"/>
  <c r="D1222" i="3"/>
  <c r="B1222" i="3"/>
  <c r="E1222" i="3"/>
  <c r="A1223" i="3"/>
  <c r="C1223" i="3"/>
  <c r="D1223" i="3"/>
  <c r="B1223" i="3"/>
  <c r="E1223" i="3"/>
  <c r="A1224" i="3"/>
  <c r="C1224" i="3"/>
  <c r="D1224" i="3"/>
  <c r="B1224" i="3"/>
  <c r="E1224" i="3"/>
  <c r="A1225" i="3"/>
  <c r="C1225" i="3"/>
  <c r="D1225" i="3"/>
  <c r="B1225" i="3"/>
  <c r="E1225" i="3"/>
  <c r="A1226" i="3"/>
  <c r="C1226" i="3"/>
  <c r="D1226" i="3"/>
  <c r="B1226" i="3"/>
  <c r="E1226" i="3"/>
  <c r="A1227" i="3"/>
  <c r="C1227" i="3"/>
  <c r="D1227" i="3"/>
  <c r="B1227" i="3"/>
  <c r="E1227" i="3"/>
  <c r="A1228" i="3"/>
  <c r="C1228" i="3"/>
  <c r="D1228" i="3"/>
  <c r="B1228" i="3"/>
  <c r="E1228" i="3"/>
  <c r="A1229" i="3"/>
  <c r="C1229" i="3"/>
  <c r="D1229" i="3"/>
  <c r="B1229" i="3"/>
  <c r="E1229" i="3"/>
  <c r="A1230" i="3"/>
  <c r="C1230" i="3"/>
  <c r="D1230" i="3"/>
  <c r="B1230" i="3"/>
  <c r="E1230" i="3"/>
  <c r="A1231" i="3"/>
  <c r="C1231" i="3"/>
  <c r="D1231" i="3"/>
  <c r="B1231" i="3"/>
  <c r="E1231" i="3"/>
  <c r="A1232" i="3"/>
  <c r="C1232" i="3"/>
  <c r="D1232" i="3"/>
  <c r="B1232" i="3"/>
  <c r="E1232" i="3"/>
  <c r="A1233" i="3"/>
  <c r="C1233" i="3"/>
  <c r="D1233" i="3"/>
  <c r="B1233" i="3"/>
  <c r="E1233" i="3"/>
  <c r="A1234" i="3"/>
  <c r="C1234" i="3"/>
  <c r="D1234" i="3"/>
  <c r="B1234" i="3"/>
  <c r="E1234" i="3"/>
  <c r="A1235" i="3"/>
  <c r="C1235" i="3"/>
  <c r="D1235" i="3"/>
  <c r="B1235" i="3"/>
  <c r="E1235" i="3"/>
  <c r="A1236" i="3"/>
  <c r="C1236" i="3"/>
  <c r="D1236" i="3"/>
  <c r="B1236" i="3"/>
  <c r="E1236" i="3"/>
  <c r="A1237" i="3"/>
  <c r="C1237" i="3"/>
  <c r="D1237" i="3"/>
  <c r="B1237" i="3"/>
  <c r="E1237" i="3"/>
  <c r="A1238" i="3"/>
  <c r="C1238" i="3"/>
  <c r="D1238" i="3"/>
  <c r="B1238" i="3"/>
  <c r="E1238" i="3"/>
  <c r="A1239" i="3"/>
  <c r="C1239" i="3"/>
  <c r="D1239" i="3"/>
  <c r="B1239" i="3"/>
  <c r="E1239" i="3"/>
  <c r="A1240" i="3"/>
  <c r="C1240" i="3"/>
  <c r="D1240" i="3"/>
  <c r="B1240" i="3"/>
  <c r="E1240" i="3"/>
  <c r="A1241" i="3"/>
  <c r="C1241" i="3"/>
  <c r="D1241" i="3"/>
  <c r="B1241" i="3"/>
  <c r="E1241" i="3"/>
  <c r="A1242" i="3"/>
  <c r="C1242" i="3"/>
  <c r="D1242" i="3"/>
  <c r="B1242" i="3"/>
  <c r="E1242" i="3"/>
  <c r="A1243" i="3"/>
  <c r="C1243" i="3"/>
  <c r="D1243" i="3"/>
  <c r="B1243" i="3"/>
  <c r="E1243" i="3"/>
  <c r="A1244" i="3"/>
  <c r="C1244" i="3"/>
  <c r="D1244" i="3"/>
  <c r="B1244" i="3"/>
  <c r="E1244" i="3"/>
  <c r="A1245" i="3"/>
  <c r="C1245" i="3"/>
  <c r="D1245" i="3"/>
  <c r="B1245" i="3"/>
  <c r="E1245" i="3"/>
  <c r="A1246" i="3"/>
  <c r="C1246" i="3"/>
  <c r="D1246" i="3"/>
  <c r="B1246" i="3"/>
  <c r="E1246" i="3"/>
  <c r="A1247" i="3"/>
  <c r="C1247" i="3"/>
  <c r="D1247" i="3"/>
  <c r="B1247" i="3"/>
  <c r="E1247" i="3"/>
  <c r="A1248" i="3"/>
  <c r="C1248" i="3"/>
  <c r="D1248" i="3"/>
  <c r="B1248" i="3"/>
  <c r="E1248" i="3"/>
  <c r="A1249" i="3"/>
  <c r="C1249" i="3"/>
  <c r="D1249" i="3"/>
  <c r="B1249" i="3"/>
  <c r="E1249" i="3"/>
  <c r="A1250" i="3"/>
  <c r="C1250" i="3"/>
  <c r="D1250" i="3"/>
  <c r="B1250" i="3"/>
  <c r="E1250" i="3"/>
  <c r="A1251" i="3"/>
  <c r="C1251" i="3"/>
  <c r="D1251" i="3"/>
  <c r="B1251" i="3"/>
  <c r="E1251" i="3"/>
  <c r="A1252" i="3"/>
  <c r="C1252" i="3"/>
  <c r="D1252" i="3"/>
  <c r="B1252" i="3"/>
  <c r="E1252" i="3"/>
  <c r="A1253" i="3"/>
  <c r="C1253" i="3"/>
  <c r="D1253" i="3"/>
  <c r="B1253" i="3"/>
  <c r="E1253" i="3"/>
  <c r="A1254" i="3"/>
  <c r="C1254" i="3"/>
  <c r="D1254" i="3"/>
  <c r="B1254" i="3"/>
  <c r="E1254" i="3"/>
  <c r="A1255" i="3"/>
  <c r="C1255" i="3"/>
  <c r="D1255" i="3"/>
  <c r="B1255" i="3"/>
  <c r="E1255" i="3"/>
  <c r="A1256" i="3"/>
  <c r="C1256" i="3"/>
  <c r="D1256" i="3"/>
  <c r="B1256" i="3"/>
  <c r="E1256" i="3"/>
  <c r="A1257" i="3"/>
  <c r="C1257" i="3"/>
  <c r="D1257" i="3"/>
  <c r="B1257" i="3"/>
  <c r="E1257" i="3"/>
  <c r="A1258" i="3"/>
  <c r="C1258" i="3"/>
  <c r="D1258" i="3"/>
  <c r="B1258" i="3"/>
  <c r="E1258" i="3"/>
  <c r="A1259" i="3"/>
  <c r="C1259" i="3"/>
  <c r="D1259" i="3"/>
  <c r="B1259" i="3"/>
  <c r="E1259" i="3"/>
  <c r="A1260" i="3"/>
  <c r="C1260" i="3"/>
  <c r="D1260" i="3"/>
  <c r="B1260" i="3"/>
  <c r="E1260" i="3"/>
  <c r="A1261" i="3"/>
  <c r="C1261" i="3"/>
  <c r="D1261" i="3"/>
  <c r="B1261" i="3"/>
  <c r="E1261" i="3"/>
  <c r="A1262" i="3"/>
  <c r="C1262" i="3"/>
  <c r="D1262" i="3"/>
  <c r="B1262" i="3"/>
  <c r="E1262" i="3"/>
  <c r="A1263" i="3"/>
  <c r="C1263" i="3"/>
  <c r="D1263" i="3"/>
  <c r="B1263" i="3"/>
  <c r="E1263" i="3"/>
  <c r="A1264" i="3"/>
  <c r="C1264" i="3"/>
  <c r="D1264" i="3"/>
  <c r="B1264" i="3"/>
  <c r="E1264" i="3"/>
  <c r="A1265" i="3"/>
  <c r="C1265" i="3"/>
  <c r="D1265" i="3"/>
  <c r="B1265" i="3"/>
  <c r="E1265" i="3"/>
  <c r="A1266" i="3"/>
  <c r="C1266" i="3"/>
  <c r="D1266" i="3"/>
  <c r="B1266" i="3"/>
  <c r="E1266" i="3"/>
  <c r="A1267" i="3"/>
  <c r="C1267" i="3"/>
  <c r="D1267" i="3"/>
  <c r="B1267" i="3"/>
  <c r="E1267" i="3"/>
  <c r="A1268" i="3"/>
  <c r="C1268" i="3"/>
  <c r="D1268" i="3"/>
  <c r="B1268" i="3"/>
  <c r="E1268" i="3"/>
  <c r="A1269" i="3"/>
  <c r="C1269" i="3"/>
  <c r="D1269" i="3"/>
  <c r="B1269" i="3"/>
  <c r="E1269" i="3"/>
  <c r="A1270" i="3"/>
  <c r="C1270" i="3"/>
  <c r="D1270" i="3"/>
  <c r="B1270" i="3"/>
  <c r="E1270" i="3"/>
  <c r="A1271" i="3"/>
  <c r="C1271" i="3"/>
  <c r="D1271" i="3"/>
  <c r="B1271" i="3"/>
  <c r="E1271" i="3"/>
  <c r="A1272" i="3"/>
  <c r="C1272" i="3"/>
  <c r="D1272" i="3"/>
  <c r="B1272" i="3"/>
  <c r="E1272" i="3"/>
  <c r="A1273" i="3"/>
  <c r="C1273" i="3"/>
  <c r="D1273" i="3"/>
  <c r="B1273" i="3"/>
  <c r="E1273" i="3"/>
  <c r="A1274" i="3"/>
  <c r="C1274" i="3"/>
  <c r="D1274" i="3"/>
  <c r="B1274" i="3"/>
  <c r="E1274" i="3"/>
  <c r="A1275" i="3"/>
  <c r="C1275" i="3"/>
  <c r="D1275" i="3"/>
  <c r="B1275" i="3"/>
  <c r="E1275" i="3"/>
  <c r="A1276" i="3"/>
  <c r="C1276" i="3"/>
  <c r="D1276" i="3"/>
  <c r="B1276" i="3"/>
  <c r="E1276" i="3"/>
  <c r="A1277" i="3"/>
  <c r="C1277" i="3"/>
  <c r="D1277" i="3"/>
  <c r="B1277" i="3"/>
  <c r="E1277" i="3"/>
  <c r="A1278" i="3"/>
  <c r="C1278" i="3"/>
  <c r="D1278" i="3"/>
  <c r="B1278" i="3"/>
  <c r="E1278" i="3"/>
  <c r="A1279" i="3"/>
  <c r="C1279" i="3"/>
  <c r="D1279" i="3"/>
  <c r="B1279" i="3"/>
  <c r="E1279" i="3"/>
  <c r="A1280" i="3"/>
  <c r="C1280" i="3"/>
  <c r="D1280" i="3"/>
  <c r="B1280" i="3"/>
  <c r="E1280" i="3"/>
  <c r="A1281" i="3"/>
  <c r="C1281" i="3"/>
  <c r="D1281" i="3"/>
  <c r="B1281" i="3"/>
  <c r="E1281" i="3"/>
  <c r="A1282" i="3"/>
  <c r="C1282" i="3"/>
  <c r="D1282" i="3"/>
  <c r="B1282" i="3"/>
  <c r="E1282" i="3"/>
  <c r="A1283" i="3"/>
  <c r="C1283" i="3"/>
  <c r="D1283" i="3"/>
  <c r="B1283" i="3"/>
  <c r="E1283" i="3"/>
  <c r="A1284" i="3"/>
  <c r="C1284" i="3"/>
  <c r="D1284" i="3"/>
  <c r="B1284" i="3"/>
  <c r="E1284" i="3"/>
  <c r="A1285" i="3"/>
  <c r="C1285" i="3"/>
  <c r="D1285" i="3"/>
  <c r="B1285" i="3"/>
  <c r="E1285" i="3"/>
  <c r="A1286" i="3"/>
  <c r="C1286" i="3"/>
  <c r="D1286" i="3"/>
  <c r="B1286" i="3"/>
  <c r="E1286" i="3"/>
  <c r="A1287" i="3"/>
  <c r="C1287" i="3"/>
  <c r="D1287" i="3"/>
  <c r="B1287" i="3"/>
  <c r="E1287" i="3"/>
  <c r="A1288" i="3"/>
  <c r="C1288" i="3"/>
  <c r="D1288" i="3"/>
  <c r="B1288" i="3"/>
  <c r="E1288" i="3"/>
  <c r="A1289" i="3"/>
  <c r="C1289" i="3"/>
  <c r="D1289" i="3"/>
  <c r="B1289" i="3"/>
  <c r="E1289" i="3"/>
  <c r="A1290" i="3"/>
  <c r="C1290" i="3"/>
  <c r="D1290" i="3"/>
  <c r="B1290" i="3"/>
  <c r="E1290" i="3"/>
  <c r="A1291" i="3"/>
  <c r="C1291" i="3"/>
  <c r="D1291" i="3"/>
  <c r="B1291" i="3"/>
  <c r="E1291" i="3"/>
  <c r="A1292" i="3"/>
  <c r="C1292" i="3"/>
  <c r="D1292" i="3"/>
  <c r="B1292" i="3"/>
  <c r="E1292" i="3"/>
  <c r="A1293" i="3"/>
  <c r="C1293" i="3"/>
  <c r="D1293" i="3"/>
  <c r="B1293" i="3"/>
  <c r="E1293" i="3"/>
  <c r="A1294" i="3"/>
  <c r="C1294" i="3"/>
  <c r="D1294" i="3"/>
  <c r="B1294" i="3"/>
  <c r="E1294" i="3"/>
  <c r="A1295" i="3"/>
  <c r="C1295" i="3"/>
  <c r="D1295" i="3"/>
  <c r="B1295" i="3"/>
  <c r="E1295" i="3"/>
  <c r="A1296" i="3"/>
  <c r="C1296" i="3"/>
  <c r="D1296" i="3"/>
  <c r="B1296" i="3"/>
  <c r="E1296" i="3"/>
  <c r="A1297" i="3"/>
  <c r="C1297" i="3"/>
  <c r="D1297" i="3"/>
  <c r="B1297" i="3"/>
  <c r="E1297" i="3"/>
  <c r="A1298" i="3"/>
  <c r="C1298" i="3"/>
  <c r="D1298" i="3"/>
  <c r="B1298" i="3"/>
  <c r="E1298" i="3"/>
  <c r="A1299" i="3"/>
  <c r="C1299" i="3"/>
  <c r="D1299" i="3"/>
  <c r="B1299" i="3"/>
  <c r="E1299" i="3"/>
  <c r="A1300" i="3"/>
  <c r="C1300" i="3"/>
  <c r="D1300" i="3"/>
  <c r="B1300" i="3"/>
  <c r="E1300" i="3"/>
  <c r="A1301" i="3"/>
  <c r="C1301" i="3"/>
  <c r="D1301" i="3"/>
  <c r="B1301" i="3"/>
  <c r="E1301" i="3"/>
  <c r="A1302" i="3"/>
  <c r="C1302" i="3"/>
  <c r="D1302" i="3"/>
  <c r="B1302" i="3"/>
  <c r="E1302" i="3"/>
  <c r="A1303" i="3"/>
  <c r="C1303" i="3"/>
  <c r="D1303" i="3"/>
  <c r="B1303" i="3"/>
  <c r="E1303" i="3"/>
  <c r="A1304" i="3"/>
  <c r="C1304" i="3"/>
  <c r="D1304" i="3"/>
  <c r="B1304" i="3"/>
  <c r="E1304" i="3"/>
  <c r="A1305" i="3"/>
  <c r="C1305" i="3"/>
  <c r="D1305" i="3"/>
  <c r="B1305" i="3"/>
  <c r="E1305" i="3"/>
  <c r="A1306" i="3"/>
  <c r="C1306" i="3"/>
  <c r="D1306" i="3"/>
  <c r="B1306" i="3"/>
  <c r="E1306" i="3"/>
  <c r="A1307" i="3"/>
  <c r="C1307" i="3"/>
  <c r="D1307" i="3"/>
  <c r="B1307" i="3"/>
  <c r="E1307" i="3"/>
  <c r="A1308" i="3"/>
  <c r="C1308" i="3"/>
  <c r="D1308" i="3"/>
  <c r="B1308" i="3"/>
  <c r="E1308" i="3"/>
  <c r="A1309" i="3"/>
  <c r="C1309" i="3"/>
  <c r="D1309" i="3"/>
  <c r="B1309" i="3"/>
  <c r="E1309" i="3"/>
  <c r="A1310" i="3"/>
  <c r="C1310" i="3"/>
  <c r="D1310" i="3"/>
  <c r="B1310" i="3"/>
  <c r="E1310" i="3"/>
  <c r="A1311" i="3"/>
  <c r="C1311" i="3"/>
  <c r="D1311" i="3"/>
  <c r="B1311" i="3"/>
  <c r="E1311" i="3"/>
  <c r="A1312" i="3"/>
  <c r="C1312" i="3"/>
  <c r="D1312" i="3"/>
  <c r="B1312" i="3"/>
  <c r="E1312" i="3"/>
  <c r="A1313" i="3"/>
  <c r="C1313" i="3"/>
  <c r="D1313" i="3"/>
  <c r="B1313" i="3"/>
  <c r="E1313" i="3"/>
  <c r="A1314" i="3"/>
  <c r="C1314" i="3"/>
  <c r="D1314" i="3"/>
  <c r="B1314" i="3"/>
  <c r="E1314" i="3"/>
  <c r="A1315" i="3"/>
  <c r="C1315" i="3"/>
  <c r="D1315" i="3"/>
  <c r="B1315" i="3"/>
  <c r="E1315" i="3"/>
  <c r="A1316" i="3"/>
  <c r="C1316" i="3"/>
  <c r="D1316" i="3"/>
  <c r="B1316" i="3"/>
  <c r="E1316" i="3"/>
  <c r="A1317" i="3"/>
  <c r="C1317" i="3"/>
  <c r="D1317" i="3"/>
  <c r="B1317" i="3"/>
  <c r="E1317" i="3"/>
  <c r="A1318" i="3"/>
  <c r="C1318" i="3"/>
  <c r="D1318" i="3"/>
  <c r="B1318" i="3"/>
  <c r="E1318" i="3"/>
  <c r="A1319" i="3"/>
  <c r="C1319" i="3"/>
  <c r="D1319" i="3"/>
  <c r="B1319" i="3"/>
  <c r="E1319" i="3"/>
  <c r="A1320" i="3"/>
  <c r="C1320" i="3"/>
  <c r="D1320" i="3"/>
  <c r="B1320" i="3"/>
  <c r="E1320" i="3"/>
  <c r="A1321" i="3"/>
  <c r="C1321" i="3"/>
  <c r="D1321" i="3"/>
  <c r="B1321" i="3"/>
  <c r="E1321" i="3"/>
  <c r="A1322" i="3"/>
  <c r="C1322" i="3"/>
  <c r="D1322" i="3"/>
  <c r="B1322" i="3"/>
  <c r="E1322" i="3"/>
  <c r="A1323" i="3"/>
  <c r="C1323" i="3"/>
  <c r="D1323" i="3"/>
  <c r="B1323" i="3"/>
  <c r="E1323" i="3"/>
  <c r="A1324" i="3"/>
  <c r="C1324" i="3"/>
  <c r="D1324" i="3"/>
  <c r="B1324" i="3"/>
  <c r="E1324" i="3"/>
  <c r="A1325" i="3"/>
  <c r="C1325" i="3"/>
  <c r="D1325" i="3"/>
  <c r="B1325" i="3"/>
  <c r="E1325" i="3"/>
  <c r="A1326" i="3"/>
  <c r="C1326" i="3"/>
  <c r="D1326" i="3"/>
  <c r="B1326" i="3"/>
  <c r="E1326" i="3"/>
  <c r="A1327" i="3"/>
  <c r="C1327" i="3"/>
  <c r="D1327" i="3"/>
  <c r="B1327" i="3"/>
  <c r="E1327" i="3"/>
  <c r="A1328" i="3"/>
  <c r="C1328" i="3"/>
  <c r="D1328" i="3"/>
  <c r="B1328" i="3"/>
  <c r="E1328" i="3"/>
  <c r="A1329" i="3"/>
  <c r="C1329" i="3"/>
  <c r="D1329" i="3"/>
  <c r="B1329" i="3"/>
  <c r="E1329" i="3"/>
  <c r="A1330" i="3"/>
  <c r="C1330" i="3"/>
  <c r="D1330" i="3"/>
  <c r="B1330" i="3"/>
  <c r="E1330" i="3"/>
  <c r="A1331" i="3"/>
  <c r="C1331" i="3"/>
  <c r="D1331" i="3"/>
  <c r="B1331" i="3"/>
  <c r="E1331" i="3"/>
  <c r="A1332" i="3"/>
  <c r="C1332" i="3"/>
  <c r="D1332" i="3"/>
  <c r="B1332" i="3"/>
  <c r="E1332" i="3"/>
  <c r="A1333" i="3"/>
  <c r="C1333" i="3"/>
  <c r="D1333" i="3"/>
  <c r="B1333" i="3"/>
  <c r="E1333" i="3"/>
  <c r="A1334" i="3"/>
  <c r="C1334" i="3"/>
  <c r="D1334" i="3"/>
  <c r="B1334" i="3"/>
  <c r="E1334" i="3"/>
  <c r="A1335" i="3"/>
  <c r="C1335" i="3"/>
  <c r="D1335" i="3"/>
  <c r="B1335" i="3"/>
  <c r="E1335" i="3"/>
  <c r="A1336" i="3"/>
  <c r="C1336" i="3"/>
  <c r="D1336" i="3"/>
  <c r="B1336" i="3"/>
  <c r="E1336" i="3"/>
  <c r="A1337" i="3"/>
  <c r="C1337" i="3"/>
  <c r="D1337" i="3"/>
  <c r="B1337" i="3"/>
  <c r="E1337" i="3"/>
  <c r="A1338" i="3"/>
  <c r="C1338" i="3"/>
  <c r="D1338" i="3"/>
  <c r="B1338" i="3"/>
  <c r="E1338" i="3"/>
  <c r="A1339" i="3"/>
  <c r="C1339" i="3"/>
  <c r="D1339" i="3"/>
  <c r="B1339" i="3"/>
  <c r="E1339" i="3"/>
  <c r="A1340" i="3"/>
  <c r="C1340" i="3"/>
  <c r="D1340" i="3"/>
  <c r="B1340" i="3"/>
  <c r="E1340" i="3"/>
  <c r="A1341" i="3"/>
  <c r="C1341" i="3"/>
  <c r="D1341" i="3"/>
  <c r="B1341" i="3"/>
  <c r="E1341" i="3"/>
  <c r="A1342" i="3"/>
  <c r="C1342" i="3"/>
  <c r="D1342" i="3"/>
  <c r="B1342" i="3"/>
  <c r="E1342" i="3"/>
  <c r="A1343" i="3"/>
  <c r="C1343" i="3"/>
  <c r="D1343" i="3"/>
  <c r="B1343" i="3"/>
  <c r="E1343" i="3"/>
  <c r="A1344" i="3"/>
  <c r="C1344" i="3"/>
  <c r="D1344" i="3"/>
  <c r="B1344" i="3"/>
  <c r="E1344" i="3"/>
  <c r="A1345" i="3"/>
  <c r="C1345" i="3"/>
  <c r="D1345" i="3"/>
  <c r="B1345" i="3"/>
  <c r="E1345" i="3"/>
  <c r="A1346" i="3"/>
  <c r="C1346" i="3"/>
  <c r="D1346" i="3"/>
  <c r="B1346" i="3"/>
  <c r="E1346" i="3"/>
  <c r="A1347" i="3"/>
  <c r="C1347" i="3"/>
  <c r="D1347" i="3"/>
  <c r="B1347" i="3"/>
  <c r="E1347" i="3"/>
  <c r="A1348" i="3"/>
  <c r="C1348" i="3"/>
  <c r="D1348" i="3"/>
  <c r="B1348" i="3"/>
  <c r="E1348" i="3"/>
  <c r="A1349" i="3"/>
  <c r="C1349" i="3"/>
  <c r="D1349" i="3"/>
  <c r="B1349" i="3"/>
  <c r="E1349" i="3"/>
  <c r="A1350" i="3"/>
  <c r="C1350" i="3"/>
  <c r="D1350" i="3"/>
  <c r="B1350" i="3"/>
  <c r="E1350" i="3"/>
  <c r="A1351" i="3"/>
  <c r="C1351" i="3"/>
  <c r="D1351" i="3"/>
  <c r="B1351" i="3"/>
  <c r="E1351" i="3"/>
  <c r="A1352" i="3"/>
  <c r="C1352" i="3"/>
  <c r="D1352" i="3"/>
  <c r="B1352" i="3"/>
  <c r="E1352" i="3"/>
  <c r="A1353" i="3"/>
  <c r="C1353" i="3"/>
  <c r="D1353" i="3"/>
  <c r="B1353" i="3"/>
  <c r="E1353" i="3"/>
  <c r="A1354" i="3"/>
  <c r="C1354" i="3"/>
  <c r="D1354" i="3"/>
  <c r="B1354" i="3"/>
  <c r="E1354" i="3"/>
  <c r="A1355" i="3"/>
  <c r="C1355" i="3"/>
  <c r="D1355" i="3"/>
  <c r="B1355" i="3"/>
  <c r="E1355" i="3"/>
  <c r="A1356" i="3"/>
  <c r="C1356" i="3"/>
  <c r="D1356" i="3"/>
  <c r="B1356" i="3"/>
  <c r="E1356" i="3"/>
  <c r="A1357" i="3"/>
  <c r="C1357" i="3"/>
  <c r="D1357" i="3"/>
  <c r="B1357" i="3"/>
  <c r="E1357" i="3"/>
  <c r="A1358" i="3"/>
  <c r="C1358" i="3"/>
  <c r="D1358" i="3"/>
  <c r="B1358" i="3"/>
  <c r="E1358" i="3"/>
  <c r="A1359" i="3"/>
  <c r="C1359" i="3"/>
  <c r="D1359" i="3"/>
  <c r="B1359" i="3"/>
  <c r="E1359" i="3"/>
  <c r="A1360" i="3"/>
  <c r="C1360" i="3"/>
  <c r="D1360" i="3"/>
  <c r="B1360" i="3"/>
  <c r="E1360" i="3"/>
  <c r="A1361" i="3"/>
  <c r="C1361" i="3"/>
  <c r="D1361" i="3"/>
  <c r="B1361" i="3"/>
  <c r="E1361" i="3"/>
  <c r="A1362" i="3"/>
  <c r="C1362" i="3"/>
  <c r="D1362" i="3"/>
  <c r="B1362" i="3"/>
  <c r="E1362" i="3"/>
  <c r="A1363" i="3"/>
  <c r="C1363" i="3"/>
  <c r="D1363" i="3"/>
  <c r="B1363" i="3"/>
  <c r="E1363" i="3"/>
  <c r="A1364" i="3"/>
  <c r="C1364" i="3"/>
  <c r="D1364" i="3"/>
  <c r="B1364" i="3"/>
  <c r="E1364" i="3"/>
  <c r="A1365" i="3"/>
  <c r="C1365" i="3"/>
  <c r="D1365" i="3"/>
  <c r="B1365" i="3"/>
  <c r="E1365" i="3"/>
  <c r="A1366" i="3"/>
  <c r="C1366" i="3"/>
  <c r="D1366" i="3"/>
  <c r="B1366" i="3"/>
  <c r="E1366" i="3"/>
  <c r="A1367" i="3"/>
  <c r="C1367" i="3"/>
  <c r="D1367" i="3"/>
  <c r="B1367" i="3"/>
  <c r="E1367" i="3"/>
  <c r="A1368" i="3"/>
  <c r="C1368" i="3"/>
  <c r="D1368" i="3"/>
  <c r="B1368" i="3"/>
  <c r="E1368" i="3"/>
  <c r="A1369" i="3"/>
  <c r="C1369" i="3"/>
  <c r="D1369" i="3"/>
  <c r="B1369" i="3"/>
  <c r="E1369" i="3"/>
  <c r="A1370" i="3"/>
  <c r="C1370" i="3"/>
  <c r="D1370" i="3"/>
  <c r="B1370" i="3"/>
  <c r="E1370" i="3"/>
  <c r="A1371" i="3"/>
  <c r="C1371" i="3"/>
  <c r="D1371" i="3"/>
  <c r="B1371" i="3"/>
  <c r="E1371" i="3"/>
  <c r="A1372" i="3"/>
  <c r="C1372" i="3"/>
  <c r="D1372" i="3"/>
  <c r="B1372" i="3"/>
  <c r="E1372" i="3"/>
  <c r="A1373" i="3"/>
  <c r="C1373" i="3"/>
  <c r="D1373" i="3"/>
  <c r="B1373" i="3"/>
  <c r="E1373" i="3"/>
  <c r="A1374" i="3"/>
  <c r="C1374" i="3"/>
  <c r="D1374" i="3"/>
  <c r="B1374" i="3"/>
  <c r="E1374" i="3"/>
  <c r="A1375" i="3"/>
  <c r="C1375" i="3"/>
  <c r="D1375" i="3"/>
  <c r="B1375" i="3"/>
  <c r="E1375" i="3"/>
  <c r="A1376" i="3"/>
  <c r="C1376" i="3"/>
  <c r="D1376" i="3"/>
  <c r="B1376" i="3"/>
  <c r="E1376" i="3"/>
  <c r="A1377" i="3"/>
  <c r="C1377" i="3"/>
  <c r="D1377" i="3"/>
  <c r="B1377" i="3"/>
  <c r="E1377" i="3"/>
  <c r="A1378" i="3"/>
  <c r="C1378" i="3"/>
  <c r="D1378" i="3"/>
  <c r="B1378" i="3"/>
  <c r="E1378" i="3"/>
  <c r="A1379" i="3"/>
  <c r="C1379" i="3"/>
  <c r="D1379" i="3"/>
  <c r="B1379" i="3"/>
  <c r="E1379" i="3"/>
  <c r="A1380" i="3"/>
  <c r="C1380" i="3"/>
  <c r="D1380" i="3"/>
  <c r="B1380" i="3"/>
  <c r="E1380" i="3"/>
  <c r="A1381" i="3"/>
  <c r="C1381" i="3"/>
  <c r="D1381" i="3"/>
  <c r="B1381" i="3"/>
  <c r="E1381" i="3"/>
  <c r="A1382" i="3"/>
  <c r="C1382" i="3"/>
  <c r="D1382" i="3"/>
  <c r="B1382" i="3"/>
  <c r="E1382" i="3"/>
  <c r="A1383" i="3"/>
  <c r="C1383" i="3"/>
  <c r="D1383" i="3"/>
  <c r="B1383" i="3"/>
  <c r="E1383" i="3"/>
  <c r="A1384" i="3"/>
  <c r="C1384" i="3"/>
  <c r="D1384" i="3"/>
  <c r="B1384" i="3"/>
  <c r="E1384" i="3"/>
  <c r="A1385" i="3"/>
  <c r="C1385" i="3"/>
  <c r="D1385" i="3"/>
  <c r="B1385" i="3"/>
  <c r="E1385" i="3"/>
  <c r="A1386" i="3"/>
  <c r="C1386" i="3"/>
  <c r="D1386" i="3"/>
  <c r="B1386" i="3"/>
  <c r="E1386" i="3"/>
  <c r="A1387" i="3"/>
  <c r="C1387" i="3"/>
  <c r="D1387" i="3"/>
  <c r="B1387" i="3"/>
  <c r="E1387" i="3"/>
  <c r="A1388" i="3"/>
  <c r="C1388" i="3"/>
  <c r="D1388" i="3"/>
  <c r="B1388" i="3"/>
  <c r="E1388" i="3"/>
  <c r="A1389" i="3"/>
  <c r="C1389" i="3"/>
  <c r="D1389" i="3"/>
  <c r="B1389" i="3"/>
  <c r="E1389" i="3"/>
  <c r="A1390" i="3"/>
  <c r="C1390" i="3"/>
  <c r="D1390" i="3"/>
  <c r="B1390" i="3"/>
  <c r="E1390" i="3"/>
  <c r="A1391" i="3"/>
  <c r="C1391" i="3"/>
  <c r="D1391" i="3"/>
  <c r="B1391" i="3"/>
  <c r="E1391" i="3"/>
  <c r="A1392" i="3"/>
  <c r="C1392" i="3"/>
  <c r="D1392" i="3"/>
  <c r="B1392" i="3"/>
  <c r="E1392" i="3"/>
  <c r="A1393" i="3"/>
  <c r="C1393" i="3"/>
  <c r="D1393" i="3"/>
  <c r="B1393" i="3"/>
  <c r="E1393" i="3"/>
  <c r="A1394" i="3"/>
  <c r="C1394" i="3"/>
  <c r="D1394" i="3"/>
  <c r="B1394" i="3"/>
  <c r="E1394" i="3"/>
  <c r="A1395" i="3"/>
  <c r="C1395" i="3"/>
  <c r="D1395" i="3"/>
  <c r="B1395" i="3"/>
  <c r="E1395" i="3"/>
  <c r="A1396" i="3"/>
  <c r="C1396" i="3"/>
  <c r="D1396" i="3"/>
  <c r="B1396" i="3"/>
  <c r="E1396" i="3"/>
  <c r="A1397" i="3"/>
  <c r="C1397" i="3"/>
  <c r="D1397" i="3"/>
  <c r="B1397" i="3"/>
  <c r="E1397" i="3"/>
  <c r="A1398" i="3"/>
  <c r="C1398" i="3"/>
  <c r="D1398" i="3"/>
  <c r="B1398" i="3"/>
  <c r="E1398" i="3"/>
  <c r="A1399" i="3"/>
  <c r="C1399" i="3"/>
  <c r="D1399" i="3"/>
  <c r="B1399" i="3"/>
  <c r="E1399" i="3"/>
  <c r="A1400" i="3"/>
  <c r="C1400" i="3"/>
  <c r="D1400" i="3"/>
  <c r="B1400" i="3"/>
  <c r="E1400" i="3"/>
  <c r="A1401" i="3"/>
  <c r="C1401" i="3"/>
  <c r="D1401" i="3"/>
  <c r="B1401" i="3"/>
  <c r="E1401" i="3"/>
  <c r="A1402" i="3"/>
  <c r="C1402" i="3"/>
  <c r="D1402" i="3"/>
  <c r="B1402" i="3"/>
  <c r="E1402" i="3"/>
  <c r="A1403" i="3"/>
  <c r="C1403" i="3"/>
  <c r="D1403" i="3"/>
  <c r="B1403" i="3"/>
  <c r="E1403" i="3"/>
  <c r="A1404" i="3"/>
  <c r="C1404" i="3"/>
  <c r="D1404" i="3"/>
  <c r="B1404" i="3"/>
  <c r="E1404" i="3"/>
  <c r="A1405" i="3"/>
  <c r="C1405" i="3"/>
  <c r="D1405" i="3"/>
  <c r="B1405" i="3"/>
  <c r="E1405" i="3"/>
  <c r="A1406" i="3"/>
  <c r="C1406" i="3"/>
  <c r="D1406" i="3"/>
  <c r="B1406" i="3"/>
  <c r="E1406" i="3"/>
  <c r="A1407" i="3"/>
  <c r="C1407" i="3"/>
  <c r="D1407" i="3"/>
  <c r="B1407" i="3"/>
  <c r="E1407" i="3"/>
  <c r="A1408" i="3"/>
  <c r="C1408" i="3"/>
  <c r="D1408" i="3"/>
  <c r="B1408" i="3"/>
  <c r="E1408" i="3"/>
  <c r="A1409" i="3"/>
  <c r="C1409" i="3"/>
  <c r="D1409" i="3"/>
  <c r="B1409" i="3"/>
  <c r="E1409" i="3"/>
  <c r="A1410" i="3"/>
  <c r="C1410" i="3"/>
  <c r="D1410" i="3"/>
  <c r="B1410" i="3"/>
  <c r="E1410" i="3"/>
  <c r="A1411" i="3"/>
  <c r="C1411" i="3"/>
  <c r="D1411" i="3"/>
  <c r="B1411" i="3"/>
  <c r="E1411" i="3"/>
  <c r="A1412" i="3"/>
  <c r="C1412" i="3"/>
  <c r="D1412" i="3"/>
  <c r="B1412" i="3"/>
  <c r="E1412" i="3"/>
  <c r="A1413" i="3"/>
  <c r="C1413" i="3"/>
  <c r="D1413" i="3"/>
  <c r="B1413" i="3"/>
  <c r="E1413" i="3"/>
  <c r="A1414" i="3"/>
  <c r="C1414" i="3"/>
  <c r="D1414" i="3"/>
  <c r="B1414" i="3"/>
  <c r="E1414" i="3"/>
  <c r="A1415" i="3"/>
  <c r="C1415" i="3"/>
  <c r="D1415" i="3"/>
  <c r="B1415" i="3"/>
  <c r="E1415" i="3"/>
  <c r="A1416" i="3"/>
  <c r="C1416" i="3"/>
  <c r="D1416" i="3"/>
  <c r="B1416" i="3"/>
  <c r="E1416" i="3"/>
  <c r="A1417" i="3"/>
  <c r="C1417" i="3"/>
  <c r="D1417" i="3"/>
  <c r="B1417" i="3"/>
  <c r="E1417" i="3"/>
  <c r="A1418" i="3"/>
  <c r="C1418" i="3"/>
  <c r="D1418" i="3"/>
  <c r="B1418" i="3"/>
  <c r="E1418" i="3"/>
  <c r="A1419" i="3"/>
  <c r="C1419" i="3"/>
  <c r="D1419" i="3"/>
  <c r="B1419" i="3"/>
  <c r="E1419" i="3"/>
  <c r="A1420" i="3"/>
  <c r="C1420" i="3"/>
  <c r="D1420" i="3"/>
  <c r="B1420" i="3"/>
  <c r="E1420" i="3"/>
  <c r="A1421" i="3"/>
  <c r="C1421" i="3"/>
  <c r="D1421" i="3"/>
  <c r="B1421" i="3"/>
  <c r="E1421" i="3"/>
  <c r="A1422" i="3"/>
  <c r="C1422" i="3"/>
  <c r="D1422" i="3"/>
  <c r="B1422" i="3"/>
  <c r="E1422" i="3"/>
  <c r="A1423" i="3"/>
  <c r="C1423" i="3"/>
  <c r="D1423" i="3"/>
  <c r="B1423" i="3"/>
  <c r="E1423" i="3"/>
  <c r="A1424" i="3"/>
  <c r="C1424" i="3"/>
  <c r="D1424" i="3"/>
  <c r="B1424" i="3"/>
  <c r="E1424" i="3"/>
  <c r="A1425" i="3"/>
  <c r="C1425" i="3"/>
  <c r="D1425" i="3"/>
  <c r="B1425" i="3"/>
  <c r="E1425" i="3"/>
  <c r="A1426" i="3"/>
  <c r="C1426" i="3"/>
  <c r="D1426" i="3"/>
  <c r="B1426" i="3"/>
  <c r="E1426" i="3"/>
  <c r="A1427" i="3"/>
  <c r="C1427" i="3"/>
  <c r="D1427" i="3"/>
  <c r="B1427" i="3"/>
  <c r="E1427" i="3"/>
  <c r="A1428" i="3"/>
  <c r="C1428" i="3"/>
  <c r="D1428" i="3"/>
  <c r="B1428" i="3"/>
  <c r="E1428" i="3"/>
  <c r="A1429" i="3"/>
  <c r="C1429" i="3"/>
  <c r="D1429" i="3"/>
  <c r="B1429" i="3"/>
  <c r="E1429" i="3"/>
  <c r="A1430" i="3"/>
  <c r="C1430" i="3"/>
  <c r="D1430" i="3"/>
  <c r="B1430" i="3"/>
  <c r="E1430" i="3"/>
  <c r="A1431" i="3"/>
  <c r="C1431" i="3"/>
  <c r="D1431" i="3"/>
  <c r="B1431" i="3"/>
  <c r="E1431" i="3"/>
  <c r="A1432" i="3"/>
  <c r="C1432" i="3"/>
  <c r="D1432" i="3"/>
  <c r="B1432" i="3"/>
  <c r="E1432" i="3"/>
  <c r="A1433" i="3"/>
  <c r="C1433" i="3"/>
  <c r="D1433" i="3"/>
  <c r="B1433" i="3"/>
  <c r="E1433" i="3"/>
  <c r="A1434" i="3"/>
  <c r="C1434" i="3"/>
  <c r="D1434" i="3"/>
  <c r="B1434" i="3"/>
  <c r="E1434" i="3"/>
  <c r="A1435" i="3"/>
  <c r="C1435" i="3"/>
  <c r="D1435" i="3"/>
  <c r="B1435" i="3"/>
  <c r="E1435" i="3"/>
  <c r="A1436" i="3"/>
  <c r="C1436" i="3"/>
  <c r="D1436" i="3"/>
  <c r="B1436" i="3"/>
  <c r="E1436" i="3"/>
  <c r="A1437" i="3"/>
  <c r="C1437" i="3"/>
  <c r="D1437" i="3"/>
  <c r="B1437" i="3"/>
  <c r="E1437" i="3"/>
  <c r="A1438" i="3"/>
  <c r="C1438" i="3"/>
  <c r="D1438" i="3"/>
  <c r="B1438" i="3"/>
  <c r="E1438" i="3"/>
  <c r="A1439" i="3"/>
  <c r="C1439" i="3"/>
  <c r="D1439" i="3"/>
  <c r="B1439" i="3"/>
  <c r="E1439" i="3"/>
  <c r="A1440" i="3"/>
  <c r="C1440" i="3"/>
  <c r="D1440" i="3"/>
  <c r="B1440" i="3"/>
  <c r="E1440" i="3"/>
  <c r="A1441" i="3"/>
  <c r="C1441" i="3"/>
  <c r="D1441" i="3"/>
  <c r="B1441" i="3"/>
  <c r="E1441" i="3"/>
  <c r="A1442" i="3"/>
  <c r="C1442" i="3"/>
  <c r="D1442" i="3"/>
  <c r="B1442" i="3"/>
  <c r="E1442" i="3"/>
  <c r="A1443" i="3"/>
  <c r="C1443" i="3"/>
  <c r="D1443" i="3"/>
  <c r="B1443" i="3"/>
  <c r="E1443" i="3"/>
  <c r="A1444" i="3"/>
  <c r="C1444" i="3"/>
  <c r="D1444" i="3"/>
  <c r="B1444" i="3"/>
  <c r="E1444" i="3"/>
  <c r="A1445" i="3"/>
  <c r="C1445" i="3"/>
  <c r="D1445" i="3"/>
  <c r="B1445" i="3"/>
  <c r="E1445" i="3"/>
  <c r="A1446" i="3"/>
  <c r="C1446" i="3"/>
  <c r="D1446" i="3"/>
  <c r="B1446" i="3"/>
  <c r="E1446" i="3"/>
  <c r="A1447" i="3"/>
  <c r="C1447" i="3"/>
  <c r="D1447" i="3"/>
  <c r="B1447" i="3"/>
  <c r="E1447" i="3"/>
  <c r="A1448" i="3"/>
  <c r="C1448" i="3"/>
  <c r="D1448" i="3"/>
  <c r="B1448" i="3"/>
  <c r="E1448" i="3"/>
  <c r="A1449" i="3"/>
  <c r="C1449" i="3"/>
  <c r="D1449" i="3"/>
  <c r="B1449" i="3"/>
  <c r="E1449" i="3"/>
  <c r="A1450" i="3"/>
  <c r="C1450" i="3"/>
  <c r="D1450" i="3"/>
  <c r="B1450" i="3"/>
  <c r="E1450" i="3"/>
  <c r="A1451" i="3"/>
  <c r="C1451" i="3"/>
  <c r="D1451" i="3"/>
  <c r="B1451" i="3"/>
  <c r="E1451" i="3"/>
  <c r="A1452" i="3"/>
  <c r="C1452" i="3"/>
  <c r="D1452" i="3"/>
  <c r="B1452" i="3"/>
  <c r="E1452" i="3"/>
  <c r="A1453" i="3"/>
  <c r="C1453" i="3"/>
  <c r="D1453" i="3"/>
  <c r="B1453" i="3"/>
  <c r="E1453" i="3"/>
  <c r="A1454" i="3"/>
  <c r="C1454" i="3"/>
  <c r="D1454" i="3"/>
  <c r="B1454" i="3"/>
  <c r="E1454" i="3"/>
  <c r="A1455" i="3"/>
  <c r="C1455" i="3"/>
  <c r="D1455" i="3"/>
  <c r="B1455" i="3"/>
  <c r="E1455" i="3"/>
  <c r="A1456" i="3"/>
  <c r="C1456" i="3"/>
  <c r="D1456" i="3"/>
  <c r="B1456" i="3"/>
  <c r="E1456" i="3"/>
  <c r="A1457" i="3"/>
  <c r="C1457" i="3"/>
  <c r="D1457" i="3"/>
  <c r="B1457" i="3"/>
  <c r="E1457" i="3"/>
  <c r="A1458" i="3"/>
  <c r="C1458" i="3"/>
  <c r="D1458" i="3"/>
  <c r="B1458" i="3"/>
  <c r="E1458" i="3"/>
  <c r="A1459" i="3"/>
  <c r="C1459" i="3"/>
  <c r="D1459" i="3"/>
  <c r="B1459" i="3"/>
  <c r="E1459" i="3"/>
  <c r="A1460" i="3"/>
  <c r="C1460" i="3"/>
  <c r="D1460" i="3"/>
  <c r="B1460" i="3"/>
  <c r="E1460" i="3"/>
  <c r="A1461" i="3"/>
  <c r="C1461" i="3"/>
  <c r="D1461" i="3"/>
  <c r="B1461" i="3"/>
  <c r="E1461" i="3"/>
  <c r="A1462" i="3"/>
  <c r="C1462" i="3"/>
  <c r="D1462" i="3"/>
  <c r="B1462" i="3"/>
  <c r="E1462" i="3"/>
  <c r="A1463" i="3"/>
  <c r="C1463" i="3"/>
  <c r="D1463" i="3"/>
  <c r="B1463" i="3"/>
  <c r="E1463" i="3"/>
  <c r="A1464" i="3"/>
  <c r="C1464" i="3"/>
  <c r="D1464" i="3"/>
  <c r="B1464" i="3"/>
  <c r="E1464" i="3"/>
  <c r="A1465" i="3"/>
  <c r="C1465" i="3"/>
  <c r="D1465" i="3"/>
  <c r="B1465" i="3"/>
  <c r="E1465" i="3"/>
  <c r="A1466" i="3"/>
  <c r="C1466" i="3"/>
  <c r="D1466" i="3"/>
  <c r="B1466" i="3"/>
  <c r="E1466" i="3"/>
  <c r="A1467" i="3"/>
  <c r="C1467" i="3"/>
  <c r="D1467" i="3"/>
  <c r="B1467" i="3"/>
  <c r="E1467" i="3"/>
  <c r="A1468" i="3"/>
  <c r="C1468" i="3"/>
  <c r="D1468" i="3"/>
  <c r="B1468" i="3"/>
  <c r="E1468" i="3"/>
  <c r="A1469" i="3"/>
  <c r="C1469" i="3"/>
  <c r="D1469" i="3"/>
  <c r="B1469" i="3"/>
  <c r="E1469" i="3"/>
  <c r="A1470" i="3"/>
  <c r="C1470" i="3"/>
  <c r="D1470" i="3"/>
  <c r="B1470" i="3"/>
  <c r="E1470" i="3"/>
  <c r="A1471" i="3"/>
  <c r="C1471" i="3"/>
  <c r="D1471" i="3"/>
  <c r="B1471" i="3"/>
  <c r="E1471" i="3"/>
  <c r="A1472" i="3"/>
  <c r="C1472" i="3"/>
  <c r="D1472" i="3"/>
  <c r="B1472" i="3"/>
  <c r="E1472" i="3"/>
  <c r="A1473" i="3"/>
  <c r="C1473" i="3"/>
  <c r="D1473" i="3"/>
  <c r="B1473" i="3"/>
  <c r="E1473" i="3"/>
  <c r="A1474" i="3"/>
  <c r="C1474" i="3"/>
  <c r="D1474" i="3"/>
  <c r="B1474" i="3"/>
  <c r="E1474" i="3"/>
  <c r="A1475" i="3"/>
  <c r="C1475" i="3"/>
  <c r="D1475" i="3"/>
  <c r="B1475" i="3"/>
  <c r="E1475" i="3"/>
  <c r="A1476" i="3"/>
  <c r="C1476" i="3"/>
  <c r="D1476" i="3"/>
  <c r="B1476" i="3"/>
  <c r="E1476" i="3"/>
  <c r="A1477" i="3"/>
  <c r="C1477" i="3"/>
  <c r="D1477" i="3"/>
  <c r="B1477" i="3"/>
  <c r="E1477" i="3"/>
  <c r="A1478" i="3"/>
  <c r="C1478" i="3"/>
  <c r="D1478" i="3"/>
  <c r="B1478" i="3"/>
  <c r="E1478" i="3"/>
  <c r="A1479" i="3"/>
  <c r="C1479" i="3"/>
  <c r="D1479" i="3"/>
  <c r="B1479" i="3"/>
  <c r="E1479" i="3"/>
  <c r="A1480" i="3"/>
  <c r="C1480" i="3"/>
  <c r="D1480" i="3"/>
  <c r="B1480" i="3"/>
  <c r="E1480" i="3"/>
  <c r="A1481" i="3"/>
  <c r="C1481" i="3"/>
  <c r="D1481" i="3"/>
  <c r="B1481" i="3"/>
  <c r="E1481" i="3"/>
  <c r="A1482" i="3"/>
  <c r="C1482" i="3"/>
  <c r="D1482" i="3"/>
  <c r="B1482" i="3"/>
  <c r="E1482" i="3"/>
  <c r="A1483" i="3"/>
  <c r="C1483" i="3"/>
  <c r="D1483" i="3"/>
  <c r="B1483" i="3"/>
  <c r="E1483" i="3"/>
  <c r="A1484" i="3"/>
  <c r="C1484" i="3"/>
  <c r="D1484" i="3"/>
  <c r="B1484" i="3"/>
  <c r="E1484" i="3"/>
  <c r="A1485" i="3"/>
  <c r="C1485" i="3"/>
  <c r="D1485" i="3"/>
  <c r="B1485" i="3"/>
  <c r="E1485" i="3"/>
  <c r="A1486" i="3"/>
  <c r="C1486" i="3"/>
  <c r="D1486" i="3"/>
  <c r="B1486" i="3"/>
  <c r="E1486" i="3"/>
  <c r="A1487" i="3"/>
  <c r="C1487" i="3"/>
  <c r="D1487" i="3"/>
  <c r="B1487" i="3"/>
  <c r="E1487" i="3"/>
  <c r="A1488" i="3"/>
  <c r="C1488" i="3"/>
  <c r="D1488" i="3"/>
  <c r="B1488" i="3"/>
  <c r="E1488" i="3"/>
  <c r="A1489" i="3"/>
  <c r="C1489" i="3"/>
  <c r="D1489" i="3"/>
  <c r="B1489" i="3"/>
  <c r="E1489" i="3"/>
  <c r="A1490" i="3"/>
  <c r="C1490" i="3"/>
  <c r="D1490" i="3"/>
  <c r="B1490" i="3"/>
  <c r="E1490" i="3"/>
  <c r="A1491" i="3"/>
  <c r="C1491" i="3"/>
  <c r="D1491" i="3"/>
  <c r="B1491" i="3"/>
  <c r="E1491" i="3"/>
  <c r="A1492" i="3"/>
  <c r="C1492" i="3"/>
  <c r="D1492" i="3"/>
  <c r="B1492" i="3"/>
  <c r="E1492" i="3"/>
  <c r="A1493" i="3"/>
  <c r="C1493" i="3"/>
  <c r="D1493" i="3"/>
  <c r="B1493" i="3"/>
  <c r="E1493" i="3"/>
  <c r="A1494" i="3"/>
  <c r="C1494" i="3"/>
  <c r="D1494" i="3"/>
  <c r="B1494" i="3"/>
  <c r="E1494" i="3"/>
  <c r="A1495" i="3"/>
  <c r="C1495" i="3"/>
  <c r="D1495" i="3"/>
  <c r="B1495" i="3"/>
  <c r="E1495" i="3"/>
  <c r="A1496" i="3"/>
  <c r="C1496" i="3"/>
  <c r="D1496" i="3"/>
  <c r="B1496" i="3"/>
  <c r="E1496" i="3"/>
  <c r="A1497" i="3"/>
  <c r="C1497" i="3"/>
  <c r="D1497" i="3"/>
  <c r="B1497" i="3"/>
  <c r="E1497" i="3"/>
  <c r="A1498" i="3"/>
  <c r="C1498" i="3"/>
  <c r="D1498" i="3"/>
  <c r="B1498" i="3"/>
  <c r="E1498" i="3"/>
  <c r="A1499" i="3"/>
  <c r="C1499" i="3"/>
  <c r="D1499" i="3"/>
  <c r="B1499" i="3"/>
  <c r="E1499" i="3"/>
  <c r="A1500" i="3"/>
  <c r="C1500" i="3"/>
  <c r="D1500" i="3"/>
  <c r="B1500" i="3"/>
  <c r="E1500" i="3"/>
  <c r="A1501" i="3"/>
  <c r="C1501" i="3"/>
  <c r="D1501" i="3"/>
  <c r="B1501" i="3"/>
  <c r="E1501" i="3"/>
  <c r="A1502" i="3"/>
  <c r="C1502" i="3"/>
  <c r="D1502" i="3"/>
  <c r="B1502" i="3"/>
  <c r="E1502" i="3"/>
  <c r="A1503" i="3"/>
  <c r="C1503" i="3"/>
  <c r="D1503" i="3"/>
  <c r="B1503" i="3"/>
  <c r="E1503" i="3"/>
  <c r="A1504" i="3"/>
  <c r="C1504" i="3"/>
  <c r="D1504" i="3"/>
  <c r="B1504" i="3"/>
  <c r="E1504" i="3"/>
  <c r="A1505" i="3"/>
  <c r="C1505" i="3"/>
  <c r="D1505" i="3"/>
  <c r="B1505" i="3"/>
  <c r="E1505" i="3"/>
  <c r="A1506" i="3"/>
  <c r="C1506" i="3"/>
  <c r="D1506" i="3"/>
  <c r="B1506" i="3"/>
  <c r="E1506" i="3"/>
  <c r="A1507" i="3"/>
  <c r="C1507" i="3"/>
  <c r="D1507" i="3"/>
  <c r="B1507" i="3"/>
  <c r="E1507" i="3"/>
  <c r="A1508" i="3"/>
  <c r="C1508" i="3"/>
  <c r="D1508" i="3"/>
  <c r="B1508" i="3"/>
  <c r="E1508" i="3"/>
  <c r="A1509" i="3"/>
  <c r="C1509" i="3"/>
  <c r="D1509" i="3"/>
  <c r="B1509" i="3"/>
  <c r="E1509" i="3"/>
  <c r="A1510" i="3"/>
  <c r="C1510" i="3"/>
  <c r="D1510" i="3"/>
  <c r="B1510" i="3"/>
  <c r="E1510" i="3"/>
  <c r="A1511" i="3"/>
  <c r="C1511" i="3"/>
  <c r="D1511" i="3"/>
  <c r="B1511" i="3"/>
  <c r="E1511" i="3"/>
  <c r="A1512" i="3"/>
  <c r="C1512" i="3"/>
  <c r="D1512" i="3"/>
  <c r="B1512" i="3"/>
  <c r="E1512" i="3"/>
  <c r="A1513" i="3"/>
  <c r="C1513" i="3"/>
  <c r="D1513" i="3"/>
  <c r="B1513" i="3"/>
  <c r="E1513" i="3"/>
  <c r="A1514" i="3"/>
  <c r="C1514" i="3"/>
  <c r="D1514" i="3"/>
  <c r="B1514" i="3"/>
  <c r="E1514" i="3"/>
  <c r="A1515" i="3"/>
  <c r="C1515" i="3"/>
  <c r="D1515" i="3"/>
  <c r="B1515" i="3"/>
  <c r="E1515" i="3"/>
  <c r="A1516" i="3"/>
  <c r="C1516" i="3"/>
  <c r="D1516" i="3"/>
  <c r="B1516" i="3"/>
  <c r="E1516" i="3"/>
  <c r="A1517" i="3"/>
  <c r="C1517" i="3"/>
  <c r="D1517" i="3"/>
  <c r="B1517" i="3"/>
  <c r="E1517" i="3"/>
  <c r="A1518" i="3"/>
  <c r="C1518" i="3"/>
  <c r="D1518" i="3"/>
  <c r="B1518" i="3"/>
  <c r="E1518" i="3"/>
  <c r="A1519" i="3"/>
  <c r="C1519" i="3"/>
  <c r="D1519" i="3"/>
  <c r="B1519" i="3"/>
  <c r="E1519" i="3"/>
  <c r="A1520" i="3"/>
  <c r="C1520" i="3"/>
  <c r="D1520" i="3"/>
  <c r="B1520" i="3"/>
  <c r="E1520" i="3"/>
  <c r="A1521" i="3"/>
  <c r="C1521" i="3"/>
  <c r="D1521" i="3"/>
  <c r="B1521" i="3"/>
  <c r="E1521" i="3"/>
  <c r="A1522" i="3"/>
  <c r="C1522" i="3"/>
  <c r="D1522" i="3"/>
  <c r="B1522" i="3"/>
  <c r="E1522" i="3"/>
  <c r="A1523" i="3"/>
  <c r="C1523" i="3"/>
  <c r="D1523" i="3"/>
  <c r="B1523" i="3"/>
  <c r="E1523" i="3"/>
  <c r="A1524" i="3"/>
  <c r="C1524" i="3"/>
  <c r="D1524" i="3"/>
  <c r="B1524" i="3"/>
  <c r="E1524" i="3"/>
  <c r="A1525" i="3"/>
  <c r="C1525" i="3"/>
  <c r="D1525" i="3"/>
  <c r="B1525" i="3"/>
  <c r="E1525" i="3"/>
  <c r="A1526" i="3"/>
  <c r="C1526" i="3"/>
  <c r="D1526" i="3"/>
  <c r="B1526" i="3"/>
  <c r="E1526" i="3"/>
  <c r="A1527" i="3"/>
  <c r="C1527" i="3"/>
  <c r="D1527" i="3"/>
  <c r="B1527" i="3"/>
  <c r="E1527" i="3"/>
  <c r="A1528" i="3"/>
  <c r="C1528" i="3"/>
  <c r="D1528" i="3"/>
  <c r="B1528" i="3"/>
  <c r="E1528" i="3"/>
  <c r="A1529" i="3"/>
  <c r="C1529" i="3"/>
  <c r="D1529" i="3"/>
  <c r="B1529" i="3"/>
  <c r="E1529" i="3"/>
  <c r="A1530" i="3"/>
  <c r="C1530" i="3"/>
  <c r="D1530" i="3"/>
  <c r="B1530" i="3"/>
  <c r="E1530" i="3"/>
  <c r="A1531" i="3"/>
  <c r="C1531" i="3"/>
  <c r="D1531" i="3"/>
  <c r="B1531" i="3"/>
  <c r="E1531" i="3"/>
  <c r="A1532" i="3"/>
  <c r="C1532" i="3"/>
  <c r="D1532" i="3"/>
  <c r="B1532" i="3"/>
  <c r="E1532" i="3"/>
  <c r="A1533" i="3"/>
  <c r="C1533" i="3"/>
  <c r="D1533" i="3"/>
  <c r="B1533" i="3"/>
  <c r="E1533" i="3"/>
  <c r="A1534" i="3"/>
  <c r="C1534" i="3"/>
  <c r="D1534" i="3"/>
  <c r="B1534" i="3"/>
  <c r="E1534" i="3"/>
  <c r="A1535" i="3"/>
  <c r="C1535" i="3"/>
  <c r="D1535" i="3"/>
  <c r="B1535" i="3"/>
  <c r="E1535" i="3"/>
  <c r="A1536" i="3"/>
  <c r="C1536" i="3"/>
  <c r="D1536" i="3"/>
  <c r="B1536" i="3"/>
  <c r="E1536" i="3"/>
  <c r="A1537" i="3"/>
  <c r="C1537" i="3"/>
  <c r="D1537" i="3"/>
  <c r="B1537" i="3"/>
  <c r="E1537" i="3"/>
  <c r="A1538" i="3"/>
  <c r="C1538" i="3"/>
  <c r="D1538" i="3"/>
  <c r="B1538" i="3"/>
  <c r="E1538" i="3"/>
  <c r="A1539" i="3"/>
  <c r="C1539" i="3"/>
  <c r="D1539" i="3"/>
  <c r="B1539" i="3"/>
  <c r="E1539" i="3"/>
  <c r="A1540" i="3"/>
  <c r="C1540" i="3"/>
  <c r="D1540" i="3"/>
  <c r="B1540" i="3"/>
  <c r="E1540" i="3"/>
  <c r="A1541" i="3"/>
  <c r="C1541" i="3"/>
  <c r="D1541" i="3"/>
  <c r="B1541" i="3"/>
  <c r="E1541" i="3"/>
  <c r="A1542" i="3"/>
  <c r="C1542" i="3"/>
  <c r="D1542" i="3"/>
  <c r="B1542" i="3"/>
  <c r="E1542" i="3"/>
  <c r="A1543" i="3"/>
  <c r="C1543" i="3"/>
  <c r="D1543" i="3"/>
  <c r="B1543" i="3"/>
  <c r="E1543" i="3"/>
  <c r="A1544" i="3"/>
  <c r="C1544" i="3"/>
  <c r="D1544" i="3"/>
  <c r="B1544" i="3"/>
  <c r="E1544" i="3"/>
  <c r="A1545" i="3"/>
  <c r="C1545" i="3"/>
  <c r="D1545" i="3"/>
  <c r="B1545" i="3"/>
  <c r="E1545" i="3"/>
  <c r="A1546" i="3"/>
  <c r="C1546" i="3"/>
  <c r="D1546" i="3"/>
  <c r="B1546" i="3"/>
  <c r="E1546" i="3"/>
  <c r="A1547" i="3"/>
  <c r="C1547" i="3"/>
  <c r="D1547" i="3"/>
  <c r="B1547" i="3"/>
  <c r="E1547" i="3"/>
  <c r="A1548" i="3"/>
  <c r="C1548" i="3"/>
  <c r="D1548" i="3"/>
  <c r="B1548" i="3"/>
  <c r="E1548" i="3"/>
  <c r="A1549" i="3"/>
  <c r="C1549" i="3"/>
  <c r="D1549" i="3"/>
  <c r="B1549" i="3"/>
  <c r="E1549" i="3"/>
  <c r="A1550" i="3"/>
  <c r="C1550" i="3"/>
  <c r="D1550" i="3"/>
  <c r="B1550" i="3"/>
  <c r="E1550" i="3"/>
  <c r="A1551" i="3"/>
  <c r="C1551" i="3"/>
  <c r="D1551" i="3"/>
  <c r="B1551" i="3"/>
  <c r="E1551" i="3"/>
  <c r="A1552" i="3"/>
  <c r="C1552" i="3"/>
  <c r="D1552" i="3"/>
  <c r="B1552" i="3"/>
  <c r="E1552" i="3"/>
  <c r="A1553" i="3"/>
  <c r="C1553" i="3"/>
  <c r="D1553" i="3"/>
  <c r="B1553" i="3"/>
  <c r="E1553" i="3"/>
  <c r="A1554" i="3"/>
  <c r="C1554" i="3"/>
  <c r="D1554" i="3"/>
  <c r="B1554" i="3"/>
  <c r="E1554" i="3"/>
  <c r="A1555" i="3"/>
  <c r="C1555" i="3"/>
  <c r="D1555" i="3"/>
  <c r="B1555" i="3"/>
  <c r="E1555" i="3"/>
  <c r="A1556" i="3"/>
  <c r="C1556" i="3"/>
  <c r="D1556" i="3"/>
  <c r="B1556" i="3"/>
  <c r="E1556" i="3"/>
  <c r="A1557" i="3"/>
  <c r="C1557" i="3"/>
  <c r="D1557" i="3"/>
  <c r="B1557" i="3"/>
  <c r="E1557" i="3"/>
  <c r="A1558" i="3"/>
  <c r="C1558" i="3"/>
  <c r="D1558" i="3"/>
  <c r="B1558" i="3"/>
  <c r="E1558" i="3"/>
  <c r="A1559" i="3"/>
  <c r="C1559" i="3"/>
  <c r="D1559" i="3"/>
  <c r="B1559" i="3"/>
  <c r="E1559" i="3"/>
  <c r="A1560" i="3"/>
  <c r="C1560" i="3"/>
  <c r="D1560" i="3"/>
  <c r="B1560" i="3"/>
  <c r="E1560" i="3"/>
  <c r="A1561" i="3"/>
  <c r="C1561" i="3"/>
  <c r="D1561" i="3"/>
  <c r="B1561" i="3"/>
  <c r="E1561" i="3"/>
  <c r="A1562" i="3"/>
  <c r="C1562" i="3"/>
  <c r="D1562" i="3"/>
  <c r="B1562" i="3"/>
  <c r="E1562" i="3"/>
  <c r="A1563" i="3"/>
  <c r="C1563" i="3"/>
  <c r="D1563" i="3"/>
  <c r="B1563" i="3"/>
  <c r="E1563" i="3"/>
  <c r="A1564" i="3"/>
  <c r="C1564" i="3"/>
  <c r="D1564" i="3"/>
  <c r="B1564" i="3"/>
  <c r="E1564" i="3"/>
  <c r="A1565" i="3"/>
  <c r="C1565" i="3"/>
  <c r="D1565" i="3"/>
  <c r="B1565" i="3"/>
  <c r="E1565" i="3"/>
  <c r="A1566" i="3"/>
  <c r="C1566" i="3"/>
  <c r="D1566" i="3"/>
  <c r="B1566" i="3"/>
  <c r="E1566" i="3"/>
  <c r="A1567" i="3"/>
  <c r="C1567" i="3"/>
  <c r="D1567" i="3"/>
  <c r="B1567" i="3"/>
  <c r="E1567" i="3"/>
  <c r="A1568" i="3"/>
  <c r="C1568" i="3"/>
  <c r="D1568" i="3"/>
  <c r="B1568" i="3"/>
  <c r="E1568" i="3"/>
  <c r="A1569" i="3"/>
  <c r="C1569" i="3"/>
  <c r="D1569" i="3"/>
  <c r="B1569" i="3"/>
  <c r="E1569" i="3"/>
  <c r="A1570" i="3"/>
  <c r="C1570" i="3"/>
  <c r="D1570" i="3"/>
  <c r="B1570" i="3"/>
  <c r="E1570" i="3"/>
  <c r="A1571" i="3"/>
  <c r="C1571" i="3"/>
  <c r="D1571" i="3"/>
  <c r="B1571" i="3"/>
  <c r="E1571" i="3"/>
  <c r="A1572" i="3"/>
  <c r="C1572" i="3"/>
  <c r="D1572" i="3"/>
  <c r="B1572" i="3"/>
  <c r="E1572" i="3"/>
  <c r="A1573" i="3"/>
  <c r="C1573" i="3"/>
  <c r="D1573" i="3"/>
  <c r="B1573" i="3"/>
  <c r="E1573" i="3"/>
  <c r="A1574" i="3"/>
  <c r="C1574" i="3"/>
  <c r="D1574" i="3"/>
  <c r="B1574" i="3"/>
  <c r="E1574" i="3"/>
  <c r="A1575" i="3"/>
  <c r="C1575" i="3"/>
  <c r="D1575" i="3"/>
  <c r="B1575" i="3"/>
  <c r="E1575" i="3"/>
  <c r="A1576" i="3"/>
  <c r="C1576" i="3"/>
  <c r="D1576" i="3"/>
  <c r="B1576" i="3"/>
  <c r="E1576" i="3"/>
  <c r="A1577" i="3"/>
  <c r="C1577" i="3"/>
  <c r="D1577" i="3"/>
  <c r="B1577" i="3"/>
  <c r="E1577" i="3"/>
  <c r="A1578" i="3"/>
  <c r="C1578" i="3"/>
  <c r="D1578" i="3"/>
  <c r="B1578" i="3"/>
  <c r="E1578" i="3"/>
  <c r="A1579" i="3"/>
  <c r="C1579" i="3"/>
  <c r="D1579" i="3"/>
  <c r="B1579" i="3"/>
  <c r="E1579" i="3"/>
  <c r="A1580" i="3"/>
  <c r="C1580" i="3"/>
  <c r="D1580" i="3"/>
  <c r="B1580" i="3"/>
  <c r="E1580" i="3"/>
  <c r="A1581" i="3"/>
  <c r="C1581" i="3"/>
  <c r="D1581" i="3"/>
  <c r="B1581" i="3"/>
  <c r="E1581" i="3"/>
  <c r="A1582" i="3"/>
  <c r="C1582" i="3"/>
  <c r="D1582" i="3"/>
  <c r="B1582" i="3"/>
  <c r="E1582" i="3"/>
  <c r="A1583" i="3"/>
  <c r="C1583" i="3"/>
  <c r="D1583" i="3"/>
  <c r="B1583" i="3"/>
  <c r="E1583" i="3"/>
  <c r="A1584" i="3"/>
  <c r="C1584" i="3"/>
  <c r="D1584" i="3"/>
  <c r="B1584" i="3"/>
  <c r="E1584" i="3"/>
  <c r="A1585" i="3"/>
  <c r="C1585" i="3"/>
  <c r="D1585" i="3"/>
  <c r="B1585" i="3"/>
  <c r="E1585" i="3"/>
  <c r="A1586" i="3"/>
  <c r="C1586" i="3"/>
  <c r="D1586" i="3"/>
  <c r="B1586" i="3"/>
  <c r="E1586" i="3"/>
  <c r="A1587" i="3"/>
  <c r="C1587" i="3"/>
  <c r="D1587" i="3"/>
  <c r="B1587" i="3"/>
  <c r="E1587" i="3"/>
  <c r="A1588" i="3"/>
  <c r="C1588" i="3"/>
  <c r="D1588" i="3"/>
  <c r="B1588" i="3"/>
  <c r="E1588" i="3"/>
  <c r="A1589" i="3"/>
  <c r="C1589" i="3"/>
  <c r="D1589" i="3"/>
  <c r="B1589" i="3"/>
  <c r="E1589" i="3"/>
  <c r="A1590" i="3"/>
  <c r="C1590" i="3"/>
  <c r="D1590" i="3"/>
  <c r="B1590" i="3"/>
  <c r="E1590" i="3"/>
  <c r="A1591" i="3"/>
  <c r="C1591" i="3"/>
  <c r="D1591" i="3"/>
  <c r="B1591" i="3"/>
  <c r="E1591" i="3"/>
  <c r="A1592" i="3"/>
  <c r="C1592" i="3"/>
  <c r="D1592" i="3"/>
  <c r="B1592" i="3"/>
  <c r="E1592" i="3"/>
  <c r="A1593" i="3"/>
  <c r="C1593" i="3"/>
  <c r="D1593" i="3"/>
  <c r="B1593" i="3"/>
  <c r="E1593" i="3"/>
  <c r="A1594" i="3"/>
  <c r="C1594" i="3"/>
  <c r="D1594" i="3"/>
  <c r="B1594" i="3"/>
  <c r="E1594" i="3"/>
  <c r="A1595" i="3"/>
  <c r="C1595" i="3"/>
  <c r="D1595" i="3"/>
  <c r="B1595" i="3"/>
  <c r="E1595" i="3"/>
  <c r="A1596" i="3"/>
  <c r="C1596" i="3"/>
  <c r="D1596" i="3"/>
  <c r="B1596" i="3"/>
  <c r="E1596" i="3"/>
  <c r="A1597" i="3"/>
  <c r="C1597" i="3"/>
  <c r="D1597" i="3"/>
  <c r="B1597" i="3"/>
  <c r="E1597" i="3"/>
  <c r="A1598" i="3"/>
  <c r="C1598" i="3"/>
  <c r="D1598" i="3"/>
  <c r="B1598" i="3"/>
  <c r="E1598" i="3"/>
  <c r="A1599" i="3"/>
  <c r="C1599" i="3"/>
  <c r="D1599" i="3"/>
  <c r="B1599" i="3"/>
  <c r="E1599" i="3"/>
  <c r="A1600" i="3"/>
  <c r="C1600" i="3"/>
  <c r="D1600" i="3"/>
  <c r="B1600" i="3"/>
  <c r="E1600" i="3"/>
  <c r="A1601" i="3"/>
  <c r="C1601" i="3"/>
  <c r="D1601" i="3"/>
  <c r="B1601" i="3"/>
  <c r="E1601" i="3"/>
  <c r="A1602" i="3"/>
  <c r="C1602" i="3"/>
  <c r="D1602" i="3"/>
  <c r="B1602" i="3"/>
  <c r="E1602" i="3"/>
  <c r="A1603" i="3"/>
  <c r="C1603" i="3"/>
  <c r="D1603" i="3"/>
  <c r="B1603" i="3"/>
  <c r="E1603" i="3"/>
  <c r="A1604" i="3"/>
  <c r="C1604" i="3"/>
  <c r="D1604" i="3"/>
  <c r="B1604" i="3"/>
  <c r="E1604" i="3"/>
  <c r="A1605" i="3"/>
  <c r="C1605" i="3"/>
  <c r="D1605" i="3"/>
  <c r="B1605" i="3"/>
  <c r="E1605" i="3"/>
  <c r="A1606" i="3"/>
  <c r="C1606" i="3"/>
  <c r="D1606" i="3"/>
  <c r="B1606" i="3"/>
  <c r="E1606" i="3"/>
  <c r="A1607" i="3"/>
  <c r="C1607" i="3"/>
  <c r="D1607" i="3"/>
  <c r="B1607" i="3"/>
  <c r="E1607" i="3"/>
  <c r="A1608" i="3"/>
  <c r="C1608" i="3"/>
  <c r="D1608" i="3"/>
  <c r="B1608" i="3"/>
  <c r="E1608" i="3"/>
  <c r="A1609" i="3"/>
  <c r="C1609" i="3"/>
  <c r="D1609" i="3"/>
  <c r="B1609" i="3"/>
  <c r="E1609" i="3"/>
  <c r="A1610" i="3"/>
  <c r="C1610" i="3"/>
  <c r="D1610" i="3"/>
  <c r="B1610" i="3"/>
  <c r="E1610" i="3"/>
  <c r="A1611" i="3"/>
  <c r="C1611" i="3"/>
  <c r="D1611" i="3"/>
  <c r="B1611" i="3"/>
  <c r="E1611" i="3"/>
  <c r="A1612" i="3"/>
  <c r="C1612" i="3"/>
  <c r="D1612" i="3"/>
  <c r="B1612" i="3"/>
  <c r="E1612" i="3"/>
  <c r="A1613" i="3"/>
  <c r="C1613" i="3"/>
  <c r="D1613" i="3"/>
  <c r="B1613" i="3"/>
  <c r="E1613" i="3"/>
  <c r="A1614" i="3"/>
  <c r="C1614" i="3"/>
  <c r="D1614" i="3"/>
  <c r="B1614" i="3"/>
  <c r="E1614" i="3"/>
  <c r="A1615" i="3"/>
  <c r="C1615" i="3"/>
  <c r="D1615" i="3"/>
  <c r="B1615" i="3"/>
  <c r="E1615" i="3"/>
  <c r="A1616" i="3"/>
  <c r="C1616" i="3"/>
  <c r="D1616" i="3"/>
  <c r="B1616" i="3"/>
  <c r="E1616" i="3"/>
  <c r="A1617" i="3"/>
  <c r="C1617" i="3"/>
  <c r="D1617" i="3"/>
  <c r="B1617" i="3"/>
  <c r="E1617" i="3"/>
  <c r="A1618" i="3"/>
  <c r="C1618" i="3"/>
  <c r="D1618" i="3"/>
  <c r="B1618" i="3"/>
  <c r="E1618" i="3"/>
  <c r="A1619" i="3"/>
  <c r="C1619" i="3"/>
  <c r="D1619" i="3"/>
  <c r="B1619" i="3"/>
  <c r="E1619" i="3"/>
  <c r="A1620" i="3"/>
  <c r="C1620" i="3"/>
  <c r="D1620" i="3"/>
  <c r="B1620" i="3"/>
  <c r="E1620" i="3"/>
  <c r="A1621" i="3"/>
  <c r="C1621" i="3"/>
  <c r="D1621" i="3"/>
  <c r="B1621" i="3"/>
  <c r="E1621" i="3"/>
  <c r="A1622" i="3"/>
  <c r="C1622" i="3"/>
  <c r="D1622" i="3"/>
  <c r="B1622" i="3"/>
  <c r="E1622" i="3"/>
  <c r="A1623" i="3"/>
  <c r="C1623" i="3"/>
  <c r="D1623" i="3"/>
  <c r="B1623" i="3"/>
  <c r="E1623" i="3"/>
  <c r="A1624" i="3"/>
  <c r="C1624" i="3"/>
  <c r="D1624" i="3"/>
  <c r="B1624" i="3"/>
  <c r="E1624" i="3"/>
  <c r="A1625" i="3"/>
  <c r="C1625" i="3"/>
  <c r="D1625" i="3"/>
  <c r="B1625" i="3"/>
  <c r="E1625" i="3"/>
  <c r="A1626" i="3"/>
  <c r="C1626" i="3"/>
  <c r="D1626" i="3"/>
  <c r="B1626" i="3"/>
  <c r="E1626" i="3"/>
  <c r="A1627" i="3"/>
  <c r="C1627" i="3"/>
  <c r="D1627" i="3"/>
  <c r="B1627" i="3"/>
  <c r="E1627" i="3"/>
  <c r="A1628" i="3"/>
  <c r="C1628" i="3"/>
  <c r="D1628" i="3"/>
  <c r="B1628" i="3"/>
  <c r="E1628" i="3"/>
  <c r="A1629" i="3"/>
  <c r="C1629" i="3"/>
  <c r="D1629" i="3"/>
  <c r="B1629" i="3"/>
  <c r="E1629" i="3"/>
  <c r="A1630" i="3"/>
  <c r="C1630" i="3"/>
  <c r="D1630" i="3"/>
  <c r="B1630" i="3"/>
  <c r="E1630" i="3"/>
  <c r="A1631" i="3"/>
  <c r="C1631" i="3"/>
  <c r="D1631" i="3"/>
  <c r="B1631" i="3"/>
  <c r="E1631" i="3"/>
  <c r="A1632" i="3"/>
  <c r="C1632" i="3"/>
  <c r="D1632" i="3"/>
  <c r="B1632" i="3"/>
  <c r="E1632" i="3"/>
  <c r="A1633" i="3"/>
  <c r="C1633" i="3"/>
  <c r="D1633" i="3"/>
  <c r="B1633" i="3"/>
  <c r="E1633" i="3"/>
  <c r="A1634" i="3"/>
  <c r="C1634" i="3"/>
  <c r="D1634" i="3"/>
  <c r="B1634" i="3"/>
  <c r="E1634" i="3"/>
  <c r="A1635" i="3"/>
  <c r="C1635" i="3"/>
  <c r="D1635" i="3"/>
  <c r="B1635" i="3"/>
  <c r="E1635" i="3"/>
  <c r="A1636" i="3"/>
  <c r="C1636" i="3"/>
  <c r="D1636" i="3"/>
  <c r="B1636" i="3"/>
  <c r="E1636" i="3"/>
  <c r="A1637" i="3"/>
  <c r="C1637" i="3"/>
  <c r="D1637" i="3"/>
  <c r="B1637" i="3"/>
  <c r="E1637" i="3"/>
  <c r="A1638" i="3"/>
  <c r="C1638" i="3"/>
  <c r="D1638" i="3"/>
  <c r="B1638" i="3"/>
  <c r="E1638" i="3"/>
  <c r="A1639" i="3"/>
  <c r="C1639" i="3"/>
  <c r="D1639" i="3"/>
  <c r="B1639" i="3"/>
  <c r="E1639" i="3"/>
  <c r="A1640" i="3"/>
  <c r="C1640" i="3"/>
  <c r="D1640" i="3"/>
  <c r="B1640" i="3"/>
  <c r="E1640" i="3"/>
  <c r="A1641" i="3"/>
  <c r="C1641" i="3"/>
  <c r="D1641" i="3"/>
  <c r="B1641" i="3"/>
  <c r="E1641" i="3"/>
  <c r="A1642" i="3"/>
  <c r="C1642" i="3"/>
  <c r="D1642" i="3"/>
  <c r="B1642" i="3"/>
  <c r="E1642" i="3"/>
  <c r="A1643" i="3"/>
  <c r="C1643" i="3"/>
  <c r="D1643" i="3"/>
  <c r="B1643" i="3"/>
  <c r="E1643" i="3"/>
  <c r="A1644" i="3"/>
  <c r="C1644" i="3"/>
  <c r="D1644" i="3"/>
  <c r="B1644" i="3"/>
  <c r="E1644" i="3"/>
  <c r="A1645" i="3"/>
  <c r="C1645" i="3"/>
  <c r="D1645" i="3"/>
  <c r="B1645" i="3"/>
  <c r="E1645" i="3"/>
  <c r="A1646" i="3"/>
  <c r="C1646" i="3"/>
  <c r="D1646" i="3"/>
  <c r="B1646" i="3"/>
  <c r="E1646" i="3"/>
  <c r="A1647" i="3"/>
  <c r="C1647" i="3"/>
  <c r="D1647" i="3"/>
  <c r="B1647" i="3"/>
  <c r="E1647" i="3"/>
  <c r="A1648" i="3"/>
  <c r="C1648" i="3"/>
  <c r="D1648" i="3"/>
  <c r="B1648" i="3"/>
  <c r="E1648" i="3"/>
  <c r="A1649" i="3"/>
  <c r="C1649" i="3"/>
  <c r="D1649" i="3"/>
  <c r="B1649" i="3"/>
  <c r="E1649" i="3"/>
  <c r="A1650" i="3"/>
  <c r="C1650" i="3"/>
  <c r="D1650" i="3"/>
  <c r="B1650" i="3"/>
  <c r="E1650" i="3"/>
  <c r="A1651" i="3"/>
  <c r="C1651" i="3"/>
  <c r="D1651" i="3"/>
  <c r="B1651" i="3"/>
  <c r="E1651" i="3"/>
  <c r="A1652" i="3"/>
  <c r="C1652" i="3"/>
  <c r="D1652" i="3"/>
  <c r="B1652" i="3"/>
  <c r="E1652" i="3"/>
  <c r="A1653" i="3"/>
  <c r="C1653" i="3"/>
  <c r="D1653" i="3"/>
  <c r="B1653" i="3"/>
  <c r="E1653" i="3"/>
  <c r="A1654" i="3"/>
  <c r="C1654" i="3"/>
  <c r="D1654" i="3"/>
  <c r="B1654" i="3"/>
  <c r="E1654" i="3"/>
  <c r="A1655" i="3"/>
  <c r="C1655" i="3"/>
  <c r="D1655" i="3"/>
  <c r="B1655" i="3"/>
  <c r="E1655" i="3"/>
  <c r="A1656" i="3"/>
  <c r="C1656" i="3"/>
  <c r="D1656" i="3"/>
  <c r="B1656" i="3"/>
  <c r="E1656" i="3"/>
  <c r="A1657" i="3"/>
  <c r="C1657" i="3"/>
  <c r="D1657" i="3"/>
  <c r="B1657" i="3"/>
  <c r="E1657" i="3"/>
  <c r="A1658" i="3"/>
  <c r="C1658" i="3"/>
  <c r="D1658" i="3"/>
  <c r="B1658" i="3"/>
  <c r="E1658" i="3"/>
  <c r="A1659" i="3"/>
  <c r="C1659" i="3"/>
  <c r="D1659" i="3"/>
  <c r="B1659" i="3"/>
  <c r="E1659" i="3"/>
  <c r="A1660" i="3"/>
  <c r="C1660" i="3"/>
  <c r="D1660" i="3"/>
  <c r="B1660" i="3"/>
  <c r="E1660" i="3"/>
  <c r="A1661" i="3"/>
  <c r="C1661" i="3"/>
  <c r="D1661" i="3"/>
  <c r="B1661" i="3"/>
  <c r="E1661" i="3"/>
  <c r="A1662" i="3"/>
  <c r="C1662" i="3"/>
  <c r="D1662" i="3"/>
  <c r="B1662" i="3"/>
  <c r="E1662" i="3"/>
  <c r="A1663" i="3"/>
  <c r="C1663" i="3"/>
  <c r="D1663" i="3"/>
  <c r="B1663" i="3"/>
  <c r="E1663" i="3"/>
  <c r="A1664" i="3"/>
  <c r="C1664" i="3"/>
  <c r="D1664" i="3"/>
  <c r="B1664" i="3"/>
  <c r="E1664" i="3"/>
  <c r="A1665" i="3"/>
  <c r="C1665" i="3"/>
  <c r="D1665" i="3"/>
  <c r="B1665" i="3"/>
  <c r="E1665" i="3"/>
  <c r="A1666" i="3"/>
  <c r="C1666" i="3"/>
  <c r="D1666" i="3"/>
  <c r="B1666" i="3"/>
  <c r="E1666" i="3"/>
  <c r="A1667" i="3"/>
  <c r="C1667" i="3"/>
  <c r="D1667" i="3"/>
  <c r="B1667" i="3"/>
  <c r="E1667" i="3"/>
  <c r="A1668" i="3"/>
  <c r="C1668" i="3"/>
  <c r="D1668" i="3"/>
  <c r="B1668" i="3"/>
  <c r="E1668" i="3"/>
  <c r="A1669" i="3"/>
  <c r="C1669" i="3"/>
  <c r="D1669" i="3"/>
  <c r="B1669" i="3"/>
  <c r="E1669" i="3"/>
  <c r="A1670" i="3"/>
  <c r="C1670" i="3"/>
  <c r="D1670" i="3"/>
  <c r="B1670" i="3"/>
  <c r="E1670" i="3"/>
  <c r="A1671" i="3"/>
  <c r="C1671" i="3"/>
  <c r="D1671" i="3"/>
  <c r="B1671" i="3"/>
  <c r="E1671" i="3"/>
  <c r="A1672" i="3"/>
  <c r="C1672" i="3"/>
  <c r="D1672" i="3"/>
  <c r="B1672" i="3"/>
  <c r="E1672" i="3"/>
  <c r="A1673" i="3"/>
  <c r="C1673" i="3"/>
  <c r="D1673" i="3"/>
  <c r="B1673" i="3"/>
  <c r="E1673" i="3"/>
  <c r="A1674" i="3"/>
  <c r="C1674" i="3"/>
  <c r="D1674" i="3"/>
  <c r="B1674" i="3"/>
  <c r="E1674" i="3"/>
  <c r="A1675" i="3"/>
  <c r="C1675" i="3"/>
  <c r="D1675" i="3"/>
  <c r="B1675" i="3"/>
  <c r="E1675" i="3"/>
  <c r="A1676" i="3"/>
  <c r="C1676" i="3"/>
  <c r="D1676" i="3"/>
  <c r="B1676" i="3"/>
  <c r="E1676" i="3"/>
  <c r="A1677" i="3"/>
  <c r="C1677" i="3"/>
  <c r="D1677" i="3"/>
  <c r="B1677" i="3"/>
  <c r="E1677" i="3"/>
  <c r="A1678" i="3"/>
  <c r="C1678" i="3"/>
  <c r="D1678" i="3"/>
  <c r="B1678" i="3"/>
  <c r="E1678" i="3"/>
  <c r="A1679" i="3"/>
  <c r="C1679" i="3"/>
  <c r="D1679" i="3"/>
  <c r="B1679" i="3"/>
  <c r="E1679" i="3"/>
  <c r="A1680" i="3"/>
  <c r="C1680" i="3"/>
  <c r="D1680" i="3"/>
  <c r="B1680" i="3"/>
  <c r="E1680" i="3"/>
  <c r="A1681" i="3"/>
  <c r="C1681" i="3"/>
  <c r="D1681" i="3"/>
  <c r="B1681" i="3"/>
  <c r="E1681" i="3"/>
  <c r="A1682" i="3"/>
  <c r="C1682" i="3"/>
  <c r="D1682" i="3"/>
  <c r="B1682" i="3"/>
  <c r="E1682" i="3"/>
  <c r="A1683" i="3"/>
  <c r="C1683" i="3"/>
  <c r="D1683" i="3"/>
  <c r="B1683" i="3"/>
  <c r="E1683" i="3"/>
  <c r="A1684" i="3"/>
  <c r="C1684" i="3"/>
  <c r="D1684" i="3"/>
  <c r="B1684" i="3"/>
  <c r="E1684" i="3"/>
  <c r="A1685" i="3"/>
  <c r="C1685" i="3"/>
  <c r="D1685" i="3"/>
  <c r="B1685" i="3"/>
  <c r="E1685" i="3"/>
  <c r="A1686" i="3"/>
  <c r="C1686" i="3"/>
  <c r="D1686" i="3"/>
  <c r="B1686" i="3"/>
  <c r="E1686" i="3"/>
  <c r="A1687" i="3"/>
  <c r="C1687" i="3"/>
  <c r="D1687" i="3"/>
  <c r="B1687" i="3"/>
  <c r="E1687" i="3"/>
  <c r="A1688" i="3"/>
  <c r="C1688" i="3"/>
  <c r="D1688" i="3"/>
  <c r="B1688" i="3"/>
  <c r="E1688" i="3"/>
  <c r="A1689" i="3"/>
  <c r="C1689" i="3"/>
  <c r="D1689" i="3"/>
  <c r="B1689" i="3"/>
  <c r="E1689" i="3"/>
  <c r="A1690" i="3"/>
  <c r="C1690" i="3"/>
  <c r="D1690" i="3"/>
  <c r="B1690" i="3"/>
  <c r="E1690" i="3"/>
  <c r="A1691" i="3"/>
  <c r="C1691" i="3"/>
  <c r="D1691" i="3"/>
  <c r="B1691" i="3"/>
  <c r="E1691" i="3"/>
  <c r="A1692" i="3"/>
  <c r="C1692" i="3"/>
  <c r="D1692" i="3"/>
  <c r="B1692" i="3"/>
  <c r="E1692" i="3"/>
  <c r="A1693" i="3"/>
  <c r="C1693" i="3"/>
  <c r="D1693" i="3"/>
  <c r="B1693" i="3"/>
  <c r="E1693" i="3"/>
  <c r="A1694" i="3"/>
  <c r="C1694" i="3"/>
  <c r="D1694" i="3"/>
  <c r="B1694" i="3"/>
  <c r="E1694" i="3"/>
  <c r="A1695" i="3"/>
  <c r="C1695" i="3"/>
  <c r="D1695" i="3"/>
  <c r="B1695" i="3"/>
  <c r="E1695" i="3"/>
  <c r="A1696" i="3"/>
  <c r="C1696" i="3"/>
  <c r="D1696" i="3"/>
  <c r="B1696" i="3"/>
  <c r="E1696" i="3"/>
  <c r="A1697" i="3"/>
  <c r="C1697" i="3"/>
  <c r="D1697" i="3"/>
  <c r="B1697" i="3"/>
  <c r="E1697" i="3"/>
  <c r="A1698" i="3"/>
  <c r="C1698" i="3"/>
  <c r="D1698" i="3"/>
  <c r="B1698" i="3"/>
  <c r="E1698" i="3"/>
  <c r="A1699" i="3"/>
  <c r="C1699" i="3"/>
  <c r="D1699" i="3"/>
  <c r="B1699" i="3"/>
  <c r="E1699" i="3"/>
  <c r="A1700" i="3"/>
  <c r="C1700" i="3"/>
  <c r="D1700" i="3"/>
  <c r="B1700" i="3"/>
  <c r="E1700" i="3"/>
  <c r="A1701" i="3"/>
  <c r="C1701" i="3"/>
  <c r="D1701" i="3"/>
  <c r="B1701" i="3"/>
  <c r="E1701" i="3"/>
  <c r="A1702" i="3"/>
  <c r="C1702" i="3"/>
  <c r="D1702" i="3"/>
  <c r="B1702" i="3"/>
  <c r="E1702" i="3"/>
  <c r="A1703" i="3"/>
  <c r="C1703" i="3"/>
  <c r="D1703" i="3"/>
  <c r="B1703" i="3"/>
  <c r="E1703" i="3"/>
  <c r="A1704" i="3"/>
  <c r="C1704" i="3"/>
  <c r="D1704" i="3"/>
  <c r="B1704" i="3"/>
  <c r="E1704" i="3"/>
  <c r="A1705" i="3"/>
  <c r="C1705" i="3"/>
  <c r="D1705" i="3"/>
  <c r="B1705" i="3"/>
  <c r="E1705" i="3"/>
  <c r="A1706" i="3"/>
  <c r="C1706" i="3"/>
  <c r="D1706" i="3"/>
  <c r="B1706" i="3"/>
  <c r="E1706" i="3"/>
  <c r="A1707" i="3"/>
  <c r="C1707" i="3"/>
  <c r="D1707" i="3"/>
  <c r="B1707" i="3"/>
  <c r="E1707" i="3"/>
  <c r="A1708" i="3"/>
  <c r="C1708" i="3"/>
  <c r="D1708" i="3"/>
  <c r="B1708" i="3"/>
  <c r="E1708" i="3"/>
  <c r="A1709" i="3"/>
  <c r="C1709" i="3"/>
  <c r="D1709" i="3"/>
  <c r="B1709" i="3"/>
  <c r="E1709" i="3"/>
  <c r="A1710" i="3"/>
  <c r="C1710" i="3"/>
  <c r="D1710" i="3"/>
  <c r="B1710" i="3"/>
  <c r="E1710" i="3"/>
  <c r="A1711" i="3"/>
  <c r="C1711" i="3"/>
  <c r="D1711" i="3"/>
  <c r="B1711" i="3"/>
  <c r="E1711" i="3"/>
  <c r="A1712" i="3"/>
  <c r="C1712" i="3"/>
  <c r="D1712" i="3"/>
  <c r="B1712" i="3"/>
  <c r="E1712" i="3"/>
  <c r="A1713" i="3"/>
  <c r="C1713" i="3"/>
  <c r="D1713" i="3"/>
  <c r="B1713" i="3"/>
  <c r="E1713" i="3"/>
  <c r="A1714" i="3"/>
  <c r="C1714" i="3"/>
  <c r="D1714" i="3"/>
  <c r="B1714" i="3"/>
  <c r="E1714" i="3"/>
  <c r="A1715" i="3"/>
  <c r="C1715" i="3"/>
  <c r="D1715" i="3"/>
  <c r="B1715" i="3"/>
  <c r="E1715" i="3"/>
  <c r="A1716" i="3"/>
  <c r="C1716" i="3"/>
  <c r="D1716" i="3"/>
  <c r="B1716" i="3"/>
  <c r="E1716" i="3"/>
  <c r="A1717" i="3"/>
  <c r="C1717" i="3"/>
  <c r="D1717" i="3"/>
  <c r="B1717" i="3"/>
  <c r="E1717" i="3"/>
  <c r="A1718" i="3"/>
  <c r="C1718" i="3"/>
  <c r="D1718" i="3"/>
  <c r="B1718" i="3"/>
  <c r="E1718" i="3"/>
  <c r="A1719" i="3"/>
  <c r="C1719" i="3"/>
  <c r="D1719" i="3"/>
  <c r="B1719" i="3"/>
  <c r="E1719" i="3"/>
  <c r="A1720" i="3"/>
  <c r="C1720" i="3"/>
  <c r="D1720" i="3"/>
  <c r="B1720" i="3"/>
  <c r="E1720" i="3"/>
  <c r="A1721" i="3"/>
  <c r="C1721" i="3"/>
  <c r="D1721" i="3"/>
  <c r="B1721" i="3"/>
  <c r="E1721" i="3"/>
  <c r="A1722" i="3"/>
  <c r="C1722" i="3"/>
  <c r="D1722" i="3"/>
  <c r="B1722" i="3"/>
  <c r="E1722" i="3"/>
  <c r="A1723" i="3"/>
  <c r="C1723" i="3"/>
  <c r="D1723" i="3"/>
  <c r="B1723" i="3"/>
  <c r="E1723" i="3"/>
  <c r="A1724" i="3"/>
  <c r="C1724" i="3"/>
  <c r="D1724" i="3"/>
  <c r="B1724" i="3"/>
  <c r="E1724" i="3"/>
  <c r="A1725" i="3"/>
  <c r="C1725" i="3"/>
  <c r="D1725" i="3"/>
  <c r="B1725" i="3"/>
  <c r="E1725" i="3"/>
  <c r="A1726" i="3"/>
  <c r="C1726" i="3"/>
  <c r="D1726" i="3"/>
  <c r="B1726" i="3"/>
  <c r="E1726" i="3"/>
  <c r="A1727" i="3"/>
  <c r="C1727" i="3"/>
  <c r="D1727" i="3"/>
  <c r="B1727" i="3"/>
  <c r="E1727" i="3"/>
  <c r="A1728" i="3"/>
  <c r="C1728" i="3"/>
  <c r="D1728" i="3"/>
  <c r="B1728" i="3"/>
  <c r="E1728" i="3"/>
  <c r="A1729" i="3"/>
  <c r="C1729" i="3"/>
  <c r="D1729" i="3"/>
  <c r="B1729" i="3"/>
  <c r="E1729" i="3"/>
  <c r="A1730" i="3"/>
  <c r="C1730" i="3"/>
  <c r="D1730" i="3"/>
  <c r="B1730" i="3"/>
  <c r="E1730" i="3"/>
  <c r="A1731" i="3"/>
  <c r="C1731" i="3"/>
  <c r="D1731" i="3"/>
  <c r="B1731" i="3"/>
  <c r="E1731" i="3"/>
  <c r="A1732" i="3"/>
  <c r="C1732" i="3"/>
  <c r="D1732" i="3"/>
  <c r="B1732" i="3"/>
  <c r="E1732" i="3"/>
  <c r="A1733" i="3"/>
  <c r="C1733" i="3"/>
  <c r="D1733" i="3"/>
  <c r="B1733" i="3"/>
  <c r="E1733" i="3"/>
  <c r="A1734" i="3"/>
  <c r="C1734" i="3"/>
  <c r="D1734" i="3"/>
  <c r="B1734" i="3"/>
  <c r="E1734" i="3"/>
  <c r="A1735" i="3"/>
  <c r="C1735" i="3"/>
  <c r="D1735" i="3"/>
  <c r="B1735" i="3"/>
  <c r="E1735" i="3"/>
  <c r="A1736" i="3"/>
  <c r="C1736" i="3"/>
  <c r="D1736" i="3"/>
  <c r="B1736" i="3"/>
  <c r="E1736" i="3"/>
  <c r="A1737" i="3"/>
  <c r="C1737" i="3"/>
  <c r="D1737" i="3"/>
  <c r="B1737" i="3"/>
  <c r="E1737" i="3"/>
  <c r="A1738" i="3"/>
  <c r="C1738" i="3"/>
  <c r="D1738" i="3"/>
  <c r="B1738" i="3"/>
  <c r="E1738" i="3"/>
  <c r="A1739" i="3"/>
  <c r="C1739" i="3"/>
  <c r="D1739" i="3"/>
  <c r="B1739" i="3"/>
  <c r="E1739" i="3"/>
  <c r="A1740" i="3"/>
  <c r="C1740" i="3"/>
  <c r="D1740" i="3"/>
  <c r="B1740" i="3"/>
  <c r="E1740" i="3"/>
  <c r="A1741" i="3"/>
  <c r="C1741" i="3"/>
  <c r="D1741" i="3"/>
  <c r="B1741" i="3"/>
  <c r="E1741" i="3"/>
  <c r="A1742" i="3"/>
  <c r="C1742" i="3"/>
  <c r="D1742" i="3"/>
  <c r="B1742" i="3"/>
  <c r="E1742" i="3"/>
  <c r="A1743" i="3"/>
  <c r="C1743" i="3"/>
  <c r="D1743" i="3"/>
  <c r="B1743" i="3"/>
  <c r="E1743" i="3"/>
  <c r="A1744" i="3"/>
  <c r="C1744" i="3"/>
  <c r="D1744" i="3"/>
  <c r="B1744" i="3"/>
  <c r="E1744" i="3"/>
  <c r="A1745" i="3"/>
  <c r="C1745" i="3"/>
  <c r="D1745" i="3"/>
  <c r="B1745" i="3"/>
  <c r="E1745" i="3"/>
  <c r="A1746" i="3"/>
  <c r="C1746" i="3"/>
  <c r="D1746" i="3"/>
  <c r="B1746" i="3"/>
  <c r="E1746" i="3"/>
  <c r="A1747" i="3"/>
  <c r="C1747" i="3"/>
  <c r="D1747" i="3"/>
  <c r="B1747" i="3"/>
  <c r="E1747" i="3"/>
  <c r="A1748" i="3"/>
  <c r="C1748" i="3"/>
  <c r="D1748" i="3"/>
  <c r="B1748" i="3"/>
  <c r="E1748" i="3"/>
  <c r="A1749" i="3"/>
  <c r="C1749" i="3"/>
  <c r="D1749" i="3"/>
  <c r="B1749" i="3"/>
  <c r="E1749" i="3"/>
  <c r="A1750" i="3"/>
  <c r="C1750" i="3"/>
  <c r="D1750" i="3"/>
  <c r="B1750" i="3"/>
  <c r="E1750" i="3"/>
  <c r="A1751" i="3"/>
  <c r="C1751" i="3"/>
  <c r="D1751" i="3"/>
  <c r="B1751" i="3"/>
  <c r="E1751" i="3"/>
  <c r="A1752" i="3"/>
  <c r="C1752" i="3"/>
  <c r="D1752" i="3"/>
  <c r="B1752" i="3"/>
  <c r="E1752" i="3"/>
  <c r="A1753" i="3"/>
  <c r="C1753" i="3"/>
  <c r="D1753" i="3"/>
  <c r="B1753" i="3"/>
  <c r="E1753" i="3"/>
  <c r="A1754" i="3"/>
  <c r="C1754" i="3"/>
  <c r="D1754" i="3"/>
  <c r="B1754" i="3"/>
  <c r="E1754" i="3"/>
  <c r="A1755" i="3"/>
  <c r="C1755" i="3"/>
  <c r="D1755" i="3"/>
  <c r="B1755" i="3"/>
  <c r="E1755" i="3"/>
  <c r="A1756" i="3"/>
  <c r="C1756" i="3"/>
  <c r="D1756" i="3"/>
  <c r="B1756" i="3"/>
  <c r="E1756" i="3"/>
  <c r="A1757" i="3"/>
  <c r="C1757" i="3"/>
  <c r="D1757" i="3"/>
  <c r="B1757" i="3"/>
  <c r="E1757" i="3"/>
  <c r="A1758" i="3"/>
  <c r="C1758" i="3"/>
  <c r="D1758" i="3"/>
  <c r="B1758" i="3"/>
  <c r="E1758" i="3"/>
  <c r="A1759" i="3"/>
  <c r="C1759" i="3"/>
  <c r="D1759" i="3"/>
  <c r="B1759" i="3"/>
  <c r="E1759" i="3"/>
  <c r="A1760" i="3"/>
  <c r="C1760" i="3"/>
  <c r="D1760" i="3"/>
  <c r="B1760" i="3"/>
  <c r="E1760" i="3"/>
  <c r="A1761" i="3"/>
  <c r="C1761" i="3"/>
  <c r="D1761" i="3"/>
  <c r="B1761" i="3"/>
  <c r="E1761" i="3"/>
  <c r="A1762" i="3"/>
  <c r="C1762" i="3"/>
  <c r="D1762" i="3"/>
  <c r="B1762" i="3"/>
  <c r="E1762" i="3"/>
  <c r="A1763" i="3"/>
  <c r="C1763" i="3"/>
  <c r="D1763" i="3"/>
  <c r="B1763" i="3"/>
  <c r="E1763" i="3"/>
  <c r="A1764" i="3"/>
  <c r="C1764" i="3"/>
  <c r="D1764" i="3"/>
  <c r="B1764" i="3"/>
  <c r="E1764" i="3"/>
  <c r="A1765" i="3"/>
  <c r="C1765" i="3"/>
  <c r="D1765" i="3"/>
  <c r="B1765" i="3"/>
  <c r="E1765" i="3"/>
  <c r="A1766" i="3"/>
  <c r="C1766" i="3"/>
  <c r="D1766" i="3"/>
  <c r="B1766" i="3"/>
  <c r="E1766" i="3"/>
  <c r="A1767" i="3"/>
  <c r="C1767" i="3"/>
  <c r="D1767" i="3"/>
  <c r="B1767" i="3"/>
  <c r="E1767" i="3"/>
  <c r="A1768" i="3"/>
  <c r="C1768" i="3"/>
  <c r="D1768" i="3"/>
  <c r="B1768" i="3"/>
  <c r="E1768" i="3"/>
  <c r="A1769" i="3"/>
  <c r="C1769" i="3"/>
  <c r="D1769" i="3"/>
  <c r="B1769" i="3"/>
  <c r="E1769" i="3"/>
  <c r="A1770" i="3"/>
  <c r="C1770" i="3"/>
  <c r="D1770" i="3"/>
  <c r="B1770" i="3"/>
  <c r="E1770" i="3"/>
  <c r="A1771" i="3"/>
  <c r="C1771" i="3"/>
  <c r="D1771" i="3"/>
  <c r="B1771" i="3"/>
  <c r="E1771" i="3"/>
  <c r="A1772" i="3"/>
  <c r="C1772" i="3"/>
  <c r="D1772" i="3"/>
  <c r="B1772" i="3"/>
  <c r="E1772" i="3"/>
  <c r="A1773" i="3"/>
  <c r="C1773" i="3"/>
  <c r="D1773" i="3"/>
  <c r="B1773" i="3"/>
  <c r="E1773" i="3"/>
  <c r="A1774" i="3"/>
  <c r="C1774" i="3"/>
  <c r="D1774" i="3"/>
  <c r="B1774" i="3"/>
  <c r="E1774" i="3"/>
  <c r="A1775" i="3"/>
  <c r="C1775" i="3"/>
  <c r="D1775" i="3"/>
  <c r="B1775" i="3"/>
  <c r="E1775" i="3"/>
  <c r="A1776" i="3"/>
  <c r="C1776" i="3"/>
  <c r="D1776" i="3"/>
  <c r="B1776" i="3"/>
  <c r="E1776" i="3"/>
  <c r="A1777" i="3"/>
  <c r="C1777" i="3"/>
  <c r="D1777" i="3"/>
  <c r="B1777" i="3"/>
  <c r="E1777" i="3"/>
  <c r="A1778" i="3"/>
  <c r="C1778" i="3"/>
  <c r="D1778" i="3"/>
  <c r="B1778" i="3"/>
  <c r="E1778" i="3"/>
  <c r="A1779" i="3"/>
  <c r="C1779" i="3"/>
  <c r="D1779" i="3"/>
  <c r="B1779" i="3"/>
  <c r="E1779" i="3"/>
  <c r="A1780" i="3"/>
  <c r="C1780" i="3"/>
  <c r="D1780" i="3"/>
  <c r="B1780" i="3"/>
  <c r="E1780" i="3"/>
  <c r="A1781" i="3"/>
  <c r="C1781" i="3"/>
  <c r="D1781" i="3"/>
  <c r="B1781" i="3"/>
  <c r="E1781" i="3"/>
  <c r="A1782" i="3"/>
  <c r="C1782" i="3"/>
  <c r="D1782" i="3"/>
  <c r="B1782" i="3"/>
  <c r="E1782" i="3"/>
  <c r="A1783" i="3"/>
  <c r="C1783" i="3"/>
  <c r="D1783" i="3"/>
  <c r="B1783" i="3"/>
  <c r="E1783" i="3"/>
  <c r="A1784" i="3"/>
  <c r="C1784" i="3"/>
  <c r="D1784" i="3"/>
  <c r="B1784" i="3"/>
  <c r="E1784" i="3"/>
  <c r="A1785" i="3"/>
  <c r="C1785" i="3"/>
  <c r="D1785" i="3"/>
  <c r="B1785" i="3"/>
  <c r="E1785" i="3"/>
  <c r="A1786" i="3"/>
  <c r="C1786" i="3"/>
  <c r="D1786" i="3"/>
  <c r="B1786" i="3"/>
  <c r="E1786" i="3"/>
  <c r="A1787" i="3"/>
  <c r="C1787" i="3"/>
  <c r="D1787" i="3"/>
  <c r="B1787" i="3"/>
  <c r="E1787" i="3"/>
  <c r="A1788" i="3"/>
  <c r="C1788" i="3"/>
  <c r="D1788" i="3"/>
  <c r="B1788" i="3"/>
  <c r="E1788" i="3"/>
  <c r="A1789" i="3"/>
  <c r="C1789" i="3"/>
  <c r="D1789" i="3"/>
  <c r="B1789" i="3"/>
  <c r="E1789" i="3"/>
  <c r="A1790" i="3"/>
  <c r="C1790" i="3"/>
  <c r="D1790" i="3"/>
  <c r="B1790" i="3"/>
  <c r="E1790" i="3"/>
  <c r="A1791" i="3"/>
  <c r="C1791" i="3"/>
  <c r="D1791" i="3"/>
  <c r="B1791" i="3"/>
  <c r="E1791" i="3"/>
  <c r="A1792" i="3"/>
  <c r="C1792" i="3"/>
  <c r="D1792" i="3"/>
  <c r="B1792" i="3"/>
  <c r="E1792" i="3"/>
  <c r="A1793" i="3"/>
  <c r="C1793" i="3"/>
  <c r="D1793" i="3"/>
  <c r="B1793" i="3"/>
  <c r="E1793" i="3"/>
  <c r="A1794" i="3"/>
  <c r="C1794" i="3"/>
  <c r="D1794" i="3"/>
  <c r="B1794" i="3"/>
  <c r="E1794" i="3"/>
  <c r="A1795" i="3"/>
  <c r="C1795" i="3"/>
  <c r="D1795" i="3"/>
  <c r="B1795" i="3"/>
  <c r="E1795" i="3"/>
  <c r="A1796" i="3"/>
  <c r="C1796" i="3"/>
  <c r="D1796" i="3"/>
  <c r="B1796" i="3"/>
  <c r="E1796" i="3"/>
  <c r="A1797" i="3"/>
  <c r="C1797" i="3"/>
  <c r="D1797" i="3"/>
  <c r="B1797" i="3"/>
  <c r="E1797" i="3"/>
  <c r="A1798" i="3"/>
  <c r="C1798" i="3"/>
  <c r="D1798" i="3"/>
  <c r="B1798" i="3"/>
  <c r="E1798" i="3"/>
  <c r="A1799" i="3"/>
  <c r="C1799" i="3"/>
  <c r="D1799" i="3"/>
  <c r="B1799" i="3"/>
  <c r="E1799" i="3"/>
  <c r="A1800" i="3"/>
  <c r="C1800" i="3"/>
  <c r="D1800" i="3"/>
  <c r="B1800" i="3"/>
  <c r="E1800" i="3"/>
  <c r="A1801" i="3"/>
  <c r="C1801" i="3"/>
  <c r="D1801" i="3"/>
  <c r="B1801" i="3"/>
  <c r="E1801" i="3"/>
  <c r="A1802" i="3"/>
  <c r="C1802" i="3"/>
  <c r="D1802" i="3"/>
  <c r="B1802" i="3"/>
  <c r="E1802" i="3"/>
  <c r="A1803" i="3"/>
  <c r="C1803" i="3"/>
  <c r="D1803" i="3"/>
  <c r="B1803" i="3"/>
  <c r="E1803" i="3"/>
  <c r="A1804" i="3"/>
  <c r="C1804" i="3"/>
  <c r="D1804" i="3"/>
  <c r="B1804" i="3"/>
  <c r="E1804" i="3"/>
  <c r="A1805" i="3"/>
  <c r="C1805" i="3"/>
  <c r="D1805" i="3"/>
  <c r="B1805" i="3"/>
  <c r="E1805" i="3"/>
  <c r="A1806" i="3"/>
  <c r="C1806" i="3"/>
  <c r="D1806" i="3"/>
  <c r="B1806" i="3"/>
  <c r="E1806" i="3"/>
  <c r="A1807" i="3"/>
  <c r="C1807" i="3"/>
  <c r="D1807" i="3"/>
  <c r="B1807" i="3"/>
  <c r="E1807" i="3"/>
  <c r="A1808" i="3"/>
  <c r="C1808" i="3"/>
  <c r="D1808" i="3"/>
  <c r="B1808" i="3"/>
  <c r="E1808" i="3"/>
  <c r="A1809" i="3"/>
  <c r="C1809" i="3"/>
  <c r="D1809" i="3"/>
  <c r="B1809" i="3"/>
  <c r="E1809" i="3"/>
  <c r="A1810" i="3"/>
  <c r="C1810" i="3"/>
  <c r="D1810" i="3"/>
  <c r="B1810" i="3"/>
  <c r="E1810" i="3"/>
  <c r="A1811" i="3"/>
  <c r="C1811" i="3"/>
  <c r="D1811" i="3"/>
  <c r="B1811" i="3"/>
  <c r="E1811" i="3"/>
  <c r="A1812" i="3"/>
  <c r="C1812" i="3"/>
  <c r="D1812" i="3"/>
  <c r="B1812" i="3"/>
  <c r="E1812" i="3"/>
  <c r="A1813" i="3"/>
  <c r="C1813" i="3"/>
  <c r="D1813" i="3"/>
  <c r="B1813" i="3"/>
  <c r="E1813" i="3"/>
  <c r="A1814" i="3"/>
  <c r="C1814" i="3"/>
  <c r="D1814" i="3"/>
  <c r="B1814" i="3"/>
  <c r="E1814" i="3"/>
  <c r="A1815" i="3"/>
  <c r="C1815" i="3"/>
  <c r="D1815" i="3"/>
  <c r="B1815" i="3"/>
  <c r="E1815" i="3"/>
  <c r="A1816" i="3"/>
  <c r="C1816" i="3"/>
  <c r="D1816" i="3"/>
  <c r="B1816" i="3"/>
  <c r="E1816" i="3"/>
  <c r="A1817" i="3"/>
  <c r="C1817" i="3"/>
  <c r="D1817" i="3"/>
  <c r="B1817" i="3"/>
  <c r="E1817" i="3"/>
  <c r="A1818" i="3"/>
  <c r="C1818" i="3"/>
  <c r="D1818" i="3"/>
  <c r="B1818" i="3"/>
  <c r="E1818" i="3"/>
  <c r="A1819" i="3"/>
  <c r="C1819" i="3"/>
  <c r="D1819" i="3"/>
  <c r="B1819" i="3"/>
  <c r="E1819" i="3"/>
  <c r="A1820" i="3"/>
  <c r="C1820" i="3"/>
  <c r="D1820" i="3"/>
  <c r="B1820" i="3"/>
  <c r="E1820" i="3"/>
  <c r="A1821" i="3"/>
  <c r="C1821" i="3"/>
  <c r="D1821" i="3"/>
  <c r="B1821" i="3"/>
  <c r="E1821" i="3"/>
  <c r="A1822" i="3"/>
  <c r="C1822" i="3"/>
  <c r="D1822" i="3"/>
  <c r="B1822" i="3"/>
  <c r="E1822" i="3"/>
  <c r="A1823" i="3"/>
  <c r="C1823" i="3"/>
  <c r="D1823" i="3"/>
  <c r="B1823" i="3"/>
  <c r="E1823" i="3"/>
  <c r="A1824" i="3"/>
  <c r="C1824" i="3"/>
  <c r="D1824" i="3"/>
  <c r="B1824" i="3"/>
  <c r="E1824" i="3"/>
  <c r="A1825" i="3"/>
  <c r="C1825" i="3"/>
  <c r="D1825" i="3"/>
  <c r="B1825" i="3"/>
  <c r="E1825" i="3"/>
  <c r="A1826" i="3"/>
  <c r="C1826" i="3"/>
  <c r="D1826" i="3"/>
  <c r="B1826" i="3"/>
  <c r="E1826" i="3"/>
  <c r="A1827" i="3"/>
  <c r="C1827" i="3"/>
  <c r="D1827" i="3"/>
  <c r="B1827" i="3"/>
  <c r="E1827" i="3"/>
  <c r="A1828" i="3"/>
  <c r="C1828" i="3"/>
  <c r="D1828" i="3"/>
  <c r="B1828" i="3"/>
  <c r="E1828" i="3"/>
  <c r="A1829" i="3"/>
  <c r="C1829" i="3"/>
  <c r="D1829" i="3"/>
  <c r="B1829" i="3"/>
  <c r="E1829" i="3"/>
  <c r="A1830" i="3"/>
  <c r="C1830" i="3"/>
  <c r="D1830" i="3"/>
  <c r="B1830" i="3"/>
  <c r="E1830" i="3"/>
  <c r="A1831" i="3"/>
  <c r="C1831" i="3"/>
  <c r="D1831" i="3"/>
  <c r="B1831" i="3"/>
  <c r="E1831" i="3"/>
  <c r="A1832" i="3"/>
  <c r="C1832" i="3"/>
  <c r="D1832" i="3"/>
  <c r="B1832" i="3"/>
  <c r="E1832" i="3"/>
  <c r="A1833" i="3"/>
  <c r="C1833" i="3"/>
  <c r="D1833" i="3"/>
  <c r="B1833" i="3"/>
  <c r="E1833" i="3"/>
  <c r="A1834" i="3"/>
  <c r="C1834" i="3"/>
  <c r="D1834" i="3"/>
  <c r="B1834" i="3"/>
  <c r="E1834" i="3"/>
  <c r="A1835" i="3"/>
  <c r="C1835" i="3"/>
  <c r="D1835" i="3"/>
  <c r="B1835" i="3"/>
  <c r="E1835" i="3"/>
  <c r="A1836" i="3"/>
  <c r="C1836" i="3"/>
  <c r="D1836" i="3"/>
  <c r="B1836" i="3"/>
  <c r="E1836" i="3"/>
  <c r="A1837" i="3"/>
  <c r="C1837" i="3"/>
  <c r="D1837" i="3"/>
  <c r="B1837" i="3"/>
  <c r="E1837" i="3"/>
  <c r="A1838" i="3"/>
  <c r="C1838" i="3"/>
  <c r="D1838" i="3"/>
  <c r="B1838" i="3"/>
  <c r="E1838" i="3"/>
  <c r="A1839" i="3"/>
  <c r="C1839" i="3"/>
  <c r="D1839" i="3"/>
  <c r="B1839" i="3"/>
  <c r="E1839" i="3"/>
  <c r="A1840" i="3"/>
  <c r="C1840" i="3"/>
  <c r="D1840" i="3"/>
  <c r="B1840" i="3"/>
  <c r="E1840" i="3"/>
  <c r="A1841" i="3"/>
  <c r="C1841" i="3"/>
  <c r="D1841" i="3"/>
  <c r="B1841" i="3"/>
  <c r="E1841" i="3"/>
  <c r="A1842" i="3"/>
  <c r="C1842" i="3"/>
  <c r="D1842" i="3"/>
  <c r="B1842" i="3"/>
  <c r="E1842" i="3"/>
  <c r="A1843" i="3"/>
  <c r="C1843" i="3"/>
  <c r="D1843" i="3"/>
  <c r="B1843" i="3"/>
  <c r="E1843" i="3"/>
  <c r="A1844" i="3"/>
  <c r="C1844" i="3"/>
  <c r="D1844" i="3"/>
  <c r="B1844" i="3"/>
  <c r="E1844" i="3"/>
  <c r="A1845" i="3"/>
  <c r="C1845" i="3"/>
  <c r="D1845" i="3"/>
  <c r="B1845" i="3"/>
  <c r="E1845" i="3"/>
  <c r="A1846" i="3"/>
  <c r="C1846" i="3"/>
  <c r="D1846" i="3"/>
  <c r="B1846" i="3"/>
  <c r="E1846" i="3"/>
  <c r="A1847" i="3"/>
  <c r="C1847" i="3"/>
  <c r="D1847" i="3"/>
  <c r="B1847" i="3"/>
  <c r="E1847" i="3"/>
  <c r="A1848" i="3"/>
  <c r="C1848" i="3"/>
  <c r="D1848" i="3"/>
  <c r="B1848" i="3"/>
  <c r="E1848" i="3"/>
  <c r="A1849" i="3"/>
  <c r="C1849" i="3"/>
  <c r="D1849" i="3"/>
  <c r="B1849" i="3"/>
  <c r="E1849" i="3"/>
  <c r="A1850" i="3"/>
  <c r="C1850" i="3"/>
  <c r="D1850" i="3"/>
  <c r="B1850" i="3"/>
  <c r="E1850" i="3"/>
  <c r="A1851" i="3"/>
  <c r="C1851" i="3"/>
  <c r="D1851" i="3"/>
  <c r="B1851" i="3"/>
  <c r="E1851" i="3"/>
  <c r="A1852" i="3"/>
  <c r="C1852" i="3"/>
  <c r="D1852" i="3"/>
  <c r="B1852" i="3"/>
  <c r="E1852" i="3"/>
  <c r="A1853" i="3"/>
  <c r="C1853" i="3"/>
  <c r="D1853" i="3"/>
  <c r="B1853" i="3"/>
  <c r="E1853" i="3"/>
  <c r="A1854" i="3"/>
  <c r="C1854" i="3"/>
  <c r="D1854" i="3"/>
  <c r="B1854" i="3"/>
  <c r="E1854" i="3"/>
  <c r="A1855" i="3"/>
  <c r="C1855" i="3"/>
  <c r="D1855" i="3"/>
  <c r="B1855" i="3"/>
  <c r="E1855" i="3"/>
  <c r="A1856" i="3"/>
  <c r="C1856" i="3"/>
  <c r="D1856" i="3"/>
  <c r="B1856" i="3"/>
  <c r="E1856" i="3"/>
  <c r="A1857" i="3"/>
  <c r="C1857" i="3"/>
  <c r="D1857" i="3"/>
  <c r="B1857" i="3"/>
  <c r="E1857" i="3"/>
  <c r="A1858" i="3"/>
  <c r="C1858" i="3"/>
  <c r="D1858" i="3"/>
  <c r="B1858" i="3"/>
  <c r="E1858" i="3"/>
  <c r="A1859" i="3"/>
  <c r="C1859" i="3"/>
  <c r="D1859" i="3"/>
  <c r="B1859" i="3"/>
  <c r="E1859" i="3"/>
  <c r="A1860" i="3"/>
  <c r="C1860" i="3"/>
  <c r="D1860" i="3"/>
  <c r="B1860" i="3"/>
  <c r="E1860" i="3"/>
  <c r="A1861" i="3"/>
  <c r="C1861" i="3"/>
  <c r="D1861" i="3"/>
  <c r="B1861" i="3"/>
  <c r="E1861" i="3"/>
  <c r="A1862" i="3"/>
  <c r="C1862" i="3"/>
  <c r="D1862" i="3"/>
  <c r="B1862" i="3"/>
  <c r="E1862" i="3"/>
  <c r="A1863" i="3"/>
  <c r="C1863" i="3"/>
  <c r="D1863" i="3"/>
  <c r="B1863" i="3"/>
  <c r="E1863" i="3"/>
  <c r="A1864" i="3"/>
  <c r="C1864" i="3"/>
  <c r="D1864" i="3"/>
  <c r="B1864" i="3"/>
  <c r="E1864" i="3"/>
  <c r="A1865" i="3"/>
  <c r="C1865" i="3"/>
  <c r="D1865" i="3"/>
  <c r="B1865" i="3"/>
  <c r="E1865" i="3"/>
  <c r="A1866" i="3"/>
  <c r="C1866" i="3"/>
  <c r="D1866" i="3"/>
  <c r="B1866" i="3"/>
  <c r="E1866" i="3"/>
  <c r="A1867" i="3"/>
  <c r="C1867" i="3"/>
  <c r="D1867" i="3"/>
  <c r="B1867" i="3"/>
  <c r="E1867" i="3"/>
  <c r="A1868" i="3"/>
  <c r="C1868" i="3"/>
  <c r="D1868" i="3"/>
  <c r="B1868" i="3"/>
  <c r="E1868" i="3"/>
  <c r="A1869" i="3"/>
  <c r="C1869" i="3"/>
  <c r="D1869" i="3"/>
  <c r="B1869" i="3"/>
  <c r="E1869" i="3"/>
  <c r="A1870" i="3"/>
  <c r="C1870" i="3"/>
  <c r="D1870" i="3"/>
  <c r="B1870" i="3"/>
  <c r="E1870" i="3"/>
  <c r="A1871" i="3"/>
  <c r="C1871" i="3"/>
  <c r="D1871" i="3"/>
  <c r="B1871" i="3"/>
  <c r="E1871" i="3"/>
  <c r="A1872" i="3"/>
  <c r="C1872" i="3"/>
  <c r="D1872" i="3"/>
  <c r="B1872" i="3"/>
  <c r="E1872" i="3"/>
  <c r="A1873" i="3"/>
  <c r="C1873" i="3"/>
  <c r="D1873" i="3"/>
  <c r="B1873" i="3"/>
  <c r="E1873" i="3"/>
  <c r="A1874" i="3"/>
  <c r="C1874" i="3"/>
  <c r="D1874" i="3"/>
  <c r="B1874" i="3"/>
  <c r="E1874" i="3"/>
  <c r="A1875" i="3"/>
  <c r="C1875" i="3"/>
  <c r="D1875" i="3"/>
  <c r="B1875" i="3"/>
  <c r="E1875" i="3"/>
  <c r="A1876" i="3"/>
  <c r="C1876" i="3"/>
  <c r="D1876" i="3"/>
  <c r="B1876" i="3"/>
  <c r="E1876" i="3"/>
  <c r="A1877" i="3"/>
  <c r="C1877" i="3"/>
  <c r="D1877" i="3"/>
  <c r="B1877" i="3"/>
  <c r="E1877" i="3"/>
  <c r="A1878" i="3"/>
  <c r="C1878" i="3"/>
  <c r="D1878" i="3"/>
  <c r="B1878" i="3"/>
  <c r="E1878" i="3"/>
  <c r="A1879" i="3"/>
  <c r="C1879" i="3"/>
  <c r="D1879" i="3"/>
  <c r="B1879" i="3"/>
  <c r="E1879" i="3"/>
  <c r="A1880" i="3"/>
  <c r="C1880" i="3"/>
  <c r="D1880" i="3"/>
  <c r="B1880" i="3"/>
  <c r="E1880" i="3"/>
  <c r="A1881" i="3"/>
  <c r="C1881" i="3"/>
  <c r="D1881" i="3"/>
  <c r="B1881" i="3"/>
  <c r="E1881" i="3"/>
  <c r="A1882" i="3"/>
  <c r="C1882" i="3"/>
  <c r="D1882" i="3"/>
  <c r="B1882" i="3"/>
  <c r="E1882" i="3"/>
  <c r="A1883" i="3"/>
  <c r="C1883" i="3"/>
  <c r="D1883" i="3"/>
  <c r="B1883" i="3"/>
  <c r="E1883" i="3"/>
  <c r="A1884" i="3"/>
  <c r="C1884" i="3"/>
  <c r="D1884" i="3"/>
  <c r="B1884" i="3"/>
  <c r="E1884" i="3"/>
  <c r="A1885" i="3"/>
  <c r="C1885" i="3"/>
  <c r="D1885" i="3"/>
  <c r="B1885" i="3"/>
  <c r="E1885" i="3"/>
  <c r="A1886" i="3"/>
  <c r="C1886" i="3"/>
  <c r="D1886" i="3"/>
  <c r="B1886" i="3"/>
  <c r="E1886" i="3"/>
  <c r="A1887" i="3"/>
  <c r="C1887" i="3"/>
  <c r="D1887" i="3"/>
  <c r="B1887" i="3"/>
  <c r="E1887" i="3"/>
  <c r="A1888" i="3"/>
  <c r="C1888" i="3"/>
  <c r="D1888" i="3"/>
  <c r="B1888" i="3"/>
  <c r="E1888" i="3"/>
  <c r="A1889" i="3"/>
  <c r="C1889" i="3"/>
  <c r="D1889" i="3"/>
  <c r="B1889" i="3"/>
  <c r="E1889" i="3"/>
  <c r="A1890" i="3"/>
  <c r="C1890" i="3"/>
  <c r="D1890" i="3"/>
  <c r="B1890" i="3"/>
  <c r="E1890" i="3"/>
  <c r="A1891" i="3"/>
  <c r="C1891" i="3"/>
  <c r="D1891" i="3"/>
  <c r="B1891" i="3"/>
  <c r="E1891" i="3"/>
  <c r="A1892" i="3"/>
  <c r="C1892" i="3"/>
  <c r="D1892" i="3"/>
  <c r="B1892" i="3"/>
  <c r="E1892" i="3"/>
  <c r="A1893" i="3"/>
  <c r="C1893" i="3"/>
  <c r="D1893" i="3"/>
  <c r="B1893" i="3"/>
  <c r="E1893" i="3"/>
  <c r="A1894" i="3"/>
  <c r="C1894" i="3"/>
  <c r="D1894" i="3"/>
  <c r="B1894" i="3"/>
  <c r="E1894" i="3"/>
  <c r="A1895" i="3"/>
  <c r="C1895" i="3"/>
  <c r="D1895" i="3"/>
  <c r="B1895" i="3"/>
  <c r="E1895" i="3"/>
  <c r="A1896" i="3"/>
  <c r="C1896" i="3"/>
  <c r="D1896" i="3"/>
  <c r="B1896" i="3"/>
  <c r="E1896" i="3"/>
  <c r="A1897" i="3"/>
  <c r="C1897" i="3"/>
  <c r="D1897" i="3"/>
  <c r="B1897" i="3"/>
  <c r="E1897" i="3"/>
  <c r="A1898" i="3"/>
  <c r="C1898" i="3"/>
  <c r="D1898" i="3"/>
  <c r="B1898" i="3"/>
  <c r="E1898" i="3"/>
  <c r="A1899" i="3"/>
  <c r="C1899" i="3"/>
  <c r="D1899" i="3"/>
  <c r="B1899" i="3"/>
  <c r="E1899" i="3"/>
  <c r="A1900" i="3"/>
  <c r="C1900" i="3"/>
  <c r="D1900" i="3"/>
  <c r="B1900" i="3"/>
  <c r="E1900" i="3"/>
  <c r="A1901" i="3"/>
  <c r="C1901" i="3"/>
  <c r="D1901" i="3"/>
  <c r="B1901" i="3"/>
  <c r="E1901" i="3"/>
  <c r="A1902" i="3"/>
  <c r="C1902" i="3"/>
  <c r="D1902" i="3"/>
  <c r="B1902" i="3"/>
  <c r="E1902" i="3"/>
  <c r="A1903" i="3"/>
  <c r="C1903" i="3"/>
  <c r="D1903" i="3"/>
  <c r="B1903" i="3"/>
  <c r="E1903" i="3"/>
  <c r="A1904" i="3"/>
  <c r="C1904" i="3"/>
  <c r="D1904" i="3"/>
  <c r="B1904" i="3"/>
  <c r="E1904" i="3"/>
  <c r="A1905" i="3"/>
  <c r="C1905" i="3"/>
  <c r="D1905" i="3"/>
  <c r="B1905" i="3"/>
  <c r="E1905" i="3"/>
  <c r="A1906" i="3"/>
  <c r="C1906" i="3"/>
  <c r="D1906" i="3"/>
  <c r="B1906" i="3"/>
  <c r="E1906" i="3"/>
  <c r="A1907" i="3"/>
  <c r="C1907" i="3"/>
  <c r="D1907" i="3"/>
  <c r="B1907" i="3"/>
  <c r="E1907" i="3"/>
  <c r="A1908" i="3"/>
  <c r="C1908" i="3"/>
  <c r="D1908" i="3"/>
  <c r="B1908" i="3"/>
  <c r="E1908" i="3"/>
  <c r="A1909" i="3"/>
  <c r="C1909" i="3"/>
  <c r="D1909" i="3"/>
  <c r="B1909" i="3"/>
  <c r="E1909" i="3"/>
  <c r="A1910" i="3"/>
  <c r="C1910" i="3"/>
  <c r="D1910" i="3"/>
  <c r="B1910" i="3"/>
  <c r="E1910" i="3"/>
  <c r="A1911" i="3"/>
  <c r="C1911" i="3"/>
  <c r="D1911" i="3"/>
  <c r="B1911" i="3"/>
  <c r="E1911" i="3"/>
  <c r="A1912" i="3"/>
  <c r="C1912" i="3"/>
  <c r="D1912" i="3"/>
  <c r="B1912" i="3"/>
  <c r="E1912" i="3"/>
  <c r="A1913" i="3"/>
  <c r="C1913" i="3"/>
  <c r="D1913" i="3"/>
  <c r="B1913" i="3"/>
  <c r="E1913" i="3"/>
  <c r="A1914" i="3"/>
  <c r="C1914" i="3"/>
  <c r="D1914" i="3"/>
  <c r="B1914" i="3"/>
  <c r="E1914" i="3"/>
  <c r="A1915" i="3"/>
  <c r="C1915" i="3"/>
  <c r="D1915" i="3"/>
  <c r="B1915" i="3"/>
  <c r="E1915" i="3"/>
  <c r="A1916" i="3"/>
  <c r="C1916" i="3"/>
  <c r="D1916" i="3"/>
  <c r="B1916" i="3"/>
  <c r="E1916" i="3"/>
  <c r="A1917" i="3"/>
  <c r="C1917" i="3"/>
  <c r="D1917" i="3"/>
  <c r="B1917" i="3"/>
  <c r="E1917" i="3"/>
  <c r="A1918" i="3"/>
  <c r="C1918" i="3"/>
  <c r="D1918" i="3"/>
  <c r="B1918" i="3"/>
  <c r="E1918" i="3"/>
  <c r="A1919" i="3"/>
  <c r="C1919" i="3"/>
  <c r="D1919" i="3"/>
  <c r="B1919" i="3"/>
  <c r="E1919" i="3"/>
  <c r="A1920" i="3"/>
  <c r="C1920" i="3"/>
  <c r="D1920" i="3"/>
  <c r="B1920" i="3"/>
  <c r="E1920" i="3"/>
  <c r="A1921" i="3"/>
  <c r="C1921" i="3"/>
  <c r="D1921" i="3"/>
  <c r="B1921" i="3"/>
  <c r="E1921" i="3"/>
  <c r="A1922" i="3"/>
  <c r="C1922" i="3"/>
  <c r="D1922" i="3"/>
  <c r="B1922" i="3"/>
  <c r="E1922" i="3"/>
  <c r="A1923" i="3"/>
  <c r="C1923" i="3"/>
  <c r="D1923" i="3"/>
  <c r="B1923" i="3"/>
  <c r="E1923" i="3"/>
  <c r="A1924" i="3"/>
  <c r="C1924" i="3"/>
  <c r="D1924" i="3"/>
  <c r="B1924" i="3"/>
  <c r="E1924" i="3"/>
  <c r="A1925" i="3"/>
  <c r="C1925" i="3"/>
  <c r="D1925" i="3"/>
  <c r="B1925" i="3"/>
  <c r="E1925" i="3"/>
  <c r="A1926" i="3"/>
  <c r="C1926" i="3"/>
  <c r="D1926" i="3"/>
  <c r="B1926" i="3"/>
  <c r="E1926" i="3"/>
  <c r="A1927" i="3"/>
  <c r="C1927" i="3"/>
  <c r="D1927" i="3"/>
  <c r="B1927" i="3"/>
  <c r="E1927" i="3"/>
  <c r="A1928" i="3"/>
  <c r="C1928" i="3"/>
  <c r="D1928" i="3"/>
  <c r="B1928" i="3"/>
  <c r="E1928" i="3"/>
  <c r="A1929" i="3"/>
  <c r="C1929" i="3"/>
  <c r="D1929" i="3"/>
  <c r="B1929" i="3"/>
  <c r="E1929" i="3"/>
  <c r="A1930" i="3"/>
  <c r="C1930" i="3"/>
  <c r="D1930" i="3"/>
  <c r="B1930" i="3"/>
  <c r="E1930" i="3"/>
  <c r="A1931" i="3"/>
  <c r="C1931" i="3"/>
  <c r="D1931" i="3"/>
  <c r="B1931" i="3"/>
  <c r="E1931" i="3"/>
  <c r="A1932" i="3"/>
  <c r="C1932" i="3"/>
  <c r="D1932" i="3"/>
  <c r="B1932" i="3"/>
  <c r="E1932" i="3"/>
  <c r="A1933" i="3"/>
  <c r="C1933" i="3"/>
  <c r="D1933" i="3"/>
  <c r="B1933" i="3"/>
  <c r="E1933" i="3"/>
  <c r="A1934" i="3"/>
  <c r="C1934" i="3"/>
  <c r="D1934" i="3"/>
  <c r="B1934" i="3"/>
  <c r="E1934" i="3"/>
  <c r="A1935" i="3"/>
  <c r="C1935" i="3"/>
  <c r="D1935" i="3"/>
  <c r="B1935" i="3"/>
  <c r="E1935" i="3"/>
  <c r="A1936" i="3"/>
  <c r="C1936" i="3"/>
  <c r="D1936" i="3"/>
  <c r="B1936" i="3"/>
  <c r="E1936" i="3"/>
  <c r="A1937" i="3"/>
  <c r="C1937" i="3"/>
  <c r="D1937" i="3"/>
  <c r="B1937" i="3"/>
  <c r="E1937" i="3"/>
  <c r="A1938" i="3"/>
  <c r="C1938" i="3"/>
  <c r="D1938" i="3"/>
  <c r="B1938" i="3"/>
  <c r="E1938" i="3"/>
  <c r="A1939" i="3"/>
  <c r="C1939" i="3"/>
  <c r="D1939" i="3"/>
  <c r="B1939" i="3"/>
  <c r="E1939" i="3"/>
  <c r="A1940" i="3"/>
  <c r="C1940" i="3"/>
  <c r="D1940" i="3"/>
  <c r="B1940" i="3"/>
  <c r="E1940" i="3"/>
  <c r="A1941" i="3"/>
  <c r="C1941" i="3"/>
  <c r="D1941" i="3"/>
  <c r="B1941" i="3"/>
  <c r="E1941" i="3"/>
  <c r="A1942" i="3"/>
  <c r="C1942" i="3"/>
  <c r="D1942" i="3"/>
  <c r="B1942" i="3"/>
  <c r="E1942" i="3"/>
  <c r="A1943" i="3"/>
  <c r="C1943" i="3"/>
  <c r="D1943" i="3"/>
  <c r="B1943" i="3"/>
  <c r="E1943" i="3"/>
  <c r="A1944" i="3"/>
  <c r="C1944" i="3"/>
  <c r="D1944" i="3"/>
  <c r="B1944" i="3"/>
  <c r="E1944" i="3"/>
  <c r="A1945" i="3"/>
  <c r="C1945" i="3"/>
  <c r="D1945" i="3"/>
  <c r="B1945" i="3"/>
  <c r="E1945" i="3"/>
  <c r="A1946" i="3"/>
  <c r="C1946" i="3"/>
  <c r="D1946" i="3"/>
  <c r="B1946" i="3"/>
  <c r="E1946" i="3"/>
  <c r="A1947" i="3"/>
  <c r="C1947" i="3"/>
  <c r="D1947" i="3"/>
  <c r="B1947" i="3"/>
  <c r="E1947" i="3"/>
  <c r="A1948" i="3"/>
  <c r="C1948" i="3"/>
  <c r="D1948" i="3"/>
  <c r="B1948" i="3"/>
  <c r="E1948" i="3"/>
  <c r="A1949" i="3"/>
  <c r="C1949" i="3"/>
  <c r="D1949" i="3"/>
  <c r="B1949" i="3"/>
  <c r="E1949" i="3"/>
  <c r="A1950" i="3"/>
  <c r="C1950" i="3"/>
  <c r="D1950" i="3"/>
  <c r="B1950" i="3"/>
  <c r="E1950" i="3"/>
  <c r="A1951" i="3"/>
  <c r="C1951" i="3"/>
  <c r="D1951" i="3"/>
  <c r="B1951" i="3"/>
  <c r="E1951" i="3"/>
  <c r="A1952" i="3"/>
  <c r="C1952" i="3"/>
  <c r="D1952" i="3"/>
  <c r="B1952" i="3"/>
  <c r="E1952" i="3"/>
  <c r="A1953" i="3"/>
  <c r="C1953" i="3"/>
  <c r="D1953" i="3"/>
  <c r="B1953" i="3"/>
  <c r="E1953" i="3"/>
  <c r="A1954" i="3"/>
  <c r="C1954" i="3"/>
  <c r="D1954" i="3"/>
  <c r="B1954" i="3"/>
  <c r="E1954" i="3"/>
  <c r="A1955" i="3"/>
  <c r="C1955" i="3"/>
  <c r="D1955" i="3"/>
  <c r="B1955" i="3"/>
  <c r="E1955" i="3"/>
  <c r="A1956" i="3"/>
  <c r="C1956" i="3"/>
  <c r="D1956" i="3"/>
  <c r="B1956" i="3"/>
  <c r="E1956" i="3"/>
  <c r="A1957" i="3"/>
  <c r="C1957" i="3"/>
  <c r="D1957" i="3"/>
  <c r="B1957" i="3"/>
  <c r="E1957" i="3"/>
  <c r="A1958" i="3"/>
  <c r="C1958" i="3"/>
  <c r="D1958" i="3"/>
  <c r="B1958" i="3"/>
  <c r="E1958" i="3"/>
  <c r="A1959" i="3"/>
  <c r="C1959" i="3"/>
  <c r="D1959" i="3"/>
  <c r="B1959" i="3"/>
  <c r="E1959" i="3"/>
  <c r="A1960" i="3"/>
  <c r="C1960" i="3"/>
  <c r="D1960" i="3"/>
  <c r="B1960" i="3"/>
  <c r="E1960" i="3"/>
  <c r="A1961" i="3"/>
  <c r="C1961" i="3"/>
  <c r="D1961" i="3"/>
  <c r="B1961" i="3"/>
  <c r="E1961" i="3"/>
  <c r="A1962" i="3"/>
  <c r="C1962" i="3"/>
  <c r="D1962" i="3"/>
  <c r="B1962" i="3"/>
  <c r="E1962" i="3"/>
  <c r="A1963" i="3"/>
  <c r="C1963" i="3"/>
  <c r="D1963" i="3"/>
  <c r="B1963" i="3"/>
  <c r="E1963" i="3"/>
  <c r="A1964" i="3"/>
  <c r="C1964" i="3"/>
  <c r="D1964" i="3"/>
  <c r="B1964" i="3"/>
  <c r="E1964" i="3"/>
  <c r="A1965" i="3"/>
  <c r="C1965" i="3"/>
  <c r="D1965" i="3"/>
  <c r="B1965" i="3"/>
  <c r="E1965" i="3"/>
  <c r="A1966" i="3"/>
  <c r="C1966" i="3"/>
  <c r="D1966" i="3"/>
  <c r="B1966" i="3"/>
  <c r="E1966" i="3"/>
  <c r="A1967" i="3"/>
  <c r="C1967" i="3"/>
  <c r="D1967" i="3"/>
  <c r="B1967" i="3"/>
  <c r="E1967" i="3"/>
  <c r="A1968" i="3"/>
  <c r="C1968" i="3"/>
  <c r="D1968" i="3"/>
  <c r="B1968" i="3"/>
  <c r="E1968" i="3"/>
  <c r="A1969" i="3"/>
  <c r="C1969" i="3"/>
  <c r="D1969" i="3"/>
  <c r="B1969" i="3"/>
  <c r="E1969" i="3"/>
  <c r="A1970" i="3"/>
  <c r="C1970" i="3"/>
  <c r="D1970" i="3"/>
  <c r="B1970" i="3"/>
  <c r="E1970" i="3"/>
  <c r="A1971" i="3"/>
  <c r="C1971" i="3"/>
  <c r="D1971" i="3"/>
  <c r="B1971" i="3"/>
  <c r="E1971" i="3"/>
  <c r="A1972" i="3"/>
  <c r="C1972" i="3"/>
  <c r="D1972" i="3"/>
  <c r="B1972" i="3"/>
  <c r="E1972" i="3"/>
  <c r="A1973" i="3"/>
  <c r="C1973" i="3"/>
  <c r="D1973" i="3"/>
  <c r="B1973" i="3"/>
  <c r="E1973" i="3"/>
  <c r="A1974" i="3"/>
  <c r="C1974" i="3"/>
  <c r="D1974" i="3"/>
  <c r="B1974" i="3"/>
  <c r="E1974" i="3"/>
  <c r="A1975" i="3"/>
  <c r="C1975" i="3"/>
  <c r="D1975" i="3"/>
  <c r="B1975" i="3"/>
  <c r="E1975" i="3"/>
  <c r="A1976" i="3"/>
  <c r="C1976" i="3"/>
  <c r="D1976" i="3"/>
  <c r="B1976" i="3"/>
  <c r="E1976" i="3"/>
  <c r="A1977" i="3"/>
  <c r="C1977" i="3"/>
  <c r="D1977" i="3"/>
  <c r="B1977" i="3"/>
  <c r="E1977" i="3"/>
  <c r="A1978" i="3"/>
  <c r="C1978" i="3"/>
  <c r="D1978" i="3"/>
  <c r="B1978" i="3"/>
  <c r="E1978" i="3"/>
  <c r="A1979" i="3"/>
  <c r="C1979" i="3"/>
  <c r="D1979" i="3"/>
  <c r="B1979" i="3"/>
  <c r="E1979" i="3"/>
  <c r="A1980" i="3"/>
  <c r="C1980" i="3"/>
  <c r="D1980" i="3"/>
  <c r="B1980" i="3"/>
  <c r="E1980" i="3"/>
  <c r="A1981" i="3"/>
  <c r="C1981" i="3"/>
  <c r="D1981" i="3"/>
  <c r="B1981" i="3"/>
  <c r="E1981" i="3"/>
  <c r="A1982" i="3"/>
  <c r="C1982" i="3"/>
  <c r="D1982" i="3"/>
  <c r="B1982" i="3"/>
  <c r="E1982" i="3"/>
  <c r="A1983" i="3"/>
  <c r="C1983" i="3"/>
  <c r="D1983" i="3"/>
  <c r="B1983" i="3"/>
  <c r="E1983" i="3"/>
  <c r="A1984" i="3"/>
  <c r="C1984" i="3"/>
  <c r="D1984" i="3"/>
  <c r="B1984" i="3"/>
  <c r="E1984" i="3"/>
  <c r="A1985" i="3"/>
  <c r="C1985" i="3"/>
  <c r="D1985" i="3"/>
  <c r="B1985" i="3"/>
  <c r="E1985" i="3"/>
  <c r="A1986" i="3"/>
  <c r="C1986" i="3"/>
  <c r="D1986" i="3"/>
  <c r="B1986" i="3"/>
  <c r="E1986" i="3"/>
  <c r="A1987" i="3"/>
  <c r="C1987" i="3"/>
  <c r="D1987" i="3"/>
  <c r="B1987" i="3"/>
  <c r="E1987" i="3"/>
  <c r="A1988" i="3"/>
  <c r="C1988" i="3"/>
  <c r="D1988" i="3"/>
  <c r="B1988" i="3"/>
  <c r="E1988" i="3"/>
  <c r="A1989" i="3"/>
  <c r="C1989" i="3"/>
  <c r="D1989" i="3"/>
  <c r="B1989" i="3"/>
  <c r="E1989" i="3"/>
  <c r="A1990" i="3"/>
  <c r="C1990" i="3"/>
  <c r="D1990" i="3"/>
  <c r="B1990" i="3"/>
  <c r="E1990" i="3"/>
  <c r="A1991" i="3"/>
  <c r="C1991" i="3"/>
  <c r="D1991" i="3"/>
  <c r="B1991" i="3"/>
  <c r="E1991" i="3"/>
  <c r="A1992" i="3"/>
  <c r="C1992" i="3"/>
  <c r="D1992" i="3"/>
  <c r="B1992" i="3"/>
  <c r="E1992" i="3"/>
  <c r="A1993" i="3"/>
  <c r="C1993" i="3"/>
  <c r="D1993" i="3"/>
  <c r="B1993" i="3"/>
  <c r="E1993" i="3"/>
  <c r="A1994" i="3"/>
  <c r="C1994" i="3"/>
  <c r="D1994" i="3"/>
  <c r="B1994" i="3"/>
  <c r="E1994" i="3"/>
  <c r="A1995" i="3"/>
  <c r="C1995" i="3"/>
  <c r="D1995" i="3"/>
  <c r="B1995" i="3"/>
  <c r="E1995" i="3"/>
  <c r="A1996" i="3"/>
  <c r="C1996" i="3"/>
  <c r="D1996" i="3"/>
  <c r="B1996" i="3"/>
  <c r="E1996" i="3"/>
  <c r="A1997" i="3"/>
  <c r="C1997" i="3"/>
  <c r="D1997" i="3"/>
  <c r="B1997" i="3"/>
  <c r="E1997" i="3"/>
  <c r="A1998" i="3"/>
  <c r="C1998" i="3"/>
  <c r="D1998" i="3"/>
  <c r="B1998" i="3"/>
  <c r="E1998" i="3"/>
  <c r="A1999" i="3"/>
  <c r="C1999" i="3"/>
  <c r="D1999" i="3"/>
  <c r="B1999" i="3"/>
  <c r="E1999" i="3"/>
  <c r="A2000" i="3"/>
  <c r="C2000" i="3"/>
  <c r="D2000" i="3"/>
  <c r="B2000" i="3"/>
  <c r="E2000" i="3"/>
  <c r="A2001" i="3"/>
  <c r="C2001" i="3"/>
  <c r="D2001" i="3"/>
  <c r="B2001" i="3"/>
  <c r="E2001" i="3"/>
  <c r="A2002" i="3"/>
  <c r="C2002" i="3"/>
  <c r="D2002" i="3"/>
  <c r="B2002" i="3"/>
  <c r="E2002" i="3"/>
  <c r="A2003" i="3"/>
  <c r="C2003" i="3"/>
  <c r="D2003" i="3"/>
  <c r="B2003" i="3"/>
  <c r="E2003" i="3"/>
  <c r="A2004" i="3"/>
  <c r="C2004" i="3"/>
  <c r="D2004" i="3"/>
  <c r="B2004" i="3"/>
  <c r="E2004" i="3"/>
  <c r="A2005" i="3"/>
  <c r="C2005" i="3"/>
  <c r="D2005" i="3"/>
  <c r="B2005" i="3"/>
  <c r="E2005" i="3"/>
  <c r="A2006" i="3"/>
  <c r="C2006" i="3"/>
  <c r="D2006" i="3"/>
  <c r="B2006" i="3"/>
  <c r="E2006" i="3"/>
  <c r="A2007" i="3"/>
  <c r="C2007" i="3"/>
  <c r="D2007" i="3"/>
  <c r="B2007" i="3"/>
  <c r="E2007" i="3"/>
  <c r="A2008" i="3"/>
  <c r="C2008" i="3"/>
  <c r="D2008" i="3"/>
  <c r="B2008" i="3"/>
  <c r="E2008" i="3"/>
  <c r="A2009" i="3"/>
  <c r="C2009" i="3"/>
  <c r="D2009" i="3"/>
  <c r="B2009" i="3"/>
  <c r="E2009" i="3"/>
  <c r="A2010" i="3"/>
  <c r="C2010" i="3"/>
  <c r="D2010" i="3"/>
  <c r="B2010" i="3"/>
  <c r="E2010" i="3"/>
  <c r="A2011" i="3"/>
  <c r="C2011" i="3"/>
  <c r="D2011" i="3"/>
  <c r="B2011" i="3"/>
  <c r="E2011" i="3"/>
  <c r="A2012" i="3"/>
  <c r="C2012" i="3"/>
  <c r="D2012" i="3"/>
  <c r="B2012" i="3"/>
  <c r="E2012" i="3"/>
  <c r="A2013" i="3"/>
  <c r="C2013" i="3"/>
  <c r="D2013" i="3"/>
  <c r="B2013" i="3"/>
  <c r="E2013" i="3"/>
  <c r="A2014" i="3"/>
  <c r="C2014" i="3"/>
  <c r="D2014" i="3"/>
  <c r="B2014" i="3"/>
  <c r="E2014" i="3"/>
  <c r="A2015" i="3"/>
  <c r="C2015" i="3"/>
  <c r="D2015" i="3"/>
  <c r="B2015" i="3"/>
  <c r="E2015" i="3"/>
  <c r="A2016" i="3"/>
  <c r="C2016" i="3"/>
  <c r="D2016" i="3"/>
  <c r="B2016" i="3"/>
  <c r="E2016" i="3"/>
  <c r="A2017" i="3"/>
  <c r="C2017" i="3"/>
  <c r="D2017" i="3"/>
  <c r="B2017" i="3"/>
  <c r="E2017" i="3"/>
  <c r="A2018" i="3"/>
  <c r="C2018" i="3"/>
  <c r="D2018" i="3"/>
  <c r="B2018" i="3"/>
  <c r="E2018" i="3"/>
  <c r="A2019" i="3"/>
  <c r="C2019" i="3"/>
  <c r="D2019" i="3"/>
  <c r="B2019" i="3"/>
  <c r="E2019" i="3"/>
  <c r="A2020" i="3"/>
  <c r="C2020" i="3"/>
  <c r="D2020" i="3"/>
  <c r="B2020" i="3"/>
  <c r="E2020" i="3"/>
  <c r="A2021" i="3"/>
  <c r="C2021" i="3"/>
  <c r="D2021" i="3"/>
  <c r="B2021" i="3"/>
  <c r="E2021" i="3"/>
  <c r="A2022" i="3"/>
  <c r="C2022" i="3"/>
  <c r="D2022" i="3"/>
  <c r="B2022" i="3"/>
  <c r="E2022" i="3"/>
  <c r="A2023" i="3"/>
  <c r="C2023" i="3"/>
  <c r="D2023" i="3"/>
  <c r="B2023" i="3"/>
  <c r="E2023" i="3"/>
  <c r="A2024" i="3"/>
  <c r="C2024" i="3"/>
  <c r="D2024" i="3"/>
  <c r="B2024" i="3"/>
  <c r="E2024" i="3"/>
  <c r="A2025" i="3"/>
  <c r="C2025" i="3"/>
  <c r="D2025" i="3"/>
  <c r="B2025" i="3"/>
  <c r="E2025" i="3"/>
  <c r="A2026" i="3"/>
  <c r="C2026" i="3"/>
  <c r="D2026" i="3"/>
  <c r="B2026" i="3"/>
  <c r="E2026" i="3"/>
  <c r="A2027" i="3"/>
  <c r="C2027" i="3"/>
  <c r="D2027" i="3"/>
  <c r="B2027" i="3"/>
  <c r="E2027" i="3"/>
  <c r="A2028" i="3"/>
  <c r="C2028" i="3"/>
  <c r="D2028" i="3"/>
  <c r="B2028" i="3"/>
  <c r="E2028" i="3"/>
  <c r="A2029" i="3"/>
  <c r="C2029" i="3"/>
  <c r="D2029" i="3"/>
  <c r="B2029" i="3"/>
  <c r="E2029" i="3"/>
  <c r="A2030" i="3"/>
  <c r="C2030" i="3"/>
  <c r="D2030" i="3"/>
  <c r="B2030" i="3"/>
  <c r="E2030" i="3"/>
  <c r="A2031" i="3"/>
  <c r="C2031" i="3"/>
  <c r="D2031" i="3"/>
  <c r="B2031" i="3"/>
  <c r="E2031" i="3"/>
  <c r="A2032" i="3"/>
  <c r="C2032" i="3"/>
  <c r="D2032" i="3"/>
  <c r="B2032" i="3"/>
  <c r="E2032" i="3"/>
  <c r="A2033" i="3"/>
  <c r="C2033" i="3"/>
  <c r="D2033" i="3"/>
  <c r="B2033" i="3"/>
  <c r="E2033" i="3"/>
  <c r="A2034" i="3"/>
  <c r="C2034" i="3"/>
  <c r="D2034" i="3"/>
  <c r="B2034" i="3"/>
  <c r="E2034" i="3"/>
  <c r="A2035" i="3"/>
  <c r="C2035" i="3"/>
  <c r="D2035" i="3"/>
  <c r="B2035" i="3"/>
  <c r="E2035" i="3"/>
  <c r="A2036" i="3"/>
  <c r="C2036" i="3"/>
  <c r="D2036" i="3"/>
  <c r="B2036" i="3"/>
  <c r="E2036" i="3"/>
  <c r="A2037" i="3"/>
  <c r="C2037" i="3"/>
  <c r="D2037" i="3"/>
  <c r="B2037" i="3"/>
  <c r="E2037" i="3"/>
  <c r="A2038" i="3"/>
  <c r="C2038" i="3"/>
  <c r="D2038" i="3"/>
  <c r="B2038" i="3"/>
  <c r="E2038" i="3"/>
  <c r="A2039" i="3"/>
  <c r="C2039" i="3"/>
  <c r="D2039" i="3"/>
  <c r="B2039" i="3"/>
  <c r="E2039" i="3"/>
  <c r="A2040" i="3"/>
  <c r="C2040" i="3"/>
  <c r="D2040" i="3"/>
  <c r="B2040" i="3"/>
  <c r="E2040" i="3"/>
  <c r="A2041" i="3"/>
  <c r="C2041" i="3"/>
  <c r="D2041" i="3"/>
  <c r="B2041" i="3"/>
  <c r="E2041" i="3"/>
  <c r="A2042" i="3"/>
  <c r="C2042" i="3"/>
  <c r="D2042" i="3"/>
  <c r="B2042" i="3"/>
  <c r="E2042" i="3"/>
  <c r="A2043" i="3"/>
  <c r="C2043" i="3"/>
  <c r="D2043" i="3"/>
  <c r="B2043" i="3"/>
  <c r="E2043" i="3"/>
  <c r="A2044" i="3"/>
  <c r="C2044" i="3"/>
  <c r="D2044" i="3"/>
  <c r="B2044" i="3"/>
  <c r="E2044" i="3"/>
  <c r="A2045" i="3"/>
  <c r="C2045" i="3"/>
  <c r="D2045" i="3"/>
  <c r="B2045" i="3"/>
  <c r="E2045" i="3"/>
  <c r="A2046" i="3"/>
  <c r="C2046" i="3"/>
  <c r="D2046" i="3"/>
  <c r="B2046" i="3"/>
  <c r="E2046" i="3"/>
  <c r="A2047" i="3"/>
  <c r="C2047" i="3"/>
  <c r="D2047" i="3"/>
  <c r="B2047" i="3"/>
  <c r="E2047" i="3"/>
  <c r="A2048" i="3"/>
  <c r="C2048" i="3"/>
  <c r="D2048" i="3"/>
  <c r="B2048" i="3"/>
  <c r="E2048" i="3"/>
  <c r="A2049" i="3"/>
  <c r="C2049" i="3"/>
  <c r="D2049" i="3"/>
  <c r="B2049" i="3"/>
  <c r="E2049" i="3"/>
  <c r="A2050" i="3"/>
  <c r="C2050" i="3"/>
  <c r="D2050" i="3"/>
  <c r="B2050" i="3"/>
  <c r="E2050" i="3"/>
  <c r="A2051" i="3"/>
  <c r="C2051" i="3"/>
  <c r="D2051" i="3"/>
  <c r="B2051" i="3"/>
  <c r="E2051" i="3"/>
  <c r="A2052" i="3"/>
  <c r="C2052" i="3"/>
  <c r="D2052" i="3"/>
  <c r="B2052" i="3"/>
  <c r="E2052" i="3"/>
  <c r="A2053" i="3"/>
  <c r="C2053" i="3"/>
  <c r="D2053" i="3"/>
  <c r="B2053" i="3"/>
  <c r="E2053" i="3"/>
  <c r="A2054" i="3"/>
  <c r="C2054" i="3"/>
  <c r="D2054" i="3"/>
  <c r="B2054" i="3"/>
  <c r="E2054" i="3"/>
  <c r="A2055" i="3"/>
  <c r="C2055" i="3"/>
  <c r="D2055" i="3"/>
  <c r="B2055" i="3"/>
  <c r="E2055" i="3"/>
  <c r="A2056" i="3"/>
  <c r="C2056" i="3"/>
  <c r="D2056" i="3"/>
  <c r="B2056" i="3"/>
  <c r="E2056" i="3"/>
  <c r="A2057" i="3"/>
  <c r="C2057" i="3"/>
  <c r="D2057" i="3"/>
  <c r="B2057" i="3"/>
  <c r="E2057" i="3"/>
  <c r="A2058" i="3"/>
  <c r="C2058" i="3"/>
  <c r="D2058" i="3"/>
  <c r="B2058" i="3"/>
  <c r="E2058" i="3"/>
  <c r="A2059" i="3"/>
  <c r="C2059" i="3"/>
  <c r="D2059" i="3"/>
  <c r="B2059" i="3"/>
  <c r="E2059" i="3"/>
  <c r="A2060" i="3"/>
  <c r="C2060" i="3"/>
  <c r="D2060" i="3"/>
  <c r="B2060" i="3"/>
  <c r="E2060" i="3"/>
  <c r="A2061" i="3"/>
  <c r="C2061" i="3"/>
  <c r="D2061" i="3"/>
  <c r="B2061" i="3"/>
  <c r="E2061" i="3"/>
  <c r="A2062" i="3"/>
  <c r="C2062" i="3"/>
  <c r="D2062" i="3"/>
  <c r="B2062" i="3"/>
  <c r="E2062" i="3"/>
  <c r="A2063" i="3"/>
  <c r="C2063" i="3"/>
  <c r="D2063" i="3"/>
  <c r="B2063" i="3"/>
  <c r="E2063" i="3"/>
  <c r="A2064" i="3"/>
  <c r="C2064" i="3"/>
  <c r="D2064" i="3"/>
  <c r="B2064" i="3"/>
  <c r="E2064" i="3"/>
  <c r="A2065" i="3"/>
  <c r="C2065" i="3"/>
  <c r="D2065" i="3"/>
  <c r="B2065" i="3"/>
  <c r="E2065" i="3"/>
  <c r="A2066" i="3"/>
  <c r="C2066" i="3"/>
  <c r="D2066" i="3"/>
  <c r="B2066" i="3"/>
  <c r="E2066" i="3"/>
  <c r="A2067" i="3"/>
  <c r="C2067" i="3"/>
  <c r="D2067" i="3"/>
  <c r="B2067" i="3"/>
  <c r="E2067" i="3"/>
  <c r="A2068" i="3"/>
  <c r="C2068" i="3"/>
  <c r="D2068" i="3"/>
  <c r="B2068" i="3"/>
  <c r="E2068" i="3"/>
  <c r="A2069" i="3"/>
  <c r="C2069" i="3"/>
  <c r="D2069" i="3"/>
  <c r="B2069" i="3"/>
  <c r="E2069" i="3"/>
  <c r="A2070" i="3"/>
  <c r="C2070" i="3"/>
  <c r="D2070" i="3"/>
  <c r="B2070" i="3"/>
  <c r="E2070" i="3"/>
  <c r="A2071" i="3"/>
  <c r="C2071" i="3"/>
  <c r="D2071" i="3"/>
  <c r="B2071" i="3"/>
  <c r="E2071" i="3"/>
  <c r="A2072" i="3"/>
  <c r="C2072" i="3"/>
  <c r="D2072" i="3"/>
  <c r="B2072" i="3"/>
  <c r="E2072" i="3"/>
  <c r="A2073" i="3"/>
  <c r="C2073" i="3"/>
  <c r="D2073" i="3"/>
  <c r="B2073" i="3"/>
  <c r="E2073" i="3"/>
  <c r="A2074" i="3"/>
  <c r="C2074" i="3"/>
  <c r="D2074" i="3"/>
  <c r="B2074" i="3"/>
  <c r="E2074" i="3"/>
  <c r="A2075" i="3"/>
  <c r="C2075" i="3"/>
  <c r="D2075" i="3"/>
  <c r="B2075" i="3"/>
  <c r="E2075" i="3"/>
  <c r="A2076" i="3"/>
  <c r="C2076" i="3"/>
  <c r="D2076" i="3"/>
  <c r="B2076" i="3"/>
  <c r="E2076" i="3"/>
  <c r="A2077" i="3"/>
  <c r="C2077" i="3"/>
  <c r="D2077" i="3"/>
  <c r="B2077" i="3"/>
  <c r="E2077" i="3"/>
  <c r="A2078" i="3"/>
  <c r="C2078" i="3"/>
  <c r="D2078" i="3"/>
  <c r="B2078" i="3"/>
  <c r="E2078" i="3"/>
  <c r="A2079" i="3"/>
  <c r="C2079" i="3"/>
  <c r="D2079" i="3"/>
  <c r="B2079" i="3"/>
  <c r="E2079" i="3"/>
  <c r="A2080" i="3"/>
  <c r="C2080" i="3"/>
  <c r="D2080" i="3"/>
  <c r="B2080" i="3"/>
  <c r="E2080" i="3"/>
  <c r="A2081" i="3"/>
  <c r="C2081" i="3"/>
  <c r="D2081" i="3"/>
  <c r="B2081" i="3"/>
  <c r="E2081" i="3"/>
  <c r="A2082" i="3"/>
  <c r="C2082" i="3"/>
  <c r="D2082" i="3"/>
  <c r="B2082" i="3"/>
  <c r="E2082" i="3"/>
  <c r="A2083" i="3"/>
  <c r="C2083" i="3"/>
  <c r="D2083" i="3"/>
  <c r="B2083" i="3"/>
  <c r="E2083" i="3"/>
  <c r="A2084" i="3"/>
  <c r="C2084" i="3"/>
  <c r="D2084" i="3"/>
  <c r="B2084" i="3"/>
  <c r="E2084" i="3"/>
  <c r="A2085" i="3"/>
  <c r="C2085" i="3"/>
  <c r="D2085" i="3"/>
  <c r="B2085" i="3"/>
  <c r="E2085" i="3"/>
  <c r="A2086" i="3"/>
  <c r="C2086" i="3"/>
  <c r="D2086" i="3"/>
  <c r="B2086" i="3"/>
  <c r="E2086" i="3"/>
  <c r="A2087" i="3"/>
  <c r="C2087" i="3"/>
  <c r="D2087" i="3"/>
  <c r="B2087" i="3"/>
  <c r="E2087" i="3"/>
  <c r="A2088" i="3"/>
  <c r="C2088" i="3"/>
  <c r="D2088" i="3"/>
  <c r="B2088" i="3"/>
  <c r="E2088" i="3"/>
  <c r="A2089" i="3"/>
  <c r="C2089" i="3"/>
  <c r="D2089" i="3"/>
  <c r="B2089" i="3"/>
  <c r="E2089" i="3"/>
  <c r="A2090" i="3"/>
  <c r="C2090" i="3"/>
  <c r="D2090" i="3"/>
  <c r="B2090" i="3"/>
  <c r="E2090" i="3"/>
  <c r="A2091" i="3"/>
  <c r="C2091" i="3"/>
  <c r="D2091" i="3"/>
  <c r="B2091" i="3"/>
  <c r="E2091" i="3"/>
  <c r="A2092" i="3"/>
  <c r="C2092" i="3"/>
  <c r="D2092" i="3"/>
  <c r="B2092" i="3"/>
  <c r="E2092" i="3"/>
  <c r="A2093" i="3"/>
  <c r="C2093" i="3"/>
  <c r="D2093" i="3"/>
  <c r="B2093" i="3"/>
  <c r="E2093" i="3"/>
  <c r="A2094" i="3"/>
  <c r="C2094" i="3"/>
  <c r="D2094" i="3"/>
  <c r="B2094" i="3"/>
  <c r="E2094" i="3"/>
  <c r="A2095" i="3"/>
  <c r="C2095" i="3"/>
  <c r="D2095" i="3"/>
  <c r="B2095" i="3"/>
  <c r="E2095" i="3"/>
  <c r="A2096" i="3"/>
  <c r="C2096" i="3"/>
  <c r="D2096" i="3"/>
  <c r="B2096" i="3"/>
  <c r="E2096" i="3"/>
  <c r="A2097" i="3"/>
  <c r="C2097" i="3"/>
  <c r="D2097" i="3"/>
  <c r="B2097" i="3"/>
  <c r="E2097" i="3"/>
  <c r="A2098" i="3"/>
  <c r="C2098" i="3"/>
  <c r="D2098" i="3"/>
  <c r="B2098" i="3"/>
  <c r="E2098" i="3"/>
  <c r="A2099" i="3"/>
  <c r="C2099" i="3"/>
  <c r="D2099" i="3"/>
  <c r="B2099" i="3"/>
  <c r="E2099" i="3"/>
  <c r="A2100" i="3"/>
  <c r="C2100" i="3"/>
  <c r="D2100" i="3"/>
  <c r="B2100" i="3"/>
  <c r="E2100" i="3"/>
  <c r="A2101" i="3"/>
  <c r="C2101" i="3"/>
  <c r="D2101" i="3"/>
  <c r="B2101" i="3"/>
  <c r="E2101" i="3"/>
  <c r="A2102" i="3"/>
  <c r="C2102" i="3"/>
  <c r="D2102" i="3"/>
  <c r="B2102" i="3"/>
  <c r="E2102" i="3"/>
  <c r="A2103" i="3"/>
  <c r="C2103" i="3"/>
  <c r="D2103" i="3"/>
  <c r="B2103" i="3"/>
  <c r="E2103" i="3"/>
  <c r="A2104" i="3"/>
  <c r="C2104" i="3"/>
  <c r="D2104" i="3"/>
  <c r="B2104" i="3"/>
  <c r="E2104" i="3"/>
  <c r="A2105" i="3"/>
  <c r="C2105" i="3"/>
  <c r="D2105" i="3"/>
  <c r="B2105" i="3"/>
  <c r="E2105" i="3"/>
  <c r="A2106" i="3"/>
  <c r="C2106" i="3"/>
  <c r="D2106" i="3"/>
  <c r="B2106" i="3"/>
  <c r="E2106" i="3"/>
  <c r="A2107" i="3"/>
  <c r="C2107" i="3"/>
  <c r="D2107" i="3"/>
  <c r="B2107" i="3"/>
  <c r="E2107" i="3"/>
  <c r="A2108" i="3"/>
  <c r="C2108" i="3"/>
  <c r="D2108" i="3"/>
  <c r="B2108" i="3"/>
  <c r="E2108" i="3"/>
  <c r="A2109" i="3"/>
  <c r="C2109" i="3"/>
  <c r="D2109" i="3"/>
  <c r="B2109" i="3"/>
  <c r="E2109" i="3"/>
  <c r="A2110" i="3"/>
  <c r="C2110" i="3"/>
  <c r="D2110" i="3"/>
  <c r="B2110" i="3"/>
  <c r="E2110" i="3"/>
  <c r="A2111" i="3"/>
  <c r="C2111" i="3"/>
  <c r="D2111" i="3"/>
  <c r="B2111" i="3"/>
  <c r="E2111" i="3"/>
  <c r="A2112" i="3"/>
  <c r="C2112" i="3"/>
  <c r="D2112" i="3"/>
  <c r="B2112" i="3"/>
  <c r="E2112" i="3"/>
  <c r="A2113" i="3"/>
  <c r="C2113" i="3"/>
  <c r="D2113" i="3"/>
  <c r="B2113" i="3"/>
  <c r="E2113" i="3"/>
  <c r="A2114" i="3"/>
  <c r="C2114" i="3"/>
  <c r="D2114" i="3"/>
  <c r="B2114" i="3"/>
  <c r="E2114" i="3"/>
  <c r="A2115" i="3"/>
  <c r="C2115" i="3"/>
  <c r="D2115" i="3"/>
  <c r="B2115" i="3"/>
  <c r="E2115" i="3"/>
  <c r="A2116" i="3"/>
  <c r="C2116" i="3"/>
  <c r="D2116" i="3"/>
  <c r="B2116" i="3"/>
  <c r="E2116" i="3"/>
  <c r="A2117" i="3"/>
  <c r="C2117" i="3"/>
  <c r="D2117" i="3"/>
  <c r="B2117" i="3"/>
  <c r="E2117" i="3"/>
  <c r="A2118" i="3"/>
  <c r="C2118" i="3"/>
  <c r="D2118" i="3"/>
  <c r="B2118" i="3"/>
  <c r="E2118" i="3"/>
  <c r="A2119" i="3"/>
  <c r="C2119" i="3"/>
  <c r="D2119" i="3"/>
  <c r="B2119" i="3"/>
  <c r="E2119" i="3"/>
  <c r="A2120" i="3"/>
  <c r="C2120" i="3"/>
  <c r="D2120" i="3"/>
  <c r="B2120" i="3"/>
  <c r="E2120" i="3"/>
  <c r="A2121" i="3"/>
  <c r="C2121" i="3"/>
  <c r="D2121" i="3"/>
  <c r="B2121" i="3"/>
  <c r="E2121" i="3"/>
  <c r="A2122" i="3"/>
  <c r="C2122" i="3"/>
  <c r="D2122" i="3"/>
  <c r="B2122" i="3"/>
  <c r="E2122" i="3"/>
  <c r="A2123" i="3"/>
  <c r="C2123" i="3"/>
  <c r="D2123" i="3"/>
  <c r="B2123" i="3"/>
  <c r="E2123" i="3"/>
  <c r="A2124" i="3"/>
  <c r="C2124" i="3"/>
  <c r="D2124" i="3"/>
  <c r="B2124" i="3"/>
  <c r="E2124" i="3"/>
  <c r="A2125" i="3"/>
  <c r="C2125" i="3"/>
  <c r="D2125" i="3"/>
  <c r="B2125" i="3"/>
  <c r="E2125" i="3"/>
  <c r="A2126" i="3"/>
  <c r="C2126" i="3"/>
  <c r="D2126" i="3"/>
  <c r="B2126" i="3"/>
  <c r="E2126" i="3"/>
  <c r="A2127" i="3"/>
  <c r="C2127" i="3"/>
  <c r="D2127" i="3"/>
  <c r="B2127" i="3"/>
  <c r="E2127" i="3"/>
  <c r="A2128" i="3"/>
  <c r="C2128" i="3"/>
  <c r="D2128" i="3"/>
  <c r="B2128" i="3"/>
  <c r="E2128" i="3"/>
  <c r="A2129" i="3"/>
  <c r="C2129" i="3"/>
  <c r="D2129" i="3"/>
  <c r="B2129" i="3"/>
  <c r="E2129" i="3"/>
  <c r="A2130" i="3"/>
  <c r="C2130" i="3"/>
  <c r="D2130" i="3"/>
  <c r="B2130" i="3"/>
  <c r="E2130" i="3"/>
  <c r="A2131" i="3"/>
  <c r="C2131" i="3"/>
  <c r="D2131" i="3"/>
  <c r="B2131" i="3"/>
  <c r="E2131" i="3"/>
  <c r="A2132" i="3"/>
  <c r="C2132" i="3"/>
  <c r="D2132" i="3"/>
  <c r="B2132" i="3"/>
  <c r="E2132" i="3"/>
  <c r="A2133" i="3"/>
  <c r="C2133" i="3"/>
  <c r="D2133" i="3"/>
  <c r="B2133" i="3"/>
  <c r="E2133" i="3"/>
  <c r="A2134" i="3"/>
  <c r="C2134" i="3"/>
  <c r="D2134" i="3"/>
  <c r="B2134" i="3"/>
  <c r="E2134" i="3"/>
  <c r="A2135" i="3"/>
  <c r="C2135" i="3"/>
  <c r="D2135" i="3"/>
  <c r="B2135" i="3"/>
  <c r="E2135" i="3"/>
  <c r="A2136" i="3"/>
  <c r="C2136" i="3"/>
  <c r="D2136" i="3"/>
  <c r="B2136" i="3"/>
  <c r="E2136" i="3"/>
  <c r="A2137" i="3"/>
  <c r="C2137" i="3"/>
  <c r="D2137" i="3"/>
  <c r="B2137" i="3"/>
  <c r="E2137" i="3"/>
  <c r="A2138" i="3"/>
  <c r="C2138" i="3"/>
  <c r="D2138" i="3"/>
  <c r="B2138" i="3"/>
  <c r="E2138" i="3"/>
  <c r="A2139" i="3"/>
  <c r="C2139" i="3"/>
  <c r="D2139" i="3"/>
  <c r="B2139" i="3"/>
  <c r="E2139" i="3"/>
  <c r="A2140" i="3"/>
  <c r="C2140" i="3"/>
  <c r="D2140" i="3"/>
  <c r="B2140" i="3"/>
  <c r="E2140" i="3"/>
  <c r="A2141" i="3"/>
  <c r="C2141" i="3"/>
  <c r="D2141" i="3"/>
  <c r="B2141" i="3"/>
  <c r="E2141" i="3"/>
  <c r="A2142" i="3"/>
  <c r="C2142" i="3"/>
  <c r="D2142" i="3"/>
  <c r="B2142" i="3"/>
  <c r="E2142" i="3"/>
  <c r="A2143" i="3"/>
  <c r="C2143" i="3"/>
  <c r="D2143" i="3"/>
  <c r="B2143" i="3"/>
  <c r="E2143" i="3"/>
  <c r="A2144" i="3"/>
  <c r="C2144" i="3"/>
  <c r="D2144" i="3"/>
  <c r="B2144" i="3"/>
  <c r="E2144" i="3"/>
  <c r="A2145" i="3"/>
  <c r="C2145" i="3"/>
  <c r="D2145" i="3"/>
  <c r="B2145" i="3"/>
  <c r="E2145" i="3"/>
  <c r="A2146" i="3"/>
  <c r="C2146" i="3"/>
  <c r="D2146" i="3"/>
  <c r="B2146" i="3"/>
  <c r="E2146" i="3"/>
  <c r="A2147" i="3"/>
  <c r="C2147" i="3"/>
  <c r="D2147" i="3"/>
  <c r="B2147" i="3"/>
  <c r="E2147" i="3"/>
  <c r="A2148" i="3"/>
  <c r="C2148" i="3"/>
  <c r="D2148" i="3"/>
  <c r="B2148" i="3"/>
  <c r="E2148" i="3"/>
  <c r="A2149" i="3"/>
  <c r="C2149" i="3"/>
  <c r="D2149" i="3"/>
  <c r="B2149" i="3"/>
  <c r="E2149" i="3"/>
  <c r="A2150" i="3"/>
  <c r="C2150" i="3"/>
  <c r="D2150" i="3"/>
  <c r="B2150" i="3"/>
  <c r="E2150" i="3"/>
  <c r="A2151" i="3"/>
  <c r="C2151" i="3"/>
  <c r="D2151" i="3"/>
  <c r="B2151" i="3"/>
  <c r="E2151" i="3"/>
  <c r="A2152" i="3"/>
  <c r="C2152" i="3"/>
  <c r="D2152" i="3"/>
  <c r="B2152" i="3"/>
  <c r="E2152" i="3"/>
  <c r="A2153" i="3"/>
  <c r="C2153" i="3"/>
  <c r="D2153" i="3"/>
  <c r="B2153" i="3"/>
  <c r="E2153" i="3"/>
  <c r="A2154" i="3"/>
  <c r="C2154" i="3"/>
  <c r="D2154" i="3"/>
  <c r="B2154" i="3"/>
  <c r="E2154" i="3"/>
  <c r="A2155" i="3"/>
  <c r="C2155" i="3"/>
  <c r="D2155" i="3"/>
  <c r="B2155" i="3"/>
  <c r="E2155" i="3"/>
  <c r="A2156" i="3"/>
  <c r="C2156" i="3"/>
  <c r="D2156" i="3"/>
  <c r="B2156" i="3"/>
  <c r="E2156" i="3"/>
  <c r="A2157" i="3"/>
  <c r="C2157" i="3"/>
  <c r="D2157" i="3"/>
  <c r="B2157" i="3"/>
  <c r="E2157" i="3"/>
  <c r="A2158" i="3"/>
  <c r="C2158" i="3"/>
  <c r="D2158" i="3"/>
  <c r="B2158" i="3"/>
  <c r="E2158" i="3"/>
  <c r="A2159" i="3"/>
  <c r="C2159" i="3"/>
  <c r="D2159" i="3"/>
  <c r="B2159" i="3"/>
  <c r="E2159" i="3"/>
  <c r="A2160" i="3"/>
  <c r="C2160" i="3"/>
  <c r="D2160" i="3"/>
  <c r="B2160" i="3"/>
  <c r="E2160" i="3"/>
  <c r="A2161" i="3"/>
  <c r="C2161" i="3"/>
  <c r="D2161" i="3"/>
  <c r="B2161" i="3"/>
  <c r="E2161" i="3"/>
  <c r="A2162" i="3"/>
  <c r="C2162" i="3"/>
  <c r="D2162" i="3"/>
  <c r="B2162" i="3"/>
  <c r="E2162" i="3"/>
  <c r="A2163" i="3"/>
  <c r="C2163" i="3"/>
  <c r="D2163" i="3"/>
  <c r="B2163" i="3"/>
  <c r="E2163" i="3"/>
  <c r="A2164" i="3"/>
  <c r="C2164" i="3"/>
  <c r="D2164" i="3"/>
  <c r="B2164" i="3"/>
  <c r="E2164" i="3"/>
  <c r="A2165" i="3"/>
  <c r="C2165" i="3"/>
  <c r="D2165" i="3"/>
  <c r="B2165" i="3"/>
  <c r="E2165" i="3"/>
  <c r="A2166" i="3"/>
  <c r="C2166" i="3"/>
  <c r="D2166" i="3"/>
  <c r="B2166" i="3"/>
  <c r="E2166" i="3"/>
  <c r="A2167" i="3"/>
  <c r="C2167" i="3"/>
  <c r="D2167" i="3"/>
  <c r="B2167" i="3"/>
  <c r="E2167" i="3"/>
  <c r="A2168" i="3"/>
  <c r="C2168" i="3"/>
  <c r="D2168" i="3"/>
  <c r="B2168" i="3"/>
  <c r="E2168" i="3"/>
  <c r="A2169" i="3"/>
  <c r="C2169" i="3"/>
  <c r="D2169" i="3"/>
  <c r="B2169" i="3"/>
  <c r="E2169" i="3"/>
  <c r="A2170" i="3"/>
  <c r="C2170" i="3"/>
  <c r="D2170" i="3"/>
  <c r="B2170" i="3"/>
  <c r="E2170" i="3"/>
  <c r="A2171" i="3"/>
  <c r="C2171" i="3"/>
  <c r="D2171" i="3"/>
  <c r="B2171" i="3"/>
  <c r="E2171" i="3"/>
  <c r="A2172" i="3"/>
  <c r="C2172" i="3"/>
  <c r="D2172" i="3"/>
  <c r="B2172" i="3"/>
  <c r="E2172" i="3"/>
  <c r="A2173" i="3"/>
  <c r="C2173" i="3"/>
  <c r="D2173" i="3"/>
  <c r="B2173" i="3"/>
  <c r="E2173" i="3"/>
  <c r="A2174" i="3"/>
  <c r="C2174" i="3"/>
  <c r="D2174" i="3"/>
  <c r="B2174" i="3"/>
  <c r="E2174" i="3"/>
  <c r="A2175" i="3"/>
  <c r="C2175" i="3"/>
  <c r="D2175" i="3"/>
  <c r="B2175" i="3"/>
  <c r="E2175" i="3"/>
  <c r="A2176" i="3"/>
  <c r="C2176" i="3"/>
  <c r="D2176" i="3"/>
  <c r="B2176" i="3"/>
  <c r="E2176" i="3"/>
  <c r="A2177" i="3"/>
  <c r="C2177" i="3"/>
  <c r="D2177" i="3"/>
  <c r="B2177" i="3"/>
  <c r="E2177" i="3"/>
  <c r="A2178" i="3"/>
  <c r="C2178" i="3"/>
  <c r="D2178" i="3"/>
  <c r="B2178" i="3"/>
  <c r="E2178" i="3"/>
  <c r="A2179" i="3"/>
  <c r="C2179" i="3"/>
  <c r="D2179" i="3"/>
  <c r="B2179" i="3"/>
  <c r="E2179" i="3"/>
  <c r="A2180" i="3"/>
  <c r="C2180" i="3"/>
  <c r="D2180" i="3"/>
  <c r="B2180" i="3"/>
  <c r="E2180" i="3"/>
  <c r="A2181" i="3"/>
  <c r="C2181" i="3"/>
  <c r="D2181" i="3"/>
  <c r="B2181" i="3"/>
  <c r="E2181" i="3"/>
  <c r="A2182" i="3"/>
  <c r="C2182" i="3"/>
  <c r="D2182" i="3"/>
  <c r="B2182" i="3"/>
  <c r="E2182" i="3"/>
  <c r="A2183" i="3"/>
  <c r="C2183" i="3"/>
  <c r="D2183" i="3"/>
  <c r="B2183" i="3"/>
  <c r="E2183" i="3"/>
  <c r="A2184" i="3"/>
  <c r="C2184" i="3"/>
  <c r="D2184" i="3"/>
  <c r="B2184" i="3"/>
  <c r="E2184" i="3"/>
  <c r="A2185" i="3"/>
  <c r="C2185" i="3"/>
  <c r="D2185" i="3"/>
  <c r="B2185" i="3"/>
  <c r="E2185" i="3"/>
  <c r="A2186" i="3"/>
  <c r="C2186" i="3"/>
  <c r="D2186" i="3"/>
  <c r="B2186" i="3"/>
  <c r="E2186" i="3"/>
  <c r="A2187" i="3"/>
  <c r="C2187" i="3"/>
  <c r="D2187" i="3"/>
  <c r="B2187" i="3"/>
  <c r="E2187" i="3"/>
  <c r="A2188" i="3"/>
  <c r="C2188" i="3"/>
  <c r="D2188" i="3"/>
  <c r="B2188" i="3"/>
  <c r="E2188" i="3"/>
  <c r="A2189" i="3"/>
  <c r="C2189" i="3"/>
  <c r="D2189" i="3"/>
  <c r="B2189" i="3"/>
  <c r="E2189" i="3"/>
  <c r="A2190" i="3"/>
  <c r="C2190" i="3"/>
  <c r="D2190" i="3"/>
  <c r="B2190" i="3"/>
  <c r="E2190" i="3"/>
  <c r="A2191" i="3"/>
  <c r="C2191" i="3"/>
  <c r="D2191" i="3"/>
  <c r="B2191" i="3"/>
  <c r="E2191" i="3"/>
  <c r="A2192" i="3"/>
  <c r="C2192" i="3"/>
  <c r="D2192" i="3"/>
  <c r="B2192" i="3"/>
  <c r="E2192" i="3"/>
  <c r="A2193" i="3"/>
  <c r="C2193" i="3"/>
  <c r="D2193" i="3"/>
  <c r="B2193" i="3"/>
  <c r="E2193" i="3"/>
  <c r="A2194" i="3"/>
  <c r="C2194" i="3"/>
  <c r="D2194" i="3"/>
  <c r="B2194" i="3"/>
  <c r="E2194" i="3"/>
  <c r="A2195" i="3"/>
  <c r="C2195" i="3"/>
  <c r="D2195" i="3"/>
  <c r="B2195" i="3"/>
  <c r="E2195" i="3"/>
  <c r="A2196" i="3"/>
  <c r="C2196" i="3"/>
  <c r="D2196" i="3"/>
  <c r="B2196" i="3"/>
  <c r="E2196" i="3"/>
  <c r="A2197" i="3"/>
  <c r="C2197" i="3"/>
  <c r="D2197" i="3"/>
  <c r="B2197" i="3"/>
  <c r="E2197" i="3"/>
  <c r="A2198" i="3"/>
  <c r="C2198" i="3"/>
  <c r="D2198" i="3"/>
  <c r="B2198" i="3"/>
  <c r="E2198" i="3"/>
  <c r="A2199" i="3"/>
  <c r="C2199" i="3"/>
  <c r="D2199" i="3"/>
  <c r="B2199" i="3"/>
  <c r="E2199" i="3"/>
  <c r="A2200" i="3"/>
  <c r="C2200" i="3"/>
  <c r="D2200" i="3"/>
  <c r="B2200" i="3"/>
  <c r="E2200" i="3"/>
  <c r="A2201" i="3"/>
  <c r="C2201" i="3"/>
  <c r="D2201" i="3"/>
  <c r="B2201" i="3"/>
  <c r="E2201" i="3"/>
  <c r="A2202" i="3"/>
  <c r="C2202" i="3"/>
  <c r="D2202" i="3"/>
  <c r="B2202" i="3"/>
  <c r="E2202" i="3"/>
  <c r="A2203" i="3"/>
  <c r="C2203" i="3"/>
  <c r="D2203" i="3"/>
  <c r="B2203" i="3"/>
  <c r="E2203" i="3"/>
  <c r="A2204" i="3"/>
  <c r="C2204" i="3"/>
  <c r="D2204" i="3"/>
  <c r="B2204" i="3"/>
  <c r="E2204" i="3"/>
  <c r="A2205" i="3"/>
  <c r="C2205" i="3"/>
  <c r="D2205" i="3"/>
  <c r="B2205" i="3"/>
  <c r="E2205" i="3"/>
  <c r="A2206" i="3"/>
  <c r="C2206" i="3"/>
  <c r="D2206" i="3"/>
  <c r="B2206" i="3"/>
  <c r="E2206" i="3"/>
  <c r="A2207" i="3"/>
  <c r="C2207" i="3"/>
  <c r="D2207" i="3"/>
  <c r="B2207" i="3"/>
  <c r="E2207" i="3"/>
  <c r="A2208" i="3"/>
  <c r="C2208" i="3"/>
  <c r="D2208" i="3"/>
  <c r="B2208" i="3"/>
  <c r="E2208" i="3"/>
  <c r="A2209" i="3"/>
  <c r="C2209" i="3"/>
  <c r="D2209" i="3"/>
  <c r="B2209" i="3"/>
  <c r="E2209" i="3"/>
  <c r="A2210" i="3"/>
  <c r="C2210" i="3"/>
  <c r="D2210" i="3"/>
  <c r="B2210" i="3"/>
  <c r="E2210" i="3"/>
  <c r="A2211" i="3"/>
  <c r="C2211" i="3"/>
  <c r="D2211" i="3"/>
  <c r="B2211" i="3"/>
  <c r="E2211" i="3"/>
  <c r="A2212" i="3"/>
  <c r="C2212" i="3"/>
  <c r="D2212" i="3"/>
  <c r="B2212" i="3"/>
  <c r="E2212" i="3"/>
  <c r="A2213" i="3"/>
  <c r="C2213" i="3"/>
  <c r="D2213" i="3"/>
  <c r="B2213" i="3"/>
  <c r="E2213" i="3"/>
  <c r="A2214" i="3"/>
  <c r="C2214" i="3"/>
  <c r="D2214" i="3"/>
  <c r="B2214" i="3"/>
  <c r="E2214" i="3"/>
  <c r="A2215" i="3"/>
  <c r="C2215" i="3"/>
  <c r="D2215" i="3"/>
  <c r="B2215" i="3"/>
  <c r="E2215" i="3"/>
  <c r="A2216" i="3"/>
  <c r="C2216" i="3"/>
  <c r="D2216" i="3"/>
  <c r="B2216" i="3"/>
  <c r="E2216" i="3"/>
  <c r="A2217" i="3"/>
  <c r="C2217" i="3"/>
  <c r="D2217" i="3"/>
  <c r="B2217" i="3"/>
  <c r="E2217" i="3"/>
  <c r="A2218" i="3"/>
  <c r="C2218" i="3"/>
  <c r="D2218" i="3"/>
  <c r="B2218" i="3"/>
  <c r="E2218" i="3"/>
  <c r="A2219" i="3"/>
  <c r="C2219" i="3"/>
  <c r="D2219" i="3"/>
  <c r="B2219" i="3"/>
  <c r="E2219" i="3"/>
  <c r="A2220" i="3"/>
  <c r="C2220" i="3"/>
  <c r="D2220" i="3"/>
  <c r="B2220" i="3"/>
  <c r="E2220" i="3"/>
  <c r="A2221" i="3"/>
  <c r="C2221" i="3"/>
  <c r="D2221" i="3"/>
  <c r="B2221" i="3"/>
  <c r="E2221" i="3"/>
  <c r="A2222" i="3"/>
  <c r="C2222" i="3"/>
  <c r="D2222" i="3"/>
  <c r="B2222" i="3"/>
  <c r="E2222" i="3"/>
  <c r="A2223" i="3"/>
  <c r="C2223" i="3"/>
  <c r="D2223" i="3"/>
  <c r="B2223" i="3"/>
  <c r="E2223" i="3"/>
  <c r="A2224" i="3"/>
  <c r="C2224" i="3"/>
  <c r="D2224" i="3"/>
  <c r="B2224" i="3"/>
  <c r="E2224" i="3"/>
  <c r="A2225" i="3"/>
  <c r="C2225" i="3"/>
  <c r="D2225" i="3"/>
  <c r="B2225" i="3"/>
  <c r="E2225" i="3"/>
  <c r="A2226" i="3"/>
  <c r="C2226" i="3"/>
  <c r="D2226" i="3"/>
  <c r="B2226" i="3"/>
  <c r="E2226" i="3"/>
  <c r="A2227" i="3"/>
  <c r="C2227" i="3"/>
  <c r="D2227" i="3"/>
  <c r="B2227" i="3"/>
  <c r="E2227" i="3"/>
  <c r="A2228" i="3"/>
  <c r="C2228" i="3"/>
  <c r="D2228" i="3"/>
  <c r="B2228" i="3"/>
  <c r="E2228" i="3"/>
  <c r="A2229" i="3"/>
  <c r="C2229" i="3"/>
  <c r="D2229" i="3"/>
  <c r="B2229" i="3"/>
  <c r="E2229" i="3"/>
  <c r="A2230" i="3"/>
  <c r="C2230" i="3"/>
  <c r="D2230" i="3"/>
  <c r="B2230" i="3"/>
  <c r="E2230" i="3"/>
  <c r="A2231" i="3"/>
  <c r="C2231" i="3"/>
  <c r="D2231" i="3"/>
  <c r="B2231" i="3"/>
  <c r="E2231" i="3"/>
  <c r="A2232" i="3"/>
  <c r="C2232" i="3"/>
  <c r="D2232" i="3"/>
  <c r="B2232" i="3"/>
  <c r="E2232" i="3"/>
  <c r="A2233" i="3"/>
  <c r="C2233" i="3"/>
  <c r="D2233" i="3"/>
  <c r="B2233" i="3"/>
  <c r="E2233" i="3"/>
  <c r="A2234" i="3"/>
  <c r="C2234" i="3"/>
  <c r="D2234" i="3"/>
  <c r="B2234" i="3"/>
  <c r="E2234" i="3"/>
  <c r="A2235" i="3"/>
  <c r="C2235" i="3"/>
  <c r="D2235" i="3"/>
  <c r="B2235" i="3"/>
  <c r="E2235" i="3"/>
  <c r="A2236" i="3"/>
  <c r="C2236" i="3"/>
  <c r="D2236" i="3"/>
  <c r="B2236" i="3"/>
  <c r="E2236" i="3"/>
  <c r="A2237" i="3"/>
  <c r="C2237" i="3"/>
  <c r="D2237" i="3"/>
  <c r="B2237" i="3"/>
  <c r="E2237" i="3"/>
  <c r="A2238" i="3"/>
  <c r="C2238" i="3"/>
  <c r="D2238" i="3"/>
  <c r="B2238" i="3"/>
  <c r="E2238" i="3"/>
  <c r="A2239" i="3"/>
  <c r="C2239" i="3"/>
  <c r="D2239" i="3"/>
  <c r="B2239" i="3"/>
  <c r="E2239" i="3"/>
  <c r="A2240" i="3"/>
  <c r="C2240" i="3"/>
  <c r="D2240" i="3"/>
  <c r="B2240" i="3"/>
  <c r="E2240" i="3"/>
  <c r="A2241" i="3"/>
  <c r="C2241" i="3"/>
  <c r="D2241" i="3"/>
  <c r="B2241" i="3"/>
  <c r="E2241" i="3"/>
  <c r="A2242" i="3"/>
  <c r="C2242" i="3"/>
  <c r="D2242" i="3"/>
  <c r="B2242" i="3"/>
  <c r="E2242" i="3"/>
  <c r="A2243" i="3"/>
  <c r="C2243" i="3"/>
  <c r="D2243" i="3"/>
  <c r="B2243" i="3"/>
  <c r="E2243" i="3"/>
  <c r="A2244" i="3"/>
  <c r="C2244" i="3"/>
  <c r="D2244" i="3"/>
  <c r="B2244" i="3"/>
  <c r="E2244" i="3"/>
  <c r="A2245" i="3"/>
  <c r="C2245" i="3"/>
  <c r="D2245" i="3"/>
  <c r="B2245" i="3"/>
  <c r="E2245" i="3"/>
  <c r="A2246" i="3"/>
  <c r="C2246" i="3"/>
  <c r="D2246" i="3"/>
  <c r="B2246" i="3"/>
  <c r="E2246" i="3"/>
  <c r="A2247" i="3"/>
  <c r="C2247" i="3"/>
  <c r="D2247" i="3"/>
  <c r="B2247" i="3"/>
  <c r="E2247" i="3"/>
  <c r="A2248" i="3"/>
  <c r="C2248" i="3"/>
  <c r="D2248" i="3"/>
  <c r="B2248" i="3"/>
  <c r="E2248" i="3"/>
  <c r="A2249" i="3"/>
  <c r="C2249" i="3"/>
  <c r="D2249" i="3"/>
  <c r="B2249" i="3"/>
  <c r="E2249" i="3"/>
  <c r="A2250" i="3"/>
  <c r="C2250" i="3"/>
  <c r="D2250" i="3"/>
  <c r="B2250" i="3"/>
  <c r="E2250" i="3"/>
  <c r="A2251" i="3"/>
  <c r="C2251" i="3"/>
  <c r="D2251" i="3"/>
  <c r="B2251" i="3"/>
  <c r="E2251" i="3"/>
  <c r="A2252" i="3"/>
  <c r="C2252" i="3"/>
  <c r="D2252" i="3"/>
  <c r="B2252" i="3"/>
  <c r="E2252" i="3"/>
  <c r="A2253" i="3"/>
  <c r="C2253" i="3"/>
  <c r="D2253" i="3"/>
  <c r="B2253" i="3"/>
  <c r="E2253" i="3"/>
  <c r="A2254" i="3"/>
  <c r="C2254" i="3"/>
  <c r="D2254" i="3"/>
  <c r="B2254" i="3"/>
  <c r="E2254" i="3"/>
  <c r="A2255" i="3"/>
  <c r="C2255" i="3"/>
  <c r="D2255" i="3"/>
  <c r="B2255" i="3"/>
  <c r="E2255" i="3"/>
  <c r="A2256" i="3"/>
  <c r="C2256" i="3"/>
  <c r="D2256" i="3"/>
  <c r="B2256" i="3"/>
  <c r="E2256" i="3"/>
  <c r="A2257" i="3"/>
  <c r="C2257" i="3"/>
  <c r="D2257" i="3"/>
  <c r="B2257" i="3"/>
  <c r="E2257" i="3"/>
  <c r="A2258" i="3"/>
  <c r="C2258" i="3"/>
  <c r="D2258" i="3"/>
  <c r="B2258" i="3"/>
  <c r="E2258" i="3"/>
  <c r="A2259" i="3"/>
  <c r="C2259" i="3"/>
  <c r="D2259" i="3"/>
  <c r="B2259" i="3"/>
  <c r="E2259" i="3"/>
  <c r="A2260" i="3"/>
  <c r="C2260" i="3"/>
  <c r="D2260" i="3"/>
  <c r="B2260" i="3"/>
  <c r="E2260" i="3"/>
  <c r="A2261" i="3"/>
  <c r="C2261" i="3"/>
  <c r="D2261" i="3"/>
  <c r="B2261" i="3"/>
  <c r="E2261" i="3"/>
  <c r="A2262" i="3"/>
  <c r="C2262" i="3"/>
  <c r="D2262" i="3"/>
  <c r="B2262" i="3"/>
  <c r="E2262" i="3"/>
  <c r="A2263" i="3"/>
  <c r="C2263" i="3"/>
  <c r="D2263" i="3"/>
  <c r="B2263" i="3"/>
  <c r="E2263" i="3"/>
  <c r="A2264" i="3"/>
  <c r="C2264" i="3"/>
  <c r="D2264" i="3"/>
  <c r="B2264" i="3"/>
  <c r="E2264" i="3"/>
  <c r="A2265" i="3"/>
  <c r="C2265" i="3"/>
  <c r="D2265" i="3"/>
  <c r="B2265" i="3"/>
  <c r="E2265" i="3"/>
  <c r="A2266" i="3"/>
  <c r="C2266" i="3"/>
  <c r="D2266" i="3"/>
  <c r="B2266" i="3"/>
  <c r="E2266" i="3"/>
  <c r="A2267" i="3"/>
  <c r="C2267" i="3"/>
  <c r="D2267" i="3"/>
  <c r="B2267" i="3"/>
  <c r="E2267" i="3"/>
  <c r="A2268" i="3"/>
  <c r="C2268" i="3"/>
  <c r="D2268" i="3"/>
  <c r="B2268" i="3"/>
  <c r="E2268" i="3"/>
  <c r="A2269" i="3"/>
  <c r="C2269" i="3"/>
  <c r="D2269" i="3"/>
  <c r="B2269" i="3"/>
  <c r="E2269" i="3"/>
  <c r="A2270" i="3"/>
  <c r="C2270" i="3"/>
  <c r="D2270" i="3"/>
  <c r="B2270" i="3"/>
  <c r="E2270" i="3"/>
  <c r="A2271" i="3"/>
  <c r="C2271" i="3"/>
  <c r="D2271" i="3"/>
  <c r="B2271" i="3"/>
  <c r="E2271" i="3"/>
  <c r="A2272" i="3"/>
  <c r="C2272" i="3"/>
  <c r="D2272" i="3"/>
  <c r="B2272" i="3"/>
  <c r="E2272" i="3"/>
  <c r="A2273" i="3"/>
  <c r="C2273" i="3"/>
  <c r="D2273" i="3"/>
  <c r="B2273" i="3"/>
  <c r="E2273" i="3"/>
  <c r="A2274" i="3"/>
  <c r="C2274" i="3"/>
  <c r="D2274" i="3"/>
  <c r="B2274" i="3"/>
  <c r="E2274" i="3"/>
  <c r="A2275" i="3"/>
  <c r="C2275" i="3"/>
  <c r="D2275" i="3"/>
  <c r="B2275" i="3"/>
  <c r="E2275" i="3"/>
  <c r="A2276" i="3"/>
  <c r="C2276" i="3"/>
  <c r="D2276" i="3"/>
  <c r="B2276" i="3"/>
  <c r="E2276" i="3"/>
  <c r="A2277" i="3"/>
  <c r="C2277" i="3"/>
  <c r="D2277" i="3"/>
  <c r="B2277" i="3"/>
  <c r="E2277" i="3"/>
  <c r="A2278" i="3"/>
  <c r="C2278" i="3"/>
  <c r="D2278" i="3"/>
  <c r="B2278" i="3"/>
  <c r="E2278" i="3"/>
  <c r="A2279" i="3"/>
  <c r="C2279" i="3"/>
  <c r="D2279" i="3"/>
  <c r="B2279" i="3"/>
  <c r="E2279" i="3"/>
  <c r="A2280" i="3"/>
  <c r="C2280" i="3"/>
  <c r="D2280" i="3"/>
  <c r="B2280" i="3"/>
  <c r="E2280" i="3"/>
  <c r="A2281" i="3"/>
  <c r="C2281" i="3"/>
  <c r="D2281" i="3"/>
  <c r="B2281" i="3"/>
  <c r="E2281" i="3"/>
  <c r="A2282" i="3"/>
  <c r="C2282" i="3"/>
  <c r="D2282" i="3"/>
  <c r="B2282" i="3"/>
  <c r="E2282" i="3"/>
  <c r="A2283" i="3"/>
  <c r="C2283" i="3"/>
  <c r="D2283" i="3"/>
  <c r="B2283" i="3"/>
  <c r="E2283" i="3"/>
  <c r="A2284" i="3"/>
  <c r="C2284" i="3"/>
  <c r="D2284" i="3"/>
  <c r="B2284" i="3"/>
  <c r="E2284" i="3"/>
  <c r="A2285" i="3"/>
  <c r="C2285" i="3"/>
  <c r="D2285" i="3"/>
  <c r="B2285" i="3"/>
  <c r="E2285" i="3"/>
  <c r="A2286" i="3"/>
  <c r="C2286" i="3"/>
  <c r="D2286" i="3"/>
  <c r="B2286" i="3"/>
  <c r="E2286" i="3"/>
  <c r="A2287" i="3"/>
  <c r="C2287" i="3"/>
  <c r="D2287" i="3"/>
  <c r="B2287" i="3"/>
  <c r="E2287" i="3"/>
  <c r="A2288" i="3"/>
  <c r="C2288" i="3"/>
  <c r="D2288" i="3"/>
  <c r="B2288" i="3"/>
  <c r="E2288" i="3"/>
  <c r="A2289" i="3"/>
  <c r="C2289" i="3"/>
  <c r="D2289" i="3"/>
  <c r="B2289" i="3"/>
  <c r="E2289" i="3"/>
  <c r="A2290" i="3"/>
  <c r="C2290" i="3"/>
  <c r="D2290" i="3"/>
  <c r="B2290" i="3"/>
  <c r="E2290" i="3"/>
  <c r="A2291" i="3"/>
  <c r="C2291" i="3"/>
  <c r="D2291" i="3"/>
  <c r="B2291" i="3"/>
  <c r="E2291" i="3"/>
  <c r="A2292" i="3"/>
  <c r="C2292" i="3"/>
  <c r="D2292" i="3"/>
  <c r="B2292" i="3"/>
  <c r="E2292" i="3"/>
  <c r="A2293" i="3"/>
  <c r="C2293" i="3"/>
  <c r="D2293" i="3"/>
  <c r="B2293" i="3"/>
  <c r="E2293" i="3"/>
  <c r="A2294" i="3"/>
  <c r="C2294" i="3"/>
  <c r="D2294" i="3"/>
  <c r="B2294" i="3"/>
  <c r="E2294" i="3"/>
  <c r="A2295" i="3"/>
  <c r="C2295" i="3"/>
  <c r="D2295" i="3"/>
  <c r="B2295" i="3"/>
  <c r="E2295" i="3"/>
  <c r="A2296" i="3"/>
  <c r="C2296" i="3"/>
  <c r="D2296" i="3"/>
  <c r="B2296" i="3"/>
  <c r="E2296" i="3"/>
  <c r="A2297" i="3"/>
  <c r="C2297" i="3"/>
  <c r="D2297" i="3"/>
  <c r="B2297" i="3"/>
  <c r="E2297" i="3"/>
  <c r="A2298" i="3"/>
  <c r="C2298" i="3"/>
  <c r="D2298" i="3"/>
  <c r="B2298" i="3"/>
  <c r="E2298" i="3"/>
  <c r="A2299" i="3"/>
  <c r="C2299" i="3"/>
  <c r="D2299" i="3"/>
  <c r="B2299" i="3"/>
  <c r="E2299" i="3"/>
  <c r="A2300" i="3"/>
  <c r="C2300" i="3"/>
  <c r="D2300" i="3"/>
  <c r="B2300" i="3"/>
  <c r="E2300" i="3"/>
  <c r="A2301" i="3"/>
  <c r="C2301" i="3"/>
  <c r="D2301" i="3"/>
  <c r="B2301" i="3"/>
  <c r="E2301" i="3"/>
  <c r="A2302" i="3"/>
  <c r="C2302" i="3"/>
  <c r="D2302" i="3"/>
  <c r="B2302" i="3"/>
  <c r="E2302" i="3"/>
  <c r="A2303" i="3"/>
  <c r="C2303" i="3"/>
  <c r="D2303" i="3"/>
  <c r="B2303" i="3"/>
  <c r="E2303" i="3"/>
  <c r="A2304" i="3"/>
  <c r="C2304" i="3"/>
  <c r="D2304" i="3"/>
  <c r="B2304" i="3"/>
  <c r="E2304" i="3"/>
  <c r="A2305" i="3"/>
  <c r="C2305" i="3"/>
  <c r="D2305" i="3"/>
  <c r="B2305" i="3"/>
  <c r="E2305" i="3"/>
  <c r="A2306" i="3"/>
  <c r="C2306" i="3"/>
  <c r="D2306" i="3"/>
  <c r="B2306" i="3"/>
  <c r="E2306" i="3"/>
  <c r="A2307" i="3"/>
  <c r="C2307" i="3"/>
  <c r="D2307" i="3"/>
  <c r="B2307" i="3"/>
  <c r="E2307" i="3"/>
  <c r="A2308" i="3"/>
  <c r="C2308" i="3"/>
  <c r="D2308" i="3"/>
  <c r="B2308" i="3"/>
  <c r="E2308" i="3"/>
  <c r="A2309" i="3"/>
  <c r="C2309" i="3"/>
  <c r="D2309" i="3"/>
  <c r="B2309" i="3"/>
  <c r="E2309" i="3"/>
  <c r="A2310" i="3"/>
  <c r="C2310" i="3"/>
  <c r="D2310" i="3"/>
  <c r="B2310" i="3"/>
  <c r="E2310" i="3"/>
  <c r="A2311" i="3"/>
  <c r="C2311" i="3"/>
  <c r="D2311" i="3"/>
  <c r="B2311" i="3"/>
  <c r="E2311" i="3"/>
  <c r="A2312" i="3"/>
  <c r="C2312" i="3"/>
  <c r="D2312" i="3"/>
  <c r="B2312" i="3"/>
  <c r="E2312" i="3"/>
  <c r="A2313" i="3"/>
  <c r="C2313" i="3"/>
  <c r="D2313" i="3"/>
  <c r="B2313" i="3"/>
  <c r="E2313" i="3"/>
  <c r="A2314" i="3"/>
  <c r="C2314" i="3"/>
  <c r="D2314" i="3"/>
  <c r="B2314" i="3"/>
  <c r="E2314" i="3"/>
  <c r="A2315" i="3"/>
  <c r="C2315" i="3"/>
  <c r="D2315" i="3"/>
  <c r="B2315" i="3"/>
  <c r="E2315" i="3"/>
  <c r="A2316" i="3"/>
  <c r="C2316" i="3"/>
  <c r="D2316" i="3"/>
  <c r="B2316" i="3"/>
  <c r="E2316" i="3"/>
  <c r="A2317" i="3"/>
  <c r="C2317" i="3"/>
  <c r="D2317" i="3"/>
  <c r="B2317" i="3"/>
  <c r="E2317" i="3"/>
  <c r="A2318" i="3"/>
  <c r="C2318" i="3"/>
  <c r="D2318" i="3"/>
  <c r="B2318" i="3"/>
  <c r="E2318" i="3"/>
  <c r="A2319" i="3"/>
  <c r="C2319" i="3"/>
  <c r="D2319" i="3"/>
  <c r="B2319" i="3"/>
  <c r="E2319" i="3"/>
  <c r="A2320" i="3"/>
  <c r="C2320" i="3"/>
  <c r="D2320" i="3"/>
  <c r="B2320" i="3"/>
  <c r="E2320" i="3"/>
  <c r="A2321" i="3"/>
  <c r="C2321" i="3"/>
  <c r="D2321" i="3"/>
  <c r="B2321" i="3"/>
  <c r="E2321" i="3"/>
  <c r="A2322" i="3"/>
  <c r="C2322" i="3"/>
  <c r="D2322" i="3"/>
  <c r="B2322" i="3"/>
  <c r="E2322" i="3"/>
  <c r="A2323" i="3"/>
  <c r="C2323" i="3"/>
  <c r="D2323" i="3"/>
  <c r="B2323" i="3"/>
  <c r="E2323" i="3"/>
  <c r="A2324" i="3"/>
  <c r="C2324" i="3"/>
  <c r="D2324" i="3"/>
  <c r="B2324" i="3"/>
  <c r="E2324" i="3"/>
  <c r="A2325" i="3"/>
  <c r="C2325" i="3"/>
  <c r="D2325" i="3"/>
  <c r="B2325" i="3"/>
  <c r="E2325" i="3"/>
  <c r="A2326" i="3"/>
  <c r="C2326" i="3"/>
  <c r="D2326" i="3"/>
  <c r="B2326" i="3"/>
  <c r="E2326" i="3"/>
  <c r="A2327" i="3"/>
  <c r="C2327" i="3"/>
  <c r="D2327" i="3"/>
  <c r="B2327" i="3"/>
  <c r="E2327" i="3"/>
  <c r="A2328" i="3"/>
  <c r="C2328" i="3"/>
  <c r="D2328" i="3"/>
  <c r="B2328" i="3"/>
  <c r="E2328" i="3"/>
  <c r="A2329" i="3"/>
  <c r="C2329" i="3"/>
  <c r="D2329" i="3"/>
  <c r="B2329" i="3"/>
  <c r="E2329" i="3"/>
  <c r="A2330" i="3"/>
  <c r="C2330" i="3"/>
  <c r="D2330" i="3"/>
  <c r="B2330" i="3"/>
  <c r="E2330" i="3"/>
  <c r="A2331" i="3"/>
  <c r="C2331" i="3"/>
  <c r="D2331" i="3"/>
  <c r="B2331" i="3"/>
  <c r="E2331" i="3"/>
  <c r="A2332" i="3"/>
  <c r="C2332" i="3"/>
  <c r="D2332" i="3"/>
  <c r="B2332" i="3"/>
  <c r="E2332" i="3"/>
  <c r="A2333" i="3"/>
  <c r="C2333" i="3"/>
  <c r="D2333" i="3"/>
  <c r="B2333" i="3"/>
  <c r="E2333" i="3"/>
  <c r="A2334" i="3"/>
  <c r="C2334" i="3"/>
  <c r="D2334" i="3"/>
  <c r="B2334" i="3"/>
  <c r="E2334" i="3"/>
  <c r="A2335" i="3"/>
  <c r="C2335" i="3"/>
  <c r="D2335" i="3"/>
  <c r="B2335" i="3"/>
  <c r="E2335" i="3"/>
  <c r="A2336" i="3"/>
  <c r="C2336" i="3"/>
  <c r="D2336" i="3"/>
  <c r="B2336" i="3"/>
  <c r="E2336" i="3"/>
  <c r="A2337" i="3"/>
  <c r="C2337" i="3"/>
  <c r="D2337" i="3"/>
  <c r="B2337" i="3"/>
  <c r="E2337" i="3"/>
  <c r="A2338" i="3"/>
  <c r="C2338" i="3"/>
  <c r="D2338" i="3"/>
  <c r="B2338" i="3"/>
  <c r="E2338" i="3"/>
  <c r="A2339" i="3"/>
  <c r="C2339" i="3"/>
  <c r="D2339" i="3"/>
  <c r="B2339" i="3"/>
  <c r="E2339" i="3"/>
  <c r="A2340" i="3"/>
  <c r="C2340" i="3"/>
  <c r="D2340" i="3"/>
  <c r="B2340" i="3"/>
  <c r="E2340" i="3"/>
  <c r="A2341" i="3"/>
  <c r="C2341" i="3"/>
  <c r="D2341" i="3"/>
  <c r="B2341" i="3"/>
  <c r="E2341" i="3"/>
  <c r="A2342" i="3"/>
  <c r="C2342" i="3"/>
  <c r="D2342" i="3"/>
  <c r="B2342" i="3"/>
  <c r="E2342" i="3"/>
  <c r="A2343" i="3"/>
  <c r="C2343" i="3"/>
  <c r="D2343" i="3"/>
  <c r="B2343" i="3"/>
  <c r="E2343" i="3"/>
  <c r="A2344" i="3"/>
  <c r="C2344" i="3"/>
  <c r="D2344" i="3"/>
  <c r="B2344" i="3"/>
  <c r="E2344" i="3"/>
  <c r="A2345" i="3"/>
  <c r="C2345" i="3"/>
  <c r="D2345" i="3"/>
  <c r="B2345" i="3"/>
  <c r="E2345" i="3"/>
  <c r="A2346" i="3"/>
  <c r="C2346" i="3"/>
  <c r="D2346" i="3"/>
  <c r="B2346" i="3"/>
  <c r="E2346" i="3"/>
  <c r="A2347" i="3"/>
  <c r="C2347" i="3"/>
  <c r="D2347" i="3"/>
  <c r="B2347" i="3"/>
  <c r="E2347" i="3"/>
  <c r="A2348" i="3"/>
  <c r="C2348" i="3"/>
  <c r="D2348" i="3"/>
  <c r="B2348" i="3"/>
  <c r="E2348" i="3"/>
  <c r="A2349" i="3"/>
  <c r="C2349" i="3"/>
  <c r="D2349" i="3"/>
  <c r="B2349" i="3"/>
  <c r="E2349" i="3"/>
  <c r="A2350" i="3"/>
  <c r="C2350" i="3"/>
  <c r="D2350" i="3"/>
  <c r="B2350" i="3"/>
  <c r="E2350" i="3"/>
  <c r="A2351" i="3"/>
  <c r="C2351" i="3"/>
  <c r="D2351" i="3"/>
  <c r="B2351" i="3"/>
  <c r="E2351" i="3"/>
  <c r="A2352" i="3"/>
  <c r="C2352" i="3"/>
  <c r="D2352" i="3"/>
  <c r="B2352" i="3"/>
  <c r="E2352" i="3"/>
  <c r="A2353" i="3"/>
  <c r="C2353" i="3"/>
  <c r="D2353" i="3"/>
  <c r="B2353" i="3"/>
  <c r="E2353" i="3"/>
  <c r="A2354" i="3"/>
  <c r="C2354" i="3"/>
  <c r="D2354" i="3"/>
  <c r="B2354" i="3"/>
  <c r="E2354" i="3"/>
  <c r="A2355" i="3"/>
  <c r="C2355" i="3"/>
  <c r="D2355" i="3"/>
  <c r="B2355" i="3"/>
  <c r="E2355" i="3"/>
  <c r="A2356" i="3"/>
  <c r="C2356" i="3"/>
  <c r="D2356" i="3"/>
  <c r="B2356" i="3"/>
  <c r="E2356" i="3"/>
  <c r="A2357" i="3"/>
  <c r="C2357" i="3"/>
  <c r="D2357" i="3"/>
  <c r="B2357" i="3"/>
  <c r="E2357" i="3"/>
  <c r="A2358" i="3"/>
  <c r="C2358" i="3"/>
  <c r="D2358" i="3"/>
  <c r="B2358" i="3"/>
  <c r="E2358" i="3"/>
  <c r="A2359" i="3"/>
  <c r="C2359" i="3"/>
  <c r="D2359" i="3"/>
  <c r="B2359" i="3"/>
  <c r="E2359" i="3"/>
  <c r="A2360" i="3"/>
  <c r="C2360" i="3"/>
  <c r="D2360" i="3"/>
  <c r="B2360" i="3"/>
  <c r="E2360" i="3"/>
  <c r="A2361" i="3"/>
  <c r="C2361" i="3"/>
  <c r="D2361" i="3"/>
  <c r="B2361" i="3"/>
  <c r="E2361" i="3"/>
  <c r="A2362" i="3"/>
  <c r="C2362" i="3"/>
  <c r="D2362" i="3"/>
  <c r="B2362" i="3"/>
  <c r="E2362" i="3"/>
  <c r="A2363" i="3"/>
  <c r="C2363" i="3"/>
  <c r="D2363" i="3"/>
  <c r="B2363" i="3"/>
  <c r="E2363" i="3"/>
  <c r="A2364" i="3"/>
  <c r="C2364" i="3"/>
  <c r="D2364" i="3"/>
  <c r="B2364" i="3"/>
  <c r="E2364" i="3"/>
  <c r="A2365" i="3"/>
  <c r="C2365" i="3"/>
  <c r="D2365" i="3"/>
  <c r="B2365" i="3"/>
  <c r="E2365" i="3"/>
  <c r="A2366" i="3"/>
  <c r="C2366" i="3"/>
  <c r="D2366" i="3"/>
  <c r="B2366" i="3"/>
  <c r="E2366" i="3"/>
  <c r="A2367" i="3"/>
  <c r="C2367" i="3"/>
  <c r="D2367" i="3"/>
  <c r="B2367" i="3"/>
  <c r="E2367" i="3"/>
  <c r="A2368" i="3"/>
  <c r="C2368" i="3"/>
  <c r="D2368" i="3"/>
  <c r="B2368" i="3"/>
  <c r="E2368" i="3"/>
  <c r="A2369" i="3"/>
  <c r="C2369" i="3"/>
  <c r="D2369" i="3"/>
  <c r="B2369" i="3"/>
  <c r="E2369" i="3"/>
  <c r="A2370" i="3"/>
  <c r="C2370" i="3"/>
  <c r="D2370" i="3"/>
  <c r="B2370" i="3"/>
  <c r="E2370" i="3"/>
  <c r="A2371" i="3"/>
  <c r="C2371" i="3"/>
  <c r="D2371" i="3"/>
  <c r="B2371" i="3"/>
  <c r="E2371" i="3"/>
  <c r="A2372" i="3"/>
  <c r="C2372" i="3"/>
  <c r="D2372" i="3"/>
  <c r="B2372" i="3"/>
  <c r="E2372" i="3"/>
  <c r="A2373" i="3"/>
  <c r="C2373" i="3"/>
  <c r="D2373" i="3"/>
  <c r="B2373" i="3"/>
  <c r="E2373" i="3"/>
  <c r="A2374" i="3"/>
  <c r="C2374" i="3"/>
  <c r="D2374" i="3"/>
  <c r="B2374" i="3"/>
  <c r="E2374" i="3"/>
  <c r="A2375" i="3"/>
  <c r="C2375" i="3"/>
  <c r="D2375" i="3"/>
  <c r="B2375" i="3"/>
  <c r="E2375" i="3"/>
  <c r="A2376" i="3"/>
  <c r="C2376" i="3"/>
  <c r="D2376" i="3"/>
  <c r="B2376" i="3"/>
  <c r="E2376" i="3"/>
  <c r="A2377" i="3"/>
  <c r="C2377" i="3"/>
  <c r="D2377" i="3"/>
  <c r="B2377" i="3"/>
  <c r="E2377" i="3"/>
  <c r="A2378" i="3"/>
  <c r="C2378" i="3"/>
  <c r="D2378" i="3"/>
  <c r="B2378" i="3"/>
  <c r="E2378" i="3"/>
  <c r="A2379" i="3"/>
  <c r="C2379" i="3"/>
  <c r="D2379" i="3"/>
  <c r="B2379" i="3"/>
  <c r="E2379" i="3"/>
  <c r="A2380" i="3"/>
  <c r="C2380" i="3"/>
  <c r="D2380" i="3"/>
  <c r="B2380" i="3"/>
  <c r="E2380" i="3"/>
  <c r="A2381" i="3"/>
  <c r="C2381" i="3"/>
  <c r="D2381" i="3"/>
  <c r="B2381" i="3"/>
  <c r="E2381" i="3"/>
  <c r="A2382" i="3"/>
  <c r="C2382" i="3"/>
  <c r="D2382" i="3"/>
  <c r="B2382" i="3"/>
  <c r="E2382" i="3"/>
  <c r="A2383" i="3"/>
  <c r="C2383" i="3"/>
  <c r="D2383" i="3"/>
  <c r="B2383" i="3"/>
  <c r="E2383" i="3"/>
  <c r="A2384" i="3"/>
  <c r="C2384" i="3"/>
  <c r="D2384" i="3"/>
  <c r="B2384" i="3"/>
  <c r="E2384" i="3"/>
  <c r="A2385" i="3"/>
  <c r="C2385" i="3"/>
  <c r="D2385" i="3"/>
  <c r="B2385" i="3"/>
  <c r="E2385" i="3"/>
  <c r="A2386" i="3"/>
  <c r="C2386" i="3"/>
  <c r="D2386" i="3"/>
  <c r="B2386" i="3"/>
  <c r="E2386" i="3"/>
  <c r="A2387" i="3"/>
  <c r="C2387" i="3"/>
  <c r="D2387" i="3"/>
  <c r="B2387" i="3"/>
  <c r="E2387" i="3"/>
  <c r="A2388" i="3"/>
  <c r="C2388" i="3"/>
  <c r="D2388" i="3"/>
  <c r="B2388" i="3"/>
  <c r="E2388" i="3"/>
  <c r="A2389" i="3"/>
  <c r="C2389" i="3"/>
  <c r="D2389" i="3"/>
  <c r="B2389" i="3"/>
  <c r="E2389" i="3"/>
  <c r="A2390" i="3"/>
  <c r="C2390" i="3"/>
  <c r="D2390" i="3"/>
  <c r="B2390" i="3"/>
  <c r="E2390" i="3"/>
  <c r="A2391" i="3"/>
  <c r="C2391" i="3"/>
  <c r="D2391" i="3"/>
  <c r="B2391" i="3"/>
  <c r="E2391" i="3"/>
  <c r="A2392" i="3"/>
  <c r="C2392" i="3"/>
  <c r="D2392" i="3"/>
  <c r="B2392" i="3"/>
  <c r="E2392" i="3"/>
  <c r="A2393" i="3"/>
  <c r="C2393" i="3"/>
  <c r="D2393" i="3"/>
  <c r="B2393" i="3"/>
  <c r="E2393" i="3"/>
  <c r="A2394" i="3"/>
  <c r="C2394" i="3"/>
  <c r="D2394" i="3"/>
  <c r="B2394" i="3"/>
  <c r="E2394" i="3"/>
  <c r="A2395" i="3"/>
  <c r="C2395" i="3"/>
  <c r="D2395" i="3"/>
  <c r="B2395" i="3"/>
  <c r="E2395" i="3"/>
  <c r="A2396" i="3"/>
  <c r="C2396" i="3"/>
  <c r="D2396" i="3"/>
  <c r="B2396" i="3"/>
  <c r="E2396" i="3"/>
  <c r="A2397" i="3"/>
  <c r="C2397" i="3"/>
  <c r="D2397" i="3"/>
  <c r="B2397" i="3"/>
  <c r="E2397" i="3"/>
  <c r="A2398" i="3"/>
  <c r="C2398" i="3"/>
  <c r="D2398" i="3"/>
  <c r="B2398" i="3"/>
  <c r="E2398" i="3"/>
  <c r="A2399" i="3"/>
  <c r="C2399" i="3"/>
  <c r="D2399" i="3"/>
  <c r="B2399" i="3"/>
  <c r="E2399" i="3"/>
  <c r="A2400" i="3"/>
  <c r="C2400" i="3"/>
  <c r="D2400" i="3"/>
  <c r="B2400" i="3"/>
  <c r="E2400" i="3"/>
  <c r="A2401" i="3"/>
  <c r="C2401" i="3"/>
  <c r="D2401" i="3"/>
  <c r="B2401" i="3"/>
  <c r="E2401" i="3"/>
  <c r="A2402" i="3"/>
  <c r="C2402" i="3"/>
  <c r="D2402" i="3"/>
  <c r="B2402" i="3"/>
  <c r="E2402" i="3"/>
  <c r="A2403" i="3"/>
  <c r="C2403" i="3"/>
  <c r="D2403" i="3"/>
  <c r="B2403" i="3"/>
  <c r="E2403" i="3"/>
  <c r="A2404" i="3"/>
  <c r="C2404" i="3"/>
  <c r="D2404" i="3"/>
  <c r="B2404" i="3"/>
  <c r="E2404" i="3"/>
  <c r="A2405" i="3"/>
  <c r="C2405" i="3"/>
  <c r="D2405" i="3"/>
  <c r="B2405" i="3"/>
  <c r="E2405" i="3"/>
  <c r="A2406" i="3"/>
  <c r="C2406" i="3"/>
  <c r="D2406" i="3"/>
  <c r="B2406" i="3"/>
  <c r="E2406" i="3"/>
  <c r="A2407" i="3"/>
  <c r="C2407" i="3"/>
  <c r="D2407" i="3"/>
  <c r="B2407" i="3"/>
  <c r="E2407" i="3"/>
  <c r="A2408" i="3"/>
  <c r="C2408" i="3"/>
  <c r="D2408" i="3"/>
  <c r="B2408" i="3"/>
  <c r="E2408" i="3"/>
  <c r="A2409" i="3"/>
  <c r="C2409" i="3"/>
  <c r="D2409" i="3"/>
  <c r="B2409" i="3"/>
  <c r="E2409" i="3"/>
  <c r="A2410" i="3"/>
  <c r="C2410" i="3"/>
  <c r="D2410" i="3"/>
  <c r="B2410" i="3"/>
  <c r="E2410" i="3"/>
  <c r="A2411" i="3"/>
  <c r="C2411" i="3"/>
  <c r="D2411" i="3"/>
  <c r="B2411" i="3"/>
  <c r="E2411" i="3"/>
  <c r="A2412" i="3"/>
  <c r="C2412" i="3"/>
  <c r="D2412" i="3"/>
  <c r="B2412" i="3"/>
  <c r="E2412" i="3"/>
  <c r="A2413" i="3"/>
  <c r="C2413" i="3"/>
  <c r="D2413" i="3"/>
  <c r="B2413" i="3"/>
  <c r="E2413" i="3"/>
  <c r="A2414" i="3"/>
  <c r="C2414" i="3"/>
  <c r="D2414" i="3"/>
  <c r="B2414" i="3"/>
  <c r="E2414" i="3"/>
  <c r="A2415" i="3"/>
  <c r="C2415" i="3"/>
  <c r="D2415" i="3"/>
  <c r="B2415" i="3"/>
  <c r="E2415" i="3"/>
  <c r="A2416" i="3"/>
  <c r="C2416" i="3"/>
  <c r="D2416" i="3"/>
  <c r="B2416" i="3"/>
  <c r="E2416" i="3"/>
  <c r="A2417" i="3"/>
  <c r="C2417" i="3"/>
  <c r="D2417" i="3"/>
  <c r="B2417" i="3"/>
  <c r="E2417" i="3"/>
  <c r="A2418" i="3"/>
  <c r="C2418" i="3"/>
  <c r="D2418" i="3"/>
  <c r="B2418" i="3"/>
  <c r="E2418" i="3"/>
  <c r="A2419" i="3"/>
  <c r="C2419" i="3"/>
  <c r="D2419" i="3"/>
  <c r="B2419" i="3"/>
  <c r="E2419" i="3"/>
  <c r="A2420" i="3"/>
  <c r="C2420" i="3"/>
  <c r="D2420" i="3"/>
  <c r="B2420" i="3"/>
  <c r="E2420" i="3"/>
  <c r="A2421" i="3"/>
  <c r="C2421" i="3"/>
  <c r="D2421" i="3"/>
  <c r="B2421" i="3"/>
  <c r="E2421" i="3"/>
  <c r="A2422" i="3"/>
  <c r="C2422" i="3"/>
  <c r="D2422" i="3"/>
  <c r="B2422" i="3"/>
  <c r="E2422" i="3"/>
  <c r="A2423" i="3"/>
  <c r="C2423" i="3"/>
  <c r="D2423" i="3"/>
  <c r="B2423" i="3"/>
  <c r="E2423" i="3"/>
  <c r="A2424" i="3"/>
  <c r="C2424" i="3"/>
  <c r="D2424" i="3"/>
  <c r="B2424" i="3"/>
  <c r="E2424" i="3"/>
  <c r="A2425" i="3"/>
  <c r="C2425" i="3"/>
  <c r="D2425" i="3"/>
  <c r="B2425" i="3"/>
  <c r="E2425" i="3"/>
  <c r="A2426" i="3"/>
  <c r="C2426" i="3"/>
  <c r="D2426" i="3"/>
  <c r="B2426" i="3"/>
  <c r="E2426" i="3"/>
  <c r="A2427" i="3"/>
  <c r="C2427" i="3"/>
  <c r="D2427" i="3"/>
  <c r="B2427" i="3"/>
  <c r="E2427" i="3"/>
  <c r="A2428" i="3"/>
  <c r="C2428" i="3"/>
  <c r="D2428" i="3"/>
  <c r="B2428" i="3"/>
  <c r="E2428" i="3"/>
  <c r="A2429" i="3"/>
  <c r="C2429" i="3"/>
  <c r="D2429" i="3"/>
  <c r="B2429" i="3"/>
  <c r="E2429" i="3"/>
  <c r="A2430" i="3"/>
  <c r="C2430" i="3"/>
  <c r="D2430" i="3"/>
  <c r="B2430" i="3"/>
  <c r="E2430" i="3"/>
  <c r="A2431" i="3"/>
  <c r="C2431" i="3"/>
  <c r="D2431" i="3"/>
  <c r="B2431" i="3"/>
  <c r="E2431" i="3"/>
  <c r="A2432" i="3"/>
  <c r="C2432" i="3"/>
  <c r="D2432" i="3"/>
  <c r="B2432" i="3"/>
  <c r="E2432" i="3"/>
  <c r="A2433" i="3"/>
  <c r="C2433" i="3"/>
  <c r="D2433" i="3"/>
  <c r="B2433" i="3"/>
  <c r="E2433" i="3"/>
  <c r="A2434" i="3"/>
  <c r="C2434" i="3"/>
  <c r="D2434" i="3"/>
  <c r="B2434" i="3"/>
  <c r="E2434" i="3"/>
  <c r="A2435" i="3"/>
  <c r="C2435" i="3"/>
  <c r="D2435" i="3"/>
  <c r="B2435" i="3"/>
  <c r="E2435" i="3"/>
  <c r="A2436" i="3"/>
  <c r="C2436" i="3"/>
  <c r="D2436" i="3"/>
  <c r="B2436" i="3"/>
  <c r="E2436" i="3"/>
  <c r="A2437" i="3"/>
  <c r="C2437" i="3"/>
  <c r="D2437" i="3"/>
  <c r="B2437" i="3"/>
  <c r="E2437" i="3"/>
  <c r="A2438" i="3"/>
  <c r="C2438" i="3"/>
  <c r="D2438" i="3"/>
  <c r="B2438" i="3"/>
  <c r="E2438" i="3"/>
  <c r="A2439" i="3"/>
  <c r="C2439" i="3"/>
  <c r="D2439" i="3"/>
  <c r="B2439" i="3"/>
  <c r="E2439" i="3"/>
  <c r="A2440" i="3"/>
  <c r="C2440" i="3"/>
  <c r="D2440" i="3"/>
  <c r="B2440" i="3"/>
  <c r="E2440" i="3"/>
  <c r="A2441" i="3"/>
  <c r="C2441" i="3"/>
  <c r="D2441" i="3"/>
  <c r="B2441" i="3"/>
  <c r="E2441" i="3"/>
  <c r="A2442" i="3"/>
  <c r="C2442" i="3"/>
  <c r="D2442" i="3"/>
  <c r="B2442" i="3"/>
  <c r="E2442" i="3"/>
  <c r="A2443" i="3"/>
  <c r="C2443" i="3"/>
  <c r="D2443" i="3"/>
  <c r="B2443" i="3"/>
  <c r="E2443" i="3"/>
  <c r="A2444" i="3"/>
  <c r="C2444" i="3"/>
  <c r="D2444" i="3"/>
  <c r="B2444" i="3"/>
  <c r="E2444" i="3"/>
  <c r="A2445" i="3"/>
  <c r="C2445" i="3"/>
  <c r="D2445" i="3"/>
  <c r="B2445" i="3"/>
  <c r="E2445" i="3"/>
  <c r="A2446" i="3"/>
  <c r="C2446" i="3"/>
  <c r="D2446" i="3"/>
  <c r="B2446" i="3"/>
  <c r="E2446" i="3"/>
  <c r="A2447" i="3"/>
  <c r="C2447" i="3"/>
  <c r="D2447" i="3"/>
  <c r="B2447" i="3"/>
  <c r="E2447" i="3"/>
  <c r="A2448" i="3"/>
  <c r="C2448" i="3"/>
  <c r="D2448" i="3"/>
  <c r="B2448" i="3"/>
  <c r="E2448" i="3"/>
  <c r="A2449" i="3"/>
  <c r="C2449" i="3"/>
  <c r="D2449" i="3"/>
  <c r="B2449" i="3"/>
  <c r="E2449" i="3"/>
  <c r="A2450" i="3"/>
  <c r="C2450" i="3"/>
  <c r="D2450" i="3"/>
  <c r="B2450" i="3"/>
  <c r="E2450" i="3"/>
  <c r="A2451" i="3"/>
  <c r="C2451" i="3"/>
  <c r="D2451" i="3"/>
  <c r="B2451" i="3"/>
  <c r="E2451" i="3"/>
  <c r="A2452" i="3"/>
  <c r="C2452" i="3"/>
  <c r="D2452" i="3"/>
  <c r="B2452" i="3"/>
  <c r="E2452" i="3"/>
  <c r="A2453" i="3"/>
  <c r="C2453" i="3"/>
  <c r="D2453" i="3"/>
  <c r="B2453" i="3"/>
  <c r="E2453" i="3"/>
  <c r="A2454" i="3"/>
  <c r="C2454" i="3"/>
  <c r="D2454" i="3"/>
  <c r="B2454" i="3"/>
  <c r="E2454" i="3"/>
  <c r="A2455" i="3"/>
  <c r="C2455" i="3"/>
  <c r="D2455" i="3"/>
  <c r="B2455" i="3"/>
  <c r="E2455" i="3"/>
  <c r="A2456" i="3"/>
  <c r="C2456" i="3"/>
  <c r="D2456" i="3"/>
  <c r="B2456" i="3"/>
  <c r="E2456" i="3"/>
  <c r="A2457" i="3"/>
  <c r="C2457" i="3"/>
  <c r="D2457" i="3"/>
  <c r="B2457" i="3"/>
  <c r="E2457" i="3"/>
  <c r="A2458" i="3"/>
  <c r="C2458" i="3"/>
  <c r="D2458" i="3"/>
  <c r="B2458" i="3"/>
  <c r="E2458" i="3"/>
  <c r="A2459" i="3"/>
  <c r="C2459" i="3"/>
  <c r="D2459" i="3"/>
  <c r="B2459" i="3"/>
  <c r="E2459" i="3"/>
  <c r="A2460" i="3"/>
  <c r="C2460" i="3"/>
  <c r="D2460" i="3"/>
  <c r="B2460" i="3"/>
  <c r="E2460" i="3"/>
  <c r="A2461" i="3"/>
  <c r="C2461" i="3"/>
  <c r="D2461" i="3"/>
  <c r="B2461" i="3"/>
  <c r="E2461" i="3"/>
  <c r="A2462" i="3"/>
  <c r="C2462" i="3"/>
  <c r="D2462" i="3"/>
  <c r="B2462" i="3"/>
  <c r="E2462" i="3"/>
  <c r="A2463" i="3"/>
  <c r="C2463" i="3"/>
  <c r="D2463" i="3"/>
  <c r="B2463" i="3"/>
  <c r="E2463" i="3"/>
  <c r="A2464" i="3"/>
  <c r="C2464" i="3"/>
  <c r="D2464" i="3"/>
  <c r="B2464" i="3"/>
  <c r="E2464" i="3"/>
  <c r="A2465" i="3"/>
  <c r="C2465" i="3"/>
  <c r="D2465" i="3"/>
  <c r="B2465" i="3"/>
  <c r="E2465" i="3"/>
  <c r="A2466" i="3"/>
  <c r="C2466" i="3"/>
  <c r="D2466" i="3"/>
  <c r="B2466" i="3"/>
  <c r="E2466" i="3"/>
  <c r="A2467" i="3"/>
  <c r="C2467" i="3"/>
  <c r="D2467" i="3"/>
  <c r="B2467" i="3"/>
  <c r="E2467" i="3"/>
  <c r="A2468" i="3"/>
  <c r="C2468" i="3"/>
  <c r="D2468" i="3"/>
  <c r="B2468" i="3"/>
  <c r="E2468" i="3"/>
  <c r="A2469" i="3"/>
  <c r="C2469" i="3"/>
  <c r="D2469" i="3"/>
  <c r="B2469" i="3"/>
  <c r="E2469" i="3"/>
  <c r="A2470" i="3"/>
  <c r="C2470" i="3"/>
  <c r="D2470" i="3"/>
  <c r="B2470" i="3"/>
  <c r="E2470" i="3"/>
  <c r="A2471" i="3"/>
  <c r="C2471" i="3"/>
  <c r="D2471" i="3"/>
  <c r="B2471" i="3"/>
  <c r="E2471" i="3"/>
  <c r="A2472" i="3"/>
  <c r="C2472" i="3"/>
  <c r="D2472" i="3"/>
  <c r="B2472" i="3"/>
  <c r="E2472" i="3"/>
  <c r="A2473" i="3"/>
  <c r="C2473" i="3"/>
  <c r="D2473" i="3"/>
  <c r="B2473" i="3"/>
  <c r="E2473" i="3"/>
  <c r="A2474" i="3"/>
  <c r="C2474" i="3"/>
  <c r="D2474" i="3"/>
  <c r="B2474" i="3"/>
  <c r="E2474" i="3"/>
  <c r="A2475" i="3"/>
  <c r="C2475" i="3"/>
  <c r="D2475" i="3"/>
  <c r="B2475" i="3"/>
  <c r="E2475" i="3"/>
  <c r="A2476" i="3"/>
  <c r="C2476" i="3"/>
  <c r="D2476" i="3"/>
  <c r="B2476" i="3"/>
  <c r="E2476" i="3"/>
  <c r="A2477" i="3"/>
  <c r="C2477" i="3"/>
  <c r="D2477" i="3"/>
  <c r="B2477" i="3"/>
  <c r="E2477" i="3"/>
  <c r="A2478" i="3"/>
  <c r="C2478" i="3"/>
  <c r="D2478" i="3"/>
  <c r="B2478" i="3"/>
  <c r="E2478" i="3"/>
  <c r="A2479" i="3"/>
  <c r="C2479" i="3"/>
  <c r="D2479" i="3"/>
  <c r="B2479" i="3"/>
  <c r="E2479" i="3"/>
  <c r="A2480" i="3"/>
  <c r="C2480" i="3"/>
  <c r="D2480" i="3"/>
  <c r="B2480" i="3"/>
  <c r="E2480" i="3"/>
  <c r="A2481" i="3"/>
  <c r="C2481" i="3"/>
  <c r="D2481" i="3"/>
  <c r="B2481" i="3"/>
  <c r="E2481" i="3"/>
  <c r="A2482" i="3"/>
  <c r="C2482" i="3"/>
  <c r="D2482" i="3"/>
  <c r="B2482" i="3"/>
  <c r="E2482" i="3"/>
  <c r="A2483" i="3"/>
  <c r="C2483" i="3"/>
  <c r="D2483" i="3"/>
  <c r="B2483" i="3"/>
  <c r="E2483" i="3"/>
  <c r="A2484" i="3"/>
  <c r="C2484" i="3"/>
  <c r="D2484" i="3"/>
  <c r="B2484" i="3"/>
  <c r="E2484" i="3"/>
  <c r="A2485" i="3"/>
  <c r="C2485" i="3"/>
  <c r="D2485" i="3"/>
  <c r="B2485" i="3"/>
  <c r="E2485" i="3"/>
  <c r="A2486" i="3"/>
  <c r="C2486" i="3"/>
  <c r="D2486" i="3"/>
  <c r="B2486" i="3"/>
  <c r="E2486" i="3"/>
  <c r="A2487" i="3"/>
  <c r="C2487" i="3"/>
  <c r="D2487" i="3"/>
  <c r="B2487" i="3"/>
  <c r="E2487" i="3"/>
  <c r="A2488" i="3"/>
  <c r="C2488" i="3"/>
  <c r="D2488" i="3"/>
  <c r="B2488" i="3"/>
  <c r="E2488" i="3"/>
  <c r="A2489" i="3"/>
  <c r="C2489" i="3"/>
  <c r="D2489" i="3"/>
  <c r="B2489" i="3"/>
  <c r="E2489" i="3"/>
  <c r="A2490" i="3"/>
  <c r="C2490" i="3"/>
  <c r="D2490" i="3"/>
  <c r="B2490" i="3"/>
  <c r="E2490" i="3"/>
  <c r="A2491" i="3"/>
  <c r="C2491" i="3"/>
  <c r="D2491" i="3"/>
  <c r="B2491" i="3"/>
  <c r="E2491" i="3"/>
  <c r="A2492" i="3"/>
  <c r="C2492" i="3"/>
  <c r="D2492" i="3"/>
  <c r="B2492" i="3"/>
  <c r="E2492" i="3"/>
  <c r="A2493" i="3"/>
  <c r="C2493" i="3"/>
  <c r="D2493" i="3"/>
  <c r="B2493" i="3"/>
  <c r="E2493" i="3"/>
  <c r="A2494" i="3"/>
  <c r="C2494" i="3"/>
  <c r="D2494" i="3"/>
  <c r="B2494" i="3"/>
  <c r="E2494" i="3"/>
  <c r="A2495" i="3"/>
  <c r="C2495" i="3"/>
  <c r="D2495" i="3"/>
  <c r="B2495" i="3"/>
  <c r="E2495" i="3"/>
  <c r="A2496" i="3"/>
  <c r="C2496" i="3"/>
  <c r="D2496" i="3"/>
  <c r="B2496" i="3"/>
  <c r="E2496" i="3"/>
  <c r="A2497" i="3"/>
  <c r="C2497" i="3"/>
  <c r="D2497" i="3"/>
  <c r="B2497" i="3"/>
  <c r="E2497" i="3"/>
  <c r="A2498" i="3"/>
  <c r="C2498" i="3"/>
  <c r="D2498" i="3"/>
  <c r="B2498" i="3"/>
  <c r="E2498" i="3"/>
  <c r="A2499" i="3"/>
  <c r="C2499" i="3"/>
  <c r="D2499" i="3"/>
  <c r="B2499" i="3"/>
  <c r="E2499" i="3"/>
  <c r="A2500" i="3"/>
  <c r="C2500" i="3"/>
  <c r="D2500" i="3"/>
  <c r="B2500" i="3"/>
  <c r="E2500" i="3"/>
  <c r="A2501" i="3"/>
  <c r="C2501" i="3"/>
  <c r="D2501" i="3"/>
  <c r="B2501" i="3"/>
  <c r="E2501" i="3"/>
  <c r="A2502" i="3"/>
  <c r="C2502" i="3"/>
  <c r="D2502" i="3"/>
  <c r="B2502" i="3"/>
  <c r="E2502" i="3"/>
  <c r="A2503" i="3"/>
  <c r="C2503" i="3"/>
  <c r="D2503" i="3"/>
  <c r="B2503" i="3"/>
  <c r="E2503" i="3"/>
  <c r="A2504" i="3"/>
  <c r="C2504" i="3"/>
  <c r="D2504" i="3"/>
  <c r="B2504" i="3"/>
  <c r="E2504" i="3"/>
  <c r="A2505" i="3"/>
  <c r="C2505" i="3"/>
  <c r="D2505" i="3"/>
  <c r="B2505" i="3"/>
  <c r="E2505" i="3"/>
  <c r="A2506" i="3"/>
  <c r="C2506" i="3"/>
  <c r="D2506" i="3"/>
  <c r="B2506" i="3"/>
  <c r="E2506" i="3"/>
  <c r="A2507" i="3"/>
  <c r="C2507" i="3"/>
  <c r="D2507" i="3"/>
  <c r="B2507" i="3"/>
  <c r="E2507" i="3"/>
  <c r="A2508" i="3"/>
  <c r="C2508" i="3"/>
  <c r="D2508" i="3"/>
  <c r="B2508" i="3"/>
  <c r="E2508" i="3"/>
  <c r="A2509" i="3"/>
  <c r="C2509" i="3"/>
  <c r="D2509" i="3"/>
  <c r="B2509" i="3"/>
  <c r="E2509" i="3"/>
  <c r="A2510" i="3"/>
  <c r="C2510" i="3"/>
  <c r="D2510" i="3"/>
  <c r="B2510" i="3"/>
  <c r="E2510" i="3"/>
  <c r="A2511" i="3"/>
  <c r="C2511" i="3"/>
  <c r="D2511" i="3"/>
  <c r="B2511" i="3"/>
  <c r="E2511" i="3"/>
  <c r="A2512" i="3"/>
  <c r="C2512" i="3"/>
  <c r="D2512" i="3"/>
  <c r="B2512" i="3"/>
  <c r="E2512" i="3"/>
  <c r="A2513" i="3"/>
  <c r="C2513" i="3"/>
  <c r="D2513" i="3"/>
  <c r="B2513" i="3"/>
  <c r="E2513" i="3"/>
  <c r="A2514" i="3"/>
  <c r="C2514" i="3"/>
  <c r="D2514" i="3"/>
  <c r="B2514" i="3"/>
  <c r="E2514" i="3"/>
  <c r="A2515" i="3"/>
  <c r="C2515" i="3"/>
  <c r="D2515" i="3"/>
  <c r="B2515" i="3"/>
  <c r="E2515" i="3"/>
  <c r="A2516" i="3"/>
  <c r="C2516" i="3"/>
  <c r="D2516" i="3"/>
  <c r="B2516" i="3"/>
  <c r="E2516" i="3"/>
  <c r="A2517" i="3"/>
  <c r="C2517" i="3"/>
  <c r="D2517" i="3"/>
  <c r="B2517" i="3"/>
  <c r="E2517" i="3"/>
  <c r="A2518" i="3"/>
  <c r="C2518" i="3"/>
  <c r="D2518" i="3"/>
  <c r="B2518" i="3"/>
  <c r="E2518" i="3"/>
  <c r="A2519" i="3"/>
  <c r="C2519" i="3"/>
  <c r="D2519" i="3"/>
  <c r="B2519" i="3"/>
  <c r="E2519" i="3"/>
  <c r="A2520" i="3"/>
  <c r="C2520" i="3"/>
  <c r="D2520" i="3"/>
  <c r="B2520" i="3"/>
  <c r="E2520" i="3"/>
  <c r="A2521" i="3"/>
  <c r="C2521" i="3"/>
  <c r="D2521" i="3"/>
  <c r="B2521" i="3"/>
  <c r="E2521" i="3"/>
  <c r="A2522" i="3"/>
  <c r="C2522" i="3"/>
  <c r="D2522" i="3"/>
  <c r="B2522" i="3"/>
  <c r="E2522" i="3"/>
  <c r="A2523" i="3"/>
  <c r="C2523" i="3"/>
  <c r="D2523" i="3"/>
  <c r="B2523" i="3"/>
  <c r="E2523" i="3"/>
  <c r="A2524" i="3"/>
  <c r="C2524" i="3"/>
  <c r="D2524" i="3"/>
  <c r="B2524" i="3"/>
  <c r="E2524" i="3"/>
  <c r="A2525" i="3"/>
  <c r="C2525" i="3"/>
  <c r="D2525" i="3"/>
  <c r="B2525" i="3"/>
  <c r="E2525" i="3"/>
  <c r="A2526" i="3"/>
  <c r="C2526" i="3"/>
  <c r="D2526" i="3"/>
  <c r="B2526" i="3"/>
  <c r="E2526" i="3"/>
  <c r="A2527" i="3"/>
  <c r="C2527" i="3"/>
  <c r="D2527" i="3"/>
  <c r="B2527" i="3"/>
  <c r="E2527" i="3"/>
  <c r="A2528" i="3"/>
  <c r="C2528" i="3"/>
  <c r="D2528" i="3"/>
  <c r="B2528" i="3"/>
  <c r="E2528" i="3"/>
  <c r="A2529" i="3"/>
  <c r="C2529" i="3"/>
  <c r="D2529" i="3"/>
  <c r="B2529" i="3"/>
  <c r="E2529" i="3"/>
  <c r="A2530" i="3"/>
  <c r="C2530" i="3"/>
  <c r="D2530" i="3"/>
  <c r="B2530" i="3"/>
  <c r="E2530" i="3"/>
  <c r="A2531" i="3"/>
  <c r="C2531" i="3"/>
  <c r="D2531" i="3"/>
  <c r="B2531" i="3"/>
  <c r="E2531" i="3"/>
  <c r="A2532" i="3"/>
  <c r="C2532" i="3"/>
  <c r="D2532" i="3"/>
  <c r="B2532" i="3"/>
  <c r="E2532" i="3"/>
  <c r="A2533" i="3"/>
  <c r="C2533" i="3"/>
  <c r="D2533" i="3"/>
  <c r="B2533" i="3"/>
  <c r="E2533" i="3"/>
  <c r="A2534" i="3"/>
  <c r="C2534" i="3"/>
  <c r="D2534" i="3"/>
  <c r="B2534" i="3"/>
  <c r="E2534" i="3"/>
  <c r="A2535" i="3"/>
  <c r="C2535" i="3"/>
  <c r="D2535" i="3"/>
  <c r="B2535" i="3"/>
  <c r="E2535" i="3"/>
  <c r="A2536" i="3"/>
  <c r="C2536" i="3"/>
  <c r="D2536" i="3"/>
  <c r="B2536" i="3"/>
  <c r="E2536" i="3"/>
  <c r="A2537" i="3"/>
  <c r="C2537" i="3"/>
  <c r="D2537" i="3"/>
  <c r="B2537" i="3"/>
  <c r="E2537" i="3"/>
  <c r="A2538" i="3"/>
  <c r="C2538" i="3"/>
  <c r="D2538" i="3"/>
  <c r="B2538" i="3"/>
  <c r="E2538" i="3"/>
  <c r="A2539" i="3"/>
  <c r="C2539" i="3"/>
  <c r="D2539" i="3"/>
  <c r="B2539" i="3"/>
  <c r="E2539" i="3"/>
  <c r="A2540" i="3"/>
  <c r="C2540" i="3"/>
  <c r="D2540" i="3"/>
  <c r="B2540" i="3"/>
  <c r="E2540" i="3"/>
  <c r="A2541" i="3"/>
  <c r="C2541" i="3"/>
  <c r="D2541" i="3"/>
  <c r="B2541" i="3"/>
  <c r="E2541" i="3"/>
  <c r="A2542" i="3"/>
  <c r="C2542" i="3"/>
  <c r="D2542" i="3"/>
  <c r="B2542" i="3"/>
  <c r="E2542" i="3"/>
  <c r="A2543" i="3"/>
  <c r="C2543" i="3"/>
  <c r="D2543" i="3"/>
  <c r="B2543" i="3"/>
  <c r="E2543" i="3"/>
  <c r="A2544" i="3"/>
  <c r="C2544" i="3"/>
  <c r="D2544" i="3"/>
  <c r="B2544" i="3"/>
  <c r="E2544" i="3"/>
  <c r="A2545" i="3"/>
  <c r="C2545" i="3"/>
  <c r="D2545" i="3"/>
  <c r="B2545" i="3"/>
  <c r="E2545" i="3"/>
  <c r="A2546" i="3"/>
  <c r="C2546" i="3"/>
  <c r="D2546" i="3"/>
  <c r="B2546" i="3"/>
  <c r="E2546" i="3"/>
  <c r="A2547" i="3"/>
  <c r="C2547" i="3"/>
  <c r="D2547" i="3"/>
  <c r="B2547" i="3"/>
  <c r="E2547" i="3"/>
  <c r="A2548" i="3"/>
  <c r="C2548" i="3"/>
  <c r="D2548" i="3"/>
  <c r="B2548" i="3"/>
  <c r="E2548" i="3"/>
  <c r="A2549" i="3"/>
  <c r="C2549" i="3"/>
  <c r="D2549" i="3"/>
  <c r="B2549" i="3"/>
  <c r="E2549" i="3"/>
  <c r="A2550" i="3"/>
  <c r="C2550" i="3"/>
  <c r="D2550" i="3"/>
  <c r="B2550" i="3"/>
  <c r="E2550" i="3"/>
  <c r="A2551" i="3"/>
  <c r="C2551" i="3"/>
  <c r="D2551" i="3"/>
  <c r="B2551" i="3"/>
  <c r="E2551" i="3"/>
  <c r="A2552" i="3"/>
  <c r="C2552" i="3"/>
  <c r="D2552" i="3"/>
  <c r="B2552" i="3"/>
  <c r="E2552" i="3"/>
  <c r="A2553" i="3"/>
  <c r="C2553" i="3"/>
  <c r="D2553" i="3"/>
  <c r="B2553" i="3"/>
  <c r="E2553" i="3"/>
  <c r="A2554" i="3"/>
  <c r="C2554" i="3"/>
  <c r="D2554" i="3"/>
  <c r="B2554" i="3"/>
  <c r="E2554" i="3"/>
  <c r="A2555" i="3"/>
  <c r="C2555" i="3"/>
  <c r="D2555" i="3"/>
  <c r="B2555" i="3"/>
  <c r="E2555" i="3"/>
  <c r="A2556" i="3"/>
  <c r="C2556" i="3"/>
  <c r="D2556" i="3"/>
  <c r="B2556" i="3"/>
  <c r="E2556" i="3"/>
  <c r="A2557" i="3"/>
  <c r="C2557" i="3"/>
  <c r="D2557" i="3"/>
  <c r="B2557" i="3"/>
  <c r="E2557" i="3"/>
  <c r="A2558" i="3"/>
  <c r="C2558" i="3"/>
  <c r="D2558" i="3"/>
  <c r="B2558" i="3"/>
  <c r="E2558" i="3"/>
  <c r="A2559" i="3"/>
  <c r="C2559" i="3"/>
  <c r="D2559" i="3"/>
  <c r="B2559" i="3"/>
  <c r="E2559" i="3"/>
  <c r="A2560" i="3"/>
  <c r="C2560" i="3"/>
  <c r="D2560" i="3"/>
  <c r="B2560" i="3"/>
  <c r="E2560" i="3"/>
  <c r="A2561" i="3"/>
  <c r="C2561" i="3"/>
  <c r="D2561" i="3"/>
  <c r="B2561" i="3"/>
  <c r="E2561" i="3"/>
  <c r="A2562" i="3"/>
  <c r="C2562" i="3"/>
  <c r="D2562" i="3"/>
  <c r="B2562" i="3"/>
  <c r="E2562" i="3"/>
  <c r="A2563" i="3"/>
  <c r="C2563" i="3"/>
  <c r="D2563" i="3"/>
  <c r="B2563" i="3"/>
  <c r="E2563" i="3"/>
  <c r="A2564" i="3"/>
  <c r="C2564" i="3"/>
  <c r="D2564" i="3"/>
  <c r="B2564" i="3"/>
  <c r="E2564" i="3"/>
  <c r="A2565" i="3"/>
  <c r="C2565" i="3"/>
  <c r="D2565" i="3"/>
  <c r="B2565" i="3"/>
  <c r="E2565" i="3"/>
  <c r="A2566" i="3"/>
  <c r="C2566" i="3"/>
  <c r="D2566" i="3"/>
  <c r="B2566" i="3"/>
  <c r="E2566" i="3"/>
  <c r="A2567" i="3"/>
  <c r="C2567" i="3"/>
  <c r="D2567" i="3"/>
  <c r="B2567" i="3"/>
  <c r="E2567" i="3"/>
  <c r="A2568" i="3"/>
  <c r="C2568" i="3"/>
  <c r="D2568" i="3"/>
  <c r="B2568" i="3"/>
  <c r="E2568" i="3"/>
  <c r="A2569" i="3"/>
  <c r="C2569" i="3"/>
  <c r="D2569" i="3"/>
  <c r="B2569" i="3"/>
  <c r="E2569" i="3"/>
  <c r="A2570" i="3"/>
  <c r="C2570" i="3"/>
  <c r="D2570" i="3"/>
  <c r="B2570" i="3"/>
  <c r="E2570" i="3"/>
  <c r="A2571" i="3"/>
  <c r="C2571" i="3"/>
  <c r="D2571" i="3"/>
  <c r="B2571" i="3"/>
  <c r="E2571" i="3"/>
  <c r="A2572" i="3"/>
  <c r="C2572" i="3"/>
  <c r="D2572" i="3"/>
  <c r="B2572" i="3"/>
  <c r="E2572" i="3"/>
  <c r="A2573" i="3"/>
  <c r="C2573" i="3"/>
  <c r="D2573" i="3"/>
  <c r="B2573" i="3"/>
  <c r="E2573" i="3"/>
  <c r="A2574" i="3"/>
  <c r="C2574" i="3"/>
  <c r="D2574" i="3"/>
  <c r="B2574" i="3"/>
  <c r="E2574" i="3"/>
  <c r="A2575" i="3"/>
  <c r="C2575" i="3"/>
  <c r="D2575" i="3"/>
  <c r="B2575" i="3"/>
  <c r="E2575" i="3"/>
  <c r="A2576" i="3"/>
  <c r="C2576" i="3"/>
  <c r="D2576" i="3"/>
  <c r="B2576" i="3"/>
  <c r="E2576" i="3"/>
  <c r="A2577" i="3"/>
  <c r="C2577" i="3"/>
  <c r="D2577" i="3"/>
  <c r="B2577" i="3"/>
  <c r="E2577" i="3"/>
  <c r="A2578" i="3"/>
  <c r="C2578" i="3"/>
  <c r="D2578" i="3"/>
  <c r="B2578" i="3"/>
  <c r="E2578" i="3"/>
  <c r="A2579" i="3"/>
  <c r="C2579" i="3"/>
  <c r="D2579" i="3"/>
  <c r="B2579" i="3"/>
  <c r="E2579" i="3"/>
  <c r="A2580" i="3"/>
  <c r="C2580" i="3"/>
  <c r="D2580" i="3"/>
  <c r="B2580" i="3"/>
  <c r="E2580" i="3"/>
  <c r="A2581" i="3"/>
  <c r="C2581" i="3"/>
  <c r="D2581" i="3"/>
  <c r="B2581" i="3"/>
  <c r="E2581" i="3"/>
  <c r="A2582" i="3"/>
  <c r="C2582" i="3"/>
  <c r="D2582" i="3"/>
  <c r="B2582" i="3"/>
  <c r="E2582" i="3"/>
  <c r="A2583" i="3"/>
  <c r="C2583" i="3"/>
  <c r="D2583" i="3"/>
  <c r="B2583" i="3"/>
  <c r="E2583" i="3"/>
  <c r="A2584" i="3"/>
  <c r="C2584" i="3"/>
  <c r="D2584" i="3"/>
  <c r="B2584" i="3"/>
  <c r="E2584" i="3"/>
  <c r="A2585" i="3"/>
  <c r="C2585" i="3"/>
  <c r="D2585" i="3"/>
  <c r="B2585" i="3"/>
  <c r="E2585" i="3"/>
  <c r="A2586" i="3"/>
  <c r="C2586" i="3"/>
  <c r="D2586" i="3"/>
  <c r="B2586" i="3"/>
  <c r="E2586" i="3"/>
  <c r="A2587" i="3"/>
  <c r="C2587" i="3"/>
  <c r="D2587" i="3"/>
  <c r="B2587" i="3"/>
  <c r="E2587" i="3"/>
  <c r="A2588" i="3"/>
  <c r="C2588" i="3"/>
  <c r="D2588" i="3"/>
  <c r="B2588" i="3"/>
  <c r="E2588" i="3"/>
  <c r="A2589" i="3"/>
  <c r="C2589" i="3"/>
  <c r="D2589" i="3"/>
  <c r="B2589" i="3"/>
  <c r="E2589" i="3"/>
  <c r="A2590" i="3"/>
  <c r="C2590" i="3"/>
  <c r="D2590" i="3"/>
  <c r="B2590" i="3"/>
  <c r="E2590" i="3"/>
  <c r="A2591" i="3"/>
  <c r="C2591" i="3"/>
  <c r="D2591" i="3"/>
  <c r="B2591" i="3"/>
  <c r="E2591" i="3"/>
  <c r="A2592" i="3"/>
  <c r="C2592" i="3"/>
  <c r="D2592" i="3"/>
  <c r="B2592" i="3"/>
  <c r="E2592" i="3"/>
  <c r="A2593" i="3"/>
  <c r="C2593" i="3"/>
  <c r="D2593" i="3"/>
  <c r="B2593" i="3"/>
  <c r="E2593" i="3"/>
  <c r="A2594" i="3"/>
  <c r="C2594" i="3"/>
  <c r="D2594" i="3"/>
  <c r="B2594" i="3"/>
  <c r="E2594" i="3"/>
  <c r="A2595" i="3"/>
  <c r="C2595" i="3"/>
  <c r="D2595" i="3"/>
  <c r="B2595" i="3"/>
  <c r="E2595" i="3"/>
  <c r="A2596" i="3"/>
  <c r="C2596" i="3"/>
  <c r="D2596" i="3"/>
  <c r="B2596" i="3"/>
  <c r="E2596" i="3"/>
  <c r="A2597" i="3"/>
  <c r="C2597" i="3"/>
  <c r="D2597" i="3"/>
  <c r="B2597" i="3"/>
  <c r="E2597" i="3"/>
  <c r="A2598" i="3"/>
  <c r="C2598" i="3"/>
  <c r="D2598" i="3"/>
  <c r="B2598" i="3"/>
  <c r="E2598" i="3"/>
  <c r="A2599" i="3"/>
  <c r="C2599" i="3"/>
  <c r="D2599" i="3"/>
  <c r="B2599" i="3"/>
  <c r="E2599" i="3"/>
  <c r="A2600" i="3"/>
  <c r="C2600" i="3"/>
  <c r="D2600" i="3"/>
  <c r="B2600" i="3"/>
  <c r="E2600" i="3"/>
  <c r="A2601" i="3"/>
  <c r="C2601" i="3"/>
  <c r="D2601" i="3"/>
  <c r="B2601" i="3"/>
  <c r="E2601" i="3"/>
  <c r="A2602" i="3"/>
  <c r="C2602" i="3"/>
  <c r="D2602" i="3"/>
  <c r="B2602" i="3"/>
  <c r="E2602" i="3"/>
  <c r="A2603" i="3"/>
  <c r="C2603" i="3"/>
  <c r="D2603" i="3"/>
  <c r="B2603" i="3"/>
  <c r="E2603" i="3"/>
  <c r="A2604" i="3"/>
  <c r="C2604" i="3"/>
  <c r="D2604" i="3"/>
  <c r="B2604" i="3"/>
  <c r="E2604" i="3"/>
  <c r="A2605" i="3"/>
  <c r="C2605" i="3"/>
  <c r="D2605" i="3"/>
  <c r="B2605" i="3"/>
  <c r="E2605" i="3"/>
  <c r="A2606" i="3"/>
  <c r="C2606" i="3"/>
  <c r="D2606" i="3"/>
  <c r="B2606" i="3"/>
  <c r="E2606" i="3"/>
  <c r="A2607" i="3"/>
  <c r="C2607" i="3"/>
  <c r="D2607" i="3"/>
  <c r="B2607" i="3"/>
  <c r="E2607" i="3"/>
  <c r="A2608" i="3"/>
  <c r="C2608" i="3"/>
  <c r="D2608" i="3"/>
  <c r="B2608" i="3"/>
  <c r="E2608" i="3"/>
  <c r="A2609" i="3"/>
  <c r="C2609" i="3"/>
  <c r="D2609" i="3"/>
  <c r="B2609" i="3"/>
  <c r="E2609" i="3"/>
  <c r="A2610" i="3"/>
  <c r="C2610" i="3"/>
  <c r="D2610" i="3"/>
  <c r="B2610" i="3"/>
  <c r="E2610" i="3"/>
  <c r="A2611" i="3"/>
  <c r="C2611" i="3"/>
  <c r="D2611" i="3"/>
  <c r="B2611" i="3"/>
  <c r="E2611" i="3"/>
  <c r="A2612" i="3"/>
  <c r="C2612" i="3"/>
  <c r="D2612" i="3"/>
  <c r="B2612" i="3"/>
  <c r="E2612" i="3"/>
  <c r="A2613" i="3"/>
  <c r="C2613" i="3"/>
  <c r="D2613" i="3"/>
  <c r="B2613" i="3"/>
  <c r="E2613" i="3"/>
  <c r="A2614" i="3"/>
  <c r="C2614" i="3"/>
  <c r="D2614" i="3"/>
  <c r="B2614" i="3"/>
  <c r="E2614" i="3"/>
  <c r="A2615" i="3"/>
  <c r="C2615" i="3"/>
  <c r="D2615" i="3"/>
  <c r="B2615" i="3"/>
  <c r="E2615" i="3"/>
  <c r="A2616" i="3"/>
  <c r="C2616" i="3"/>
  <c r="D2616" i="3"/>
  <c r="B2616" i="3"/>
  <c r="E2616" i="3"/>
  <c r="A2617" i="3"/>
  <c r="C2617" i="3"/>
  <c r="D2617" i="3"/>
  <c r="B2617" i="3"/>
  <c r="E2617" i="3"/>
  <c r="A2618" i="3"/>
  <c r="C2618" i="3"/>
  <c r="D2618" i="3"/>
  <c r="B2618" i="3"/>
  <c r="E2618" i="3"/>
  <c r="A2619" i="3"/>
  <c r="C2619" i="3"/>
  <c r="D2619" i="3"/>
  <c r="B2619" i="3"/>
  <c r="E2619" i="3"/>
  <c r="A2620" i="3"/>
  <c r="C2620" i="3"/>
  <c r="D2620" i="3"/>
  <c r="B2620" i="3"/>
  <c r="E2620" i="3"/>
  <c r="A2621" i="3"/>
  <c r="C2621" i="3"/>
  <c r="D2621" i="3"/>
  <c r="B2621" i="3"/>
  <c r="E2621" i="3"/>
  <c r="A2622" i="3"/>
  <c r="C2622" i="3"/>
  <c r="D2622" i="3"/>
  <c r="B2622" i="3"/>
  <c r="E2622" i="3"/>
  <c r="A2623" i="3"/>
  <c r="C2623" i="3"/>
  <c r="D2623" i="3"/>
  <c r="B2623" i="3"/>
  <c r="E2623" i="3"/>
  <c r="A2624" i="3"/>
  <c r="C2624" i="3"/>
  <c r="D2624" i="3"/>
  <c r="B2624" i="3"/>
  <c r="E2624" i="3"/>
  <c r="A2625" i="3"/>
  <c r="C2625" i="3"/>
  <c r="D2625" i="3"/>
  <c r="B2625" i="3"/>
  <c r="E2625" i="3"/>
  <c r="A2626" i="3"/>
  <c r="C2626" i="3"/>
  <c r="D2626" i="3"/>
  <c r="B2626" i="3"/>
  <c r="E2626" i="3"/>
  <c r="A2627" i="3"/>
  <c r="C2627" i="3"/>
  <c r="D2627" i="3"/>
  <c r="B2627" i="3"/>
  <c r="E2627" i="3"/>
  <c r="A2628" i="3"/>
  <c r="C2628" i="3"/>
  <c r="D2628" i="3"/>
  <c r="B2628" i="3"/>
  <c r="E2628" i="3"/>
  <c r="A2629" i="3"/>
  <c r="C2629" i="3"/>
  <c r="D2629" i="3"/>
  <c r="B2629" i="3"/>
  <c r="E2629" i="3"/>
  <c r="A2630" i="3"/>
  <c r="C2630" i="3"/>
  <c r="D2630" i="3"/>
  <c r="B2630" i="3"/>
  <c r="E2630" i="3"/>
  <c r="A2631" i="3"/>
  <c r="C2631" i="3"/>
  <c r="D2631" i="3"/>
  <c r="B2631" i="3"/>
  <c r="E2631" i="3"/>
  <c r="A2632" i="3"/>
  <c r="C2632" i="3"/>
  <c r="D2632" i="3"/>
  <c r="B2632" i="3"/>
  <c r="E2632" i="3"/>
  <c r="A2633" i="3"/>
  <c r="C2633" i="3"/>
  <c r="D2633" i="3"/>
  <c r="B2633" i="3"/>
  <c r="E2633" i="3"/>
  <c r="A2634" i="3"/>
  <c r="C2634" i="3"/>
  <c r="D2634" i="3"/>
  <c r="B2634" i="3"/>
  <c r="E2634" i="3"/>
  <c r="A2635" i="3"/>
  <c r="C2635" i="3"/>
  <c r="D2635" i="3"/>
  <c r="B2635" i="3"/>
  <c r="E2635" i="3"/>
  <c r="A2636" i="3"/>
  <c r="C2636" i="3"/>
  <c r="D2636" i="3"/>
  <c r="B2636" i="3"/>
  <c r="E2636" i="3"/>
  <c r="A2637" i="3"/>
  <c r="C2637" i="3"/>
  <c r="D2637" i="3"/>
  <c r="B2637" i="3"/>
  <c r="E2637" i="3"/>
  <c r="A2638" i="3"/>
  <c r="C2638" i="3"/>
  <c r="D2638" i="3"/>
  <c r="B2638" i="3"/>
  <c r="E2638" i="3"/>
  <c r="A2639" i="3"/>
  <c r="C2639" i="3"/>
  <c r="D2639" i="3"/>
  <c r="B2639" i="3"/>
  <c r="E2639" i="3"/>
  <c r="A2640" i="3"/>
  <c r="C2640" i="3"/>
  <c r="D2640" i="3"/>
  <c r="B2640" i="3"/>
  <c r="E2640" i="3"/>
  <c r="A2641" i="3"/>
  <c r="C2641" i="3"/>
  <c r="D2641" i="3"/>
  <c r="B2641" i="3"/>
  <c r="E2641" i="3"/>
  <c r="A2642" i="3"/>
  <c r="C2642" i="3"/>
  <c r="D2642" i="3"/>
  <c r="B2642" i="3"/>
  <c r="E2642" i="3"/>
  <c r="A2643" i="3"/>
  <c r="C2643" i="3"/>
  <c r="D2643" i="3"/>
  <c r="B2643" i="3"/>
  <c r="E2643" i="3"/>
  <c r="A2644" i="3"/>
  <c r="C2644" i="3"/>
  <c r="D2644" i="3"/>
  <c r="B2644" i="3"/>
  <c r="E2644" i="3"/>
  <c r="A2645" i="3"/>
  <c r="C2645" i="3"/>
  <c r="D2645" i="3"/>
  <c r="B2645" i="3"/>
  <c r="E2645" i="3"/>
  <c r="A2646" i="3"/>
  <c r="C2646" i="3"/>
  <c r="D2646" i="3"/>
  <c r="B2646" i="3"/>
  <c r="E2646" i="3"/>
  <c r="A2647" i="3"/>
  <c r="C2647" i="3"/>
  <c r="D2647" i="3"/>
  <c r="B2647" i="3"/>
  <c r="E2647" i="3"/>
  <c r="A2648" i="3"/>
  <c r="C2648" i="3"/>
  <c r="D2648" i="3"/>
  <c r="B2648" i="3"/>
  <c r="E2648" i="3"/>
  <c r="A2649" i="3"/>
  <c r="C2649" i="3"/>
  <c r="D2649" i="3"/>
  <c r="B2649" i="3"/>
  <c r="E2649" i="3"/>
  <c r="A2650" i="3"/>
  <c r="C2650" i="3"/>
  <c r="D2650" i="3"/>
  <c r="B2650" i="3"/>
  <c r="E2650" i="3"/>
  <c r="A2651" i="3"/>
  <c r="C2651" i="3"/>
  <c r="D2651" i="3"/>
  <c r="B2651" i="3"/>
  <c r="E2651" i="3"/>
  <c r="A2652" i="3"/>
  <c r="C2652" i="3"/>
  <c r="D2652" i="3"/>
  <c r="B2652" i="3"/>
  <c r="E2652" i="3"/>
  <c r="A2653" i="3"/>
  <c r="C2653" i="3"/>
  <c r="D2653" i="3"/>
  <c r="B2653" i="3"/>
  <c r="E2653" i="3"/>
  <c r="A2654" i="3"/>
  <c r="C2654" i="3"/>
  <c r="D2654" i="3"/>
  <c r="B2654" i="3"/>
  <c r="E2654" i="3"/>
  <c r="A2655" i="3"/>
  <c r="C2655" i="3"/>
  <c r="D2655" i="3"/>
  <c r="B2655" i="3"/>
  <c r="E2655" i="3"/>
  <c r="A2656" i="3"/>
  <c r="C2656" i="3"/>
  <c r="D2656" i="3"/>
  <c r="B2656" i="3"/>
  <c r="E2656" i="3"/>
  <c r="A2657" i="3"/>
  <c r="C2657" i="3"/>
  <c r="D2657" i="3"/>
  <c r="B2657" i="3"/>
  <c r="E2657" i="3"/>
  <c r="A2658" i="3"/>
  <c r="C2658" i="3"/>
  <c r="D2658" i="3"/>
  <c r="B2658" i="3"/>
  <c r="E2658" i="3"/>
  <c r="A2659" i="3"/>
  <c r="C2659" i="3"/>
  <c r="D2659" i="3"/>
  <c r="B2659" i="3"/>
  <c r="E2659" i="3"/>
  <c r="A2660" i="3"/>
  <c r="C2660" i="3"/>
  <c r="D2660" i="3"/>
  <c r="B2660" i="3"/>
  <c r="E2660" i="3"/>
  <c r="A2661" i="3"/>
  <c r="C2661" i="3"/>
  <c r="D2661" i="3"/>
  <c r="B2661" i="3"/>
  <c r="E2661" i="3"/>
  <c r="A2662" i="3"/>
  <c r="C2662" i="3"/>
  <c r="D2662" i="3"/>
  <c r="B2662" i="3"/>
  <c r="E2662" i="3"/>
  <c r="A2663" i="3"/>
  <c r="C2663" i="3"/>
  <c r="D2663" i="3"/>
  <c r="B2663" i="3"/>
  <c r="E2663" i="3"/>
  <c r="A2664" i="3"/>
  <c r="C2664" i="3"/>
  <c r="D2664" i="3"/>
  <c r="B2664" i="3"/>
  <c r="E2664" i="3"/>
  <c r="A2665" i="3"/>
  <c r="C2665" i="3"/>
  <c r="D2665" i="3"/>
  <c r="B2665" i="3"/>
  <c r="E2665" i="3"/>
  <c r="A2666" i="3"/>
  <c r="C2666" i="3"/>
  <c r="D2666" i="3"/>
  <c r="B2666" i="3"/>
  <c r="E2666" i="3"/>
  <c r="A2667" i="3"/>
  <c r="C2667" i="3"/>
  <c r="D2667" i="3"/>
  <c r="B2667" i="3"/>
  <c r="E2667" i="3"/>
  <c r="A2668" i="3"/>
  <c r="C2668" i="3"/>
  <c r="D2668" i="3"/>
  <c r="B2668" i="3"/>
  <c r="E2668" i="3"/>
  <c r="A2669" i="3"/>
  <c r="C2669" i="3"/>
  <c r="D2669" i="3"/>
  <c r="B2669" i="3"/>
  <c r="E2669" i="3"/>
  <c r="A2670" i="3"/>
  <c r="C2670" i="3"/>
  <c r="D2670" i="3"/>
  <c r="B2670" i="3"/>
  <c r="E2670" i="3"/>
  <c r="A2671" i="3"/>
  <c r="C2671" i="3"/>
  <c r="D2671" i="3"/>
  <c r="B2671" i="3"/>
  <c r="E2671" i="3"/>
  <c r="A2672" i="3"/>
  <c r="C2672" i="3"/>
  <c r="D2672" i="3"/>
  <c r="B2672" i="3"/>
  <c r="E2672" i="3"/>
  <c r="A2673" i="3"/>
  <c r="C2673" i="3"/>
  <c r="D2673" i="3"/>
  <c r="B2673" i="3"/>
  <c r="E2673" i="3"/>
  <c r="A2674" i="3"/>
  <c r="C2674" i="3"/>
  <c r="D2674" i="3"/>
  <c r="B2674" i="3"/>
  <c r="E2674" i="3"/>
  <c r="A2675" i="3"/>
  <c r="C2675" i="3"/>
  <c r="D2675" i="3"/>
  <c r="B2675" i="3"/>
  <c r="E2675" i="3"/>
  <c r="A2676" i="3"/>
  <c r="C2676" i="3"/>
  <c r="D2676" i="3"/>
  <c r="B2676" i="3"/>
  <c r="E2676" i="3"/>
  <c r="A2677" i="3"/>
  <c r="C2677" i="3"/>
  <c r="D2677" i="3"/>
  <c r="B2677" i="3"/>
  <c r="E2677" i="3"/>
  <c r="A2678" i="3"/>
  <c r="C2678" i="3"/>
  <c r="D2678" i="3"/>
  <c r="B2678" i="3"/>
  <c r="E2678" i="3"/>
  <c r="A2679" i="3"/>
  <c r="C2679" i="3"/>
  <c r="D2679" i="3"/>
  <c r="B2679" i="3"/>
  <c r="E2679" i="3"/>
  <c r="A2680" i="3"/>
  <c r="C2680" i="3"/>
  <c r="D2680" i="3"/>
  <c r="B2680" i="3"/>
  <c r="E2680" i="3"/>
  <c r="A2681" i="3"/>
  <c r="C2681" i="3"/>
  <c r="D2681" i="3"/>
  <c r="B2681" i="3"/>
  <c r="E2681" i="3"/>
  <c r="A2682" i="3"/>
  <c r="C2682" i="3"/>
  <c r="D2682" i="3"/>
  <c r="B2682" i="3"/>
  <c r="E2682" i="3"/>
  <c r="A2683" i="3"/>
  <c r="C2683" i="3"/>
  <c r="D2683" i="3"/>
  <c r="B2683" i="3"/>
  <c r="E2683" i="3"/>
  <c r="A2684" i="3"/>
  <c r="C2684" i="3"/>
  <c r="D2684" i="3"/>
  <c r="B2684" i="3"/>
  <c r="E2684" i="3"/>
  <c r="A2685" i="3"/>
  <c r="C2685" i="3"/>
  <c r="D2685" i="3"/>
  <c r="B2685" i="3"/>
  <c r="E2685" i="3"/>
  <c r="A2686" i="3"/>
  <c r="C2686" i="3"/>
  <c r="D2686" i="3"/>
  <c r="B2686" i="3"/>
  <c r="E2686" i="3"/>
  <c r="A2687" i="3"/>
  <c r="C2687" i="3"/>
  <c r="D2687" i="3"/>
  <c r="B2687" i="3"/>
  <c r="E2687" i="3"/>
  <c r="A2688" i="3"/>
  <c r="C2688" i="3"/>
  <c r="D2688" i="3"/>
  <c r="B2688" i="3"/>
  <c r="E2688" i="3"/>
  <c r="A2689" i="3"/>
  <c r="C2689" i="3"/>
  <c r="D2689" i="3"/>
  <c r="B2689" i="3"/>
  <c r="E2689" i="3"/>
  <c r="A2690" i="3"/>
  <c r="C2690" i="3"/>
  <c r="D2690" i="3"/>
  <c r="B2690" i="3"/>
  <c r="E2690" i="3"/>
  <c r="A2691" i="3"/>
  <c r="C2691" i="3"/>
  <c r="D2691" i="3"/>
  <c r="B2691" i="3"/>
  <c r="E2691" i="3"/>
  <c r="A2692" i="3"/>
  <c r="C2692" i="3"/>
  <c r="D2692" i="3"/>
  <c r="B2692" i="3"/>
  <c r="E2692" i="3"/>
  <c r="A2693" i="3"/>
  <c r="C2693" i="3"/>
  <c r="D2693" i="3"/>
  <c r="B2693" i="3"/>
  <c r="E2693" i="3"/>
  <c r="A2694" i="3"/>
  <c r="C2694" i="3"/>
  <c r="D2694" i="3"/>
  <c r="B2694" i="3"/>
  <c r="E2694" i="3"/>
  <c r="A2695" i="3"/>
  <c r="C2695" i="3"/>
  <c r="D2695" i="3"/>
  <c r="B2695" i="3"/>
  <c r="E2695" i="3"/>
  <c r="A2696" i="3"/>
  <c r="C2696" i="3"/>
  <c r="D2696" i="3"/>
  <c r="B2696" i="3"/>
  <c r="E2696" i="3"/>
  <c r="A2697" i="3"/>
  <c r="C2697" i="3"/>
  <c r="D2697" i="3"/>
  <c r="B2697" i="3"/>
  <c r="E2697" i="3"/>
  <c r="A2698" i="3"/>
  <c r="C2698" i="3"/>
  <c r="D2698" i="3"/>
  <c r="B2698" i="3"/>
  <c r="E2698" i="3"/>
  <c r="A2699" i="3"/>
  <c r="C2699" i="3"/>
  <c r="D2699" i="3"/>
  <c r="B2699" i="3"/>
  <c r="E2699" i="3"/>
  <c r="A2700" i="3"/>
  <c r="C2700" i="3"/>
  <c r="D2700" i="3"/>
  <c r="B2700" i="3"/>
  <c r="E2700" i="3"/>
  <c r="A2701" i="3"/>
  <c r="C2701" i="3"/>
  <c r="D2701" i="3"/>
  <c r="B2701" i="3"/>
  <c r="E2701" i="3"/>
  <c r="A2702" i="3"/>
  <c r="C2702" i="3"/>
  <c r="D2702" i="3"/>
  <c r="B2702" i="3"/>
  <c r="E2702" i="3"/>
  <c r="A2703" i="3"/>
  <c r="C2703" i="3"/>
  <c r="D2703" i="3"/>
  <c r="B2703" i="3"/>
  <c r="E2703" i="3"/>
  <c r="A2704" i="3"/>
  <c r="C2704" i="3"/>
  <c r="D2704" i="3"/>
  <c r="B2704" i="3"/>
  <c r="E2704" i="3"/>
  <c r="A2705" i="3"/>
  <c r="C2705" i="3"/>
  <c r="D2705" i="3"/>
  <c r="B2705" i="3"/>
  <c r="E2705" i="3"/>
  <c r="A2706" i="3"/>
  <c r="C2706" i="3"/>
  <c r="D2706" i="3"/>
  <c r="B2706" i="3"/>
  <c r="E2706" i="3"/>
  <c r="A2707" i="3"/>
  <c r="C2707" i="3"/>
  <c r="D2707" i="3"/>
  <c r="B2707" i="3"/>
  <c r="E2707" i="3"/>
  <c r="A2708" i="3"/>
  <c r="C2708" i="3"/>
  <c r="D2708" i="3"/>
  <c r="B2708" i="3"/>
  <c r="E2708" i="3"/>
  <c r="A2709" i="3"/>
  <c r="C2709" i="3"/>
  <c r="D2709" i="3"/>
  <c r="B2709" i="3"/>
  <c r="E2709" i="3"/>
  <c r="A2710" i="3"/>
  <c r="C2710" i="3"/>
  <c r="D2710" i="3"/>
  <c r="B2710" i="3"/>
  <c r="E2710" i="3"/>
  <c r="A2711" i="3"/>
  <c r="C2711" i="3"/>
  <c r="D2711" i="3"/>
  <c r="B2711" i="3"/>
  <c r="E2711" i="3"/>
  <c r="A2712" i="3"/>
  <c r="C2712" i="3"/>
  <c r="D2712" i="3"/>
  <c r="B2712" i="3"/>
  <c r="E2712" i="3"/>
  <c r="A2713" i="3"/>
  <c r="C2713" i="3"/>
  <c r="D2713" i="3"/>
  <c r="B2713" i="3"/>
  <c r="E2713" i="3"/>
  <c r="A2714" i="3"/>
  <c r="C2714" i="3"/>
  <c r="D2714" i="3"/>
  <c r="B2714" i="3"/>
  <c r="E2714" i="3"/>
  <c r="A2715" i="3"/>
  <c r="C2715" i="3"/>
  <c r="D2715" i="3"/>
  <c r="B2715" i="3"/>
  <c r="E2715" i="3"/>
  <c r="A2716" i="3"/>
  <c r="C2716" i="3"/>
  <c r="D2716" i="3"/>
  <c r="B2716" i="3"/>
  <c r="E2716" i="3"/>
  <c r="A2717" i="3"/>
  <c r="C2717" i="3"/>
  <c r="D2717" i="3"/>
  <c r="B2717" i="3"/>
  <c r="E2717" i="3"/>
  <c r="A2718" i="3"/>
  <c r="C2718" i="3"/>
  <c r="D2718" i="3"/>
  <c r="B2718" i="3"/>
  <c r="E2718" i="3"/>
  <c r="A2719" i="3"/>
  <c r="C2719" i="3"/>
  <c r="D2719" i="3"/>
  <c r="B2719" i="3"/>
  <c r="E2719" i="3"/>
  <c r="A2720" i="3"/>
  <c r="C2720" i="3"/>
  <c r="D2720" i="3"/>
  <c r="B2720" i="3"/>
  <c r="E2720" i="3"/>
  <c r="A2721" i="3"/>
  <c r="C2721" i="3"/>
  <c r="D2721" i="3"/>
  <c r="B2721" i="3"/>
  <c r="E2721" i="3"/>
  <c r="A2722" i="3"/>
  <c r="C2722" i="3"/>
  <c r="D2722" i="3"/>
  <c r="B2722" i="3"/>
  <c r="E2722" i="3"/>
  <c r="A2723" i="3"/>
  <c r="C2723" i="3"/>
  <c r="D2723" i="3"/>
  <c r="B2723" i="3"/>
  <c r="E2723" i="3"/>
  <c r="A2724" i="3"/>
  <c r="C2724" i="3"/>
  <c r="D2724" i="3"/>
  <c r="B2724" i="3"/>
  <c r="E2724" i="3"/>
  <c r="A2725" i="3"/>
  <c r="C2725" i="3"/>
  <c r="D2725" i="3"/>
  <c r="B2725" i="3"/>
  <c r="E2725" i="3"/>
  <c r="A2726" i="3"/>
  <c r="C2726" i="3"/>
  <c r="D2726" i="3"/>
  <c r="B2726" i="3"/>
  <c r="E2726" i="3"/>
  <c r="A2727" i="3"/>
  <c r="C2727" i="3"/>
  <c r="D2727" i="3"/>
  <c r="B2727" i="3"/>
  <c r="E2727" i="3"/>
  <c r="A2728" i="3"/>
  <c r="C2728" i="3"/>
  <c r="D2728" i="3"/>
  <c r="B2728" i="3"/>
  <c r="E2728" i="3"/>
  <c r="A2729" i="3"/>
  <c r="C2729" i="3"/>
  <c r="D2729" i="3"/>
  <c r="B2729" i="3"/>
  <c r="E2729" i="3"/>
  <c r="A2730" i="3"/>
  <c r="C2730" i="3"/>
  <c r="D2730" i="3"/>
  <c r="B2730" i="3"/>
  <c r="E2730" i="3"/>
  <c r="A2731" i="3"/>
  <c r="C2731" i="3"/>
  <c r="D2731" i="3"/>
  <c r="B2731" i="3"/>
  <c r="E2731" i="3"/>
  <c r="A2732" i="3"/>
  <c r="C2732" i="3"/>
  <c r="D2732" i="3"/>
  <c r="B2732" i="3"/>
  <c r="E2732" i="3"/>
  <c r="A2733" i="3"/>
  <c r="C2733" i="3"/>
  <c r="D2733" i="3"/>
  <c r="B2733" i="3"/>
  <c r="E2733" i="3"/>
  <c r="A2734" i="3"/>
  <c r="C2734" i="3"/>
  <c r="D2734" i="3"/>
  <c r="B2734" i="3"/>
  <c r="E2734" i="3"/>
  <c r="A2735" i="3"/>
  <c r="C2735" i="3"/>
  <c r="D2735" i="3"/>
  <c r="B2735" i="3"/>
  <c r="E2735" i="3"/>
  <c r="A2736" i="3"/>
  <c r="C2736" i="3"/>
  <c r="D2736" i="3"/>
  <c r="B2736" i="3"/>
  <c r="E2736" i="3"/>
  <c r="A2737" i="3"/>
  <c r="C2737" i="3"/>
  <c r="D2737" i="3"/>
  <c r="B2737" i="3"/>
  <c r="E2737" i="3"/>
  <c r="A2738" i="3"/>
  <c r="C2738" i="3"/>
  <c r="D2738" i="3"/>
  <c r="B2738" i="3"/>
  <c r="E2738" i="3"/>
  <c r="A2739" i="3"/>
  <c r="C2739" i="3"/>
  <c r="D2739" i="3"/>
  <c r="B2739" i="3"/>
  <c r="E2739" i="3"/>
  <c r="A2740" i="3"/>
  <c r="C2740" i="3"/>
  <c r="D2740" i="3"/>
  <c r="B2740" i="3"/>
  <c r="E2740" i="3"/>
  <c r="A2741" i="3"/>
  <c r="C2741" i="3"/>
  <c r="D2741" i="3"/>
  <c r="B2741" i="3"/>
  <c r="E2741" i="3"/>
  <c r="A2742" i="3"/>
  <c r="C2742" i="3"/>
  <c r="D2742" i="3"/>
  <c r="B2742" i="3"/>
  <c r="E2742" i="3"/>
  <c r="A2743" i="3"/>
  <c r="C2743" i="3"/>
  <c r="D2743" i="3"/>
  <c r="B2743" i="3"/>
  <c r="E2743" i="3"/>
  <c r="A2744" i="3"/>
  <c r="C2744" i="3"/>
  <c r="D2744" i="3"/>
  <c r="B2744" i="3"/>
  <c r="E2744" i="3"/>
  <c r="A2745" i="3"/>
  <c r="C2745" i="3"/>
  <c r="D2745" i="3"/>
  <c r="B2745" i="3"/>
  <c r="E2745" i="3"/>
  <c r="A2746" i="3"/>
  <c r="C2746" i="3"/>
  <c r="D2746" i="3"/>
  <c r="B2746" i="3"/>
  <c r="E2746" i="3"/>
  <c r="A2747" i="3"/>
  <c r="C2747" i="3"/>
  <c r="D2747" i="3"/>
  <c r="B2747" i="3"/>
  <c r="E2747" i="3"/>
  <c r="A2748" i="3"/>
  <c r="C2748" i="3"/>
  <c r="D2748" i="3"/>
  <c r="B2748" i="3"/>
  <c r="E2748" i="3"/>
  <c r="A2749" i="3"/>
  <c r="C2749" i="3"/>
  <c r="D2749" i="3"/>
  <c r="B2749" i="3"/>
  <c r="E2749" i="3"/>
  <c r="A2750" i="3"/>
  <c r="C2750" i="3"/>
  <c r="D2750" i="3"/>
  <c r="B2750" i="3"/>
  <c r="E2750" i="3"/>
  <c r="A2751" i="3"/>
  <c r="C2751" i="3"/>
  <c r="D2751" i="3"/>
  <c r="B2751" i="3"/>
  <c r="E2751" i="3"/>
  <c r="A2752" i="3"/>
  <c r="C2752" i="3"/>
  <c r="D2752" i="3"/>
  <c r="B2752" i="3"/>
  <c r="E2752" i="3"/>
  <c r="A2753" i="3"/>
  <c r="C2753" i="3"/>
  <c r="D2753" i="3"/>
  <c r="B2753" i="3"/>
  <c r="E2753" i="3"/>
  <c r="A2754" i="3"/>
  <c r="C2754" i="3"/>
  <c r="D2754" i="3"/>
  <c r="B2754" i="3"/>
  <c r="E2754" i="3"/>
  <c r="A2755" i="3"/>
  <c r="C2755" i="3"/>
  <c r="D2755" i="3"/>
  <c r="B2755" i="3"/>
  <c r="E2755" i="3"/>
  <c r="A2756" i="3"/>
  <c r="C2756" i="3"/>
  <c r="D2756" i="3"/>
  <c r="B2756" i="3"/>
  <c r="E2756" i="3"/>
  <c r="A2757" i="3"/>
  <c r="C2757" i="3"/>
  <c r="D2757" i="3"/>
  <c r="B2757" i="3"/>
  <c r="E2757" i="3"/>
  <c r="A2758" i="3"/>
  <c r="C2758" i="3"/>
  <c r="D2758" i="3"/>
  <c r="B2758" i="3"/>
  <c r="E2758" i="3"/>
  <c r="A2759" i="3"/>
  <c r="C2759" i="3"/>
  <c r="D2759" i="3"/>
  <c r="B2759" i="3"/>
  <c r="E2759" i="3"/>
  <c r="A2760" i="3"/>
  <c r="C2760" i="3"/>
  <c r="D2760" i="3"/>
  <c r="B2760" i="3"/>
  <c r="E2760" i="3"/>
  <c r="A2761" i="3"/>
  <c r="C2761" i="3"/>
  <c r="D2761" i="3"/>
  <c r="B2761" i="3"/>
  <c r="E2761" i="3"/>
  <c r="A2762" i="3"/>
  <c r="C2762" i="3"/>
  <c r="D2762" i="3"/>
  <c r="B2762" i="3"/>
  <c r="E2762" i="3"/>
  <c r="A2763" i="3"/>
  <c r="C2763" i="3"/>
  <c r="D2763" i="3"/>
  <c r="B2763" i="3"/>
  <c r="E2763" i="3"/>
  <c r="A2764" i="3"/>
  <c r="C2764" i="3"/>
  <c r="D2764" i="3"/>
  <c r="B2764" i="3"/>
  <c r="E2764" i="3"/>
  <c r="A2765" i="3"/>
  <c r="C2765" i="3"/>
  <c r="D2765" i="3"/>
  <c r="B2765" i="3"/>
  <c r="E2765" i="3"/>
  <c r="A2766" i="3"/>
  <c r="C2766" i="3"/>
  <c r="D2766" i="3"/>
  <c r="B2766" i="3"/>
  <c r="E2766" i="3"/>
  <c r="A2767" i="3"/>
  <c r="C2767" i="3"/>
  <c r="D2767" i="3"/>
  <c r="B2767" i="3"/>
  <c r="E2767" i="3"/>
  <c r="A2768" i="3"/>
  <c r="C2768" i="3"/>
  <c r="D2768" i="3"/>
  <c r="B2768" i="3"/>
  <c r="E2768" i="3"/>
  <c r="A2769" i="3"/>
  <c r="C2769" i="3"/>
  <c r="D2769" i="3"/>
  <c r="B2769" i="3"/>
  <c r="E2769" i="3"/>
  <c r="A2770" i="3"/>
  <c r="C2770" i="3"/>
  <c r="D2770" i="3"/>
  <c r="B2770" i="3"/>
  <c r="E2770" i="3"/>
  <c r="A2771" i="3"/>
  <c r="C2771" i="3"/>
  <c r="D2771" i="3"/>
  <c r="B2771" i="3"/>
  <c r="E2771" i="3"/>
  <c r="A2772" i="3"/>
  <c r="C2772" i="3"/>
  <c r="D2772" i="3"/>
  <c r="B2772" i="3"/>
  <c r="E2772" i="3"/>
  <c r="A2773" i="3"/>
  <c r="C2773" i="3"/>
  <c r="D2773" i="3"/>
  <c r="B2773" i="3"/>
  <c r="E2773" i="3"/>
  <c r="A2774" i="3"/>
  <c r="C2774" i="3"/>
  <c r="D2774" i="3"/>
  <c r="B2774" i="3"/>
  <c r="E2774" i="3"/>
  <c r="A2775" i="3"/>
  <c r="C2775" i="3"/>
  <c r="D2775" i="3"/>
  <c r="B2775" i="3"/>
  <c r="E2775" i="3"/>
  <c r="A2776" i="3"/>
  <c r="C2776" i="3"/>
  <c r="D2776" i="3"/>
  <c r="B2776" i="3"/>
  <c r="E2776" i="3"/>
  <c r="A2777" i="3"/>
  <c r="C2777" i="3"/>
  <c r="D2777" i="3"/>
  <c r="B2777" i="3"/>
  <c r="E2777" i="3"/>
  <c r="A2778" i="3"/>
  <c r="C2778" i="3"/>
  <c r="D2778" i="3"/>
  <c r="B2778" i="3"/>
  <c r="E2778" i="3"/>
  <c r="A2779" i="3"/>
  <c r="C2779" i="3"/>
  <c r="D2779" i="3"/>
  <c r="B2779" i="3"/>
  <c r="E2779" i="3"/>
  <c r="A2780" i="3"/>
  <c r="C2780" i="3"/>
  <c r="D2780" i="3"/>
  <c r="B2780" i="3"/>
  <c r="E2780" i="3"/>
  <c r="A2781" i="3"/>
  <c r="C2781" i="3"/>
  <c r="D2781" i="3"/>
  <c r="B2781" i="3"/>
  <c r="E2781" i="3"/>
  <c r="A2782" i="3"/>
  <c r="C2782" i="3"/>
  <c r="D2782" i="3"/>
  <c r="B2782" i="3"/>
  <c r="E2782" i="3"/>
  <c r="A2783" i="3"/>
  <c r="C2783" i="3"/>
  <c r="D2783" i="3"/>
  <c r="B2783" i="3"/>
  <c r="E2783" i="3"/>
  <c r="A2784" i="3"/>
  <c r="C2784" i="3"/>
  <c r="D2784" i="3"/>
  <c r="B2784" i="3"/>
  <c r="E2784" i="3"/>
  <c r="A2785" i="3"/>
  <c r="C2785" i="3"/>
  <c r="D2785" i="3"/>
  <c r="B2785" i="3"/>
  <c r="E2785" i="3"/>
  <c r="A2786" i="3"/>
  <c r="C2786" i="3"/>
  <c r="D2786" i="3"/>
  <c r="B2786" i="3"/>
  <c r="E2786" i="3"/>
  <c r="A2787" i="3"/>
  <c r="C2787" i="3"/>
  <c r="D2787" i="3"/>
  <c r="B2787" i="3"/>
  <c r="E2787" i="3"/>
  <c r="A2788" i="3"/>
  <c r="C2788" i="3"/>
  <c r="D2788" i="3"/>
  <c r="B2788" i="3"/>
  <c r="E2788" i="3"/>
  <c r="A2789" i="3"/>
  <c r="C2789" i="3"/>
  <c r="D2789" i="3"/>
  <c r="B2789" i="3"/>
  <c r="E2789" i="3"/>
  <c r="A2790" i="3"/>
  <c r="C2790" i="3"/>
  <c r="D2790" i="3"/>
  <c r="B2790" i="3"/>
  <c r="E2790" i="3"/>
  <c r="A2791" i="3"/>
  <c r="C2791" i="3"/>
  <c r="D2791" i="3"/>
  <c r="B2791" i="3"/>
  <c r="E2791" i="3"/>
  <c r="A2792" i="3"/>
  <c r="C2792" i="3"/>
  <c r="D2792" i="3"/>
  <c r="B2792" i="3"/>
  <c r="E2792" i="3"/>
  <c r="A2793" i="3"/>
  <c r="C2793" i="3"/>
  <c r="D2793" i="3"/>
  <c r="B2793" i="3"/>
  <c r="E2793" i="3"/>
  <c r="A2794" i="3"/>
  <c r="C2794" i="3"/>
  <c r="D2794" i="3"/>
  <c r="B2794" i="3"/>
  <c r="E2794" i="3"/>
  <c r="A2795" i="3"/>
  <c r="C2795" i="3"/>
  <c r="D2795" i="3"/>
  <c r="B2795" i="3"/>
  <c r="E2795" i="3"/>
  <c r="A2796" i="3"/>
  <c r="C2796" i="3"/>
  <c r="D2796" i="3"/>
  <c r="B2796" i="3"/>
  <c r="E2796" i="3"/>
  <c r="A2797" i="3"/>
  <c r="C2797" i="3"/>
  <c r="D2797" i="3"/>
  <c r="B2797" i="3"/>
  <c r="E2797" i="3"/>
  <c r="A2798" i="3"/>
  <c r="C2798" i="3"/>
  <c r="D2798" i="3"/>
  <c r="B2798" i="3"/>
  <c r="E2798" i="3"/>
  <c r="A2799" i="3"/>
  <c r="C2799" i="3"/>
  <c r="D2799" i="3"/>
  <c r="B2799" i="3"/>
  <c r="E2799" i="3"/>
  <c r="A2800" i="3"/>
  <c r="C2800" i="3"/>
  <c r="D2800" i="3"/>
  <c r="B2800" i="3"/>
  <c r="E2800" i="3"/>
  <c r="A2801" i="3"/>
  <c r="C2801" i="3"/>
  <c r="D2801" i="3"/>
  <c r="B2801" i="3"/>
  <c r="E2801" i="3"/>
  <c r="A2802" i="3"/>
  <c r="C2802" i="3"/>
  <c r="D2802" i="3"/>
  <c r="B2802" i="3"/>
  <c r="E2802" i="3"/>
  <c r="A2803" i="3"/>
  <c r="C2803" i="3"/>
  <c r="D2803" i="3"/>
  <c r="B2803" i="3"/>
  <c r="E2803" i="3"/>
  <c r="A2804" i="3"/>
  <c r="C2804" i="3"/>
  <c r="D2804" i="3"/>
  <c r="B2804" i="3"/>
  <c r="E2804" i="3"/>
  <c r="A2805" i="3"/>
  <c r="C2805" i="3"/>
  <c r="D2805" i="3"/>
  <c r="B2805" i="3"/>
  <c r="E2805" i="3"/>
  <c r="A2806" i="3"/>
  <c r="C2806" i="3"/>
  <c r="D2806" i="3"/>
  <c r="B2806" i="3"/>
  <c r="E2806" i="3"/>
  <c r="A2807" i="3"/>
  <c r="C2807" i="3"/>
  <c r="D2807" i="3"/>
  <c r="B2807" i="3"/>
  <c r="E2807" i="3"/>
  <c r="A2808" i="3"/>
  <c r="C2808" i="3"/>
  <c r="D2808" i="3"/>
  <c r="B2808" i="3"/>
  <c r="E2808" i="3"/>
  <c r="A2809" i="3"/>
  <c r="C2809" i="3"/>
  <c r="D2809" i="3"/>
  <c r="B2809" i="3"/>
  <c r="E2809" i="3"/>
  <c r="A2810" i="3"/>
  <c r="C2810" i="3"/>
  <c r="D2810" i="3"/>
  <c r="B2810" i="3"/>
  <c r="E2810" i="3"/>
  <c r="A2811" i="3"/>
  <c r="C2811" i="3"/>
  <c r="D2811" i="3"/>
  <c r="B2811" i="3"/>
  <c r="E2811" i="3"/>
  <c r="A2812" i="3"/>
  <c r="C2812" i="3"/>
  <c r="D2812" i="3"/>
  <c r="B2812" i="3"/>
  <c r="E2812" i="3"/>
  <c r="A2813" i="3"/>
  <c r="C2813" i="3"/>
  <c r="D2813" i="3"/>
  <c r="B2813" i="3"/>
  <c r="E2813" i="3"/>
  <c r="A2814" i="3"/>
  <c r="C2814" i="3"/>
  <c r="D2814" i="3"/>
  <c r="B2814" i="3"/>
  <c r="E2814" i="3"/>
  <c r="A2815" i="3"/>
  <c r="C2815" i="3"/>
  <c r="D2815" i="3"/>
  <c r="B2815" i="3"/>
  <c r="E2815" i="3"/>
  <c r="A2816" i="3"/>
  <c r="C2816" i="3"/>
  <c r="D2816" i="3"/>
  <c r="B2816" i="3"/>
  <c r="E2816" i="3"/>
  <c r="A2817" i="3"/>
  <c r="C2817" i="3"/>
  <c r="D2817" i="3"/>
  <c r="B2817" i="3"/>
  <c r="E2817" i="3"/>
  <c r="A2818" i="3"/>
  <c r="C2818" i="3"/>
  <c r="D2818" i="3"/>
  <c r="B2818" i="3"/>
  <c r="E2818" i="3"/>
  <c r="A2819" i="3"/>
  <c r="C2819" i="3"/>
  <c r="D2819" i="3"/>
  <c r="B2819" i="3"/>
  <c r="E2819" i="3"/>
  <c r="A2820" i="3"/>
  <c r="C2820" i="3"/>
  <c r="D2820" i="3"/>
  <c r="B2820" i="3"/>
  <c r="E2820" i="3"/>
  <c r="A2821" i="3"/>
  <c r="C2821" i="3"/>
  <c r="D2821" i="3"/>
  <c r="B2821" i="3"/>
  <c r="E2821" i="3"/>
  <c r="A2822" i="3"/>
  <c r="C2822" i="3"/>
  <c r="D2822" i="3"/>
  <c r="B2822" i="3"/>
  <c r="E2822" i="3"/>
  <c r="A2823" i="3"/>
  <c r="C2823" i="3"/>
  <c r="D2823" i="3"/>
  <c r="B2823" i="3"/>
  <c r="E2823" i="3"/>
  <c r="A2824" i="3"/>
  <c r="C2824" i="3"/>
  <c r="D2824" i="3"/>
  <c r="B2824" i="3"/>
  <c r="E2824" i="3"/>
  <c r="A2825" i="3"/>
  <c r="C2825" i="3"/>
  <c r="D2825" i="3"/>
  <c r="B2825" i="3"/>
  <c r="E2825" i="3"/>
  <c r="A2826" i="3"/>
  <c r="C2826" i="3"/>
  <c r="D2826" i="3"/>
  <c r="B2826" i="3"/>
  <c r="E2826" i="3"/>
  <c r="A2827" i="3"/>
  <c r="C2827" i="3"/>
  <c r="D2827" i="3"/>
  <c r="B2827" i="3"/>
  <c r="E2827" i="3"/>
  <c r="A2828" i="3"/>
  <c r="C2828" i="3"/>
  <c r="D2828" i="3"/>
  <c r="B2828" i="3"/>
  <c r="E2828" i="3"/>
  <c r="A2829" i="3"/>
  <c r="C2829" i="3"/>
  <c r="D2829" i="3"/>
  <c r="B2829" i="3"/>
  <c r="E2829" i="3"/>
  <c r="A2830" i="3"/>
  <c r="C2830" i="3"/>
  <c r="D2830" i="3"/>
  <c r="B2830" i="3"/>
  <c r="E2830" i="3"/>
  <c r="A2831" i="3"/>
  <c r="C2831" i="3"/>
  <c r="D2831" i="3"/>
  <c r="B2831" i="3"/>
  <c r="E2831" i="3"/>
  <c r="A2832" i="3"/>
  <c r="C2832" i="3"/>
  <c r="D2832" i="3"/>
  <c r="B2832" i="3"/>
  <c r="E2832" i="3"/>
  <c r="A2833" i="3"/>
  <c r="C2833" i="3"/>
  <c r="D2833" i="3"/>
  <c r="B2833" i="3"/>
  <c r="E2833" i="3"/>
  <c r="A2834" i="3"/>
  <c r="C2834" i="3"/>
  <c r="D2834" i="3"/>
  <c r="B2834" i="3"/>
  <c r="E2834" i="3"/>
  <c r="A2835" i="3"/>
  <c r="C2835" i="3"/>
  <c r="D2835" i="3"/>
  <c r="B2835" i="3"/>
  <c r="E2835" i="3"/>
  <c r="A2836" i="3"/>
  <c r="C2836" i="3"/>
  <c r="D2836" i="3"/>
  <c r="B2836" i="3"/>
  <c r="E2836" i="3"/>
  <c r="A2837" i="3"/>
  <c r="C2837" i="3"/>
  <c r="D2837" i="3"/>
  <c r="B2837" i="3"/>
  <c r="E2837" i="3"/>
  <c r="A2838" i="3"/>
  <c r="C2838" i="3"/>
  <c r="D2838" i="3"/>
  <c r="B2838" i="3"/>
  <c r="E2838" i="3"/>
  <c r="A2839" i="3"/>
  <c r="C2839" i="3"/>
  <c r="D2839" i="3"/>
  <c r="B2839" i="3"/>
  <c r="E2839" i="3"/>
  <c r="A2840" i="3"/>
  <c r="C2840" i="3"/>
  <c r="D2840" i="3"/>
  <c r="B2840" i="3"/>
  <c r="E2840" i="3"/>
  <c r="A2841" i="3"/>
  <c r="C2841" i="3"/>
  <c r="D2841" i="3"/>
  <c r="B2841" i="3"/>
  <c r="E2841" i="3"/>
  <c r="A2842" i="3"/>
  <c r="C2842" i="3"/>
  <c r="D2842" i="3"/>
  <c r="B2842" i="3"/>
  <c r="E2842" i="3"/>
  <c r="A2843" i="3"/>
  <c r="C2843" i="3"/>
  <c r="D2843" i="3"/>
  <c r="B2843" i="3"/>
  <c r="E2843" i="3"/>
  <c r="A2844" i="3"/>
  <c r="C2844" i="3"/>
  <c r="D2844" i="3"/>
  <c r="B2844" i="3"/>
  <c r="E2844" i="3"/>
  <c r="A2845" i="3"/>
  <c r="C2845" i="3"/>
  <c r="D2845" i="3"/>
  <c r="B2845" i="3"/>
  <c r="E2845" i="3"/>
  <c r="A2846" i="3"/>
  <c r="C2846" i="3"/>
  <c r="D2846" i="3"/>
  <c r="B2846" i="3"/>
  <c r="E2846" i="3"/>
  <c r="A2847" i="3"/>
  <c r="C2847" i="3"/>
  <c r="D2847" i="3"/>
  <c r="B2847" i="3"/>
  <c r="E2847" i="3"/>
  <c r="A2848" i="3"/>
  <c r="C2848" i="3"/>
  <c r="D2848" i="3"/>
  <c r="B2848" i="3"/>
  <c r="E2848" i="3"/>
  <c r="A2849" i="3"/>
  <c r="C2849" i="3"/>
  <c r="D2849" i="3"/>
  <c r="B2849" i="3"/>
  <c r="E2849" i="3"/>
  <c r="A2850" i="3"/>
  <c r="C2850" i="3"/>
  <c r="D2850" i="3"/>
  <c r="B2850" i="3"/>
  <c r="E2850" i="3"/>
  <c r="A2851" i="3"/>
  <c r="C2851" i="3"/>
  <c r="D2851" i="3"/>
  <c r="B2851" i="3"/>
  <c r="E2851" i="3"/>
  <c r="A2852" i="3"/>
  <c r="C2852" i="3"/>
  <c r="D2852" i="3"/>
  <c r="B2852" i="3"/>
  <c r="E2852" i="3"/>
  <c r="A2853" i="3"/>
  <c r="C2853" i="3"/>
  <c r="D2853" i="3"/>
  <c r="B2853" i="3"/>
  <c r="E2853" i="3"/>
  <c r="A2854" i="3"/>
  <c r="C2854" i="3"/>
  <c r="D2854" i="3"/>
  <c r="B2854" i="3"/>
  <c r="E2854" i="3"/>
  <c r="A2855" i="3"/>
  <c r="C2855" i="3"/>
  <c r="D2855" i="3"/>
  <c r="B2855" i="3"/>
  <c r="E2855" i="3"/>
  <c r="A2856" i="3"/>
  <c r="C2856" i="3"/>
  <c r="D2856" i="3"/>
  <c r="B2856" i="3"/>
  <c r="E2856" i="3"/>
  <c r="A2857" i="3"/>
  <c r="C2857" i="3"/>
  <c r="D2857" i="3"/>
  <c r="B2857" i="3"/>
  <c r="E2857" i="3"/>
  <c r="A2858" i="3"/>
  <c r="C2858" i="3"/>
  <c r="D2858" i="3"/>
  <c r="B2858" i="3"/>
  <c r="E2858" i="3"/>
  <c r="A2859" i="3"/>
  <c r="C2859" i="3"/>
  <c r="D2859" i="3"/>
  <c r="B2859" i="3"/>
  <c r="E2859" i="3"/>
  <c r="A2860" i="3"/>
  <c r="C2860" i="3"/>
  <c r="D2860" i="3"/>
  <c r="B2860" i="3"/>
  <c r="E2860" i="3"/>
  <c r="A2861" i="3"/>
  <c r="C2861" i="3"/>
  <c r="D2861" i="3"/>
  <c r="B2861" i="3"/>
  <c r="E2861" i="3"/>
  <c r="A2862" i="3"/>
  <c r="C2862" i="3"/>
  <c r="D2862" i="3"/>
  <c r="B2862" i="3"/>
  <c r="E2862" i="3"/>
  <c r="A2863" i="3"/>
  <c r="C2863" i="3"/>
  <c r="D2863" i="3"/>
  <c r="B2863" i="3"/>
  <c r="E2863" i="3"/>
  <c r="A2864" i="3"/>
  <c r="C2864" i="3"/>
  <c r="D2864" i="3"/>
  <c r="B2864" i="3"/>
  <c r="E2864" i="3"/>
  <c r="A2865" i="3"/>
  <c r="C2865" i="3"/>
  <c r="D2865" i="3"/>
  <c r="B2865" i="3"/>
  <c r="E2865" i="3"/>
  <c r="A2866" i="3"/>
  <c r="C2866" i="3"/>
  <c r="D2866" i="3"/>
  <c r="B2866" i="3"/>
  <c r="E2866" i="3"/>
  <c r="A2867" i="3"/>
  <c r="C2867" i="3"/>
  <c r="D2867" i="3"/>
  <c r="B2867" i="3"/>
  <c r="E2867" i="3"/>
  <c r="A2868" i="3"/>
  <c r="C2868" i="3"/>
  <c r="D2868" i="3"/>
  <c r="B2868" i="3"/>
  <c r="E2868" i="3"/>
  <c r="A2869" i="3"/>
  <c r="C2869" i="3"/>
  <c r="D2869" i="3"/>
  <c r="B2869" i="3"/>
  <c r="E2869" i="3"/>
  <c r="A2870" i="3"/>
  <c r="C2870" i="3"/>
  <c r="D2870" i="3"/>
  <c r="B2870" i="3"/>
  <c r="E2870" i="3"/>
  <c r="A2871" i="3"/>
  <c r="C2871" i="3"/>
  <c r="D2871" i="3"/>
  <c r="B2871" i="3"/>
  <c r="E2871" i="3"/>
  <c r="A2872" i="3"/>
  <c r="C2872" i="3"/>
  <c r="D2872" i="3"/>
  <c r="B2872" i="3"/>
  <c r="E2872" i="3"/>
  <c r="A2873" i="3"/>
  <c r="C2873" i="3"/>
  <c r="D2873" i="3"/>
  <c r="B2873" i="3"/>
  <c r="E2873" i="3"/>
  <c r="A2874" i="3"/>
  <c r="C2874" i="3"/>
  <c r="D2874" i="3"/>
  <c r="B2874" i="3"/>
  <c r="E2874" i="3"/>
  <c r="A2875" i="3"/>
  <c r="C2875" i="3"/>
  <c r="D2875" i="3"/>
  <c r="B2875" i="3"/>
  <c r="E2875" i="3"/>
  <c r="A2876" i="3"/>
  <c r="C2876" i="3"/>
  <c r="D2876" i="3"/>
  <c r="B2876" i="3"/>
  <c r="E2876" i="3"/>
  <c r="A2877" i="3"/>
  <c r="C2877" i="3"/>
  <c r="D2877" i="3"/>
  <c r="B2877" i="3"/>
  <c r="E2877" i="3"/>
  <c r="A2878" i="3"/>
  <c r="C2878" i="3"/>
  <c r="D2878" i="3"/>
  <c r="B2878" i="3"/>
  <c r="E2878" i="3"/>
  <c r="A2879" i="3"/>
  <c r="C2879" i="3"/>
  <c r="D2879" i="3"/>
  <c r="B2879" i="3"/>
  <c r="E2879" i="3"/>
  <c r="A2880" i="3"/>
  <c r="C2880" i="3"/>
  <c r="D2880" i="3"/>
  <c r="B2880" i="3"/>
  <c r="E2880" i="3"/>
  <c r="A2881" i="3"/>
  <c r="C2881" i="3"/>
  <c r="D2881" i="3"/>
  <c r="B2881" i="3"/>
  <c r="E2881" i="3"/>
  <c r="A2882" i="3"/>
  <c r="C2882" i="3"/>
  <c r="D2882" i="3"/>
  <c r="B2882" i="3"/>
  <c r="E2882" i="3"/>
  <c r="A2883" i="3"/>
  <c r="C2883" i="3"/>
  <c r="D2883" i="3"/>
  <c r="B2883" i="3"/>
  <c r="E2883" i="3"/>
  <c r="A2884" i="3"/>
  <c r="C2884" i="3"/>
  <c r="D2884" i="3"/>
  <c r="B2884" i="3"/>
  <c r="E2884" i="3"/>
  <c r="A2885" i="3"/>
  <c r="C2885" i="3"/>
  <c r="D2885" i="3"/>
  <c r="B2885" i="3"/>
  <c r="E2885" i="3"/>
  <c r="A2886" i="3"/>
  <c r="C2886" i="3"/>
  <c r="D2886" i="3"/>
  <c r="B2886" i="3"/>
  <c r="E2886" i="3"/>
  <c r="A2887" i="3"/>
  <c r="C2887" i="3"/>
  <c r="D2887" i="3"/>
  <c r="B2887" i="3"/>
  <c r="E2887" i="3"/>
  <c r="A2888" i="3"/>
  <c r="C2888" i="3"/>
  <c r="D2888" i="3"/>
  <c r="B2888" i="3"/>
  <c r="E2888" i="3"/>
  <c r="A2889" i="3"/>
  <c r="C2889" i="3"/>
  <c r="D2889" i="3"/>
  <c r="B2889" i="3"/>
  <c r="E2889" i="3"/>
  <c r="A2890" i="3"/>
  <c r="C2890" i="3"/>
  <c r="D2890" i="3"/>
  <c r="B2890" i="3"/>
  <c r="E2890" i="3"/>
  <c r="A2891" i="3"/>
  <c r="C2891" i="3"/>
  <c r="D2891" i="3"/>
  <c r="B2891" i="3"/>
  <c r="E2891" i="3"/>
  <c r="A2892" i="3"/>
  <c r="C2892" i="3"/>
  <c r="D2892" i="3"/>
  <c r="B2892" i="3"/>
  <c r="E2892" i="3"/>
  <c r="A2893" i="3"/>
  <c r="C2893" i="3"/>
  <c r="D2893" i="3"/>
  <c r="B2893" i="3"/>
  <c r="E2893" i="3"/>
  <c r="A2894" i="3"/>
  <c r="C2894" i="3"/>
  <c r="D2894" i="3"/>
  <c r="B2894" i="3"/>
  <c r="E2894" i="3"/>
  <c r="A2895" i="3"/>
  <c r="C2895" i="3"/>
  <c r="D2895" i="3"/>
  <c r="B2895" i="3"/>
  <c r="E2895" i="3"/>
  <c r="A2896" i="3"/>
  <c r="C2896" i="3"/>
  <c r="D2896" i="3"/>
  <c r="B2896" i="3"/>
  <c r="E2896" i="3"/>
  <c r="A2897" i="3"/>
  <c r="C2897" i="3"/>
  <c r="D2897" i="3"/>
  <c r="B2897" i="3"/>
  <c r="E2897" i="3"/>
  <c r="A2898" i="3"/>
  <c r="C2898" i="3"/>
  <c r="D2898" i="3"/>
  <c r="B2898" i="3"/>
  <c r="E2898" i="3"/>
  <c r="A2899" i="3"/>
  <c r="C2899" i="3"/>
  <c r="D2899" i="3"/>
  <c r="B2899" i="3"/>
  <c r="E2899" i="3"/>
  <c r="A2900" i="3"/>
  <c r="C2900" i="3"/>
  <c r="D2900" i="3"/>
  <c r="B2900" i="3"/>
  <c r="E2900" i="3"/>
  <c r="A2901" i="3"/>
  <c r="C2901" i="3"/>
  <c r="D2901" i="3"/>
  <c r="B2901" i="3"/>
  <c r="E2901" i="3"/>
  <c r="A2902" i="3"/>
  <c r="C2902" i="3"/>
  <c r="D2902" i="3"/>
  <c r="B2902" i="3"/>
  <c r="E2902" i="3"/>
  <c r="A2903" i="3"/>
  <c r="C2903" i="3"/>
  <c r="D2903" i="3"/>
  <c r="B2903" i="3"/>
  <c r="E2903" i="3"/>
  <c r="A2904" i="3"/>
  <c r="C2904" i="3"/>
  <c r="D2904" i="3"/>
  <c r="B2904" i="3"/>
  <c r="E2904" i="3"/>
  <c r="A2905" i="3"/>
  <c r="C2905" i="3"/>
  <c r="D2905" i="3"/>
  <c r="B2905" i="3"/>
  <c r="E2905" i="3"/>
  <c r="A2906" i="3"/>
  <c r="C2906" i="3"/>
  <c r="D2906" i="3"/>
  <c r="B2906" i="3"/>
  <c r="E2906" i="3"/>
  <c r="A2907" i="3"/>
  <c r="C2907" i="3"/>
  <c r="D2907" i="3"/>
  <c r="B2907" i="3"/>
  <c r="E2907" i="3"/>
  <c r="A2908" i="3"/>
  <c r="C2908" i="3"/>
  <c r="D2908" i="3"/>
  <c r="B2908" i="3"/>
  <c r="E2908" i="3"/>
  <c r="A2909" i="3"/>
  <c r="C2909" i="3"/>
  <c r="D2909" i="3"/>
  <c r="B2909" i="3"/>
  <c r="E2909" i="3"/>
  <c r="A2910" i="3"/>
  <c r="C2910" i="3"/>
  <c r="D2910" i="3"/>
  <c r="B2910" i="3"/>
  <c r="E2910" i="3"/>
  <c r="A2911" i="3"/>
  <c r="C2911" i="3"/>
  <c r="D2911" i="3"/>
  <c r="B2911" i="3"/>
  <c r="E2911" i="3"/>
  <c r="A2912" i="3"/>
  <c r="C2912" i="3"/>
  <c r="D2912" i="3"/>
  <c r="B2912" i="3"/>
  <c r="E2912" i="3"/>
  <c r="A2913" i="3"/>
  <c r="C2913" i="3"/>
  <c r="D2913" i="3"/>
  <c r="B2913" i="3"/>
  <c r="E2913" i="3"/>
  <c r="A2914" i="3"/>
  <c r="C2914" i="3"/>
  <c r="D2914" i="3"/>
  <c r="B2914" i="3"/>
  <c r="E2914" i="3"/>
  <c r="A2915" i="3"/>
  <c r="C2915" i="3"/>
  <c r="D2915" i="3"/>
  <c r="B2915" i="3"/>
  <c r="E2915" i="3"/>
  <c r="A2916" i="3"/>
  <c r="C2916" i="3"/>
  <c r="D2916" i="3"/>
  <c r="B2916" i="3"/>
  <c r="E2916" i="3"/>
  <c r="A2917" i="3"/>
  <c r="C2917" i="3"/>
  <c r="D2917" i="3"/>
  <c r="B2917" i="3"/>
  <c r="E2917" i="3"/>
  <c r="A2918" i="3"/>
  <c r="C2918" i="3"/>
  <c r="D2918" i="3"/>
  <c r="B2918" i="3"/>
  <c r="E2918" i="3"/>
  <c r="A2919" i="3"/>
  <c r="C2919" i="3"/>
  <c r="D2919" i="3"/>
  <c r="B2919" i="3"/>
  <c r="E2919" i="3"/>
  <c r="A2920" i="3"/>
  <c r="C2920" i="3"/>
  <c r="D2920" i="3"/>
  <c r="B2920" i="3"/>
  <c r="E2920" i="3"/>
  <c r="A2921" i="3"/>
  <c r="C2921" i="3"/>
  <c r="D2921" i="3"/>
  <c r="B2921" i="3"/>
  <c r="E2921" i="3"/>
  <c r="A2922" i="3"/>
  <c r="C2922" i="3"/>
  <c r="D2922" i="3"/>
  <c r="B2922" i="3"/>
  <c r="E2922" i="3"/>
  <c r="A2923" i="3"/>
  <c r="C2923" i="3"/>
  <c r="D2923" i="3"/>
  <c r="B2923" i="3"/>
  <c r="E2923" i="3"/>
  <c r="A2924" i="3"/>
  <c r="C2924" i="3"/>
  <c r="D2924" i="3"/>
  <c r="B2924" i="3"/>
  <c r="E2924" i="3"/>
  <c r="A2925" i="3"/>
  <c r="C2925" i="3"/>
  <c r="D2925" i="3"/>
  <c r="B2925" i="3"/>
  <c r="E2925" i="3"/>
  <c r="A2926" i="3"/>
  <c r="C2926" i="3"/>
  <c r="D2926" i="3"/>
  <c r="B2926" i="3"/>
  <c r="E2926" i="3"/>
  <c r="A2927" i="3"/>
  <c r="C2927" i="3"/>
  <c r="D2927" i="3"/>
  <c r="B2927" i="3"/>
  <c r="E2927" i="3"/>
  <c r="A2928" i="3"/>
  <c r="C2928" i="3"/>
  <c r="D2928" i="3"/>
  <c r="B2928" i="3"/>
  <c r="E2928" i="3"/>
  <c r="A2929" i="3"/>
  <c r="C2929" i="3"/>
  <c r="D2929" i="3"/>
  <c r="B2929" i="3"/>
  <c r="E2929" i="3"/>
  <c r="A2930" i="3"/>
  <c r="C2930" i="3"/>
  <c r="D2930" i="3"/>
  <c r="B2930" i="3"/>
  <c r="E2930" i="3"/>
  <c r="A2931" i="3"/>
  <c r="C2931" i="3"/>
  <c r="D2931" i="3"/>
  <c r="B2931" i="3"/>
  <c r="E2931" i="3"/>
  <c r="A2932" i="3"/>
  <c r="C2932" i="3"/>
  <c r="D2932" i="3"/>
  <c r="B2932" i="3"/>
  <c r="E2932" i="3"/>
  <c r="A2933" i="3"/>
  <c r="C2933" i="3"/>
  <c r="D2933" i="3"/>
  <c r="B2933" i="3"/>
  <c r="E2933" i="3"/>
  <c r="A2934" i="3"/>
  <c r="C2934" i="3"/>
  <c r="D2934" i="3"/>
  <c r="B2934" i="3"/>
  <c r="E2934" i="3"/>
  <c r="A2935" i="3"/>
  <c r="C2935" i="3"/>
  <c r="D2935" i="3"/>
  <c r="B2935" i="3"/>
  <c r="E2935" i="3"/>
  <c r="A2936" i="3"/>
  <c r="C2936" i="3"/>
  <c r="D2936" i="3"/>
  <c r="B2936" i="3"/>
  <c r="E2936" i="3"/>
  <c r="A2937" i="3"/>
  <c r="C2937" i="3"/>
  <c r="D2937" i="3"/>
  <c r="B2937" i="3"/>
  <c r="E2937" i="3"/>
  <c r="A2938" i="3"/>
  <c r="C2938" i="3"/>
  <c r="D2938" i="3"/>
  <c r="B2938" i="3"/>
  <c r="E2938" i="3"/>
  <c r="A2939" i="3"/>
  <c r="C2939" i="3"/>
  <c r="D2939" i="3"/>
  <c r="B2939" i="3"/>
  <c r="E2939" i="3"/>
  <c r="A2940" i="3"/>
  <c r="C2940" i="3"/>
  <c r="D2940" i="3"/>
  <c r="B2940" i="3"/>
  <c r="E2940" i="3"/>
  <c r="A2941" i="3"/>
  <c r="C2941" i="3"/>
  <c r="D2941" i="3"/>
  <c r="B2941" i="3"/>
  <c r="E2941" i="3"/>
  <c r="A2942" i="3"/>
  <c r="C2942" i="3"/>
  <c r="D2942" i="3"/>
  <c r="B2942" i="3"/>
  <c r="E2942" i="3"/>
  <c r="A2943" i="3"/>
  <c r="C2943" i="3"/>
  <c r="D2943" i="3"/>
  <c r="B2943" i="3"/>
  <c r="E2943" i="3"/>
  <c r="A2944" i="3"/>
  <c r="C2944" i="3"/>
  <c r="D2944" i="3"/>
  <c r="B2944" i="3"/>
  <c r="E2944" i="3"/>
  <c r="A2945" i="3"/>
  <c r="C2945" i="3"/>
  <c r="D2945" i="3"/>
  <c r="B2945" i="3"/>
  <c r="E2945" i="3"/>
  <c r="A2946" i="3"/>
  <c r="C2946" i="3"/>
  <c r="D2946" i="3"/>
  <c r="B2946" i="3"/>
  <c r="E2946" i="3"/>
  <c r="A2947" i="3"/>
  <c r="C2947" i="3"/>
  <c r="D2947" i="3"/>
  <c r="B2947" i="3"/>
  <c r="E2947" i="3"/>
  <c r="A2948" i="3"/>
  <c r="C2948" i="3"/>
  <c r="D2948" i="3"/>
  <c r="B2948" i="3"/>
  <c r="E2948" i="3"/>
  <c r="A2949" i="3"/>
  <c r="C2949" i="3"/>
  <c r="D2949" i="3"/>
  <c r="B2949" i="3"/>
  <c r="E2949" i="3"/>
  <c r="A2950" i="3"/>
  <c r="C2950" i="3"/>
  <c r="D2950" i="3"/>
  <c r="B2950" i="3"/>
  <c r="E2950" i="3"/>
  <c r="A2951" i="3"/>
  <c r="C2951" i="3"/>
  <c r="D2951" i="3"/>
  <c r="B2951" i="3"/>
  <c r="E2951" i="3"/>
  <c r="A2952" i="3"/>
  <c r="C2952" i="3"/>
  <c r="D2952" i="3"/>
  <c r="B2952" i="3"/>
  <c r="E2952" i="3"/>
  <c r="A2953" i="3"/>
  <c r="C2953" i="3"/>
  <c r="D2953" i="3"/>
  <c r="B2953" i="3"/>
  <c r="E2953" i="3"/>
  <c r="A2954" i="3"/>
  <c r="C2954" i="3"/>
  <c r="D2954" i="3"/>
  <c r="B2954" i="3"/>
  <c r="E2954" i="3"/>
  <c r="A2955" i="3"/>
  <c r="C2955" i="3"/>
  <c r="D2955" i="3"/>
  <c r="B2955" i="3"/>
  <c r="E2955" i="3"/>
  <c r="A2956" i="3"/>
  <c r="C2956" i="3"/>
  <c r="D2956" i="3"/>
  <c r="B2956" i="3"/>
  <c r="E2956" i="3"/>
  <c r="A2957" i="3"/>
  <c r="C2957" i="3"/>
  <c r="D2957" i="3"/>
  <c r="B2957" i="3"/>
  <c r="E2957" i="3"/>
  <c r="A2958" i="3"/>
  <c r="C2958" i="3"/>
  <c r="D2958" i="3"/>
  <c r="B2958" i="3"/>
  <c r="E2958" i="3"/>
  <c r="A2959" i="3"/>
  <c r="C2959" i="3"/>
  <c r="D2959" i="3"/>
  <c r="B2959" i="3"/>
  <c r="E2959" i="3"/>
  <c r="A2960" i="3"/>
  <c r="C2960" i="3"/>
  <c r="D2960" i="3"/>
  <c r="B2960" i="3"/>
  <c r="E2960" i="3"/>
  <c r="A2961" i="3"/>
  <c r="C2961" i="3"/>
  <c r="D2961" i="3"/>
  <c r="B2961" i="3"/>
  <c r="E2961" i="3"/>
  <c r="A2962" i="3"/>
  <c r="C2962" i="3"/>
  <c r="D2962" i="3"/>
  <c r="B2962" i="3"/>
  <c r="E2962" i="3"/>
  <c r="A2963" i="3"/>
  <c r="C2963" i="3"/>
  <c r="D2963" i="3"/>
  <c r="B2963" i="3"/>
  <c r="E2963" i="3"/>
  <c r="A2964" i="3"/>
  <c r="C2964" i="3"/>
  <c r="D2964" i="3"/>
  <c r="B2964" i="3"/>
  <c r="E2964" i="3"/>
  <c r="A2965" i="3"/>
  <c r="C2965" i="3"/>
  <c r="D2965" i="3"/>
  <c r="B2965" i="3"/>
  <c r="E2965" i="3"/>
  <c r="A2966" i="3"/>
  <c r="C2966" i="3"/>
  <c r="D2966" i="3"/>
  <c r="B2966" i="3"/>
  <c r="E2966" i="3"/>
  <c r="A2967" i="3"/>
  <c r="C2967" i="3"/>
  <c r="D2967" i="3"/>
  <c r="B2967" i="3"/>
  <c r="E2967" i="3"/>
  <c r="A2968" i="3"/>
  <c r="C2968" i="3"/>
  <c r="D2968" i="3"/>
  <c r="B2968" i="3"/>
  <c r="E2968" i="3"/>
  <c r="A2969" i="3"/>
  <c r="C2969" i="3"/>
  <c r="D2969" i="3"/>
  <c r="B2969" i="3"/>
  <c r="E2969" i="3"/>
  <c r="A2970" i="3"/>
  <c r="C2970" i="3"/>
  <c r="D2970" i="3"/>
  <c r="B2970" i="3"/>
  <c r="E2970" i="3"/>
  <c r="A2971" i="3"/>
  <c r="C2971" i="3"/>
  <c r="D2971" i="3"/>
  <c r="B2971" i="3"/>
  <c r="E2971" i="3"/>
  <c r="A2972" i="3"/>
  <c r="C2972" i="3"/>
  <c r="D2972" i="3"/>
  <c r="B2972" i="3"/>
  <c r="E2972" i="3"/>
  <c r="A2973" i="3"/>
  <c r="C2973" i="3"/>
  <c r="D2973" i="3"/>
  <c r="B2973" i="3"/>
  <c r="E2973" i="3"/>
  <c r="A2974" i="3"/>
  <c r="C2974" i="3"/>
  <c r="D2974" i="3"/>
  <c r="B2974" i="3"/>
  <c r="E2974" i="3"/>
  <c r="A2975" i="3"/>
  <c r="C2975" i="3"/>
  <c r="D2975" i="3"/>
  <c r="B2975" i="3"/>
  <c r="E2975" i="3"/>
  <c r="A2976" i="3"/>
  <c r="C2976" i="3"/>
  <c r="D2976" i="3"/>
  <c r="B2976" i="3"/>
  <c r="E2976" i="3"/>
  <c r="A2977" i="3"/>
  <c r="C2977" i="3"/>
  <c r="D2977" i="3"/>
  <c r="B2977" i="3"/>
  <c r="E2977" i="3"/>
  <c r="A2978" i="3"/>
  <c r="C2978" i="3"/>
  <c r="D2978" i="3"/>
  <c r="B2978" i="3"/>
  <c r="E2978" i="3"/>
  <c r="A2979" i="3"/>
  <c r="C2979" i="3"/>
  <c r="D2979" i="3"/>
  <c r="B2979" i="3"/>
  <c r="E2979" i="3"/>
  <c r="A2980" i="3"/>
  <c r="C2980" i="3"/>
  <c r="D2980" i="3"/>
  <c r="B2980" i="3"/>
  <c r="E2980" i="3"/>
  <c r="A2981" i="3"/>
  <c r="C2981" i="3"/>
  <c r="D2981" i="3"/>
  <c r="B2981" i="3"/>
  <c r="E2981" i="3"/>
  <c r="A2982" i="3"/>
  <c r="C2982" i="3"/>
  <c r="D2982" i="3"/>
  <c r="B2982" i="3"/>
  <c r="E2982" i="3"/>
  <c r="A2983" i="3"/>
  <c r="C2983" i="3"/>
  <c r="D2983" i="3"/>
  <c r="B2983" i="3"/>
  <c r="E2983" i="3"/>
  <c r="A2984" i="3"/>
  <c r="C2984" i="3"/>
  <c r="D2984" i="3"/>
  <c r="B2984" i="3"/>
  <c r="E2984" i="3"/>
  <c r="A2985" i="3"/>
  <c r="C2985" i="3"/>
  <c r="D2985" i="3"/>
  <c r="B2985" i="3"/>
  <c r="E2985" i="3"/>
  <c r="A2986" i="3"/>
  <c r="C2986" i="3"/>
  <c r="D2986" i="3"/>
  <c r="B2986" i="3"/>
  <c r="E2986" i="3"/>
  <c r="A2987" i="3"/>
  <c r="C2987" i="3"/>
  <c r="D2987" i="3"/>
  <c r="B2987" i="3"/>
  <c r="E2987" i="3"/>
  <c r="A2988" i="3"/>
  <c r="C2988" i="3"/>
  <c r="D2988" i="3"/>
  <c r="B2988" i="3"/>
  <c r="E2988" i="3"/>
  <c r="A2989" i="3"/>
  <c r="C2989" i="3"/>
  <c r="D2989" i="3"/>
  <c r="B2989" i="3"/>
  <c r="E2989" i="3"/>
  <c r="A2990" i="3"/>
  <c r="C2990" i="3"/>
  <c r="D2990" i="3"/>
  <c r="B2990" i="3"/>
  <c r="E2990" i="3"/>
  <c r="A2991" i="3"/>
  <c r="C2991" i="3"/>
  <c r="D2991" i="3"/>
  <c r="B2991" i="3"/>
  <c r="E2991" i="3"/>
  <c r="A2992" i="3"/>
  <c r="C2992" i="3"/>
  <c r="D2992" i="3"/>
  <c r="B2992" i="3"/>
  <c r="E2992" i="3"/>
  <c r="A2993" i="3"/>
  <c r="C2993" i="3"/>
  <c r="D2993" i="3"/>
  <c r="B2993" i="3"/>
  <c r="E2993" i="3"/>
  <c r="A2994" i="3"/>
  <c r="C2994" i="3"/>
  <c r="D2994" i="3"/>
  <c r="B2994" i="3"/>
  <c r="E2994" i="3"/>
  <c r="A2995" i="3"/>
  <c r="C2995" i="3"/>
  <c r="D2995" i="3"/>
  <c r="B2995" i="3"/>
  <c r="E2995" i="3"/>
  <c r="A2996" i="3"/>
  <c r="C2996" i="3"/>
  <c r="D2996" i="3"/>
  <c r="B2996" i="3"/>
  <c r="E2996" i="3"/>
  <c r="A2997" i="3"/>
  <c r="C2997" i="3"/>
  <c r="D2997" i="3"/>
  <c r="B2997" i="3"/>
  <c r="E2997" i="3"/>
  <c r="A2998" i="3"/>
  <c r="C2998" i="3"/>
  <c r="D2998" i="3"/>
  <c r="B2998" i="3"/>
  <c r="E2998" i="3"/>
  <c r="A2999" i="3"/>
  <c r="C2999" i="3"/>
  <c r="D2999" i="3"/>
  <c r="B2999" i="3"/>
  <c r="E2999" i="3"/>
  <c r="A3000" i="3"/>
  <c r="C3000" i="3"/>
  <c r="D3000" i="3"/>
  <c r="B3000" i="3"/>
  <c r="E3000" i="3"/>
  <c r="A3001" i="3"/>
  <c r="C3001" i="3"/>
  <c r="D3001" i="3"/>
  <c r="B3001" i="3"/>
  <c r="E3001" i="3"/>
  <c r="A3002" i="3"/>
  <c r="C3002" i="3"/>
  <c r="D3002" i="3"/>
  <c r="B3002" i="3"/>
  <c r="E3002" i="3"/>
  <c r="A3003" i="3"/>
  <c r="C3003" i="3"/>
  <c r="D3003" i="3"/>
  <c r="B3003" i="3"/>
  <c r="E3003" i="3"/>
  <c r="A3004" i="3"/>
  <c r="C3004" i="3"/>
  <c r="D3004" i="3"/>
  <c r="B3004" i="3"/>
  <c r="E3004" i="3"/>
  <c r="A3005" i="3"/>
  <c r="C3005" i="3"/>
  <c r="D3005" i="3"/>
  <c r="B3005" i="3"/>
  <c r="E3005" i="3"/>
  <c r="A3006" i="3"/>
  <c r="C3006" i="3"/>
  <c r="D3006" i="3"/>
  <c r="B3006" i="3"/>
  <c r="E3006" i="3"/>
  <c r="A3007" i="3"/>
  <c r="C3007" i="3"/>
  <c r="D3007" i="3"/>
  <c r="B3007" i="3"/>
  <c r="E3007" i="3"/>
  <c r="A3008" i="3"/>
  <c r="C3008" i="3"/>
  <c r="D3008" i="3"/>
  <c r="B3008" i="3"/>
  <c r="E3008" i="3"/>
  <c r="A3009" i="3"/>
  <c r="C3009" i="3"/>
  <c r="D3009" i="3"/>
  <c r="B3009" i="3"/>
  <c r="E3009" i="3"/>
  <c r="A3010" i="3"/>
  <c r="C3010" i="3"/>
  <c r="D3010" i="3"/>
  <c r="B3010" i="3"/>
  <c r="E3010" i="3"/>
  <c r="A3011" i="3"/>
  <c r="C3011" i="3"/>
  <c r="D3011" i="3"/>
  <c r="B3011" i="3"/>
  <c r="E3011" i="3"/>
  <c r="A3012" i="3"/>
  <c r="C3012" i="3"/>
  <c r="D3012" i="3"/>
  <c r="B3012" i="3"/>
  <c r="E3012" i="3"/>
  <c r="A3013" i="3"/>
  <c r="C3013" i="3"/>
  <c r="D3013" i="3"/>
  <c r="B3013" i="3"/>
  <c r="E3013" i="3"/>
  <c r="A3014" i="3"/>
  <c r="C3014" i="3"/>
  <c r="D3014" i="3"/>
  <c r="B3014" i="3"/>
  <c r="E3014" i="3"/>
  <c r="A3015" i="3"/>
  <c r="C3015" i="3"/>
  <c r="D3015" i="3"/>
  <c r="B3015" i="3"/>
  <c r="E3015" i="3"/>
  <c r="A3016" i="3"/>
  <c r="C3016" i="3"/>
  <c r="D3016" i="3"/>
  <c r="B3016" i="3"/>
  <c r="E3016" i="3"/>
  <c r="A3017" i="3"/>
  <c r="C3017" i="3"/>
  <c r="D3017" i="3"/>
  <c r="B3017" i="3"/>
  <c r="E3017" i="3"/>
  <c r="A3018" i="3"/>
  <c r="C3018" i="3"/>
  <c r="D3018" i="3"/>
  <c r="B3018" i="3"/>
  <c r="E3018" i="3"/>
  <c r="A3019" i="3"/>
  <c r="C3019" i="3"/>
  <c r="D3019" i="3"/>
  <c r="B3019" i="3"/>
  <c r="E3019" i="3"/>
  <c r="A3020" i="3"/>
  <c r="C3020" i="3"/>
  <c r="D3020" i="3"/>
  <c r="B3020" i="3"/>
  <c r="E3020" i="3"/>
  <c r="A3021" i="3"/>
  <c r="C3021" i="3"/>
  <c r="D3021" i="3"/>
  <c r="B3021" i="3"/>
  <c r="E3021" i="3"/>
  <c r="A3022" i="3"/>
  <c r="C3022" i="3"/>
  <c r="D3022" i="3"/>
  <c r="B3022" i="3"/>
  <c r="E3022" i="3"/>
  <c r="A3023" i="3"/>
  <c r="C3023" i="3"/>
  <c r="D3023" i="3"/>
  <c r="B3023" i="3"/>
  <c r="E3023" i="3"/>
  <c r="A3024" i="3"/>
  <c r="C3024" i="3"/>
  <c r="D3024" i="3"/>
  <c r="B3024" i="3"/>
  <c r="E3024" i="3"/>
  <c r="A3025" i="3"/>
  <c r="C3025" i="3"/>
  <c r="D3025" i="3"/>
  <c r="B3025" i="3"/>
  <c r="E3025" i="3"/>
  <c r="A3026" i="3"/>
  <c r="C3026" i="3"/>
  <c r="D3026" i="3"/>
  <c r="B3026" i="3"/>
  <c r="E3026" i="3"/>
  <c r="A3027" i="3"/>
  <c r="C3027" i="3"/>
  <c r="D3027" i="3"/>
  <c r="B3027" i="3"/>
  <c r="E3027" i="3"/>
  <c r="A3028" i="3"/>
  <c r="C3028" i="3"/>
  <c r="D3028" i="3"/>
  <c r="B3028" i="3"/>
  <c r="E3028" i="3"/>
  <c r="A3029" i="3"/>
  <c r="C3029" i="3"/>
  <c r="D3029" i="3"/>
  <c r="B3029" i="3"/>
  <c r="E3029" i="3"/>
  <c r="A3030" i="3"/>
  <c r="C3030" i="3"/>
  <c r="D3030" i="3"/>
  <c r="B3030" i="3"/>
  <c r="E3030" i="3"/>
  <c r="A3031" i="3"/>
  <c r="C3031" i="3"/>
  <c r="D3031" i="3"/>
  <c r="B3031" i="3"/>
  <c r="E3031" i="3"/>
  <c r="A3032" i="3"/>
  <c r="C3032" i="3"/>
  <c r="D3032" i="3"/>
  <c r="B3032" i="3"/>
  <c r="E3032" i="3"/>
  <c r="A3033" i="3"/>
  <c r="C3033" i="3"/>
  <c r="D3033" i="3"/>
  <c r="B3033" i="3"/>
  <c r="E3033" i="3"/>
  <c r="A3034" i="3"/>
  <c r="C3034" i="3"/>
  <c r="D3034" i="3"/>
  <c r="B3034" i="3"/>
  <c r="E3034" i="3"/>
  <c r="A3035" i="3"/>
  <c r="C3035" i="3"/>
  <c r="D3035" i="3"/>
  <c r="B3035" i="3"/>
  <c r="E3035" i="3"/>
  <c r="A3036" i="3"/>
  <c r="C3036" i="3"/>
  <c r="D3036" i="3"/>
  <c r="B3036" i="3"/>
  <c r="E3036" i="3"/>
  <c r="A3037" i="3"/>
  <c r="C3037" i="3"/>
  <c r="D3037" i="3"/>
  <c r="B3037" i="3"/>
  <c r="E3037" i="3"/>
  <c r="A3038" i="3"/>
  <c r="C3038" i="3"/>
  <c r="D3038" i="3"/>
  <c r="B3038" i="3"/>
  <c r="E3038" i="3"/>
  <c r="A3039" i="3"/>
  <c r="C3039" i="3"/>
  <c r="D3039" i="3"/>
  <c r="B3039" i="3"/>
  <c r="E3039" i="3"/>
  <c r="A3040" i="3"/>
  <c r="C3040" i="3"/>
  <c r="D3040" i="3"/>
  <c r="B3040" i="3"/>
  <c r="E3040" i="3"/>
  <c r="A3041" i="3"/>
  <c r="C3041" i="3"/>
  <c r="D3041" i="3"/>
  <c r="B3041" i="3"/>
  <c r="E3041" i="3"/>
  <c r="A3042" i="3"/>
  <c r="C3042" i="3"/>
  <c r="D3042" i="3"/>
  <c r="B3042" i="3"/>
  <c r="E3042" i="3"/>
  <c r="A3043" i="3"/>
  <c r="C3043" i="3"/>
  <c r="D3043" i="3"/>
  <c r="B3043" i="3"/>
  <c r="E3043" i="3"/>
  <c r="A3044" i="3"/>
  <c r="C3044" i="3"/>
  <c r="D3044" i="3"/>
  <c r="B3044" i="3"/>
  <c r="E3044" i="3"/>
  <c r="A3045" i="3"/>
  <c r="C3045" i="3"/>
  <c r="D3045" i="3"/>
  <c r="B3045" i="3"/>
  <c r="E3045" i="3"/>
  <c r="A3046" i="3"/>
  <c r="C3046" i="3"/>
  <c r="D3046" i="3"/>
  <c r="B3046" i="3"/>
  <c r="E3046" i="3"/>
  <c r="A3047" i="3"/>
  <c r="C3047" i="3"/>
  <c r="D3047" i="3"/>
  <c r="B3047" i="3"/>
  <c r="E3047" i="3"/>
  <c r="A3048" i="3"/>
  <c r="C3048" i="3"/>
  <c r="D3048" i="3"/>
  <c r="B3048" i="3"/>
  <c r="E3048" i="3"/>
  <c r="A3049" i="3"/>
  <c r="C3049" i="3"/>
  <c r="D3049" i="3"/>
  <c r="B3049" i="3"/>
  <c r="E3049" i="3"/>
  <c r="A3050" i="3"/>
  <c r="C3050" i="3"/>
  <c r="D3050" i="3"/>
  <c r="B3050" i="3"/>
  <c r="E3050" i="3"/>
  <c r="A3051" i="3"/>
  <c r="C3051" i="3"/>
  <c r="D3051" i="3"/>
  <c r="B3051" i="3"/>
  <c r="E3051" i="3"/>
  <c r="A3052" i="3"/>
  <c r="C3052" i="3"/>
  <c r="D3052" i="3"/>
  <c r="B3052" i="3"/>
  <c r="E3052" i="3"/>
  <c r="A3053" i="3"/>
  <c r="C3053" i="3"/>
  <c r="D3053" i="3"/>
  <c r="B3053" i="3"/>
  <c r="E3053" i="3"/>
  <c r="A3054" i="3"/>
  <c r="C3054" i="3"/>
  <c r="D3054" i="3"/>
  <c r="B3054" i="3"/>
  <c r="E3054" i="3"/>
  <c r="A3055" i="3"/>
  <c r="C3055" i="3"/>
  <c r="D3055" i="3"/>
  <c r="B3055" i="3"/>
  <c r="E3055" i="3"/>
  <c r="A3056" i="3"/>
  <c r="C3056" i="3"/>
  <c r="D3056" i="3"/>
  <c r="B3056" i="3"/>
  <c r="E3056" i="3"/>
  <c r="A3057" i="3"/>
  <c r="C3057" i="3"/>
  <c r="D3057" i="3"/>
  <c r="B3057" i="3"/>
  <c r="E3057" i="3"/>
  <c r="A3058" i="3"/>
  <c r="C3058" i="3"/>
  <c r="D3058" i="3"/>
  <c r="B3058" i="3"/>
  <c r="E3058" i="3"/>
  <c r="A3059" i="3"/>
  <c r="C3059" i="3"/>
  <c r="D3059" i="3"/>
  <c r="B3059" i="3"/>
  <c r="E3059" i="3"/>
  <c r="A3060" i="3"/>
  <c r="C3060" i="3"/>
  <c r="D3060" i="3"/>
  <c r="B3060" i="3"/>
  <c r="E3060" i="3"/>
  <c r="A3061" i="3"/>
  <c r="C3061" i="3"/>
  <c r="D3061" i="3"/>
  <c r="B3061" i="3"/>
  <c r="E3061" i="3"/>
  <c r="A3062" i="3"/>
  <c r="C3062" i="3"/>
  <c r="D3062" i="3"/>
  <c r="B3062" i="3"/>
  <c r="E3062" i="3"/>
  <c r="A3063" i="3"/>
  <c r="C3063" i="3"/>
  <c r="D3063" i="3"/>
  <c r="B3063" i="3"/>
  <c r="E3063" i="3"/>
  <c r="A3064" i="3"/>
  <c r="C3064" i="3"/>
  <c r="D3064" i="3"/>
  <c r="B3064" i="3"/>
  <c r="E3064" i="3"/>
  <c r="A3065" i="3"/>
  <c r="C3065" i="3"/>
  <c r="D3065" i="3"/>
  <c r="B3065" i="3"/>
  <c r="E3065" i="3"/>
  <c r="A3066" i="3"/>
  <c r="C3066" i="3"/>
  <c r="D3066" i="3"/>
  <c r="B3066" i="3"/>
  <c r="E3066" i="3"/>
  <c r="A3067" i="3"/>
  <c r="C3067" i="3"/>
  <c r="D3067" i="3"/>
  <c r="B3067" i="3"/>
  <c r="E3067" i="3"/>
  <c r="A3068" i="3"/>
  <c r="C3068" i="3"/>
  <c r="D3068" i="3"/>
  <c r="B3068" i="3"/>
  <c r="E3068" i="3"/>
  <c r="A3069" i="3"/>
  <c r="C3069" i="3"/>
  <c r="D3069" i="3"/>
  <c r="B3069" i="3"/>
  <c r="E3069" i="3"/>
  <c r="A3070" i="3"/>
  <c r="C3070" i="3"/>
  <c r="D3070" i="3"/>
  <c r="B3070" i="3"/>
  <c r="E3070" i="3"/>
  <c r="A3071" i="3"/>
  <c r="C3071" i="3"/>
  <c r="D3071" i="3"/>
  <c r="B3071" i="3"/>
  <c r="E3071" i="3"/>
  <c r="A3072" i="3"/>
  <c r="C3072" i="3"/>
  <c r="D3072" i="3"/>
  <c r="B3072" i="3"/>
  <c r="E3072" i="3"/>
  <c r="A3073" i="3"/>
  <c r="C3073" i="3"/>
  <c r="D3073" i="3"/>
  <c r="B3073" i="3"/>
  <c r="E3073" i="3"/>
  <c r="A3074" i="3"/>
  <c r="C3074" i="3"/>
  <c r="D3074" i="3"/>
  <c r="B3074" i="3"/>
  <c r="E3074" i="3"/>
  <c r="A3075" i="3"/>
  <c r="C3075" i="3"/>
  <c r="D3075" i="3"/>
  <c r="B3075" i="3"/>
  <c r="E3075" i="3"/>
  <c r="A3076" i="3"/>
  <c r="C3076" i="3"/>
  <c r="D3076" i="3"/>
  <c r="B3076" i="3"/>
  <c r="E3076" i="3"/>
  <c r="A3077" i="3"/>
  <c r="C3077" i="3"/>
  <c r="D3077" i="3"/>
  <c r="B3077" i="3"/>
  <c r="E3077" i="3"/>
  <c r="A3078" i="3"/>
  <c r="C3078" i="3"/>
  <c r="D3078" i="3"/>
  <c r="B3078" i="3"/>
  <c r="E3078" i="3"/>
  <c r="A3079" i="3"/>
  <c r="C3079" i="3"/>
  <c r="D3079" i="3"/>
  <c r="B3079" i="3"/>
  <c r="E3079" i="3"/>
  <c r="A3080" i="3"/>
  <c r="C3080" i="3"/>
  <c r="D3080" i="3"/>
  <c r="B3080" i="3"/>
  <c r="E3080" i="3"/>
  <c r="A3081" i="3"/>
  <c r="C3081" i="3"/>
  <c r="D3081" i="3"/>
  <c r="B3081" i="3"/>
  <c r="E3081" i="3"/>
  <c r="A3082" i="3"/>
  <c r="C3082" i="3"/>
  <c r="D3082" i="3"/>
  <c r="B3082" i="3"/>
  <c r="E3082" i="3"/>
  <c r="A3083" i="3"/>
  <c r="C3083" i="3"/>
  <c r="D3083" i="3"/>
  <c r="B3083" i="3"/>
  <c r="E3083" i="3"/>
  <c r="A3084" i="3"/>
  <c r="C3084" i="3"/>
  <c r="D3084" i="3"/>
  <c r="B3084" i="3"/>
  <c r="E3084" i="3"/>
  <c r="A3085" i="3"/>
  <c r="C3085" i="3"/>
  <c r="D3085" i="3"/>
  <c r="B3085" i="3"/>
  <c r="E3085" i="3"/>
  <c r="A3086" i="3"/>
  <c r="C3086" i="3"/>
  <c r="D3086" i="3"/>
  <c r="B3086" i="3"/>
  <c r="E3086" i="3"/>
  <c r="A3087" i="3"/>
  <c r="C3087" i="3"/>
  <c r="D3087" i="3"/>
  <c r="B3087" i="3"/>
  <c r="E3087" i="3"/>
  <c r="A3088" i="3"/>
  <c r="C3088" i="3"/>
  <c r="D3088" i="3"/>
  <c r="B3088" i="3"/>
  <c r="E3088" i="3"/>
  <c r="A3089" i="3"/>
  <c r="C3089" i="3"/>
  <c r="D3089" i="3"/>
  <c r="B3089" i="3"/>
  <c r="E3089" i="3"/>
  <c r="A3090" i="3"/>
  <c r="C3090" i="3"/>
  <c r="D3090" i="3"/>
  <c r="B3090" i="3"/>
  <c r="E3090" i="3"/>
  <c r="A3091" i="3"/>
  <c r="C3091" i="3"/>
  <c r="D3091" i="3"/>
  <c r="B3091" i="3"/>
  <c r="E3091" i="3"/>
  <c r="A3092" i="3"/>
  <c r="C3092" i="3"/>
  <c r="D3092" i="3"/>
  <c r="B3092" i="3"/>
  <c r="E3092" i="3"/>
  <c r="A3093" i="3"/>
  <c r="C3093" i="3"/>
  <c r="D3093" i="3"/>
  <c r="B3093" i="3"/>
  <c r="E3093" i="3"/>
  <c r="A3094" i="3"/>
  <c r="C3094" i="3"/>
  <c r="D3094" i="3"/>
  <c r="B3094" i="3"/>
  <c r="E3094" i="3"/>
  <c r="A3095" i="3"/>
  <c r="C3095" i="3"/>
  <c r="D3095" i="3"/>
  <c r="B3095" i="3"/>
  <c r="E3095" i="3"/>
  <c r="A3096" i="3"/>
  <c r="C3096" i="3"/>
  <c r="D3096" i="3"/>
  <c r="B3096" i="3"/>
  <c r="E3096" i="3"/>
  <c r="A3097" i="3"/>
  <c r="C3097" i="3"/>
  <c r="D3097" i="3"/>
  <c r="B3097" i="3"/>
  <c r="E3097" i="3"/>
  <c r="A3098" i="3"/>
  <c r="C3098" i="3"/>
  <c r="D3098" i="3"/>
  <c r="B3098" i="3"/>
  <c r="E3098" i="3"/>
  <c r="A3099" i="3"/>
  <c r="C3099" i="3"/>
  <c r="D3099" i="3"/>
  <c r="B3099" i="3"/>
  <c r="E3099" i="3"/>
  <c r="A3100" i="3"/>
  <c r="C3100" i="3"/>
  <c r="D3100" i="3"/>
  <c r="B3100" i="3"/>
  <c r="E3100" i="3"/>
  <c r="A3101" i="3"/>
  <c r="C3101" i="3"/>
  <c r="D3101" i="3"/>
  <c r="B3101" i="3"/>
  <c r="E3101" i="3"/>
  <c r="A3102" i="3"/>
  <c r="C3102" i="3"/>
  <c r="D3102" i="3"/>
  <c r="B3102" i="3"/>
  <c r="E3102" i="3"/>
  <c r="A3103" i="3"/>
  <c r="C3103" i="3"/>
  <c r="D3103" i="3"/>
  <c r="B3103" i="3"/>
  <c r="E3103" i="3"/>
  <c r="A3104" i="3"/>
  <c r="C3104" i="3"/>
  <c r="D3104" i="3"/>
  <c r="B3104" i="3"/>
  <c r="E3104" i="3"/>
  <c r="A3105" i="3"/>
  <c r="C3105" i="3"/>
  <c r="D3105" i="3"/>
  <c r="B3105" i="3"/>
  <c r="E3105" i="3"/>
  <c r="A3106" i="3"/>
  <c r="C3106" i="3"/>
  <c r="D3106" i="3"/>
  <c r="B3106" i="3"/>
  <c r="E3106" i="3"/>
  <c r="A3107" i="3"/>
  <c r="C3107" i="3"/>
  <c r="D3107" i="3"/>
  <c r="B3107" i="3"/>
  <c r="E3107" i="3"/>
  <c r="A3108" i="3"/>
  <c r="C3108" i="3"/>
  <c r="D3108" i="3"/>
  <c r="B3108" i="3"/>
  <c r="E3108" i="3"/>
  <c r="A3109" i="3"/>
  <c r="C3109" i="3"/>
  <c r="D3109" i="3"/>
  <c r="B3109" i="3"/>
  <c r="E3109" i="3"/>
  <c r="A3110" i="3"/>
  <c r="C3110" i="3"/>
  <c r="D3110" i="3"/>
  <c r="B3110" i="3"/>
  <c r="E3110" i="3"/>
  <c r="A3111" i="3"/>
  <c r="C3111" i="3"/>
  <c r="D3111" i="3"/>
  <c r="B3111" i="3"/>
  <c r="E3111" i="3"/>
  <c r="A3112" i="3"/>
  <c r="C3112" i="3"/>
  <c r="D3112" i="3"/>
  <c r="B3112" i="3"/>
  <c r="E3112" i="3"/>
  <c r="A3113" i="3"/>
  <c r="C3113" i="3"/>
  <c r="D3113" i="3"/>
  <c r="B3113" i="3"/>
  <c r="E3113" i="3"/>
  <c r="A3114" i="3"/>
  <c r="C3114" i="3"/>
  <c r="D3114" i="3"/>
  <c r="B3114" i="3"/>
  <c r="E3114" i="3"/>
  <c r="A3115" i="3"/>
  <c r="C3115" i="3"/>
  <c r="D3115" i="3"/>
  <c r="B3115" i="3"/>
  <c r="E3115" i="3"/>
  <c r="A3116" i="3"/>
  <c r="C3116" i="3"/>
  <c r="D3116" i="3"/>
  <c r="B3116" i="3"/>
  <c r="E3116" i="3"/>
  <c r="A3117" i="3"/>
  <c r="C3117" i="3"/>
  <c r="D3117" i="3"/>
  <c r="B3117" i="3"/>
  <c r="E3117" i="3"/>
  <c r="A3118" i="3"/>
  <c r="C3118" i="3"/>
  <c r="D3118" i="3"/>
  <c r="B3118" i="3"/>
  <c r="E3118" i="3"/>
  <c r="A3119" i="3"/>
  <c r="C3119" i="3"/>
  <c r="D3119" i="3"/>
  <c r="B3119" i="3"/>
  <c r="E3119" i="3"/>
  <c r="A3120" i="3"/>
  <c r="C3120" i="3"/>
  <c r="D3120" i="3"/>
  <c r="B3120" i="3"/>
  <c r="E3120" i="3"/>
  <c r="A3121" i="3"/>
  <c r="C3121" i="3"/>
  <c r="D3121" i="3"/>
  <c r="B3121" i="3"/>
  <c r="E3121" i="3"/>
  <c r="A3122" i="3"/>
  <c r="C3122" i="3"/>
  <c r="D3122" i="3"/>
  <c r="B3122" i="3"/>
  <c r="E3122" i="3"/>
  <c r="A3123" i="3"/>
  <c r="C3123" i="3"/>
  <c r="D3123" i="3"/>
  <c r="B3123" i="3"/>
  <c r="E3123" i="3"/>
  <c r="A3124" i="3"/>
  <c r="C3124" i="3"/>
  <c r="D3124" i="3"/>
  <c r="B3124" i="3"/>
  <c r="E3124" i="3"/>
  <c r="A3125" i="3"/>
  <c r="C3125" i="3"/>
  <c r="D3125" i="3"/>
  <c r="B3125" i="3"/>
  <c r="E3125" i="3"/>
  <c r="A3126" i="3"/>
  <c r="C3126" i="3"/>
  <c r="D3126" i="3"/>
  <c r="B3126" i="3"/>
  <c r="E3126" i="3"/>
  <c r="A3127" i="3"/>
  <c r="C3127" i="3"/>
  <c r="D3127" i="3"/>
  <c r="B3127" i="3"/>
  <c r="E3127" i="3"/>
  <c r="A3128" i="3"/>
  <c r="C3128" i="3"/>
  <c r="D3128" i="3"/>
  <c r="B3128" i="3"/>
  <c r="E3128" i="3"/>
  <c r="A3129" i="3"/>
  <c r="C3129" i="3"/>
  <c r="D3129" i="3"/>
  <c r="B3129" i="3"/>
  <c r="E3129" i="3"/>
  <c r="A3130" i="3"/>
  <c r="C3130" i="3"/>
  <c r="D3130" i="3"/>
  <c r="B3130" i="3"/>
  <c r="E3130" i="3"/>
  <c r="A3131" i="3"/>
  <c r="C3131" i="3"/>
  <c r="D3131" i="3"/>
  <c r="B3131" i="3"/>
  <c r="E3131" i="3"/>
  <c r="A3132" i="3"/>
  <c r="C3132" i="3"/>
  <c r="D3132" i="3"/>
  <c r="B3132" i="3"/>
  <c r="E3132" i="3"/>
  <c r="A3133" i="3"/>
  <c r="C3133" i="3"/>
  <c r="D3133" i="3"/>
  <c r="B3133" i="3"/>
  <c r="E3133" i="3"/>
  <c r="A3134" i="3"/>
  <c r="C3134" i="3"/>
  <c r="D3134" i="3"/>
  <c r="B3134" i="3"/>
  <c r="E3134" i="3"/>
  <c r="A3135" i="3"/>
  <c r="C3135" i="3"/>
  <c r="D3135" i="3"/>
  <c r="B3135" i="3"/>
  <c r="E3135" i="3"/>
  <c r="A3136" i="3"/>
  <c r="C3136" i="3"/>
  <c r="D3136" i="3"/>
  <c r="B3136" i="3"/>
  <c r="E3136" i="3"/>
  <c r="A3137" i="3"/>
  <c r="C3137" i="3"/>
  <c r="D3137" i="3"/>
  <c r="B3137" i="3"/>
  <c r="E3137" i="3"/>
  <c r="A3138" i="3"/>
  <c r="C3138" i="3"/>
  <c r="D3138" i="3"/>
  <c r="B3138" i="3"/>
  <c r="E3138" i="3"/>
  <c r="A3139" i="3"/>
  <c r="C3139" i="3"/>
  <c r="D3139" i="3"/>
  <c r="B3139" i="3"/>
  <c r="E3139" i="3"/>
  <c r="A3140" i="3"/>
  <c r="C3140" i="3"/>
  <c r="D3140" i="3"/>
  <c r="B3140" i="3"/>
  <c r="E3140" i="3"/>
  <c r="A3141" i="3"/>
  <c r="C3141" i="3"/>
  <c r="D3141" i="3"/>
  <c r="B3141" i="3"/>
  <c r="E3141" i="3"/>
  <c r="A3142" i="3"/>
  <c r="C3142" i="3"/>
  <c r="D3142" i="3"/>
  <c r="B3142" i="3"/>
  <c r="E3142" i="3"/>
  <c r="A3143" i="3"/>
  <c r="C3143" i="3"/>
  <c r="D3143" i="3"/>
  <c r="B3143" i="3"/>
  <c r="E3143" i="3"/>
  <c r="A3144" i="3"/>
  <c r="C3144" i="3"/>
  <c r="D3144" i="3"/>
  <c r="B3144" i="3"/>
  <c r="E3144" i="3"/>
  <c r="A3145" i="3"/>
  <c r="C3145" i="3"/>
  <c r="D3145" i="3"/>
  <c r="B3145" i="3"/>
  <c r="E3145" i="3"/>
  <c r="A3146" i="3"/>
  <c r="C3146" i="3"/>
  <c r="D3146" i="3"/>
  <c r="B3146" i="3"/>
  <c r="E3146" i="3"/>
  <c r="A3147" i="3"/>
  <c r="C3147" i="3"/>
  <c r="D3147" i="3"/>
  <c r="B3147" i="3"/>
  <c r="E3147" i="3"/>
  <c r="A3148" i="3"/>
  <c r="C3148" i="3"/>
  <c r="D3148" i="3"/>
  <c r="B3148" i="3"/>
  <c r="E3148" i="3"/>
  <c r="A3149" i="3"/>
  <c r="C3149" i="3"/>
  <c r="D3149" i="3"/>
  <c r="B3149" i="3"/>
  <c r="E3149" i="3"/>
  <c r="A3150" i="3"/>
  <c r="C3150" i="3"/>
  <c r="D3150" i="3"/>
  <c r="B3150" i="3"/>
  <c r="E3150" i="3"/>
  <c r="A3151" i="3"/>
  <c r="C3151" i="3"/>
  <c r="D3151" i="3"/>
  <c r="B3151" i="3"/>
  <c r="E3151" i="3"/>
  <c r="A3152" i="3"/>
  <c r="C3152" i="3"/>
  <c r="D3152" i="3"/>
  <c r="B3152" i="3"/>
  <c r="E3152" i="3"/>
  <c r="A3153" i="3"/>
  <c r="C3153" i="3"/>
  <c r="D3153" i="3"/>
  <c r="B3153" i="3"/>
  <c r="E3153" i="3"/>
  <c r="A3154" i="3"/>
  <c r="C3154" i="3"/>
  <c r="D3154" i="3"/>
  <c r="B3154" i="3"/>
  <c r="E3154" i="3"/>
  <c r="A3155" i="3"/>
  <c r="C3155" i="3"/>
  <c r="D3155" i="3"/>
  <c r="B3155" i="3"/>
  <c r="E3155" i="3"/>
  <c r="A3156" i="3"/>
  <c r="C3156" i="3"/>
  <c r="D3156" i="3"/>
  <c r="B3156" i="3"/>
  <c r="E3156" i="3"/>
  <c r="A3157" i="3"/>
  <c r="C3157" i="3"/>
  <c r="D3157" i="3"/>
  <c r="B3157" i="3"/>
  <c r="E3157" i="3"/>
  <c r="A3158" i="3"/>
  <c r="C3158" i="3"/>
  <c r="D3158" i="3"/>
  <c r="B3158" i="3"/>
  <c r="E3158" i="3"/>
  <c r="A3159" i="3"/>
  <c r="C3159" i="3"/>
  <c r="D3159" i="3"/>
  <c r="B3159" i="3"/>
  <c r="E3159" i="3"/>
  <c r="A3160" i="3"/>
  <c r="C3160" i="3"/>
  <c r="D3160" i="3"/>
  <c r="B3160" i="3"/>
  <c r="E3160" i="3"/>
  <c r="A3161" i="3"/>
  <c r="C3161" i="3"/>
  <c r="D3161" i="3"/>
  <c r="B3161" i="3"/>
  <c r="E3161" i="3"/>
  <c r="A3162" i="3"/>
  <c r="C3162" i="3"/>
  <c r="D3162" i="3"/>
  <c r="B3162" i="3"/>
  <c r="E3162" i="3"/>
  <c r="A3163" i="3"/>
  <c r="C3163" i="3"/>
  <c r="D3163" i="3"/>
  <c r="B3163" i="3"/>
  <c r="E3163" i="3"/>
  <c r="A3164" i="3"/>
  <c r="C3164" i="3"/>
  <c r="D3164" i="3"/>
  <c r="B3164" i="3"/>
  <c r="E3164" i="3"/>
  <c r="A3165" i="3"/>
  <c r="C3165" i="3"/>
  <c r="D3165" i="3"/>
  <c r="B3165" i="3"/>
  <c r="E3165" i="3"/>
  <c r="A3166" i="3"/>
  <c r="C3166" i="3"/>
  <c r="D3166" i="3"/>
  <c r="B3166" i="3"/>
  <c r="E3166" i="3"/>
  <c r="A3167" i="3"/>
  <c r="C3167" i="3"/>
  <c r="D3167" i="3"/>
  <c r="B3167" i="3"/>
  <c r="E3167" i="3"/>
  <c r="A3168" i="3"/>
  <c r="C3168" i="3"/>
  <c r="D3168" i="3"/>
  <c r="B3168" i="3"/>
  <c r="E3168" i="3"/>
  <c r="A3169" i="3"/>
  <c r="C3169" i="3"/>
  <c r="D3169" i="3"/>
  <c r="B3169" i="3"/>
  <c r="E3169" i="3"/>
  <c r="A3170" i="3"/>
  <c r="C3170" i="3"/>
  <c r="D3170" i="3"/>
  <c r="B3170" i="3"/>
  <c r="E3170" i="3"/>
  <c r="A3171" i="3"/>
  <c r="C3171" i="3"/>
  <c r="D3171" i="3"/>
  <c r="B3171" i="3"/>
  <c r="E3171" i="3"/>
  <c r="A3172" i="3"/>
  <c r="C3172" i="3"/>
  <c r="D3172" i="3"/>
  <c r="B3172" i="3"/>
  <c r="E3172" i="3"/>
  <c r="A3173" i="3"/>
  <c r="C3173" i="3"/>
  <c r="D3173" i="3"/>
  <c r="B3173" i="3"/>
  <c r="E3173" i="3"/>
  <c r="A3174" i="3"/>
  <c r="C3174" i="3"/>
  <c r="D3174" i="3"/>
  <c r="B3174" i="3"/>
  <c r="E3174" i="3"/>
  <c r="A3175" i="3"/>
  <c r="C3175" i="3"/>
  <c r="D3175" i="3"/>
  <c r="B3175" i="3"/>
  <c r="E3175" i="3"/>
  <c r="A3176" i="3"/>
  <c r="C3176" i="3"/>
  <c r="D3176" i="3"/>
  <c r="B3176" i="3"/>
  <c r="E3176" i="3"/>
  <c r="A3177" i="3"/>
  <c r="C3177" i="3"/>
  <c r="D3177" i="3"/>
  <c r="B3177" i="3"/>
  <c r="E3177" i="3"/>
  <c r="A3178" i="3"/>
  <c r="C3178" i="3"/>
  <c r="D3178" i="3"/>
  <c r="B3178" i="3"/>
  <c r="E3178" i="3"/>
  <c r="A3179" i="3"/>
  <c r="C3179" i="3"/>
  <c r="D3179" i="3"/>
  <c r="B3179" i="3"/>
  <c r="E3179" i="3"/>
  <c r="A3180" i="3"/>
  <c r="C3180" i="3"/>
  <c r="D3180" i="3"/>
  <c r="B3180" i="3"/>
  <c r="E3180" i="3"/>
  <c r="A3181" i="3"/>
  <c r="C3181" i="3"/>
  <c r="D3181" i="3"/>
  <c r="B3181" i="3"/>
  <c r="E3181" i="3"/>
  <c r="A3182" i="3"/>
  <c r="C3182" i="3"/>
  <c r="D3182" i="3"/>
  <c r="B3182" i="3"/>
  <c r="E3182" i="3"/>
  <c r="A3183" i="3"/>
  <c r="C3183" i="3"/>
  <c r="D3183" i="3"/>
  <c r="B3183" i="3"/>
  <c r="E3183" i="3"/>
  <c r="A3184" i="3"/>
  <c r="C3184" i="3"/>
  <c r="D3184" i="3"/>
  <c r="B3184" i="3"/>
  <c r="E3184" i="3"/>
  <c r="A3185" i="3"/>
  <c r="C3185" i="3"/>
  <c r="D3185" i="3"/>
  <c r="B3185" i="3"/>
  <c r="E3185" i="3"/>
  <c r="A3186" i="3"/>
  <c r="C3186" i="3"/>
  <c r="D3186" i="3"/>
  <c r="B3186" i="3"/>
  <c r="E3186" i="3"/>
  <c r="A3187" i="3"/>
  <c r="C3187" i="3"/>
  <c r="D3187" i="3"/>
  <c r="B3187" i="3"/>
  <c r="E3187" i="3"/>
  <c r="A3188" i="3"/>
  <c r="C3188" i="3"/>
  <c r="D3188" i="3"/>
  <c r="B3188" i="3"/>
  <c r="E3188" i="3"/>
  <c r="A3189" i="3"/>
  <c r="C3189" i="3"/>
  <c r="D3189" i="3"/>
  <c r="B3189" i="3"/>
  <c r="E3189" i="3"/>
  <c r="A3190" i="3"/>
  <c r="C3190" i="3"/>
  <c r="D3190" i="3"/>
  <c r="B3190" i="3"/>
  <c r="E3190" i="3"/>
  <c r="A3191" i="3"/>
  <c r="C3191" i="3"/>
  <c r="D3191" i="3"/>
  <c r="B3191" i="3"/>
  <c r="E3191" i="3"/>
  <c r="A3192" i="3"/>
  <c r="C3192" i="3"/>
  <c r="D3192" i="3"/>
  <c r="B3192" i="3"/>
  <c r="E3192" i="3"/>
  <c r="A3193" i="3"/>
  <c r="C3193" i="3"/>
  <c r="D3193" i="3"/>
  <c r="B3193" i="3"/>
  <c r="E3193" i="3"/>
  <c r="A3194" i="3"/>
  <c r="C3194" i="3"/>
  <c r="D3194" i="3"/>
  <c r="B3194" i="3"/>
  <c r="E3194" i="3"/>
  <c r="A3195" i="3"/>
  <c r="C3195" i="3"/>
  <c r="D3195" i="3"/>
  <c r="B3195" i="3"/>
  <c r="E3195" i="3"/>
  <c r="A3196" i="3"/>
  <c r="C3196" i="3"/>
  <c r="D3196" i="3"/>
  <c r="B3196" i="3"/>
  <c r="E3196" i="3"/>
  <c r="A3197" i="3"/>
  <c r="C3197" i="3"/>
  <c r="D3197" i="3"/>
  <c r="B3197" i="3"/>
  <c r="E3197" i="3"/>
  <c r="A3198" i="3"/>
  <c r="C3198" i="3"/>
  <c r="D3198" i="3"/>
  <c r="B3198" i="3"/>
  <c r="E3198" i="3"/>
  <c r="A3199" i="3"/>
  <c r="C3199" i="3"/>
  <c r="D3199" i="3"/>
  <c r="B3199" i="3"/>
  <c r="E3199" i="3"/>
  <c r="A3200" i="3"/>
  <c r="C3200" i="3"/>
  <c r="D3200" i="3"/>
  <c r="B3200" i="3"/>
  <c r="E3200" i="3"/>
  <c r="A3201" i="3"/>
  <c r="C3201" i="3"/>
  <c r="D3201" i="3"/>
  <c r="B3201" i="3"/>
  <c r="E3201" i="3"/>
  <c r="A3202" i="3"/>
  <c r="C3202" i="3"/>
  <c r="D3202" i="3"/>
  <c r="B3202" i="3"/>
  <c r="E3202" i="3"/>
  <c r="A3203" i="3"/>
  <c r="C3203" i="3"/>
  <c r="D3203" i="3"/>
  <c r="B3203" i="3"/>
  <c r="E3203" i="3"/>
  <c r="A3204" i="3"/>
  <c r="C3204" i="3"/>
  <c r="D3204" i="3"/>
  <c r="B3204" i="3"/>
  <c r="E3204" i="3"/>
  <c r="A3205" i="3"/>
  <c r="C3205" i="3"/>
  <c r="D3205" i="3"/>
  <c r="B3205" i="3"/>
  <c r="E3205" i="3"/>
  <c r="A3206" i="3"/>
  <c r="C3206" i="3"/>
  <c r="D3206" i="3"/>
  <c r="B3206" i="3"/>
  <c r="E3206" i="3"/>
  <c r="A3207" i="3"/>
  <c r="C3207" i="3"/>
  <c r="D3207" i="3"/>
  <c r="B3207" i="3"/>
  <c r="E3207" i="3"/>
  <c r="A3208" i="3"/>
  <c r="C3208" i="3"/>
  <c r="D3208" i="3"/>
  <c r="B3208" i="3"/>
  <c r="E3208" i="3"/>
  <c r="A3209" i="3"/>
  <c r="C3209" i="3"/>
  <c r="D3209" i="3"/>
  <c r="B3209" i="3"/>
  <c r="E3209" i="3"/>
  <c r="A3210" i="3"/>
  <c r="C3210" i="3"/>
  <c r="D3210" i="3"/>
  <c r="B3210" i="3"/>
  <c r="E3210" i="3"/>
  <c r="A3211" i="3"/>
  <c r="C3211" i="3"/>
  <c r="D3211" i="3"/>
  <c r="B3211" i="3"/>
  <c r="E3211" i="3"/>
  <c r="A3212" i="3"/>
  <c r="C3212" i="3"/>
  <c r="D3212" i="3"/>
  <c r="B3212" i="3"/>
  <c r="E3212" i="3"/>
  <c r="A3213" i="3"/>
  <c r="C3213" i="3"/>
  <c r="D3213" i="3"/>
  <c r="B3213" i="3"/>
  <c r="E3213" i="3"/>
  <c r="A3214" i="3"/>
  <c r="C3214" i="3"/>
  <c r="D3214" i="3"/>
  <c r="B3214" i="3"/>
  <c r="E3214" i="3"/>
  <c r="A3215" i="3"/>
  <c r="C3215" i="3"/>
  <c r="D3215" i="3"/>
  <c r="B3215" i="3"/>
  <c r="E3215" i="3"/>
  <c r="A3216" i="3"/>
  <c r="C3216" i="3"/>
  <c r="D3216" i="3"/>
  <c r="B3216" i="3"/>
  <c r="E3216" i="3"/>
  <c r="A3217" i="3"/>
  <c r="C3217" i="3"/>
  <c r="D3217" i="3"/>
  <c r="B3217" i="3"/>
  <c r="E3217" i="3"/>
  <c r="A3218" i="3"/>
  <c r="C3218" i="3"/>
  <c r="D3218" i="3"/>
  <c r="B3218" i="3"/>
  <c r="E3218" i="3"/>
  <c r="A3219" i="3"/>
  <c r="C3219" i="3"/>
  <c r="D3219" i="3"/>
  <c r="B3219" i="3"/>
  <c r="E3219" i="3"/>
  <c r="A3220" i="3"/>
  <c r="C3220" i="3"/>
  <c r="D3220" i="3"/>
  <c r="B3220" i="3"/>
  <c r="E3220" i="3"/>
  <c r="A3221" i="3"/>
  <c r="C3221" i="3"/>
  <c r="D3221" i="3"/>
  <c r="B3221" i="3"/>
  <c r="E3221" i="3"/>
  <c r="A3222" i="3"/>
  <c r="C3222" i="3"/>
  <c r="D3222" i="3"/>
  <c r="B3222" i="3"/>
  <c r="E3222" i="3"/>
  <c r="A3223" i="3"/>
  <c r="C3223" i="3"/>
  <c r="D3223" i="3"/>
  <c r="B3223" i="3"/>
  <c r="E3223" i="3"/>
  <c r="A3224" i="3"/>
  <c r="C3224" i="3"/>
  <c r="D3224" i="3"/>
  <c r="B3224" i="3"/>
  <c r="E3224" i="3"/>
  <c r="A3225" i="3"/>
  <c r="C3225" i="3"/>
  <c r="D3225" i="3"/>
  <c r="B3225" i="3"/>
  <c r="E3225" i="3"/>
  <c r="A3226" i="3"/>
  <c r="C3226" i="3"/>
  <c r="D3226" i="3"/>
  <c r="B3226" i="3"/>
  <c r="E3226" i="3"/>
  <c r="A3227" i="3"/>
  <c r="C3227" i="3"/>
  <c r="D3227" i="3"/>
  <c r="B3227" i="3"/>
  <c r="E3227" i="3"/>
  <c r="A3228" i="3"/>
  <c r="C3228" i="3"/>
  <c r="D3228" i="3"/>
  <c r="B3228" i="3"/>
  <c r="E3228" i="3"/>
  <c r="A3229" i="3"/>
  <c r="C3229" i="3"/>
  <c r="D3229" i="3"/>
  <c r="B3229" i="3"/>
  <c r="E3229" i="3"/>
  <c r="A3230" i="3"/>
  <c r="C3230" i="3"/>
  <c r="D3230" i="3"/>
  <c r="B3230" i="3"/>
  <c r="E3230" i="3"/>
  <c r="A3231" i="3"/>
  <c r="C3231" i="3"/>
  <c r="D3231" i="3"/>
  <c r="B3231" i="3"/>
  <c r="E3231" i="3"/>
  <c r="A3232" i="3"/>
  <c r="C3232" i="3"/>
  <c r="D3232" i="3"/>
  <c r="B3232" i="3"/>
  <c r="E3232" i="3"/>
  <c r="A3233" i="3"/>
  <c r="C3233" i="3"/>
  <c r="D3233" i="3"/>
  <c r="B3233" i="3"/>
  <c r="E3233" i="3"/>
  <c r="A3234" i="3"/>
  <c r="C3234" i="3"/>
  <c r="D3234" i="3"/>
  <c r="B3234" i="3"/>
  <c r="E3234" i="3"/>
  <c r="A3235" i="3"/>
  <c r="C3235" i="3"/>
  <c r="D3235" i="3"/>
  <c r="B3235" i="3"/>
  <c r="E3235" i="3"/>
  <c r="A3236" i="3"/>
  <c r="C3236" i="3"/>
  <c r="D3236" i="3"/>
  <c r="B3236" i="3"/>
  <c r="E3236" i="3"/>
  <c r="A3237" i="3"/>
  <c r="C3237" i="3"/>
  <c r="D3237" i="3"/>
  <c r="B3237" i="3"/>
  <c r="E3237" i="3"/>
  <c r="A3238" i="3"/>
  <c r="C3238" i="3"/>
  <c r="D3238" i="3"/>
  <c r="B3238" i="3"/>
  <c r="E3238" i="3"/>
  <c r="A3239" i="3"/>
  <c r="C3239" i="3"/>
  <c r="D3239" i="3"/>
  <c r="B3239" i="3"/>
  <c r="E3239" i="3"/>
  <c r="A3240" i="3"/>
  <c r="C3240" i="3"/>
  <c r="D3240" i="3"/>
  <c r="B3240" i="3"/>
  <c r="E3240" i="3"/>
  <c r="A3241" i="3"/>
  <c r="C3241" i="3"/>
  <c r="D3241" i="3"/>
  <c r="B3241" i="3"/>
  <c r="E3241" i="3"/>
  <c r="A3242" i="3"/>
  <c r="C3242" i="3"/>
  <c r="D3242" i="3"/>
  <c r="B3242" i="3"/>
  <c r="E3242" i="3"/>
  <c r="A3243" i="3"/>
  <c r="C3243" i="3"/>
  <c r="D3243" i="3"/>
  <c r="B3243" i="3"/>
  <c r="E3243" i="3"/>
  <c r="A3244" i="3"/>
  <c r="C3244" i="3"/>
  <c r="D3244" i="3"/>
  <c r="B3244" i="3"/>
  <c r="E3244" i="3"/>
  <c r="A3245" i="3"/>
  <c r="C3245" i="3"/>
  <c r="D3245" i="3"/>
  <c r="B3245" i="3"/>
  <c r="E3245" i="3"/>
  <c r="A3246" i="3"/>
  <c r="C3246" i="3"/>
  <c r="D3246" i="3"/>
  <c r="B3246" i="3"/>
  <c r="E3246" i="3"/>
  <c r="A3247" i="3"/>
  <c r="C3247" i="3"/>
  <c r="D3247" i="3"/>
  <c r="B3247" i="3"/>
  <c r="E3247" i="3"/>
  <c r="A3248" i="3"/>
  <c r="C3248" i="3"/>
  <c r="D3248" i="3"/>
  <c r="B3248" i="3"/>
  <c r="E3248" i="3"/>
  <c r="A3249" i="3"/>
  <c r="C3249" i="3"/>
  <c r="D3249" i="3"/>
  <c r="B3249" i="3"/>
  <c r="E3249" i="3"/>
  <c r="A3250" i="3"/>
  <c r="C3250" i="3"/>
  <c r="D3250" i="3"/>
  <c r="B3250" i="3"/>
  <c r="E3250" i="3"/>
  <c r="A3251" i="3"/>
  <c r="C3251" i="3"/>
  <c r="D3251" i="3"/>
  <c r="B3251" i="3"/>
  <c r="E3251" i="3"/>
  <c r="A3252" i="3"/>
  <c r="C3252" i="3"/>
  <c r="D3252" i="3"/>
  <c r="B3252" i="3"/>
  <c r="E3252" i="3"/>
  <c r="A3253" i="3"/>
  <c r="C3253" i="3"/>
  <c r="D3253" i="3"/>
  <c r="B3253" i="3"/>
  <c r="E3253" i="3"/>
  <c r="A3254" i="3"/>
  <c r="C3254" i="3"/>
  <c r="D3254" i="3"/>
  <c r="B3254" i="3"/>
  <c r="E3254" i="3"/>
  <c r="A3255" i="3"/>
  <c r="C3255" i="3"/>
  <c r="D3255" i="3"/>
  <c r="B3255" i="3"/>
  <c r="E3255" i="3"/>
  <c r="A3256" i="3"/>
  <c r="C3256" i="3"/>
  <c r="D3256" i="3"/>
  <c r="B3256" i="3"/>
  <c r="E3256" i="3"/>
  <c r="A3257" i="3"/>
  <c r="C3257" i="3"/>
  <c r="D3257" i="3"/>
  <c r="B3257" i="3"/>
  <c r="E3257" i="3"/>
  <c r="A3258" i="3"/>
  <c r="C3258" i="3"/>
  <c r="D3258" i="3"/>
  <c r="B3258" i="3"/>
  <c r="E3258" i="3"/>
  <c r="A3259" i="3"/>
  <c r="C3259" i="3"/>
  <c r="D3259" i="3"/>
  <c r="B3259" i="3"/>
  <c r="E3259" i="3"/>
  <c r="A3260" i="3"/>
  <c r="C3260" i="3"/>
  <c r="D3260" i="3"/>
  <c r="B3260" i="3"/>
  <c r="E3260" i="3"/>
  <c r="A3261" i="3"/>
  <c r="C3261" i="3"/>
  <c r="D3261" i="3"/>
  <c r="B3261" i="3"/>
  <c r="E3261" i="3"/>
  <c r="A3262" i="3"/>
  <c r="C3262" i="3"/>
  <c r="D3262" i="3"/>
  <c r="B3262" i="3"/>
  <c r="E3262" i="3"/>
  <c r="A3263" i="3"/>
  <c r="C3263" i="3"/>
  <c r="D3263" i="3"/>
  <c r="B3263" i="3"/>
  <c r="E3263" i="3"/>
  <c r="A3264" i="3"/>
  <c r="C3264" i="3"/>
  <c r="D3264" i="3"/>
  <c r="B3264" i="3"/>
  <c r="E3264" i="3"/>
  <c r="A3265" i="3"/>
  <c r="C3265" i="3"/>
  <c r="D3265" i="3"/>
  <c r="B3265" i="3"/>
  <c r="E3265" i="3"/>
  <c r="A3266" i="3"/>
  <c r="C3266" i="3"/>
  <c r="D3266" i="3"/>
  <c r="B3266" i="3"/>
  <c r="E3266" i="3"/>
  <c r="A3267" i="3"/>
  <c r="C3267" i="3"/>
  <c r="D3267" i="3"/>
  <c r="B3267" i="3"/>
  <c r="E3267" i="3"/>
  <c r="A3268" i="3"/>
  <c r="C3268" i="3"/>
  <c r="D3268" i="3"/>
  <c r="B3268" i="3"/>
  <c r="E3268" i="3"/>
  <c r="A3269" i="3"/>
  <c r="C3269" i="3"/>
  <c r="D3269" i="3"/>
  <c r="B3269" i="3"/>
  <c r="E3269" i="3"/>
  <c r="A3270" i="3"/>
  <c r="C3270" i="3"/>
  <c r="D3270" i="3"/>
  <c r="B3270" i="3"/>
  <c r="E3270" i="3"/>
  <c r="A3271" i="3"/>
  <c r="C3271" i="3"/>
  <c r="D3271" i="3"/>
  <c r="B3271" i="3"/>
  <c r="E3271" i="3"/>
  <c r="A3272" i="3"/>
  <c r="C3272" i="3"/>
  <c r="D3272" i="3"/>
  <c r="B3272" i="3"/>
  <c r="E3272" i="3"/>
  <c r="A3273" i="3"/>
  <c r="C3273" i="3"/>
  <c r="D3273" i="3"/>
  <c r="B3273" i="3"/>
  <c r="E3273" i="3"/>
  <c r="A3274" i="3"/>
  <c r="C3274" i="3"/>
  <c r="D3274" i="3"/>
  <c r="B3274" i="3"/>
  <c r="E3274" i="3"/>
  <c r="A3275" i="3"/>
  <c r="C3275" i="3"/>
  <c r="D3275" i="3"/>
  <c r="B3275" i="3"/>
  <c r="E3275" i="3"/>
  <c r="A3276" i="3"/>
  <c r="C3276" i="3"/>
  <c r="D3276" i="3"/>
  <c r="B3276" i="3"/>
  <c r="E3276" i="3"/>
  <c r="A3277" i="3"/>
  <c r="C3277" i="3"/>
  <c r="D3277" i="3"/>
  <c r="B3277" i="3"/>
  <c r="E3277" i="3"/>
  <c r="A3278" i="3"/>
  <c r="C3278" i="3"/>
  <c r="D3278" i="3"/>
  <c r="B3278" i="3"/>
  <c r="E3278" i="3"/>
  <c r="A3279" i="3"/>
  <c r="C3279" i="3"/>
  <c r="D3279" i="3"/>
  <c r="B3279" i="3"/>
  <c r="E3279" i="3"/>
  <c r="A3280" i="3"/>
  <c r="C3280" i="3"/>
  <c r="D3280" i="3"/>
  <c r="B3280" i="3"/>
  <c r="E3280" i="3"/>
  <c r="A3281" i="3"/>
  <c r="C3281" i="3"/>
  <c r="D3281" i="3"/>
  <c r="B3281" i="3"/>
  <c r="E3281" i="3"/>
  <c r="A3282" i="3"/>
  <c r="C3282" i="3"/>
  <c r="D3282" i="3"/>
  <c r="B3282" i="3"/>
  <c r="E3282" i="3"/>
  <c r="A3283" i="3"/>
  <c r="C3283" i="3"/>
  <c r="D3283" i="3"/>
  <c r="B3283" i="3"/>
  <c r="E3283" i="3"/>
  <c r="A3284" i="3"/>
  <c r="C3284" i="3"/>
  <c r="D3284" i="3"/>
  <c r="B3284" i="3"/>
  <c r="E3284" i="3"/>
  <c r="A3285" i="3"/>
  <c r="C3285" i="3"/>
  <c r="D3285" i="3"/>
  <c r="B3285" i="3"/>
  <c r="E3285" i="3"/>
  <c r="A3286" i="3"/>
  <c r="C3286" i="3"/>
  <c r="D3286" i="3"/>
  <c r="B3286" i="3"/>
  <c r="E3286" i="3"/>
  <c r="A3287" i="3"/>
  <c r="C3287" i="3"/>
  <c r="D3287" i="3"/>
  <c r="B3287" i="3"/>
  <c r="E3287" i="3"/>
  <c r="A3288" i="3"/>
  <c r="C3288" i="3"/>
  <c r="D3288" i="3"/>
  <c r="B3288" i="3"/>
  <c r="E3288" i="3"/>
  <c r="A3289" i="3"/>
  <c r="C3289" i="3"/>
  <c r="D3289" i="3"/>
  <c r="B3289" i="3"/>
  <c r="E3289" i="3"/>
  <c r="A3290" i="3"/>
  <c r="C3290" i="3"/>
  <c r="D3290" i="3"/>
  <c r="B3290" i="3"/>
  <c r="E3290" i="3"/>
  <c r="A3291" i="3"/>
  <c r="C3291" i="3"/>
  <c r="D3291" i="3"/>
  <c r="B3291" i="3"/>
  <c r="E3291" i="3"/>
  <c r="A3292" i="3"/>
  <c r="C3292" i="3"/>
  <c r="D3292" i="3"/>
  <c r="B3292" i="3"/>
  <c r="E3292" i="3"/>
  <c r="A3293" i="3"/>
  <c r="C3293" i="3"/>
  <c r="D3293" i="3"/>
  <c r="B3293" i="3"/>
  <c r="E3293" i="3"/>
  <c r="A3294" i="3"/>
  <c r="C3294" i="3"/>
  <c r="D3294" i="3"/>
  <c r="B3294" i="3"/>
  <c r="E3294" i="3"/>
  <c r="A3295" i="3"/>
  <c r="C3295" i="3"/>
  <c r="D3295" i="3"/>
  <c r="B3295" i="3"/>
  <c r="E3295" i="3"/>
  <c r="A3296" i="3"/>
  <c r="C3296" i="3"/>
  <c r="D3296" i="3"/>
  <c r="B3296" i="3"/>
  <c r="E3296" i="3"/>
  <c r="A3297" i="3"/>
  <c r="C3297" i="3"/>
  <c r="D3297" i="3"/>
  <c r="B3297" i="3"/>
  <c r="E3297" i="3"/>
  <c r="A3298" i="3"/>
  <c r="C3298" i="3"/>
  <c r="D3298" i="3"/>
  <c r="B3298" i="3"/>
  <c r="E3298" i="3"/>
  <c r="A3299" i="3"/>
  <c r="C3299" i="3"/>
  <c r="D3299" i="3"/>
  <c r="B3299" i="3"/>
  <c r="E3299" i="3"/>
  <c r="A3300" i="3"/>
  <c r="C3300" i="3"/>
  <c r="D3300" i="3"/>
  <c r="B3300" i="3"/>
  <c r="E3300" i="3"/>
  <c r="A3301" i="3"/>
  <c r="C3301" i="3"/>
  <c r="D3301" i="3"/>
  <c r="B3301" i="3"/>
  <c r="E3301" i="3"/>
  <c r="A3302" i="3"/>
  <c r="C3302" i="3"/>
  <c r="D3302" i="3"/>
  <c r="B3302" i="3"/>
  <c r="E3302" i="3"/>
  <c r="A3303" i="3"/>
  <c r="C3303" i="3"/>
  <c r="D3303" i="3"/>
  <c r="B3303" i="3"/>
  <c r="E3303" i="3"/>
  <c r="A3304" i="3"/>
  <c r="C3304" i="3"/>
  <c r="D3304" i="3"/>
  <c r="B3304" i="3"/>
  <c r="E3304" i="3"/>
  <c r="A3305" i="3"/>
  <c r="C3305" i="3"/>
  <c r="D3305" i="3"/>
  <c r="B3305" i="3"/>
  <c r="E3305" i="3"/>
  <c r="A3306" i="3"/>
  <c r="C3306" i="3"/>
  <c r="D3306" i="3"/>
  <c r="B3306" i="3"/>
  <c r="E3306" i="3"/>
  <c r="A3307" i="3"/>
  <c r="C3307" i="3"/>
  <c r="D3307" i="3"/>
  <c r="B3307" i="3"/>
  <c r="E3307" i="3"/>
  <c r="A3308" i="3"/>
  <c r="C3308" i="3"/>
  <c r="D3308" i="3"/>
  <c r="B3308" i="3"/>
  <c r="E3308" i="3"/>
  <c r="A3309" i="3"/>
  <c r="C3309" i="3"/>
  <c r="D3309" i="3"/>
  <c r="B3309" i="3"/>
  <c r="E3309" i="3"/>
  <c r="A3310" i="3"/>
  <c r="C3310" i="3"/>
  <c r="D3310" i="3"/>
  <c r="B3310" i="3"/>
  <c r="E3310" i="3"/>
  <c r="A3311" i="3"/>
  <c r="C3311" i="3"/>
  <c r="D3311" i="3"/>
  <c r="B3311" i="3"/>
  <c r="E3311" i="3"/>
  <c r="A3312" i="3"/>
  <c r="C3312" i="3"/>
  <c r="D3312" i="3"/>
  <c r="B3312" i="3"/>
  <c r="E3312" i="3"/>
  <c r="A3313" i="3"/>
  <c r="C3313" i="3"/>
  <c r="D3313" i="3"/>
  <c r="B3313" i="3"/>
  <c r="E3313" i="3"/>
  <c r="A3314" i="3"/>
  <c r="C3314" i="3"/>
  <c r="D3314" i="3"/>
  <c r="B3314" i="3"/>
  <c r="E3314" i="3"/>
  <c r="A3315" i="3"/>
  <c r="C3315" i="3"/>
  <c r="D3315" i="3"/>
  <c r="B3315" i="3"/>
  <c r="E3315" i="3"/>
  <c r="A3316" i="3"/>
  <c r="C3316" i="3"/>
  <c r="D3316" i="3"/>
  <c r="B3316" i="3"/>
  <c r="E3316" i="3"/>
  <c r="A3317" i="3"/>
  <c r="C3317" i="3"/>
  <c r="D3317" i="3"/>
  <c r="B3317" i="3"/>
  <c r="E3317" i="3"/>
  <c r="A3318" i="3"/>
  <c r="C3318" i="3"/>
  <c r="D3318" i="3"/>
  <c r="B3318" i="3"/>
  <c r="E3318" i="3"/>
  <c r="A3319" i="3"/>
  <c r="C3319" i="3"/>
  <c r="D3319" i="3"/>
  <c r="B3319" i="3"/>
  <c r="E3319" i="3"/>
  <c r="A3320" i="3"/>
  <c r="C3320" i="3"/>
  <c r="D3320" i="3"/>
  <c r="B3320" i="3"/>
  <c r="E3320" i="3"/>
  <c r="A3321" i="3"/>
  <c r="C3321" i="3"/>
  <c r="D3321" i="3"/>
  <c r="B3321" i="3"/>
  <c r="E3321" i="3"/>
  <c r="A3322" i="3"/>
  <c r="C3322" i="3"/>
  <c r="D3322" i="3"/>
  <c r="B3322" i="3"/>
  <c r="E3322" i="3"/>
  <c r="A3323" i="3"/>
  <c r="C3323" i="3"/>
  <c r="D3323" i="3"/>
  <c r="B3323" i="3"/>
  <c r="E3323" i="3"/>
  <c r="A3324" i="3"/>
  <c r="C3324" i="3"/>
  <c r="D3324" i="3"/>
  <c r="B3324" i="3"/>
  <c r="E3324" i="3"/>
  <c r="A3325" i="3"/>
  <c r="C3325" i="3"/>
  <c r="D3325" i="3"/>
  <c r="B3325" i="3"/>
  <c r="E3325" i="3"/>
  <c r="A3326" i="3"/>
  <c r="C3326" i="3"/>
  <c r="D3326" i="3"/>
  <c r="B3326" i="3"/>
  <c r="E3326" i="3"/>
  <c r="A3327" i="3"/>
  <c r="C3327" i="3"/>
  <c r="D3327" i="3"/>
  <c r="B3327" i="3"/>
  <c r="E3327" i="3"/>
  <c r="A3328" i="3"/>
  <c r="C3328" i="3"/>
  <c r="D3328" i="3"/>
  <c r="B3328" i="3"/>
  <c r="E3328" i="3"/>
  <c r="A3329" i="3"/>
  <c r="C3329" i="3"/>
  <c r="D3329" i="3"/>
  <c r="B3329" i="3"/>
  <c r="E3329" i="3"/>
  <c r="A3330" i="3"/>
  <c r="C3330" i="3"/>
  <c r="D3330" i="3"/>
  <c r="B3330" i="3"/>
  <c r="E3330" i="3"/>
  <c r="A3331" i="3"/>
  <c r="C3331" i="3"/>
  <c r="D3331" i="3"/>
  <c r="B3331" i="3"/>
  <c r="E3331" i="3"/>
  <c r="A3332" i="3"/>
  <c r="C3332" i="3"/>
  <c r="D3332" i="3"/>
  <c r="B3332" i="3"/>
  <c r="E3332" i="3"/>
  <c r="A3333" i="3"/>
  <c r="C3333" i="3"/>
  <c r="D3333" i="3"/>
  <c r="B3333" i="3"/>
  <c r="E3333" i="3"/>
  <c r="A3334" i="3"/>
  <c r="C3334" i="3"/>
  <c r="D3334" i="3"/>
  <c r="B3334" i="3"/>
  <c r="E3334" i="3"/>
  <c r="A3335" i="3"/>
  <c r="C3335" i="3"/>
  <c r="D3335" i="3"/>
  <c r="B3335" i="3"/>
  <c r="E3335" i="3"/>
  <c r="A3336" i="3"/>
  <c r="C3336" i="3"/>
  <c r="D3336" i="3"/>
  <c r="B3336" i="3"/>
  <c r="E3336" i="3"/>
  <c r="A3337" i="3"/>
  <c r="C3337" i="3"/>
  <c r="D3337" i="3"/>
  <c r="B3337" i="3"/>
  <c r="E3337" i="3"/>
  <c r="A3338" i="3"/>
  <c r="C3338" i="3"/>
  <c r="D3338" i="3"/>
  <c r="B3338" i="3"/>
  <c r="E3338" i="3"/>
  <c r="A3339" i="3"/>
  <c r="C3339" i="3"/>
  <c r="D3339" i="3"/>
  <c r="B3339" i="3"/>
  <c r="E3339" i="3"/>
  <c r="A3340" i="3"/>
  <c r="C3340" i="3"/>
  <c r="D3340" i="3"/>
  <c r="B3340" i="3"/>
  <c r="E3340" i="3"/>
  <c r="A3341" i="3"/>
  <c r="C3341" i="3"/>
  <c r="D3341" i="3"/>
  <c r="B3341" i="3"/>
  <c r="E3341" i="3"/>
  <c r="A3342" i="3"/>
  <c r="C3342" i="3"/>
  <c r="D3342" i="3"/>
  <c r="B3342" i="3"/>
  <c r="E3342" i="3"/>
  <c r="A3343" i="3"/>
  <c r="C3343" i="3"/>
  <c r="D3343" i="3"/>
  <c r="B3343" i="3"/>
  <c r="E3343" i="3"/>
  <c r="A3344" i="3"/>
  <c r="C3344" i="3"/>
  <c r="D3344" i="3"/>
  <c r="B3344" i="3"/>
  <c r="E3344" i="3"/>
  <c r="A3345" i="3"/>
  <c r="C3345" i="3"/>
  <c r="D3345" i="3"/>
  <c r="B3345" i="3"/>
  <c r="E3345" i="3"/>
  <c r="A3346" i="3"/>
  <c r="C3346" i="3"/>
  <c r="D3346" i="3"/>
  <c r="B3346" i="3"/>
  <c r="E3346" i="3"/>
  <c r="A3347" i="3"/>
  <c r="C3347" i="3"/>
  <c r="D3347" i="3"/>
  <c r="B3347" i="3"/>
  <c r="E3347" i="3"/>
  <c r="A3348" i="3"/>
  <c r="C3348" i="3"/>
  <c r="D3348" i="3"/>
  <c r="B3348" i="3"/>
  <c r="E3348" i="3"/>
  <c r="A3349" i="3"/>
  <c r="C3349" i="3"/>
  <c r="D3349" i="3"/>
  <c r="B3349" i="3"/>
  <c r="E3349" i="3"/>
  <c r="A3350" i="3"/>
  <c r="C3350" i="3"/>
  <c r="D3350" i="3"/>
  <c r="B3350" i="3"/>
  <c r="E3350" i="3"/>
  <c r="A3351" i="3"/>
  <c r="C3351" i="3"/>
  <c r="D3351" i="3"/>
  <c r="B3351" i="3"/>
  <c r="E3351" i="3"/>
  <c r="A3352" i="3"/>
  <c r="C3352" i="3"/>
  <c r="D3352" i="3"/>
  <c r="B3352" i="3"/>
  <c r="E3352" i="3"/>
  <c r="A3353" i="3"/>
  <c r="C3353" i="3"/>
  <c r="D3353" i="3"/>
  <c r="B3353" i="3"/>
  <c r="E3353" i="3"/>
  <c r="A3354" i="3"/>
  <c r="C3354" i="3"/>
  <c r="D3354" i="3"/>
  <c r="B3354" i="3"/>
  <c r="E3354" i="3"/>
  <c r="A3355" i="3"/>
  <c r="C3355" i="3"/>
  <c r="D3355" i="3"/>
  <c r="B3355" i="3"/>
  <c r="E3355" i="3"/>
  <c r="A3356" i="3"/>
  <c r="C3356" i="3"/>
  <c r="D3356" i="3"/>
  <c r="B3356" i="3"/>
  <c r="E3356" i="3"/>
  <c r="A3357" i="3"/>
  <c r="C3357" i="3"/>
  <c r="D3357" i="3"/>
  <c r="B3357" i="3"/>
  <c r="E3357" i="3"/>
  <c r="A3358" i="3"/>
  <c r="C3358" i="3"/>
  <c r="D3358" i="3"/>
  <c r="B3358" i="3"/>
  <c r="E3358" i="3"/>
  <c r="A3359" i="3"/>
  <c r="C3359" i="3"/>
  <c r="D3359" i="3"/>
  <c r="B3359" i="3"/>
  <c r="E3359" i="3"/>
  <c r="A3360" i="3"/>
  <c r="C3360" i="3"/>
  <c r="D3360" i="3"/>
  <c r="B3360" i="3"/>
  <c r="E3360" i="3"/>
  <c r="A3361" i="3"/>
  <c r="C3361" i="3"/>
  <c r="D3361" i="3"/>
  <c r="B3361" i="3"/>
  <c r="E3361" i="3"/>
  <c r="A3362" i="3"/>
  <c r="C3362" i="3"/>
  <c r="D3362" i="3"/>
  <c r="B3362" i="3"/>
  <c r="E3362" i="3"/>
  <c r="A3363" i="3"/>
  <c r="C3363" i="3"/>
  <c r="D3363" i="3"/>
  <c r="B3363" i="3"/>
  <c r="E3363" i="3"/>
  <c r="A3364" i="3"/>
  <c r="C3364" i="3"/>
  <c r="D3364" i="3"/>
  <c r="B3364" i="3"/>
  <c r="E3364" i="3"/>
  <c r="A3365" i="3"/>
  <c r="C3365" i="3"/>
  <c r="D3365" i="3"/>
  <c r="B3365" i="3"/>
  <c r="E3365" i="3"/>
  <c r="A3366" i="3"/>
  <c r="C3366" i="3"/>
  <c r="D3366" i="3"/>
  <c r="B3366" i="3"/>
  <c r="E3366" i="3"/>
  <c r="A3367" i="3"/>
  <c r="C3367" i="3"/>
  <c r="D3367" i="3"/>
  <c r="B3367" i="3"/>
  <c r="E3367" i="3"/>
  <c r="A3368" i="3"/>
  <c r="C3368" i="3"/>
  <c r="D3368" i="3"/>
  <c r="B3368" i="3"/>
  <c r="E3368" i="3"/>
  <c r="A3369" i="3"/>
  <c r="C3369" i="3"/>
  <c r="D3369" i="3"/>
  <c r="B3369" i="3"/>
  <c r="E3369" i="3"/>
  <c r="A3370" i="3"/>
  <c r="C3370" i="3"/>
  <c r="D3370" i="3"/>
  <c r="B3370" i="3"/>
  <c r="E3370" i="3"/>
  <c r="A3371" i="3"/>
  <c r="C3371" i="3"/>
  <c r="D3371" i="3"/>
  <c r="B3371" i="3"/>
  <c r="E3371" i="3"/>
  <c r="A3372" i="3"/>
  <c r="C3372" i="3"/>
  <c r="D3372" i="3"/>
  <c r="B3372" i="3"/>
  <c r="E3372" i="3"/>
  <c r="A3373" i="3"/>
  <c r="C3373" i="3"/>
  <c r="D3373" i="3"/>
  <c r="B3373" i="3"/>
  <c r="E3373" i="3"/>
  <c r="A3374" i="3"/>
  <c r="C3374" i="3"/>
  <c r="D3374" i="3"/>
  <c r="B3374" i="3"/>
  <c r="E3374" i="3"/>
  <c r="A3375" i="3"/>
  <c r="C3375" i="3"/>
  <c r="D3375" i="3"/>
  <c r="B3375" i="3"/>
  <c r="E3375" i="3"/>
  <c r="A3376" i="3"/>
  <c r="C3376" i="3"/>
  <c r="D3376" i="3"/>
  <c r="B3376" i="3"/>
  <c r="E3376" i="3"/>
  <c r="A3377" i="3"/>
  <c r="C3377" i="3"/>
  <c r="D3377" i="3"/>
  <c r="B3377" i="3"/>
  <c r="E3377" i="3"/>
  <c r="A3378" i="3"/>
  <c r="C3378" i="3"/>
  <c r="D3378" i="3"/>
  <c r="B3378" i="3"/>
  <c r="E3378" i="3"/>
  <c r="A3379" i="3"/>
  <c r="C3379" i="3"/>
  <c r="D3379" i="3"/>
  <c r="B3379" i="3"/>
  <c r="E3379" i="3"/>
  <c r="A3380" i="3"/>
  <c r="C3380" i="3"/>
  <c r="D3380" i="3"/>
  <c r="B3380" i="3"/>
  <c r="E3380" i="3"/>
  <c r="A3381" i="3"/>
  <c r="C3381" i="3"/>
  <c r="D3381" i="3"/>
  <c r="B3381" i="3"/>
  <c r="E3381" i="3"/>
  <c r="A3382" i="3"/>
  <c r="C3382" i="3"/>
  <c r="D3382" i="3"/>
  <c r="B3382" i="3"/>
  <c r="E3382" i="3"/>
  <c r="A3383" i="3"/>
  <c r="C3383" i="3"/>
  <c r="D3383" i="3"/>
  <c r="B3383" i="3"/>
  <c r="E3383" i="3"/>
  <c r="A3384" i="3"/>
  <c r="C3384" i="3"/>
  <c r="D3384" i="3"/>
  <c r="B3384" i="3"/>
  <c r="E3384" i="3"/>
  <c r="A3385" i="3"/>
  <c r="C3385" i="3"/>
  <c r="D3385" i="3"/>
  <c r="B3385" i="3"/>
  <c r="E3385" i="3"/>
  <c r="A3386" i="3"/>
  <c r="C3386" i="3"/>
  <c r="D3386" i="3"/>
  <c r="B3386" i="3"/>
  <c r="E3386" i="3"/>
  <c r="A3387" i="3"/>
  <c r="C3387" i="3"/>
  <c r="D3387" i="3"/>
  <c r="B3387" i="3"/>
  <c r="E3387" i="3"/>
  <c r="A3388" i="3"/>
  <c r="C3388" i="3"/>
  <c r="D3388" i="3"/>
  <c r="B3388" i="3"/>
  <c r="E3388" i="3"/>
  <c r="A3389" i="3"/>
  <c r="C3389" i="3"/>
  <c r="D3389" i="3"/>
  <c r="B3389" i="3"/>
  <c r="E3389" i="3"/>
  <c r="A3390" i="3"/>
  <c r="C3390" i="3"/>
  <c r="D3390" i="3"/>
  <c r="B3390" i="3"/>
  <c r="E3390" i="3"/>
  <c r="A3391" i="3"/>
  <c r="C3391" i="3"/>
  <c r="D3391" i="3"/>
  <c r="B3391" i="3"/>
  <c r="E3391" i="3"/>
  <c r="A3392" i="3"/>
  <c r="C3392" i="3"/>
  <c r="D3392" i="3"/>
  <c r="B3392" i="3"/>
  <c r="E3392" i="3"/>
  <c r="A3393" i="3"/>
  <c r="C3393" i="3"/>
  <c r="D3393" i="3"/>
  <c r="B3393" i="3"/>
  <c r="E3393" i="3"/>
  <c r="A3394" i="3"/>
  <c r="C3394" i="3"/>
  <c r="D3394" i="3"/>
  <c r="B3394" i="3"/>
  <c r="E3394" i="3"/>
  <c r="A3395" i="3"/>
  <c r="C3395" i="3"/>
  <c r="D3395" i="3"/>
  <c r="B3395" i="3"/>
  <c r="E3395" i="3"/>
  <c r="A3396" i="3"/>
  <c r="C3396" i="3"/>
  <c r="D3396" i="3"/>
  <c r="B3396" i="3"/>
  <c r="E3396" i="3"/>
  <c r="A3397" i="3"/>
  <c r="C3397" i="3"/>
  <c r="D3397" i="3"/>
  <c r="B3397" i="3"/>
  <c r="E3397" i="3"/>
  <c r="A3398" i="3"/>
  <c r="C3398" i="3"/>
  <c r="D3398" i="3"/>
  <c r="B3398" i="3"/>
  <c r="E3398" i="3"/>
  <c r="A3399" i="3"/>
  <c r="C3399" i="3"/>
  <c r="D3399" i="3"/>
  <c r="B3399" i="3"/>
  <c r="E3399" i="3"/>
  <c r="A3400" i="3"/>
  <c r="C3400" i="3"/>
  <c r="D3400" i="3"/>
  <c r="B3400" i="3"/>
  <c r="E3400" i="3"/>
  <c r="A3401" i="3"/>
  <c r="C3401" i="3"/>
  <c r="D3401" i="3"/>
  <c r="B3401" i="3"/>
  <c r="E3401" i="3"/>
  <c r="A3402" i="3"/>
  <c r="C3402" i="3"/>
  <c r="D3402" i="3"/>
  <c r="B3402" i="3"/>
  <c r="E3402" i="3"/>
  <c r="A3403" i="3"/>
  <c r="C3403" i="3"/>
  <c r="D3403" i="3"/>
  <c r="B3403" i="3"/>
  <c r="E3403" i="3"/>
  <c r="A3404" i="3"/>
  <c r="C3404" i="3"/>
  <c r="D3404" i="3"/>
  <c r="B3404" i="3"/>
  <c r="E3404" i="3"/>
  <c r="A3405" i="3"/>
  <c r="C3405" i="3"/>
  <c r="D3405" i="3"/>
  <c r="B3405" i="3"/>
  <c r="E3405" i="3"/>
  <c r="A3406" i="3"/>
  <c r="C3406" i="3"/>
  <c r="D3406" i="3"/>
  <c r="B3406" i="3"/>
  <c r="E3406" i="3"/>
  <c r="A3407" i="3"/>
  <c r="C3407" i="3"/>
  <c r="D3407" i="3"/>
  <c r="B3407" i="3"/>
  <c r="E3407" i="3"/>
  <c r="A3408" i="3"/>
  <c r="C3408" i="3"/>
  <c r="D3408" i="3"/>
  <c r="B3408" i="3"/>
  <c r="E3408" i="3"/>
  <c r="A3409" i="3"/>
  <c r="C3409" i="3"/>
  <c r="D3409" i="3"/>
  <c r="B3409" i="3"/>
  <c r="E3409" i="3"/>
  <c r="A3410" i="3"/>
  <c r="C3410" i="3"/>
  <c r="D3410" i="3"/>
  <c r="B3410" i="3"/>
  <c r="E3410" i="3"/>
  <c r="A3411" i="3"/>
  <c r="C3411" i="3"/>
  <c r="D3411" i="3"/>
  <c r="B3411" i="3"/>
  <c r="E3411" i="3"/>
  <c r="A3412" i="3"/>
  <c r="C3412" i="3"/>
  <c r="D3412" i="3"/>
  <c r="B3412" i="3"/>
  <c r="E3412" i="3"/>
  <c r="A3413" i="3"/>
  <c r="C3413" i="3"/>
  <c r="D3413" i="3"/>
  <c r="B3413" i="3"/>
  <c r="E3413" i="3"/>
  <c r="A3414" i="3"/>
  <c r="C3414" i="3"/>
  <c r="D3414" i="3"/>
  <c r="B3414" i="3"/>
  <c r="E3414" i="3"/>
  <c r="A3415" i="3"/>
  <c r="C3415" i="3"/>
  <c r="D3415" i="3"/>
  <c r="B3415" i="3"/>
  <c r="E3415" i="3"/>
  <c r="A3416" i="3"/>
  <c r="C3416" i="3"/>
  <c r="D3416" i="3"/>
  <c r="B3416" i="3"/>
  <c r="E3416" i="3"/>
  <c r="A3417" i="3"/>
  <c r="C3417" i="3"/>
  <c r="D3417" i="3"/>
  <c r="B3417" i="3"/>
  <c r="E3417" i="3"/>
  <c r="A3418" i="3"/>
  <c r="C3418" i="3"/>
  <c r="D3418" i="3"/>
  <c r="B3418" i="3"/>
  <c r="E3418" i="3"/>
  <c r="A3419" i="3"/>
  <c r="C3419" i="3"/>
  <c r="D3419" i="3"/>
  <c r="B3419" i="3"/>
  <c r="E3419" i="3"/>
  <c r="A3420" i="3"/>
  <c r="C3420" i="3"/>
  <c r="D3420" i="3"/>
  <c r="B3420" i="3"/>
  <c r="E3420" i="3"/>
  <c r="A3421" i="3"/>
  <c r="C3421" i="3"/>
  <c r="D3421" i="3"/>
  <c r="B3421" i="3"/>
  <c r="E3421" i="3"/>
  <c r="A3422" i="3"/>
  <c r="C3422" i="3"/>
  <c r="D3422" i="3"/>
  <c r="B3422" i="3"/>
  <c r="E3422" i="3"/>
  <c r="A3423" i="3"/>
  <c r="C3423" i="3"/>
  <c r="D3423" i="3"/>
  <c r="B3423" i="3"/>
  <c r="E3423" i="3"/>
  <c r="A3424" i="3"/>
  <c r="C3424" i="3"/>
  <c r="D3424" i="3"/>
  <c r="B3424" i="3"/>
  <c r="E3424" i="3"/>
  <c r="A3425" i="3"/>
  <c r="C3425" i="3"/>
  <c r="D3425" i="3"/>
  <c r="B3425" i="3"/>
  <c r="E3425" i="3"/>
  <c r="A3426" i="3"/>
  <c r="C3426" i="3"/>
  <c r="D3426" i="3"/>
  <c r="B3426" i="3"/>
  <c r="E3426" i="3"/>
  <c r="A3427" i="3"/>
  <c r="C3427" i="3"/>
  <c r="D3427" i="3"/>
  <c r="B3427" i="3"/>
  <c r="E3427" i="3"/>
  <c r="A3428" i="3"/>
  <c r="C3428" i="3"/>
  <c r="D3428" i="3"/>
  <c r="B3428" i="3"/>
  <c r="E3428" i="3"/>
  <c r="A3429" i="3"/>
  <c r="C3429" i="3"/>
  <c r="D3429" i="3"/>
  <c r="B3429" i="3"/>
  <c r="E3429" i="3"/>
  <c r="A3430" i="3"/>
  <c r="C3430" i="3"/>
  <c r="D3430" i="3"/>
  <c r="B3430" i="3"/>
  <c r="E3430" i="3"/>
  <c r="A3431" i="3"/>
  <c r="C3431" i="3"/>
  <c r="D3431" i="3"/>
  <c r="B3431" i="3"/>
  <c r="E3431" i="3"/>
  <c r="A3432" i="3"/>
  <c r="C3432" i="3"/>
  <c r="D3432" i="3"/>
  <c r="B3432" i="3"/>
  <c r="E3432" i="3"/>
  <c r="A3433" i="3"/>
  <c r="C3433" i="3"/>
  <c r="D3433" i="3"/>
  <c r="B3433" i="3"/>
  <c r="E3433" i="3"/>
  <c r="A3434" i="3"/>
  <c r="C3434" i="3"/>
  <c r="D3434" i="3"/>
  <c r="B3434" i="3"/>
  <c r="E3434" i="3"/>
  <c r="A3435" i="3"/>
  <c r="C3435" i="3"/>
  <c r="D3435" i="3"/>
  <c r="B3435" i="3"/>
  <c r="E3435" i="3"/>
  <c r="A3436" i="3"/>
  <c r="C3436" i="3"/>
  <c r="D3436" i="3"/>
  <c r="B3436" i="3"/>
  <c r="E3436" i="3"/>
  <c r="A3437" i="3"/>
  <c r="C3437" i="3"/>
  <c r="D3437" i="3"/>
  <c r="B3437" i="3"/>
  <c r="E3437" i="3"/>
  <c r="A3438" i="3"/>
  <c r="C3438" i="3"/>
  <c r="D3438" i="3"/>
  <c r="B3438" i="3"/>
  <c r="E3438" i="3"/>
  <c r="A3439" i="3"/>
  <c r="C3439" i="3"/>
  <c r="D3439" i="3"/>
  <c r="B3439" i="3"/>
  <c r="E3439" i="3"/>
  <c r="A3440" i="3"/>
  <c r="C3440" i="3"/>
  <c r="D3440" i="3"/>
  <c r="B3440" i="3"/>
  <c r="E3440" i="3"/>
  <c r="A3441" i="3"/>
  <c r="C3441" i="3"/>
  <c r="D3441" i="3"/>
  <c r="B3441" i="3"/>
  <c r="E3441" i="3"/>
  <c r="A3442" i="3"/>
  <c r="C3442" i="3"/>
  <c r="D3442" i="3"/>
  <c r="B3442" i="3"/>
  <c r="E3442" i="3"/>
  <c r="A3443" i="3"/>
  <c r="C3443" i="3"/>
  <c r="D3443" i="3"/>
  <c r="B3443" i="3"/>
  <c r="E3443" i="3"/>
  <c r="A3444" i="3"/>
  <c r="C3444" i="3"/>
  <c r="D3444" i="3"/>
  <c r="B3444" i="3"/>
  <c r="E3444" i="3"/>
  <c r="A3445" i="3"/>
  <c r="C3445" i="3"/>
  <c r="D3445" i="3"/>
  <c r="B3445" i="3"/>
  <c r="E3445" i="3"/>
  <c r="A3446" i="3"/>
  <c r="C3446" i="3"/>
  <c r="D3446" i="3"/>
  <c r="B3446" i="3"/>
  <c r="E3446" i="3"/>
  <c r="A3447" i="3"/>
  <c r="C3447" i="3"/>
  <c r="D3447" i="3"/>
  <c r="B3447" i="3"/>
  <c r="E3447" i="3"/>
  <c r="A3448" i="3"/>
  <c r="C3448" i="3"/>
  <c r="D3448" i="3"/>
  <c r="B3448" i="3"/>
  <c r="E3448" i="3"/>
  <c r="A3449" i="3"/>
  <c r="C3449" i="3"/>
  <c r="D3449" i="3"/>
  <c r="B3449" i="3"/>
  <c r="E3449" i="3"/>
  <c r="A3450" i="3"/>
  <c r="C3450" i="3"/>
  <c r="D3450" i="3"/>
  <c r="B3450" i="3"/>
  <c r="E3450" i="3"/>
  <c r="A3451" i="3"/>
  <c r="C3451" i="3"/>
  <c r="D3451" i="3"/>
  <c r="B3451" i="3"/>
  <c r="E3451" i="3"/>
  <c r="A3452" i="3"/>
  <c r="C3452" i="3"/>
  <c r="D3452" i="3"/>
  <c r="B3452" i="3"/>
  <c r="E3452" i="3"/>
  <c r="A3453" i="3"/>
  <c r="C3453" i="3"/>
  <c r="D3453" i="3"/>
  <c r="B3453" i="3"/>
  <c r="E3453" i="3"/>
  <c r="A3454" i="3"/>
  <c r="C3454" i="3"/>
  <c r="D3454" i="3"/>
  <c r="B3454" i="3"/>
  <c r="E3454" i="3"/>
  <c r="A3455" i="3"/>
  <c r="C3455" i="3"/>
  <c r="D3455" i="3"/>
  <c r="B3455" i="3"/>
  <c r="E3455" i="3"/>
  <c r="A3456" i="3"/>
  <c r="C3456" i="3"/>
  <c r="D3456" i="3"/>
  <c r="B3456" i="3"/>
  <c r="E3456" i="3"/>
  <c r="A3457" i="3"/>
  <c r="C3457" i="3"/>
  <c r="D3457" i="3"/>
  <c r="B3457" i="3"/>
  <c r="E3457" i="3"/>
  <c r="A3458" i="3"/>
  <c r="C3458" i="3"/>
  <c r="D3458" i="3"/>
  <c r="B3458" i="3"/>
  <c r="E3458" i="3"/>
  <c r="A3459" i="3"/>
  <c r="C3459" i="3"/>
  <c r="D3459" i="3"/>
  <c r="B3459" i="3"/>
  <c r="E3459" i="3"/>
  <c r="A3460" i="3"/>
  <c r="C3460" i="3"/>
  <c r="D3460" i="3"/>
  <c r="B3460" i="3"/>
  <c r="E3460" i="3"/>
  <c r="A3461" i="3"/>
  <c r="C3461" i="3"/>
  <c r="D3461" i="3"/>
  <c r="B3461" i="3"/>
  <c r="E3461" i="3"/>
  <c r="A3462" i="3"/>
  <c r="C3462" i="3"/>
  <c r="D3462" i="3"/>
  <c r="B3462" i="3"/>
  <c r="E3462" i="3"/>
  <c r="A3463" i="3"/>
  <c r="C3463" i="3"/>
  <c r="D3463" i="3"/>
  <c r="B3463" i="3"/>
  <c r="E3463" i="3"/>
  <c r="A3464" i="3"/>
  <c r="C3464" i="3"/>
  <c r="D3464" i="3"/>
  <c r="B3464" i="3"/>
  <c r="E3464" i="3"/>
  <c r="A3465" i="3"/>
  <c r="C3465" i="3"/>
  <c r="D3465" i="3"/>
  <c r="B3465" i="3"/>
  <c r="E3465" i="3"/>
  <c r="A3466" i="3"/>
  <c r="C3466" i="3"/>
  <c r="D3466" i="3"/>
  <c r="B3466" i="3"/>
  <c r="E3466" i="3"/>
  <c r="A3467" i="3"/>
  <c r="C3467" i="3"/>
  <c r="D3467" i="3"/>
  <c r="B3467" i="3"/>
  <c r="E3467" i="3"/>
  <c r="A3468" i="3"/>
  <c r="C3468" i="3"/>
  <c r="D3468" i="3"/>
  <c r="B3468" i="3"/>
  <c r="E3468" i="3"/>
  <c r="A3469" i="3"/>
  <c r="C3469" i="3"/>
  <c r="D3469" i="3"/>
  <c r="B3469" i="3"/>
  <c r="E3469" i="3"/>
  <c r="A3470" i="3"/>
  <c r="C3470" i="3"/>
  <c r="D3470" i="3"/>
  <c r="B3470" i="3"/>
  <c r="E3470" i="3"/>
  <c r="A3471" i="3"/>
  <c r="C3471" i="3"/>
  <c r="D3471" i="3"/>
  <c r="B3471" i="3"/>
  <c r="E3471" i="3"/>
  <c r="A3472" i="3"/>
  <c r="C3472" i="3"/>
  <c r="D3472" i="3"/>
  <c r="B3472" i="3"/>
  <c r="E3472" i="3"/>
  <c r="A3473" i="3"/>
  <c r="C3473" i="3"/>
  <c r="D3473" i="3"/>
  <c r="B3473" i="3"/>
  <c r="E3473" i="3"/>
  <c r="A3474" i="3"/>
  <c r="C3474" i="3"/>
  <c r="D3474" i="3"/>
  <c r="B3474" i="3"/>
  <c r="E3474" i="3"/>
  <c r="A3475" i="3"/>
  <c r="C3475" i="3"/>
  <c r="D3475" i="3"/>
  <c r="B3475" i="3"/>
  <c r="E3475" i="3"/>
  <c r="A3476" i="3"/>
  <c r="C3476" i="3"/>
  <c r="D3476" i="3"/>
  <c r="B3476" i="3"/>
  <c r="E3476" i="3"/>
  <c r="A3477" i="3"/>
  <c r="C3477" i="3"/>
  <c r="D3477" i="3"/>
  <c r="B3477" i="3"/>
  <c r="E3477" i="3"/>
  <c r="A3478" i="3"/>
  <c r="C3478" i="3"/>
  <c r="D3478" i="3"/>
  <c r="B3478" i="3"/>
  <c r="E3478" i="3"/>
  <c r="A3479" i="3"/>
  <c r="C3479" i="3"/>
  <c r="D3479" i="3"/>
  <c r="B3479" i="3"/>
  <c r="E3479" i="3"/>
  <c r="A3480" i="3"/>
  <c r="C3480" i="3"/>
  <c r="D3480" i="3"/>
  <c r="B3480" i="3"/>
  <c r="E3480" i="3"/>
  <c r="A3481" i="3"/>
  <c r="C3481" i="3"/>
  <c r="D3481" i="3"/>
  <c r="B3481" i="3"/>
  <c r="E3481" i="3"/>
  <c r="A3482" i="3"/>
  <c r="C3482" i="3"/>
  <c r="D3482" i="3"/>
  <c r="B3482" i="3"/>
  <c r="E3482" i="3"/>
  <c r="A3483" i="3"/>
  <c r="C3483" i="3"/>
  <c r="D3483" i="3"/>
  <c r="B3483" i="3"/>
  <c r="E3483" i="3"/>
  <c r="A3484" i="3"/>
  <c r="C3484" i="3"/>
  <c r="D3484" i="3"/>
  <c r="B3484" i="3"/>
  <c r="E3484" i="3"/>
  <c r="A3485" i="3"/>
  <c r="C3485" i="3"/>
  <c r="D3485" i="3"/>
  <c r="B3485" i="3"/>
  <c r="E3485" i="3"/>
  <c r="A3486" i="3"/>
  <c r="C3486" i="3"/>
  <c r="D3486" i="3"/>
  <c r="B3486" i="3"/>
  <c r="E3486" i="3"/>
  <c r="A3487" i="3"/>
  <c r="C3487" i="3"/>
  <c r="D3487" i="3"/>
  <c r="B3487" i="3"/>
  <c r="E3487" i="3"/>
  <c r="A3488" i="3"/>
  <c r="C3488" i="3"/>
  <c r="D3488" i="3"/>
  <c r="B3488" i="3"/>
  <c r="E3488" i="3"/>
  <c r="A3489" i="3"/>
  <c r="C3489" i="3"/>
  <c r="D3489" i="3"/>
  <c r="B3489" i="3"/>
  <c r="E3489" i="3"/>
  <c r="A3490" i="3"/>
  <c r="C3490" i="3"/>
  <c r="D3490" i="3"/>
  <c r="B3490" i="3"/>
  <c r="E3490" i="3"/>
  <c r="A3491" i="3"/>
  <c r="C3491" i="3"/>
  <c r="D3491" i="3"/>
  <c r="B3491" i="3"/>
  <c r="E3491" i="3"/>
  <c r="A3492" i="3"/>
  <c r="C3492" i="3"/>
  <c r="D3492" i="3"/>
  <c r="B3492" i="3"/>
  <c r="E3492" i="3"/>
  <c r="A3493" i="3"/>
  <c r="C3493" i="3"/>
  <c r="D3493" i="3"/>
  <c r="B3493" i="3"/>
  <c r="E3493" i="3"/>
  <c r="A3494" i="3"/>
  <c r="C3494" i="3"/>
  <c r="D3494" i="3"/>
  <c r="B3494" i="3"/>
  <c r="E3494" i="3"/>
  <c r="A3495" i="3"/>
  <c r="C3495" i="3"/>
  <c r="D3495" i="3"/>
  <c r="B3495" i="3"/>
  <c r="E3495" i="3"/>
  <c r="A3496" i="3"/>
  <c r="C3496" i="3"/>
  <c r="D3496" i="3"/>
  <c r="B3496" i="3"/>
  <c r="E3496" i="3"/>
  <c r="A3497" i="3"/>
  <c r="C3497" i="3"/>
  <c r="D3497" i="3"/>
  <c r="B3497" i="3"/>
  <c r="E3497" i="3"/>
  <c r="A3498" i="3"/>
  <c r="C3498" i="3"/>
  <c r="D3498" i="3"/>
  <c r="B3498" i="3"/>
  <c r="E3498" i="3"/>
  <c r="A3499" i="3"/>
  <c r="C3499" i="3"/>
  <c r="D3499" i="3"/>
  <c r="B3499" i="3"/>
  <c r="E3499" i="3"/>
  <c r="A3500" i="3"/>
  <c r="C3500" i="3"/>
  <c r="D3500" i="3"/>
  <c r="B3500" i="3"/>
  <c r="E3500" i="3"/>
  <c r="A3501" i="3"/>
  <c r="C3501" i="3"/>
  <c r="D3501" i="3"/>
  <c r="B3501" i="3"/>
  <c r="E3501" i="3"/>
  <c r="A3502" i="3"/>
  <c r="C3502" i="3"/>
  <c r="D3502" i="3"/>
  <c r="B3502" i="3"/>
  <c r="E3502" i="3"/>
  <c r="A3503" i="3"/>
  <c r="C3503" i="3"/>
  <c r="D3503" i="3"/>
  <c r="B3503" i="3"/>
  <c r="E3503" i="3"/>
  <c r="A3504" i="3"/>
  <c r="C3504" i="3"/>
  <c r="D3504" i="3"/>
  <c r="B3504" i="3"/>
  <c r="E3504" i="3"/>
  <c r="A3505" i="3"/>
  <c r="C3505" i="3"/>
  <c r="D3505" i="3"/>
  <c r="B3505" i="3"/>
  <c r="E3505" i="3"/>
  <c r="A3506" i="3"/>
  <c r="C3506" i="3"/>
  <c r="D3506" i="3"/>
  <c r="B3506" i="3"/>
  <c r="E3506" i="3"/>
  <c r="A3507" i="3"/>
  <c r="C3507" i="3"/>
  <c r="D3507" i="3"/>
  <c r="B3507" i="3"/>
  <c r="E3507" i="3"/>
  <c r="A3508" i="3"/>
  <c r="C3508" i="3"/>
  <c r="D3508" i="3"/>
  <c r="B3508" i="3"/>
  <c r="E3508" i="3"/>
  <c r="A3509" i="3"/>
  <c r="C3509" i="3"/>
  <c r="D3509" i="3"/>
  <c r="B3509" i="3"/>
  <c r="E3509" i="3"/>
  <c r="A3510" i="3"/>
  <c r="C3510" i="3"/>
  <c r="D3510" i="3"/>
  <c r="B3510" i="3"/>
  <c r="E3510" i="3"/>
  <c r="A3511" i="3"/>
  <c r="C3511" i="3"/>
  <c r="D3511" i="3"/>
  <c r="B3511" i="3"/>
  <c r="E3511" i="3"/>
  <c r="A3512" i="3"/>
  <c r="C3512" i="3"/>
  <c r="D3512" i="3"/>
  <c r="B3512" i="3"/>
  <c r="E3512" i="3"/>
  <c r="A3513" i="3"/>
  <c r="C3513" i="3"/>
  <c r="D3513" i="3"/>
  <c r="B3513" i="3"/>
  <c r="E3513" i="3"/>
  <c r="A3514" i="3"/>
  <c r="C3514" i="3"/>
  <c r="D3514" i="3"/>
  <c r="B3514" i="3"/>
  <c r="E3514" i="3"/>
  <c r="A3515" i="3"/>
  <c r="C3515" i="3"/>
  <c r="D3515" i="3"/>
  <c r="B3515" i="3"/>
  <c r="E3515" i="3"/>
  <c r="A3516" i="3"/>
  <c r="C3516" i="3"/>
  <c r="D3516" i="3"/>
  <c r="B3516" i="3"/>
  <c r="E3516" i="3"/>
  <c r="A3517" i="3"/>
  <c r="C3517" i="3"/>
  <c r="D3517" i="3"/>
  <c r="B3517" i="3"/>
  <c r="E3517" i="3"/>
  <c r="A3518" i="3"/>
  <c r="C3518" i="3"/>
  <c r="D3518" i="3"/>
  <c r="B3518" i="3"/>
  <c r="E3518" i="3"/>
  <c r="A3519" i="3"/>
  <c r="C3519" i="3"/>
  <c r="D3519" i="3"/>
  <c r="B3519" i="3"/>
  <c r="E3519" i="3"/>
  <c r="A3520" i="3"/>
  <c r="C3520" i="3"/>
  <c r="D3520" i="3"/>
  <c r="B3520" i="3"/>
  <c r="E3520" i="3"/>
  <c r="A3521" i="3"/>
  <c r="C3521" i="3"/>
  <c r="D3521" i="3"/>
  <c r="B3521" i="3"/>
  <c r="E3521" i="3"/>
  <c r="A3522" i="3"/>
  <c r="C3522" i="3"/>
  <c r="D3522" i="3"/>
  <c r="B3522" i="3"/>
  <c r="E3522" i="3"/>
  <c r="A3523" i="3"/>
  <c r="C3523" i="3"/>
  <c r="D3523" i="3"/>
  <c r="B3523" i="3"/>
  <c r="E3523" i="3"/>
  <c r="A3524" i="3"/>
  <c r="C3524" i="3"/>
  <c r="D3524" i="3"/>
  <c r="B3524" i="3"/>
  <c r="E3524" i="3"/>
  <c r="A3525" i="3"/>
  <c r="C3525" i="3"/>
  <c r="D3525" i="3"/>
  <c r="B3525" i="3"/>
  <c r="E3525" i="3"/>
  <c r="A3526" i="3"/>
  <c r="C3526" i="3"/>
  <c r="D3526" i="3"/>
  <c r="B3526" i="3"/>
  <c r="E3526" i="3"/>
  <c r="A3527" i="3"/>
  <c r="C3527" i="3"/>
  <c r="D3527" i="3"/>
  <c r="B3527" i="3"/>
  <c r="E3527" i="3"/>
  <c r="A3528" i="3"/>
  <c r="C3528" i="3"/>
  <c r="D3528" i="3"/>
  <c r="B3528" i="3"/>
  <c r="E3528" i="3"/>
  <c r="A3529" i="3"/>
  <c r="C3529" i="3"/>
  <c r="D3529" i="3"/>
  <c r="B3529" i="3"/>
  <c r="E3529" i="3"/>
  <c r="A3530" i="3"/>
  <c r="C3530" i="3"/>
  <c r="D3530" i="3"/>
  <c r="B3530" i="3"/>
  <c r="E3530" i="3"/>
  <c r="A3531" i="3"/>
  <c r="C3531" i="3"/>
  <c r="D3531" i="3"/>
  <c r="B3531" i="3"/>
  <c r="E3531" i="3"/>
  <c r="A3532" i="3"/>
  <c r="C3532" i="3"/>
  <c r="D3532" i="3"/>
  <c r="B3532" i="3"/>
  <c r="E3532" i="3"/>
  <c r="A3533" i="3"/>
  <c r="C3533" i="3"/>
  <c r="D3533" i="3"/>
  <c r="B3533" i="3"/>
  <c r="E3533" i="3"/>
  <c r="A3534" i="3"/>
  <c r="C3534" i="3"/>
  <c r="D3534" i="3"/>
  <c r="B3534" i="3"/>
  <c r="E3534" i="3"/>
  <c r="A3535" i="3"/>
  <c r="C3535" i="3"/>
  <c r="D3535" i="3"/>
  <c r="B3535" i="3"/>
  <c r="E3535" i="3"/>
  <c r="A3536" i="3"/>
  <c r="C3536" i="3"/>
  <c r="D3536" i="3"/>
  <c r="B3536" i="3"/>
  <c r="E3536" i="3"/>
  <c r="A3537" i="3"/>
  <c r="C3537" i="3"/>
  <c r="D3537" i="3"/>
  <c r="B3537" i="3"/>
  <c r="E3537" i="3"/>
  <c r="A3538" i="3"/>
  <c r="C3538" i="3"/>
  <c r="D3538" i="3"/>
  <c r="B3538" i="3"/>
  <c r="E3538" i="3"/>
  <c r="A3539" i="3"/>
  <c r="C3539" i="3"/>
  <c r="D3539" i="3"/>
  <c r="B3539" i="3"/>
  <c r="E3539" i="3"/>
  <c r="A3540" i="3"/>
  <c r="C3540" i="3"/>
  <c r="D3540" i="3"/>
  <c r="B3540" i="3"/>
  <c r="E3540" i="3"/>
  <c r="A3541" i="3"/>
  <c r="C3541" i="3"/>
  <c r="D3541" i="3"/>
  <c r="B3541" i="3"/>
  <c r="E3541" i="3"/>
  <c r="A3542" i="3"/>
  <c r="C3542" i="3"/>
  <c r="D3542" i="3"/>
  <c r="B3542" i="3"/>
  <c r="E3542" i="3"/>
  <c r="A3543" i="3"/>
  <c r="C3543" i="3"/>
  <c r="D3543" i="3"/>
  <c r="B3543" i="3"/>
  <c r="E3543" i="3"/>
  <c r="A3544" i="3"/>
  <c r="C3544" i="3"/>
  <c r="D3544" i="3"/>
  <c r="B3544" i="3"/>
  <c r="E3544" i="3"/>
  <c r="A3545" i="3"/>
  <c r="C3545" i="3"/>
  <c r="D3545" i="3"/>
  <c r="B3545" i="3"/>
  <c r="E3545" i="3"/>
  <c r="A3546" i="3"/>
  <c r="C3546" i="3"/>
  <c r="D3546" i="3"/>
  <c r="B3546" i="3"/>
  <c r="E3546" i="3"/>
  <c r="A3547" i="3"/>
  <c r="C3547" i="3"/>
  <c r="D3547" i="3"/>
  <c r="B3547" i="3"/>
  <c r="E3547" i="3"/>
  <c r="A3548" i="3"/>
  <c r="C3548" i="3"/>
  <c r="D3548" i="3"/>
  <c r="B3548" i="3"/>
  <c r="E3548" i="3"/>
  <c r="A3549" i="3"/>
  <c r="C3549" i="3"/>
  <c r="D3549" i="3"/>
  <c r="B3549" i="3"/>
  <c r="E3549" i="3"/>
  <c r="A3550" i="3"/>
  <c r="C3550" i="3"/>
  <c r="D3550" i="3"/>
  <c r="B3550" i="3"/>
  <c r="E3550" i="3"/>
  <c r="A3551" i="3"/>
  <c r="C3551" i="3"/>
  <c r="D3551" i="3"/>
  <c r="B3551" i="3"/>
  <c r="E3551" i="3"/>
  <c r="A3552" i="3"/>
  <c r="C3552" i="3"/>
  <c r="D3552" i="3"/>
  <c r="B3552" i="3"/>
  <c r="E3552" i="3"/>
  <c r="A3553" i="3"/>
  <c r="C3553" i="3"/>
  <c r="D3553" i="3"/>
  <c r="B3553" i="3"/>
  <c r="E3553" i="3"/>
  <c r="A3554" i="3"/>
  <c r="C3554" i="3"/>
  <c r="D3554" i="3"/>
  <c r="B3554" i="3"/>
  <c r="E3554" i="3"/>
  <c r="A3555" i="3"/>
  <c r="C3555" i="3"/>
  <c r="D3555" i="3"/>
  <c r="B3555" i="3"/>
  <c r="E3555" i="3"/>
  <c r="A3556" i="3"/>
  <c r="C3556" i="3"/>
  <c r="D3556" i="3"/>
  <c r="B3556" i="3"/>
  <c r="E3556" i="3"/>
  <c r="A3557" i="3"/>
  <c r="C3557" i="3"/>
  <c r="D3557" i="3"/>
  <c r="B3557" i="3"/>
  <c r="E3557" i="3"/>
  <c r="A3558" i="3"/>
  <c r="C3558" i="3"/>
  <c r="D3558" i="3"/>
  <c r="B3558" i="3"/>
  <c r="E3558" i="3"/>
  <c r="A3559" i="3"/>
  <c r="C3559" i="3"/>
  <c r="D3559" i="3"/>
  <c r="B3559" i="3"/>
  <c r="E3559" i="3"/>
  <c r="A3560" i="3"/>
  <c r="C3560" i="3"/>
  <c r="D3560" i="3"/>
  <c r="B3560" i="3"/>
  <c r="E3560" i="3"/>
  <c r="A3561" i="3"/>
  <c r="C3561" i="3"/>
  <c r="D3561" i="3"/>
  <c r="B3561" i="3"/>
  <c r="E3561" i="3"/>
  <c r="A3562" i="3"/>
  <c r="C3562" i="3"/>
  <c r="D3562" i="3"/>
  <c r="B3562" i="3"/>
  <c r="E3562" i="3"/>
  <c r="A3563" i="3"/>
  <c r="C3563" i="3"/>
  <c r="D3563" i="3"/>
  <c r="B3563" i="3"/>
  <c r="E3563" i="3"/>
  <c r="A3564" i="3"/>
  <c r="C3564" i="3"/>
  <c r="D3564" i="3"/>
  <c r="B3564" i="3"/>
  <c r="E3564" i="3"/>
  <c r="A3565" i="3"/>
  <c r="C3565" i="3"/>
  <c r="D3565" i="3"/>
  <c r="B3565" i="3"/>
  <c r="E3565" i="3"/>
  <c r="A3566" i="3"/>
  <c r="C3566" i="3"/>
  <c r="D3566" i="3"/>
  <c r="B3566" i="3"/>
  <c r="E3566" i="3"/>
  <c r="A3567" i="3"/>
  <c r="C3567" i="3"/>
  <c r="D3567" i="3"/>
  <c r="B3567" i="3"/>
  <c r="E3567" i="3"/>
  <c r="A3568" i="3"/>
  <c r="C3568" i="3"/>
  <c r="D3568" i="3"/>
  <c r="B3568" i="3"/>
  <c r="E3568" i="3"/>
  <c r="A3569" i="3"/>
  <c r="C3569" i="3"/>
  <c r="D3569" i="3"/>
  <c r="B3569" i="3"/>
  <c r="E3569" i="3"/>
  <c r="A3570" i="3"/>
  <c r="C3570" i="3"/>
  <c r="D3570" i="3"/>
  <c r="B3570" i="3"/>
  <c r="E3570" i="3"/>
  <c r="A3571" i="3"/>
  <c r="C3571" i="3"/>
  <c r="D3571" i="3"/>
  <c r="B3571" i="3"/>
  <c r="E3571" i="3"/>
  <c r="A3572" i="3"/>
  <c r="C3572" i="3"/>
  <c r="D3572" i="3"/>
  <c r="B3572" i="3"/>
  <c r="E3572" i="3"/>
  <c r="A3573" i="3"/>
  <c r="C3573" i="3"/>
  <c r="D3573" i="3"/>
  <c r="B3573" i="3"/>
  <c r="E3573" i="3"/>
  <c r="A3574" i="3"/>
  <c r="C3574" i="3"/>
  <c r="D3574" i="3"/>
  <c r="B3574" i="3"/>
  <c r="E3574" i="3"/>
  <c r="A3575" i="3"/>
  <c r="C3575" i="3"/>
  <c r="D3575" i="3"/>
  <c r="B3575" i="3"/>
  <c r="E3575" i="3"/>
  <c r="A3576" i="3"/>
  <c r="C3576" i="3"/>
  <c r="D3576" i="3"/>
  <c r="B3576" i="3"/>
  <c r="E3576" i="3"/>
  <c r="A3577" i="3"/>
  <c r="C3577" i="3"/>
  <c r="D3577" i="3"/>
  <c r="B3577" i="3"/>
  <c r="E3577" i="3"/>
  <c r="A3578" i="3"/>
  <c r="C3578" i="3"/>
  <c r="D3578" i="3"/>
  <c r="B3578" i="3"/>
  <c r="E3578" i="3"/>
  <c r="A3579" i="3"/>
  <c r="C3579" i="3"/>
  <c r="D3579" i="3"/>
  <c r="B3579" i="3"/>
  <c r="E3579" i="3"/>
  <c r="A3580" i="3"/>
  <c r="C3580" i="3"/>
  <c r="D3580" i="3"/>
  <c r="B3580" i="3"/>
  <c r="E3580" i="3"/>
  <c r="A3581" i="3"/>
  <c r="C3581" i="3"/>
  <c r="D3581" i="3"/>
  <c r="B3581" i="3"/>
  <c r="E3581" i="3"/>
  <c r="A3582" i="3"/>
  <c r="C3582" i="3"/>
  <c r="D3582" i="3"/>
  <c r="B3582" i="3"/>
  <c r="E3582" i="3"/>
  <c r="A3583" i="3"/>
  <c r="C3583" i="3"/>
  <c r="D3583" i="3"/>
  <c r="B3583" i="3"/>
  <c r="E3583" i="3"/>
  <c r="A3584" i="3"/>
  <c r="C3584" i="3"/>
  <c r="D3584" i="3"/>
  <c r="B3584" i="3"/>
  <c r="E3584" i="3"/>
  <c r="A3585" i="3"/>
  <c r="C3585" i="3"/>
  <c r="D3585" i="3"/>
  <c r="B3585" i="3"/>
  <c r="E3585" i="3"/>
  <c r="A3586" i="3"/>
  <c r="C3586" i="3"/>
  <c r="D3586" i="3"/>
  <c r="B3586" i="3"/>
  <c r="E3586" i="3"/>
  <c r="A3587" i="3"/>
  <c r="C3587" i="3"/>
  <c r="D3587" i="3"/>
  <c r="B3587" i="3"/>
  <c r="E3587" i="3"/>
  <c r="A3588" i="3"/>
  <c r="C3588" i="3"/>
  <c r="D3588" i="3"/>
  <c r="B3588" i="3"/>
  <c r="E3588" i="3"/>
  <c r="A3589" i="3"/>
  <c r="C3589" i="3"/>
  <c r="D3589" i="3"/>
  <c r="B3589" i="3"/>
  <c r="E3589" i="3"/>
  <c r="A3590" i="3"/>
  <c r="C3590" i="3"/>
  <c r="D3590" i="3"/>
  <c r="B3590" i="3"/>
  <c r="E3590" i="3"/>
  <c r="A3591" i="3"/>
  <c r="C3591" i="3"/>
  <c r="D3591" i="3"/>
  <c r="B3591" i="3"/>
  <c r="E3591" i="3"/>
  <c r="A3592" i="3"/>
  <c r="C3592" i="3"/>
  <c r="D3592" i="3"/>
  <c r="B3592" i="3"/>
  <c r="E3592" i="3"/>
  <c r="A3593" i="3"/>
  <c r="C3593" i="3"/>
  <c r="D3593" i="3"/>
  <c r="B3593" i="3"/>
  <c r="E3593" i="3"/>
  <c r="A3594" i="3"/>
  <c r="C3594" i="3"/>
  <c r="D3594" i="3"/>
  <c r="B3594" i="3"/>
  <c r="E3594" i="3"/>
  <c r="A3595" i="3"/>
  <c r="C3595" i="3"/>
  <c r="D3595" i="3"/>
  <c r="B3595" i="3"/>
  <c r="E3595" i="3"/>
  <c r="A3596" i="3"/>
  <c r="C3596" i="3"/>
  <c r="D3596" i="3"/>
  <c r="B3596" i="3"/>
  <c r="E3596" i="3"/>
  <c r="A3597" i="3"/>
  <c r="C3597" i="3"/>
  <c r="D3597" i="3"/>
  <c r="B3597" i="3"/>
  <c r="E3597" i="3"/>
  <c r="A3598" i="3"/>
  <c r="C3598" i="3"/>
  <c r="D3598" i="3"/>
  <c r="B3598" i="3"/>
  <c r="E3598" i="3"/>
  <c r="A3599" i="3"/>
  <c r="C3599" i="3"/>
  <c r="D3599" i="3"/>
  <c r="B3599" i="3"/>
  <c r="E3599" i="3"/>
  <c r="A3600" i="3"/>
  <c r="C3600" i="3"/>
  <c r="D3600" i="3"/>
  <c r="B3600" i="3"/>
  <c r="E3600" i="3"/>
  <c r="A3601" i="3"/>
  <c r="C3601" i="3"/>
  <c r="D3601" i="3"/>
  <c r="B3601" i="3"/>
  <c r="E3601" i="3"/>
  <c r="A3602" i="3"/>
  <c r="C3602" i="3"/>
  <c r="D3602" i="3"/>
  <c r="B3602" i="3"/>
  <c r="E3602" i="3"/>
  <c r="A3603" i="3"/>
  <c r="C3603" i="3"/>
  <c r="D3603" i="3"/>
  <c r="B3603" i="3"/>
  <c r="E3603" i="3"/>
  <c r="A3604" i="3"/>
  <c r="C3604" i="3"/>
  <c r="D3604" i="3"/>
  <c r="B3604" i="3"/>
  <c r="E3604" i="3"/>
  <c r="A3605" i="3"/>
  <c r="C3605" i="3"/>
  <c r="D3605" i="3"/>
  <c r="B3605" i="3"/>
  <c r="E3605" i="3"/>
  <c r="A3606" i="3"/>
  <c r="C3606" i="3"/>
  <c r="D3606" i="3"/>
  <c r="B3606" i="3"/>
  <c r="E3606" i="3"/>
  <c r="A3607" i="3"/>
  <c r="C3607" i="3"/>
  <c r="D3607" i="3"/>
  <c r="B3607" i="3"/>
  <c r="E3607" i="3"/>
  <c r="A3608" i="3"/>
  <c r="C3608" i="3"/>
  <c r="D3608" i="3"/>
  <c r="B3608" i="3"/>
  <c r="E3608" i="3"/>
  <c r="A3609" i="3"/>
  <c r="C3609" i="3"/>
  <c r="D3609" i="3"/>
  <c r="B3609" i="3"/>
  <c r="E3609" i="3"/>
  <c r="A3610" i="3"/>
  <c r="C3610" i="3"/>
  <c r="D3610" i="3"/>
  <c r="B3610" i="3"/>
  <c r="E3610" i="3"/>
  <c r="A3611" i="3"/>
  <c r="C3611" i="3"/>
  <c r="D3611" i="3"/>
  <c r="B3611" i="3"/>
  <c r="E3611" i="3"/>
  <c r="A3612" i="3"/>
  <c r="C3612" i="3"/>
  <c r="D3612" i="3"/>
  <c r="B3612" i="3"/>
  <c r="E3612" i="3"/>
  <c r="A3613" i="3"/>
  <c r="C3613" i="3"/>
  <c r="D3613" i="3"/>
  <c r="B3613" i="3"/>
  <c r="E3613" i="3"/>
  <c r="A3614" i="3"/>
  <c r="C3614" i="3"/>
  <c r="D3614" i="3"/>
  <c r="B3614" i="3"/>
  <c r="E3614" i="3"/>
  <c r="A3615" i="3"/>
  <c r="C3615" i="3"/>
  <c r="D3615" i="3"/>
  <c r="B3615" i="3"/>
  <c r="E3615" i="3"/>
  <c r="A3616" i="3"/>
  <c r="C3616" i="3"/>
  <c r="D3616" i="3"/>
  <c r="B3616" i="3"/>
  <c r="E3616" i="3"/>
  <c r="A3617" i="3"/>
  <c r="C3617" i="3"/>
  <c r="D3617" i="3"/>
  <c r="B3617" i="3"/>
  <c r="E3617" i="3"/>
  <c r="A3618" i="3"/>
  <c r="C3618" i="3"/>
  <c r="D3618" i="3"/>
  <c r="B3618" i="3"/>
  <c r="E3618" i="3"/>
  <c r="A3619" i="3"/>
  <c r="C3619" i="3"/>
  <c r="D3619" i="3"/>
  <c r="B3619" i="3"/>
  <c r="E3619" i="3"/>
  <c r="A3620" i="3"/>
  <c r="C3620" i="3"/>
  <c r="D3620" i="3"/>
  <c r="B3620" i="3"/>
  <c r="E3620" i="3"/>
  <c r="A3621" i="3"/>
  <c r="C3621" i="3"/>
  <c r="D3621" i="3"/>
  <c r="B3621" i="3"/>
  <c r="E3621" i="3"/>
  <c r="A3622" i="3"/>
  <c r="C3622" i="3"/>
  <c r="D3622" i="3"/>
  <c r="B3622" i="3"/>
  <c r="E3622" i="3"/>
  <c r="A3623" i="3"/>
  <c r="C3623" i="3"/>
  <c r="D3623" i="3"/>
  <c r="B3623" i="3"/>
  <c r="E3623" i="3"/>
  <c r="A3624" i="3"/>
  <c r="C3624" i="3"/>
  <c r="D3624" i="3"/>
  <c r="B3624" i="3"/>
  <c r="E3624" i="3"/>
  <c r="A3625" i="3"/>
  <c r="C3625" i="3"/>
  <c r="D3625" i="3"/>
  <c r="B3625" i="3"/>
  <c r="E3625" i="3"/>
  <c r="A3626" i="3"/>
  <c r="C3626" i="3"/>
  <c r="D3626" i="3"/>
  <c r="B3626" i="3"/>
  <c r="E3626" i="3"/>
  <c r="A3627" i="3"/>
  <c r="C3627" i="3"/>
  <c r="D3627" i="3"/>
  <c r="B3627" i="3"/>
  <c r="E3627" i="3"/>
  <c r="A3628" i="3"/>
  <c r="C3628" i="3"/>
  <c r="D3628" i="3"/>
  <c r="B3628" i="3"/>
  <c r="E3628" i="3"/>
  <c r="A3629" i="3"/>
  <c r="C3629" i="3"/>
  <c r="D3629" i="3"/>
  <c r="B3629" i="3"/>
  <c r="E3629" i="3"/>
  <c r="A3630" i="3"/>
  <c r="C3630" i="3"/>
  <c r="D3630" i="3"/>
  <c r="B3630" i="3"/>
  <c r="E3630" i="3"/>
  <c r="A3631" i="3"/>
  <c r="C3631" i="3"/>
  <c r="D3631" i="3"/>
  <c r="B3631" i="3"/>
  <c r="E3631" i="3"/>
  <c r="A3632" i="3"/>
  <c r="C3632" i="3"/>
  <c r="D3632" i="3"/>
  <c r="B3632" i="3"/>
  <c r="E3632" i="3"/>
  <c r="A3633" i="3"/>
  <c r="C3633" i="3"/>
  <c r="D3633" i="3"/>
  <c r="B3633" i="3"/>
  <c r="E3633" i="3"/>
  <c r="A3634" i="3"/>
  <c r="C3634" i="3"/>
  <c r="D3634" i="3"/>
  <c r="B3634" i="3"/>
  <c r="E3634" i="3"/>
  <c r="A3635" i="3"/>
  <c r="C3635" i="3"/>
  <c r="D3635" i="3"/>
  <c r="B3635" i="3"/>
  <c r="E3635" i="3"/>
  <c r="A3636" i="3"/>
  <c r="C3636" i="3"/>
  <c r="D3636" i="3"/>
  <c r="B3636" i="3"/>
  <c r="E3636" i="3"/>
  <c r="A3637" i="3"/>
  <c r="C3637" i="3"/>
  <c r="D3637" i="3"/>
  <c r="B3637" i="3"/>
  <c r="E3637" i="3"/>
  <c r="A3638" i="3"/>
  <c r="C3638" i="3"/>
  <c r="D3638" i="3"/>
  <c r="B3638" i="3"/>
  <c r="E3638" i="3"/>
  <c r="A3639" i="3"/>
  <c r="C3639" i="3"/>
  <c r="D3639" i="3"/>
  <c r="B3639" i="3"/>
  <c r="E3639" i="3"/>
  <c r="A3640" i="3"/>
  <c r="C3640" i="3"/>
  <c r="D3640" i="3"/>
  <c r="B3640" i="3"/>
  <c r="E3640" i="3"/>
  <c r="A3641" i="3"/>
  <c r="C3641" i="3"/>
  <c r="D3641" i="3"/>
  <c r="B3641" i="3"/>
  <c r="E3641" i="3"/>
  <c r="A3642" i="3"/>
  <c r="C3642" i="3"/>
  <c r="D3642" i="3"/>
  <c r="B3642" i="3"/>
  <c r="E3642" i="3"/>
  <c r="A3643" i="3"/>
  <c r="C3643" i="3"/>
  <c r="D3643" i="3"/>
  <c r="B3643" i="3"/>
  <c r="E3643" i="3"/>
  <c r="A3644" i="3"/>
  <c r="C3644" i="3"/>
  <c r="D3644" i="3"/>
  <c r="B3644" i="3"/>
  <c r="E3644" i="3"/>
  <c r="A3645" i="3"/>
  <c r="C3645" i="3"/>
  <c r="D3645" i="3"/>
  <c r="B3645" i="3"/>
  <c r="E3645" i="3"/>
  <c r="A3646" i="3"/>
  <c r="C3646" i="3"/>
  <c r="D3646" i="3"/>
  <c r="B3646" i="3"/>
  <c r="E3646" i="3"/>
  <c r="A3647" i="3"/>
  <c r="C3647" i="3"/>
  <c r="D3647" i="3"/>
  <c r="B3647" i="3"/>
  <c r="E3647" i="3"/>
  <c r="A3648" i="3"/>
  <c r="C3648" i="3"/>
  <c r="D3648" i="3"/>
  <c r="B3648" i="3"/>
  <c r="E3648" i="3"/>
  <c r="A3649" i="3"/>
  <c r="C3649" i="3"/>
  <c r="D3649" i="3"/>
  <c r="B3649" i="3"/>
  <c r="E3649" i="3"/>
  <c r="A3650" i="3"/>
  <c r="C3650" i="3"/>
  <c r="D3650" i="3"/>
  <c r="B3650" i="3"/>
  <c r="E3650" i="3"/>
  <c r="A3651" i="3"/>
  <c r="C3651" i="3"/>
  <c r="D3651" i="3"/>
  <c r="B3651" i="3"/>
  <c r="E3651" i="3"/>
  <c r="A3652" i="3"/>
  <c r="C3652" i="3"/>
  <c r="D3652" i="3"/>
  <c r="B3652" i="3"/>
  <c r="E3652" i="3"/>
  <c r="A3653" i="3"/>
  <c r="C3653" i="3"/>
  <c r="D3653" i="3"/>
  <c r="B3653" i="3"/>
  <c r="E3653" i="3"/>
  <c r="A3654" i="3"/>
  <c r="C3654" i="3"/>
  <c r="D3654" i="3"/>
  <c r="B3654" i="3"/>
  <c r="E3654" i="3"/>
  <c r="A3655" i="3"/>
  <c r="C3655" i="3"/>
  <c r="D3655" i="3"/>
  <c r="B3655" i="3"/>
  <c r="E3655" i="3"/>
  <c r="A3656" i="3"/>
  <c r="C3656" i="3"/>
  <c r="D3656" i="3"/>
  <c r="B3656" i="3"/>
  <c r="E3656" i="3"/>
  <c r="A3657" i="3"/>
  <c r="C3657" i="3"/>
  <c r="D3657" i="3"/>
  <c r="B3657" i="3"/>
  <c r="E3657" i="3"/>
  <c r="A3658" i="3"/>
  <c r="C3658" i="3"/>
  <c r="D3658" i="3"/>
  <c r="B3658" i="3"/>
  <c r="E3658" i="3"/>
  <c r="A3659" i="3"/>
  <c r="C3659" i="3"/>
  <c r="D3659" i="3"/>
  <c r="B3659" i="3"/>
  <c r="E3659" i="3"/>
  <c r="A3660" i="3"/>
  <c r="C3660" i="3"/>
  <c r="D3660" i="3"/>
  <c r="B3660" i="3"/>
  <c r="E3660" i="3"/>
  <c r="A3661" i="3"/>
  <c r="C3661" i="3"/>
  <c r="D3661" i="3"/>
  <c r="B3661" i="3"/>
  <c r="E3661" i="3"/>
  <c r="A3662" i="3"/>
  <c r="C3662" i="3"/>
  <c r="D3662" i="3"/>
  <c r="B3662" i="3"/>
  <c r="E3662" i="3"/>
  <c r="A3663" i="3"/>
  <c r="C3663" i="3"/>
  <c r="D3663" i="3"/>
  <c r="B3663" i="3"/>
  <c r="E3663" i="3"/>
  <c r="A3664" i="3"/>
  <c r="C3664" i="3"/>
  <c r="D3664" i="3"/>
  <c r="B3664" i="3"/>
  <c r="E3664" i="3"/>
  <c r="A3665" i="3"/>
  <c r="C3665" i="3"/>
  <c r="D3665" i="3"/>
  <c r="B3665" i="3"/>
  <c r="E3665" i="3"/>
  <c r="A3666" i="3"/>
  <c r="C3666" i="3"/>
  <c r="D3666" i="3"/>
  <c r="B3666" i="3"/>
  <c r="E3666" i="3"/>
  <c r="A3667" i="3"/>
  <c r="C3667" i="3"/>
  <c r="D3667" i="3"/>
  <c r="B3667" i="3"/>
  <c r="E3667" i="3"/>
  <c r="A3668" i="3"/>
  <c r="C3668" i="3"/>
  <c r="D3668" i="3"/>
  <c r="B3668" i="3"/>
  <c r="E3668" i="3"/>
  <c r="A3669" i="3"/>
  <c r="C3669" i="3"/>
  <c r="D3669" i="3"/>
  <c r="B3669" i="3"/>
  <c r="E3669" i="3"/>
  <c r="A3670" i="3"/>
  <c r="C3670" i="3"/>
  <c r="D3670" i="3"/>
  <c r="B3670" i="3"/>
  <c r="E3670" i="3"/>
  <c r="A3671" i="3"/>
  <c r="C3671" i="3"/>
  <c r="D3671" i="3"/>
  <c r="B3671" i="3"/>
  <c r="E3671" i="3"/>
  <c r="A3672" i="3"/>
  <c r="C3672" i="3"/>
  <c r="D3672" i="3"/>
  <c r="B3672" i="3"/>
  <c r="E3672" i="3"/>
  <c r="A3673" i="3"/>
  <c r="C3673" i="3"/>
  <c r="D3673" i="3"/>
  <c r="B3673" i="3"/>
  <c r="E3673" i="3"/>
  <c r="A3674" i="3"/>
  <c r="C3674" i="3"/>
  <c r="D3674" i="3"/>
  <c r="B3674" i="3"/>
  <c r="E3674" i="3"/>
  <c r="A3675" i="3"/>
  <c r="C3675" i="3"/>
  <c r="D3675" i="3"/>
  <c r="B3675" i="3"/>
  <c r="E3675" i="3"/>
  <c r="A3676" i="3"/>
  <c r="C3676" i="3"/>
  <c r="D3676" i="3"/>
  <c r="B3676" i="3"/>
  <c r="E3676" i="3"/>
  <c r="A3677" i="3"/>
  <c r="C3677" i="3"/>
  <c r="D3677" i="3"/>
  <c r="B3677" i="3"/>
  <c r="E3677" i="3"/>
  <c r="A3678" i="3"/>
  <c r="C3678" i="3"/>
  <c r="D3678" i="3"/>
  <c r="B3678" i="3"/>
  <c r="E3678" i="3"/>
  <c r="A3679" i="3"/>
  <c r="C3679" i="3"/>
  <c r="D3679" i="3"/>
  <c r="B3679" i="3"/>
  <c r="E3679" i="3"/>
  <c r="A3680" i="3"/>
  <c r="C3680" i="3"/>
  <c r="D3680" i="3"/>
  <c r="B3680" i="3"/>
  <c r="E3680" i="3"/>
  <c r="A3681" i="3"/>
  <c r="C3681" i="3"/>
  <c r="D3681" i="3"/>
  <c r="B3681" i="3"/>
  <c r="E3681" i="3"/>
  <c r="A3682" i="3"/>
  <c r="C3682" i="3"/>
  <c r="D3682" i="3"/>
  <c r="B3682" i="3"/>
  <c r="E3682" i="3"/>
  <c r="A3683" i="3"/>
  <c r="C3683" i="3"/>
  <c r="D3683" i="3"/>
  <c r="B3683" i="3"/>
  <c r="E3683" i="3"/>
  <c r="A3684" i="3"/>
  <c r="C3684" i="3"/>
  <c r="D3684" i="3"/>
  <c r="B3684" i="3"/>
  <c r="E3684" i="3"/>
  <c r="A3685" i="3"/>
  <c r="C3685" i="3"/>
  <c r="D3685" i="3"/>
  <c r="B3685" i="3"/>
  <c r="E3685" i="3"/>
  <c r="A3686" i="3"/>
  <c r="C3686" i="3"/>
  <c r="D3686" i="3"/>
  <c r="B3686" i="3"/>
  <c r="E3686" i="3"/>
  <c r="A3687" i="3"/>
  <c r="C3687" i="3"/>
  <c r="D3687" i="3"/>
  <c r="B3687" i="3"/>
  <c r="E3687" i="3"/>
  <c r="A3688" i="3"/>
  <c r="C3688" i="3"/>
  <c r="D3688" i="3"/>
  <c r="B3688" i="3"/>
  <c r="E3688" i="3"/>
  <c r="A3689" i="3"/>
  <c r="C3689" i="3"/>
  <c r="D3689" i="3"/>
  <c r="B3689" i="3"/>
  <c r="E3689" i="3"/>
  <c r="A3690" i="3"/>
  <c r="C3690" i="3"/>
  <c r="D3690" i="3"/>
  <c r="B3690" i="3"/>
  <c r="E3690" i="3"/>
  <c r="A3691" i="3"/>
  <c r="C3691" i="3"/>
  <c r="D3691" i="3"/>
  <c r="B3691" i="3"/>
  <c r="E3691" i="3"/>
  <c r="A3692" i="3"/>
  <c r="C3692" i="3"/>
  <c r="D3692" i="3"/>
  <c r="B3692" i="3"/>
  <c r="E3692" i="3"/>
  <c r="A3693" i="3"/>
  <c r="C3693" i="3"/>
  <c r="D3693" i="3"/>
  <c r="B3693" i="3"/>
  <c r="E3693" i="3"/>
  <c r="A3694" i="3"/>
  <c r="C3694" i="3"/>
  <c r="D3694" i="3"/>
  <c r="B3694" i="3"/>
  <c r="E3694" i="3"/>
  <c r="A3695" i="3"/>
  <c r="C3695" i="3"/>
  <c r="D3695" i="3"/>
  <c r="B3695" i="3"/>
  <c r="E3695" i="3"/>
  <c r="A3696" i="3"/>
  <c r="C3696" i="3"/>
  <c r="D3696" i="3"/>
  <c r="B3696" i="3"/>
  <c r="E3696" i="3"/>
  <c r="A3697" i="3"/>
  <c r="C3697" i="3"/>
  <c r="D3697" i="3"/>
  <c r="B3697" i="3"/>
  <c r="E3697" i="3"/>
  <c r="A3698" i="3"/>
  <c r="C3698" i="3"/>
  <c r="D3698" i="3"/>
  <c r="B3698" i="3"/>
  <c r="E3698" i="3"/>
  <c r="A3699" i="3"/>
  <c r="C3699" i="3"/>
  <c r="D3699" i="3"/>
  <c r="B3699" i="3"/>
  <c r="E3699" i="3"/>
  <c r="A3700" i="3"/>
  <c r="C3700" i="3"/>
  <c r="D3700" i="3"/>
  <c r="B3700" i="3"/>
  <c r="E3700" i="3"/>
  <c r="A3701" i="3"/>
  <c r="C3701" i="3"/>
  <c r="D3701" i="3"/>
  <c r="B3701" i="3"/>
  <c r="E3701" i="3"/>
  <c r="A3702" i="3"/>
  <c r="C3702" i="3"/>
  <c r="D3702" i="3"/>
  <c r="B3702" i="3"/>
  <c r="E3702" i="3"/>
  <c r="A3703" i="3"/>
  <c r="C3703" i="3"/>
  <c r="D3703" i="3"/>
  <c r="B3703" i="3"/>
  <c r="E3703" i="3"/>
  <c r="A3704" i="3"/>
  <c r="C3704" i="3"/>
  <c r="D3704" i="3"/>
  <c r="B3704" i="3"/>
  <c r="E3704" i="3"/>
  <c r="A3705" i="3"/>
  <c r="C3705" i="3"/>
  <c r="D3705" i="3"/>
  <c r="B3705" i="3"/>
  <c r="E3705" i="3"/>
  <c r="A3706" i="3"/>
  <c r="C3706" i="3"/>
  <c r="D3706" i="3"/>
  <c r="B3706" i="3"/>
  <c r="E3706" i="3"/>
  <c r="A3707" i="3"/>
  <c r="C3707" i="3"/>
  <c r="D3707" i="3"/>
  <c r="B3707" i="3"/>
  <c r="E3707" i="3"/>
  <c r="A3708" i="3"/>
  <c r="C3708" i="3"/>
  <c r="D3708" i="3"/>
  <c r="B3708" i="3"/>
  <c r="E3708" i="3"/>
  <c r="A3709" i="3"/>
  <c r="C3709" i="3"/>
  <c r="D3709" i="3"/>
  <c r="B3709" i="3"/>
  <c r="E3709" i="3"/>
  <c r="A3710" i="3"/>
  <c r="C3710" i="3"/>
  <c r="D3710" i="3"/>
  <c r="B3710" i="3"/>
  <c r="E3710" i="3"/>
  <c r="A3711" i="3"/>
  <c r="C3711" i="3"/>
  <c r="D3711" i="3"/>
  <c r="B3711" i="3"/>
  <c r="E3711" i="3"/>
  <c r="A3712" i="3"/>
  <c r="C3712" i="3"/>
  <c r="D3712" i="3"/>
  <c r="B3712" i="3"/>
  <c r="E3712" i="3"/>
  <c r="A3713" i="3"/>
  <c r="C3713" i="3"/>
  <c r="D3713" i="3"/>
  <c r="B3713" i="3"/>
  <c r="E3713" i="3"/>
  <c r="A3714" i="3"/>
  <c r="C3714" i="3"/>
  <c r="D3714" i="3"/>
  <c r="B3714" i="3"/>
  <c r="E3714" i="3"/>
  <c r="A3715" i="3"/>
  <c r="C3715" i="3"/>
  <c r="D3715" i="3"/>
  <c r="B3715" i="3"/>
  <c r="E3715" i="3"/>
  <c r="A3716" i="3"/>
  <c r="C3716" i="3"/>
  <c r="D3716" i="3"/>
  <c r="B3716" i="3"/>
  <c r="E3716" i="3"/>
  <c r="A3717" i="3"/>
  <c r="C3717" i="3"/>
  <c r="D3717" i="3"/>
  <c r="B3717" i="3"/>
  <c r="E3717" i="3"/>
  <c r="A3718" i="3"/>
  <c r="C3718" i="3"/>
  <c r="D3718" i="3"/>
  <c r="B3718" i="3"/>
  <c r="E3718" i="3"/>
  <c r="A3719" i="3"/>
  <c r="C3719" i="3"/>
  <c r="D3719" i="3"/>
  <c r="B3719" i="3"/>
  <c r="E3719" i="3"/>
  <c r="A3720" i="3"/>
  <c r="C3720" i="3"/>
  <c r="D3720" i="3"/>
  <c r="B3720" i="3"/>
  <c r="E3720" i="3"/>
  <c r="A3721" i="3"/>
  <c r="C3721" i="3"/>
  <c r="D3721" i="3"/>
  <c r="B3721" i="3"/>
  <c r="E3721" i="3"/>
  <c r="A3722" i="3"/>
  <c r="C3722" i="3"/>
  <c r="D3722" i="3"/>
  <c r="B3722" i="3"/>
  <c r="E3722" i="3"/>
  <c r="A3723" i="3"/>
  <c r="C3723" i="3"/>
  <c r="D3723" i="3"/>
  <c r="B3723" i="3"/>
  <c r="E3723" i="3"/>
  <c r="A3724" i="3"/>
  <c r="C3724" i="3"/>
  <c r="D3724" i="3"/>
  <c r="B3724" i="3"/>
  <c r="E3724" i="3"/>
  <c r="A3725" i="3"/>
  <c r="C3725" i="3"/>
  <c r="D3725" i="3"/>
  <c r="B3725" i="3"/>
  <c r="E3725" i="3"/>
  <c r="A3726" i="3"/>
  <c r="C3726" i="3"/>
  <c r="D3726" i="3"/>
  <c r="B3726" i="3"/>
  <c r="E3726" i="3"/>
  <c r="A3727" i="3"/>
  <c r="C3727" i="3"/>
  <c r="D3727" i="3"/>
  <c r="B3727" i="3"/>
  <c r="E3727" i="3"/>
  <c r="A3728" i="3"/>
  <c r="C3728" i="3"/>
  <c r="D3728" i="3"/>
  <c r="B3728" i="3"/>
  <c r="E3728" i="3"/>
  <c r="A3729" i="3"/>
  <c r="C3729" i="3"/>
  <c r="D3729" i="3"/>
  <c r="B3729" i="3"/>
  <c r="E3729" i="3"/>
  <c r="A3730" i="3"/>
  <c r="C3730" i="3"/>
  <c r="D3730" i="3"/>
  <c r="B3730" i="3"/>
  <c r="E3730" i="3"/>
  <c r="A3731" i="3"/>
  <c r="C3731" i="3"/>
  <c r="D3731" i="3"/>
  <c r="B3731" i="3"/>
  <c r="E3731" i="3"/>
  <c r="A3732" i="3"/>
  <c r="C3732" i="3"/>
  <c r="D3732" i="3"/>
  <c r="B3732" i="3"/>
  <c r="E3732" i="3"/>
  <c r="A3733" i="3"/>
  <c r="C3733" i="3"/>
  <c r="D3733" i="3"/>
  <c r="B3733" i="3"/>
  <c r="E3733" i="3"/>
  <c r="A3734" i="3"/>
  <c r="C3734" i="3"/>
  <c r="D3734" i="3"/>
  <c r="B3734" i="3"/>
  <c r="E3734" i="3"/>
  <c r="A3735" i="3"/>
  <c r="C3735" i="3"/>
  <c r="D3735" i="3"/>
  <c r="B3735" i="3"/>
  <c r="E3735" i="3"/>
  <c r="A3736" i="3"/>
  <c r="C3736" i="3"/>
  <c r="D3736" i="3"/>
  <c r="B3736" i="3"/>
  <c r="E3736" i="3"/>
  <c r="A3737" i="3"/>
  <c r="C3737" i="3"/>
  <c r="D3737" i="3"/>
  <c r="B3737" i="3"/>
  <c r="E3737" i="3"/>
  <c r="A3738" i="3"/>
  <c r="C3738" i="3"/>
  <c r="D3738" i="3"/>
  <c r="B3738" i="3"/>
  <c r="E3738" i="3"/>
  <c r="A3739" i="3"/>
  <c r="C3739" i="3"/>
  <c r="D3739" i="3"/>
  <c r="B3739" i="3"/>
  <c r="E3739" i="3"/>
  <c r="A3740" i="3"/>
  <c r="C3740" i="3"/>
  <c r="D3740" i="3"/>
  <c r="B3740" i="3"/>
  <c r="E3740" i="3"/>
  <c r="A3741" i="3"/>
  <c r="C3741" i="3"/>
  <c r="D3741" i="3"/>
  <c r="B3741" i="3"/>
  <c r="E3741" i="3"/>
  <c r="A3742" i="3"/>
  <c r="C3742" i="3"/>
  <c r="D3742" i="3"/>
  <c r="B3742" i="3"/>
  <c r="E3742" i="3"/>
  <c r="A3743" i="3"/>
  <c r="C3743" i="3"/>
  <c r="D3743" i="3"/>
  <c r="B3743" i="3"/>
  <c r="E3743" i="3"/>
  <c r="A3744" i="3"/>
  <c r="C3744" i="3"/>
  <c r="D3744" i="3"/>
  <c r="B3744" i="3"/>
  <c r="E3744" i="3"/>
  <c r="A3745" i="3"/>
  <c r="C3745" i="3"/>
  <c r="D3745" i="3"/>
  <c r="B3745" i="3"/>
  <c r="E3745" i="3"/>
  <c r="A3746" i="3"/>
  <c r="C3746" i="3"/>
  <c r="D3746" i="3"/>
  <c r="B3746" i="3"/>
  <c r="E3746" i="3"/>
  <c r="A3747" i="3"/>
  <c r="C3747" i="3"/>
  <c r="D3747" i="3"/>
  <c r="B3747" i="3"/>
  <c r="E3747" i="3"/>
  <c r="A3748" i="3"/>
  <c r="C3748" i="3"/>
  <c r="D3748" i="3"/>
  <c r="B3748" i="3"/>
  <c r="E3748" i="3"/>
  <c r="A3749" i="3"/>
  <c r="C3749" i="3"/>
  <c r="D3749" i="3"/>
  <c r="B3749" i="3"/>
  <c r="E3749" i="3"/>
  <c r="A3750" i="3"/>
  <c r="C3750" i="3"/>
  <c r="D3750" i="3"/>
  <c r="B3750" i="3"/>
  <c r="E3750" i="3"/>
  <c r="A3751" i="3"/>
  <c r="C3751" i="3"/>
  <c r="D3751" i="3"/>
  <c r="B3751" i="3"/>
  <c r="E3751" i="3"/>
  <c r="A3752" i="3"/>
  <c r="C3752" i="3"/>
  <c r="D3752" i="3"/>
  <c r="B3752" i="3"/>
  <c r="E3752" i="3"/>
  <c r="A3753" i="3"/>
  <c r="C3753" i="3"/>
  <c r="D3753" i="3"/>
  <c r="B3753" i="3"/>
  <c r="E3753" i="3"/>
  <c r="A3754" i="3"/>
  <c r="C3754" i="3"/>
  <c r="D3754" i="3"/>
  <c r="B3754" i="3"/>
  <c r="E3754" i="3"/>
  <c r="A3755" i="3"/>
  <c r="C3755" i="3"/>
  <c r="D3755" i="3"/>
  <c r="B3755" i="3"/>
  <c r="E3755" i="3"/>
  <c r="A3756" i="3"/>
  <c r="C3756" i="3"/>
  <c r="D3756" i="3"/>
  <c r="B3756" i="3"/>
  <c r="E3756" i="3"/>
  <c r="A3757" i="3"/>
  <c r="C3757" i="3"/>
  <c r="D3757" i="3"/>
  <c r="B3757" i="3"/>
  <c r="E3757" i="3"/>
  <c r="A3758" i="3"/>
  <c r="C3758" i="3"/>
  <c r="D3758" i="3"/>
  <c r="B3758" i="3"/>
  <c r="E3758" i="3"/>
  <c r="A3759" i="3"/>
  <c r="C3759" i="3"/>
  <c r="D3759" i="3"/>
  <c r="B3759" i="3"/>
  <c r="E3759" i="3"/>
  <c r="A3760" i="3"/>
  <c r="C3760" i="3"/>
  <c r="D3760" i="3"/>
  <c r="B3760" i="3"/>
  <c r="E3760" i="3"/>
  <c r="A3761" i="3"/>
  <c r="C3761" i="3"/>
  <c r="D3761" i="3"/>
  <c r="B3761" i="3"/>
  <c r="E3761" i="3"/>
  <c r="A3762" i="3"/>
  <c r="C3762" i="3"/>
  <c r="D3762" i="3"/>
  <c r="B3762" i="3"/>
  <c r="E3762" i="3"/>
  <c r="A3763" i="3"/>
  <c r="C3763" i="3"/>
  <c r="D3763" i="3"/>
  <c r="B3763" i="3"/>
  <c r="E3763" i="3"/>
  <c r="A3764" i="3"/>
  <c r="C3764" i="3"/>
  <c r="D3764" i="3"/>
  <c r="B3764" i="3"/>
  <c r="E3764" i="3"/>
  <c r="A3765" i="3"/>
  <c r="C3765" i="3"/>
  <c r="D3765" i="3"/>
  <c r="B3765" i="3"/>
  <c r="E3765" i="3"/>
  <c r="A3766" i="3"/>
  <c r="C3766" i="3"/>
  <c r="D3766" i="3"/>
  <c r="B3766" i="3"/>
  <c r="E3766" i="3"/>
  <c r="A3767" i="3"/>
  <c r="C3767" i="3"/>
  <c r="D3767" i="3"/>
  <c r="B3767" i="3"/>
  <c r="E3767" i="3"/>
  <c r="A3768" i="3"/>
  <c r="C3768" i="3"/>
  <c r="D3768" i="3"/>
  <c r="B3768" i="3"/>
  <c r="E3768" i="3"/>
  <c r="A3769" i="3"/>
  <c r="C3769" i="3"/>
  <c r="D3769" i="3"/>
  <c r="B3769" i="3"/>
  <c r="E3769" i="3"/>
  <c r="A3770" i="3"/>
  <c r="C3770" i="3"/>
  <c r="D3770" i="3"/>
  <c r="B3770" i="3"/>
  <c r="E3770" i="3"/>
  <c r="A3771" i="3"/>
  <c r="C3771" i="3"/>
  <c r="D3771" i="3"/>
  <c r="B3771" i="3"/>
  <c r="E3771" i="3"/>
  <c r="A3772" i="3"/>
  <c r="C3772" i="3"/>
  <c r="D3772" i="3"/>
  <c r="B3772" i="3"/>
  <c r="E3772" i="3"/>
  <c r="A3773" i="3"/>
  <c r="C3773" i="3"/>
  <c r="D3773" i="3"/>
  <c r="B3773" i="3"/>
  <c r="E3773" i="3"/>
  <c r="A3774" i="3"/>
  <c r="C3774" i="3"/>
  <c r="D3774" i="3"/>
  <c r="B3774" i="3"/>
  <c r="E3774" i="3"/>
  <c r="A3775" i="3"/>
  <c r="C3775" i="3"/>
  <c r="D3775" i="3"/>
  <c r="B3775" i="3"/>
  <c r="E3775" i="3"/>
  <c r="A3776" i="3"/>
  <c r="C3776" i="3"/>
  <c r="D3776" i="3"/>
  <c r="B3776" i="3"/>
  <c r="E3776" i="3"/>
  <c r="A3777" i="3"/>
  <c r="C3777" i="3"/>
  <c r="D3777" i="3"/>
  <c r="B3777" i="3"/>
  <c r="E3777" i="3"/>
  <c r="A3778" i="3"/>
  <c r="C3778" i="3"/>
  <c r="D3778" i="3"/>
  <c r="B3778" i="3"/>
  <c r="E3778" i="3"/>
  <c r="A3779" i="3"/>
  <c r="C3779" i="3"/>
  <c r="D3779" i="3"/>
  <c r="B3779" i="3"/>
  <c r="E3779" i="3"/>
  <c r="A3780" i="3"/>
  <c r="C3780" i="3"/>
  <c r="D3780" i="3"/>
  <c r="B3780" i="3"/>
  <c r="E3780" i="3"/>
  <c r="A3781" i="3"/>
  <c r="C3781" i="3"/>
  <c r="D3781" i="3"/>
  <c r="B3781" i="3"/>
  <c r="E3781" i="3"/>
  <c r="A3782" i="3"/>
  <c r="C3782" i="3"/>
  <c r="D3782" i="3"/>
  <c r="B3782" i="3"/>
  <c r="E3782" i="3"/>
  <c r="A3783" i="3"/>
  <c r="C3783" i="3"/>
  <c r="D3783" i="3"/>
  <c r="B3783" i="3"/>
  <c r="E3783" i="3"/>
  <c r="A3784" i="3"/>
  <c r="C3784" i="3"/>
  <c r="D3784" i="3"/>
  <c r="B3784" i="3"/>
  <c r="E3784" i="3"/>
  <c r="A3785" i="3"/>
  <c r="C3785" i="3"/>
  <c r="D3785" i="3"/>
  <c r="B3785" i="3"/>
  <c r="E3785" i="3"/>
  <c r="A3786" i="3"/>
  <c r="C3786" i="3"/>
  <c r="D3786" i="3"/>
  <c r="B3786" i="3"/>
  <c r="E3786" i="3"/>
  <c r="A3787" i="3"/>
  <c r="C3787" i="3"/>
  <c r="D3787" i="3"/>
  <c r="B3787" i="3"/>
  <c r="E3787" i="3"/>
  <c r="A3788" i="3"/>
  <c r="C3788" i="3"/>
  <c r="D3788" i="3"/>
  <c r="B3788" i="3"/>
  <c r="E3788" i="3"/>
  <c r="A3789" i="3"/>
  <c r="C3789" i="3"/>
  <c r="D3789" i="3"/>
  <c r="B3789" i="3"/>
  <c r="E3789" i="3"/>
  <c r="A3790" i="3"/>
  <c r="C3790" i="3"/>
  <c r="D3790" i="3"/>
  <c r="B3790" i="3"/>
  <c r="E3790" i="3"/>
  <c r="A3791" i="3"/>
  <c r="C3791" i="3"/>
  <c r="D3791" i="3"/>
  <c r="B3791" i="3"/>
  <c r="E3791" i="3"/>
  <c r="A3792" i="3"/>
  <c r="C3792" i="3"/>
  <c r="D3792" i="3"/>
  <c r="B3792" i="3"/>
  <c r="E3792" i="3"/>
  <c r="A3793" i="3"/>
  <c r="C3793" i="3"/>
  <c r="D3793" i="3"/>
  <c r="B3793" i="3"/>
  <c r="E3793" i="3"/>
  <c r="A3794" i="3"/>
  <c r="C3794" i="3"/>
  <c r="D3794" i="3"/>
  <c r="B3794" i="3"/>
  <c r="E3794" i="3"/>
  <c r="A3795" i="3"/>
  <c r="C3795" i="3"/>
  <c r="D3795" i="3"/>
  <c r="B3795" i="3"/>
  <c r="E3795" i="3"/>
  <c r="A3796" i="3"/>
  <c r="C3796" i="3"/>
  <c r="D3796" i="3"/>
  <c r="B3796" i="3"/>
  <c r="E3796" i="3"/>
  <c r="A3797" i="3"/>
  <c r="C3797" i="3"/>
  <c r="D3797" i="3"/>
  <c r="B3797" i="3"/>
  <c r="E3797" i="3"/>
  <c r="A3798" i="3"/>
  <c r="C3798" i="3"/>
  <c r="D3798" i="3"/>
  <c r="B3798" i="3"/>
  <c r="E3798" i="3"/>
  <c r="A3799" i="3"/>
  <c r="C3799" i="3"/>
  <c r="D3799" i="3"/>
  <c r="B3799" i="3"/>
  <c r="E3799" i="3"/>
  <c r="A3800" i="3"/>
  <c r="C3800" i="3"/>
  <c r="D3800" i="3"/>
  <c r="B3800" i="3"/>
  <c r="E3800" i="3"/>
  <c r="A3801" i="3"/>
  <c r="C3801" i="3"/>
  <c r="D3801" i="3"/>
  <c r="B3801" i="3"/>
  <c r="E3801" i="3"/>
  <c r="A3802" i="3"/>
  <c r="C3802" i="3"/>
  <c r="D3802" i="3"/>
  <c r="B3802" i="3"/>
  <c r="E3802" i="3"/>
  <c r="A3803" i="3"/>
  <c r="C3803" i="3"/>
  <c r="D3803" i="3"/>
  <c r="B3803" i="3"/>
  <c r="E3803" i="3"/>
  <c r="A3804" i="3"/>
  <c r="C3804" i="3"/>
  <c r="D3804" i="3"/>
  <c r="B3804" i="3"/>
  <c r="E3804" i="3"/>
  <c r="A3805" i="3"/>
  <c r="C3805" i="3"/>
  <c r="D3805" i="3"/>
  <c r="B3805" i="3"/>
  <c r="E3805" i="3"/>
  <c r="A3806" i="3"/>
  <c r="C3806" i="3"/>
  <c r="D3806" i="3"/>
  <c r="B3806" i="3"/>
  <c r="E3806" i="3"/>
  <c r="A3807" i="3"/>
  <c r="C3807" i="3"/>
  <c r="D3807" i="3"/>
  <c r="B3807" i="3"/>
  <c r="E3807" i="3"/>
  <c r="A3808" i="3"/>
  <c r="C3808" i="3"/>
  <c r="D3808" i="3"/>
  <c r="B3808" i="3"/>
  <c r="E3808" i="3"/>
  <c r="A3809" i="3"/>
  <c r="C3809" i="3"/>
  <c r="D3809" i="3"/>
  <c r="B3809" i="3"/>
  <c r="E3809" i="3"/>
  <c r="A3810" i="3"/>
  <c r="C3810" i="3"/>
  <c r="D3810" i="3"/>
  <c r="B3810" i="3"/>
  <c r="E3810" i="3"/>
  <c r="A3811" i="3"/>
  <c r="C3811" i="3"/>
  <c r="D3811" i="3"/>
  <c r="B3811" i="3"/>
  <c r="E3811" i="3"/>
  <c r="A3812" i="3"/>
  <c r="C3812" i="3"/>
  <c r="D3812" i="3"/>
  <c r="B3812" i="3"/>
  <c r="E3812" i="3"/>
  <c r="A3813" i="3"/>
  <c r="C3813" i="3"/>
  <c r="D3813" i="3"/>
  <c r="B3813" i="3"/>
  <c r="E3813" i="3"/>
  <c r="A3814" i="3"/>
  <c r="C3814" i="3"/>
  <c r="D3814" i="3"/>
  <c r="B3814" i="3"/>
  <c r="E3814" i="3"/>
  <c r="A3815" i="3"/>
  <c r="C3815" i="3"/>
  <c r="D3815" i="3"/>
  <c r="B3815" i="3"/>
  <c r="E3815" i="3"/>
  <c r="A3816" i="3"/>
  <c r="C3816" i="3"/>
  <c r="D3816" i="3"/>
  <c r="B3816" i="3"/>
  <c r="E3816" i="3"/>
  <c r="A3817" i="3"/>
  <c r="C3817" i="3"/>
  <c r="D3817" i="3"/>
  <c r="B3817" i="3"/>
  <c r="E3817" i="3"/>
  <c r="A3818" i="3"/>
  <c r="C3818" i="3"/>
  <c r="D3818" i="3"/>
  <c r="B3818" i="3"/>
  <c r="E3818" i="3"/>
  <c r="A3819" i="3"/>
  <c r="C3819" i="3"/>
  <c r="D3819" i="3"/>
  <c r="B3819" i="3"/>
  <c r="E3819" i="3"/>
  <c r="A3820" i="3"/>
  <c r="C3820" i="3"/>
  <c r="D3820" i="3"/>
  <c r="B3820" i="3"/>
  <c r="E3820" i="3"/>
  <c r="A3821" i="3"/>
  <c r="C3821" i="3"/>
  <c r="D3821" i="3"/>
  <c r="B3821" i="3"/>
  <c r="E3821" i="3"/>
  <c r="A3822" i="3"/>
  <c r="C3822" i="3"/>
  <c r="D3822" i="3"/>
  <c r="B3822" i="3"/>
  <c r="E3822" i="3"/>
  <c r="A3823" i="3"/>
  <c r="C3823" i="3"/>
  <c r="D3823" i="3"/>
  <c r="B3823" i="3"/>
  <c r="E3823" i="3"/>
  <c r="A3824" i="3"/>
  <c r="C3824" i="3"/>
  <c r="D3824" i="3"/>
  <c r="B3824" i="3"/>
  <c r="E3824" i="3"/>
  <c r="A3825" i="3"/>
  <c r="C3825" i="3"/>
  <c r="D3825" i="3"/>
  <c r="B3825" i="3"/>
  <c r="E3825" i="3"/>
  <c r="A3826" i="3"/>
  <c r="C3826" i="3"/>
  <c r="D3826" i="3"/>
  <c r="B3826" i="3"/>
  <c r="E3826" i="3"/>
  <c r="A3827" i="3"/>
  <c r="C3827" i="3"/>
  <c r="D3827" i="3"/>
  <c r="B3827" i="3"/>
  <c r="E3827" i="3"/>
  <c r="A3828" i="3"/>
  <c r="C3828" i="3"/>
  <c r="D3828" i="3"/>
  <c r="B3828" i="3"/>
  <c r="E3828" i="3"/>
  <c r="A3829" i="3"/>
  <c r="C3829" i="3"/>
  <c r="D3829" i="3"/>
  <c r="B3829" i="3"/>
  <c r="E3829" i="3"/>
  <c r="A3830" i="3"/>
  <c r="C3830" i="3"/>
  <c r="D3830" i="3"/>
  <c r="B3830" i="3"/>
  <c r="E3830" i="3"/>
  <c r="A3831" i="3"/>
  <c r="C3831" i="3"/>
  <c r="D3831" i="3"/>
  <c r="B3831" i="3"/>
  <c r="E3831" i="3"/>
  <c r="A3832" i="3"/>
  <c r="C3832" i="3"/>
  <c r="D3832" i="3"/>
  <c r="B3832" i="3"/>
  <c r="E3832" i="3"/>
  <c r="A3833" i="3"/>
  <c r="C3833" i="3"/>
  <c r="D3833" i="3"/>
  <c r="B3833" i="3"/>
  <c r="E3833" i="3"/>
  <c r="A3834" i="3"/>
  <c r="C3834" i="3"/>
  <c r="D3834" i="3"/>
  <c r="B3834" i="3"/>
  <c r="E3834" i="3"/>
  <c r="A3835" i="3"/>
  <c r="C3835" i="3"/>
  <c r="D3835" i="3"/>
  <c r="B3835" i="3"/>
  <c r="E3835" i="3"/>
  <c r="A3836" i="3"/>
  <c r="C3836" i="3"/>
  <c r="D3836" i="3"/>
  <c r="B3836" i="3"/>
  <c r="E3836" i="3"/>
  <c r="A3837" i="3"/>
  <c r="C3837" i="3"/>
  <c r="D3837" i="3"/>
  <c r="B3837" i="3"/>
  <c r="E3837" i="3"/>
  <c r="A3838" i="3"/>
  <c r="C3838" i="3"/>
  <c r="D3838" i="3"/>
  <c r="B3838" i="3"/>
  <c r="E3838" i="3"/>
  <c r="A3839" i="3"/>
  <c r="C3839" i="3"/>
  <c r="D3839" i="3"/>
  <c r="B3839" i="3"/>
  <c r="E3839" i="3"/>
  <c r="A3840" i="3"/>
  <c r="C3840" i="3"/>
  <c r="D3840" i="3"/>
  <c r="B3840" i="3"/>
  <c r="E3840" i="3"/>
  <c r="A3841" i="3"/>
  <c r="C3841" i="3"/>
  <c r="D3841" i="3"/>
  <c r="B3841" i="3"/>
  <c r="E3841" i="3"/>
  <c r="A3842" i="3"/>
  <c r="C3842" i="3"/>
  <c r="D3842" i="3"/>
  <c r="B3842" i="3"/>
  <c r="E3842" i="3"/>
  <c r="A3843" i="3"/>
  <c r="C3843" i="3"/>
  <c r="D3843" i="3"/>
  <c r="B3843" i="3"/>
  <c r="E3843" i="3"/>
  <c r="A3844" i="3"/>
  <c r="C3844" i="3"/>
  <c r="D3844" i="3"/>
  <c r="B3844" i="3"/>
  <c r="E3844" i="3"/>
  <c r="A3845" i="3"/>
  <c r="C3845" i="3"/>
  <c r="D3845" i="3"/>
  <c r="B3845" i="3"/>
  <c r="E3845" i="3"/>
  <c r="A3846" i="3"/>
  <c r="C3846" i="3"/>
  <c r="D3846" i="3"/>
  <c r="B3846" i="3"/>
  <c r="E3846" i="3"/>
  <c r="A3847" i="3"/>
  <c r="C3847" i="3"/>
  <c r="D3847" i="3"/>
  <c r="B3847" i="3"/>
  <c r="E3847" i="3"/>
  <c r="A3848" i="3"/>
  <c r="C3848" i="3"/>
  <c r="D3848" i="3"/>
  <c r="B3848" i="3"/>
  <c r="E3848" i="3"/>
  <c r="A3849" i="3"/>
  <c r="C3849" i="3"/>
  <c r="D3849" i="3"/>
  <c r="B3849" i="3"/>
  <c r="E3849" i="3"/>
  <c r="A3850" i="3"/>
  <c r="C3850" i="3"/>
  <c r="D3850" i="3"/>
  <c r="B3850" i="3"/>
  <c r="E3850" i="3"/>
  <c r="A3851" i="3"/>
  <c r="C3851" i="3"/>
  <c r="D3851" i="3"/>
  <c r="B3851" i="3"/>
  <c r="E3851" i="3"/>
  <c r="A3852" i="3"/>
  <c r="C3852" i="3"/>
  <c r="D3852" i="3"/>
  <c r="B3852" i="3"/>
  <c r="E3852" i="3"/>
  <c r="A3853" i="3"/>
  <c r="C3853" i="3"/>
  <c r="D3853" i="3"/>
  <c r="B3853" i="3"/>
  <c r="E3853" i="3"/>
  <c r="A3854" i="3"/>
  <c r="C3854" i="3"/>
  <c r="D3854" i="3"/>
  <c r="B3854" i="3"/>
  <c r="E3854" i="3"/>
  <c r="A3855" i="3"/>
  <c r="C3855" i="3"/>
  <c r="D3855" i="3"/>
  <c r="B3855" i="3"/>
  <c r="E3855" i="3"/>
  <c r="A3856" i="3"/>
  <c r="C3856" i="3"/>
  <c r="D3856" i="3"/>
  <c r="B3856" i="3"/>
  <c r="E3856" i="3"/>
  <c r="A3857" i="3"/>
  <c r="C3857" i="3"/>
  <c r="D3857" i="3"/>
  <c r="B3857" i="3"/>
  <c r="E3857" i="3"/>
  <c r="A3858" i="3"/>
  <c r="C3858" i="3"/>
  <c r="D3858" i="3"/>
  <c r="B3858" i="3"/>
  <c r="E3858" i="3"/>
  <c r="A3859" i="3"/>
  <c r="C3859" i="3"/>
  <c r="D3859" i="3"/>
  <c r="B3859" i="3"/>
  <c r="E3859" i="3"/>
  <c r="A3860" i="3"/>
  <c r="C3860" i="3"/>
  <c r="D3860" i="3"/>
  <c r="B3860" i="3"/>
  <c r="E3860" i="3"/>
  <c r="A3861" i="3"/>
  <c r="C3861" i="3"/>
  <c r="D3861" i="3"/>
  <c r="B3861" i="3"/>
  <c r="E3861" i="3"/>
  <c r="A3862" i="3"/>
  <c r="C3862" i="3"/>
  <c r="D3862" i="3"/>
  <c r="B3862" i="3"/>
  <c r="E3862" i="3"/>
  <c r="A3863" i="3"/>
  <c r="C3863" i="3"/>
  <c r="D3863" i="3"/>
  <c r="B3863" i="3"/>
  <c r="E3863" i="3"/>
  <c r="A3864" i="3"/>
  <c r="C3864" i="3"/>
  <c r="D3864" i="3"/>
  <c r="B3864" i="3"/>
  <c r="E3864" i="3"/>
  <c r="A3865" i="3"/>
  <c r="C3865" i="3"/>
  <c r="D3865" i="3"/>
  <c r="B3865" i="3"/>
  <c r="E3865" i="3"/>
  <c r="A3866" i="3"/>
  <c r="C3866" i="3"/>
  <c r="D3866" i="3"/>
  <c r="B3866" i="3"/>
  <c r="E3866" i="3"/>
  <c r="A3867" i="3"/>
  <c r="C3867" i="3"/>
  <c r="D3867" i="3"/>
  <c r="B3867" i="3"/>
  <c r="E3867" i="3"/>
  <c r="A3868" i="3"/>
  <c r="C3868" i="3"/>
  <c r="D3868" i="3"/>
  <c r="B3868" i="3"/>
  <c r="E3868" i="3"/>
  <c r="A3869" i="3"/>
  <c r="C3869" i="3"/>
  <c r="D3869" i="3"/>
  <c r="B3869" i="3"/>
  <c r="E3869" i="3"/>
  <c r="A3870" i="3"/>
  <c r="C3870" i="3"/>
  <c r="D3870" i="3"/>
  <c r="B3870" i="3"/>
  <c r="E3870" i="3"/>
  <c r="A3871" i="3"/>
  <c r="C3871" i="3"/>
  <c r="D3871" i="3"/>
  <c r="B3871" i="3"/>
  <c r="E3871" i="3"/>
  <c r="A3872" i="3"/>
  <c r="C3872" i="3"/>
  <c r="D3872" i="3"/>
  <c r="B3872" i="3"/>
  <c r="E3872" i="3"/>
  <c r="A3873" i="3"/>
  <c r="C3873" i="3"/>
  <c r="D3873" i="3"/>
  <c r="B3873" i="3"/>
  <c r="E3873" i="3"/>
  <c r="A3874" i="3"/>
  <c r="C3874" i="3"/>
  <c r="D3874" i="3"/>
  <c r="B3874" i="3"/>
  <c r="E3874" i="3"/>
  <c r="A3875" i="3"/>
  <c r="C3875" i="3"/>
  <c r="D3875" i="3"/>
  <c r="B3875" i="3"/>
  <c r="E3875" i="3"/>
  <c r="A3876" i="3"/>
  <c r="C3876" i="3"/>
  <c r="D3876" i="3"/>
  <c r="B3876" i="3"/>
  <c r="E3876" i="3"/>
  <c r="A3877" i="3"/>
  <c r="C3877" i="3"/>
  <c r="D3877" i="3"/>
  <c r="B3877" i="3"/>
  <c r="E3877" i="3"/>
  <c r="A3878" i="3"/>
  <c r="C3878" i="3"/>
  <c r="D3878" i="3"/>
  <c r="B3878" i="3"/>
  <c r="E3878" i="3"/>
  <c r="A3879" i="3"/>
  <c r="C3879" i="3"/>
  <c r="D3879" i="3"/>
  <c r="B3879" i="3"/>
  <c r="E3879" i="3"/>
  <c r="A3880" i="3"/>
  <c r="C3880" i="3"/>
  <c r="D3880" i="3"/>
  <c r="B3880" i="3"/>
  <c r="E3880" i="3"/>
  <c r="A3881" i="3"/>
  <c r="C3881" i="3"/>
  <c r="D3881" i="3"/>
  <c r="B3881" i="3"/>
  <c r="E3881" i="3"/>
  <c r="A3882" i="3"/>
  <c r="C3882" i="3"/>
  <c r="D3882" i="3"/>
  <c r="B3882" i="3"/>
  <c r="E3882" i="3"/>
  <c r="A3883" i="3"/>
  <c r="C3883" i="3"/>
  <c r="D3883" i="3"/>
  <c r="B3883" i="3"/>
  <c r="E3883" i="3"/>
  <c r="A3884" i="3"/>
  <c r="C3884" i="3"/>
  <c r="D3884" i="3"/>
  <c r="B3884" i="3"/>
  <c r="E3884" i="3"/>
  <c r="A3885" i="3"/>
  <c r="C3885" i="3"/>
  <c r="D3885" i="3"/>
  <c r="B3885" i="3"/>
  <c r="E3885" i="3"/>
  <c r="A3886" i="3"/>
  <c r="C3886" i="3"/>
  <c r="D3886" i="3"/>
  <c r="B3886" i="3"/>
  <c r="E3886" i="3"/>
  <c r="A3887" i="3"/>
  <c r="C3887" i="3"/>
  <c r="D3887" i="3"/>
  <c r="B3887" i="3"/>
  <c r="E3887" i="3"/>
  <c r="A3888" i="3"/>
  <c r="C3888" i="3"/>
  <c r="D3888" i="3"/>
  <c r="B3888" i="3"/>
  <c r="E3888" i="3"/>
  <c r="A3889" i="3"/>
  <c r="C3889" i="3"/>
  <c r="D3889" i="3"/>
  <c r="B3889" i="3"/>
  <c r="E3889" i="3"/>
  <c r="A3890" i="3"/>
  <c r="C3890" i="3"/>
  <c r="D3890" i="3"/>
  <c r="B3890" i="3"/>
  <c r="E3890" i="3"/>
  <c r="A3891" i="3"/>
  <c r="C3891" i="3"/>
  <c r="D3891" i="3"/>
  <c r="B3891" i="3"/>
  <c r="E3891" i="3"/>
  <c r="A3892" i="3"/>
  <c r="C3892" i="3"/>
  <c r="D3892" i="3"/>
  <c r="B3892" i="3"/>
  <c r="E3892" i="3"/>
  <c r="A3893" i="3"/>
  <c r="C3893" i="3"/>
  <c r="D3893" i="3"/>
  <c r="B3893" i="3"/>
  <c r="E3893" i="3"/>
  <c r="A3894" i="3"/>
  <c r="C3894" i="3"/>
  <c r="D3894" i="3"/>
  <c r="B3894" i="3"/>
  <c r="E3894" i="3"/>
  <c r="A3895" i="3"/>
  <c r="C3895" i="3"/>
  <c r="D3895" i="3"/>
  <c r="B3895" i="3"/>
  <c r="E3895" i="3"/>
  <c r="A3896" i="3"/>
  <c r="C3896" i="3"/>
  <c r="D3896" i="3"/>
  <c r="B3896" i="3"/>
  <c r="E3896" i="3"/>
  <c r="A3897" i="3"/>
  <c r="C3897" i="3"/>
  <c r="D3897" i="3"/>
  <c r="B3897" i="3"/>
  <c r="E3897" i="3"/>
  <c r="A3898" i="3"/>
  <c r="C3898" i="3"/>
  <c r="D3898" i="3"/>
  <c r="B3898" i="3"/>
  <c r="E3898" i="3"/>
  <c r="A3899" i="3"/>
  <c r="C3899" i="3"/>
  <c r="D3899" i="3"/>
  <c r="B3899" i="3"/>
  <c r="E3899" i="3"/>
  <c r="A3900" i="3"/>
  <c r="C3900" i="3"/>
  <c r="D3900" i="3"/>
  <c r="B3900" i="3"/>
  <c r="E3900" i="3"/>
  <c r="A3901" i="3"/>
  <c r="C3901" i="3"/>
  <c r="D3901" i="3"/>
  <c r="B3901" i="3"/>
  <c r="E3901" i="3"/>
  <c r="A3902" i="3"/>
  <c r="C3902" i="3"/>
  <c r="D3902" i="3"/>
  <c r="B3902" i="3"/>
  <c r="E3902" i="3"/>
  <c r="A3903" i="3"/>
  <c r="C3903" i="3"/>
  <c r="D3903" i="3"/>
  <c r="B3903" i="3"/>
  <c r="E3903" i="3"/>
  <c r="A3904" i="3"/>
  <c r="C3904" i="3"/>
  <c r="D3904" i="3"/>
  <c r="B3904" i="3"/>
  <c r="E3904" i="3"/>
  <c r="A3905" i="3"/>
  <c r="C3905" i="3"/>
  <c r="D3905" i="3"/>
  <c r="B3905" i="3"/>
  <c r="E3905" i="3"/>
  <c r="A3906" i="3"/>
  <c r="C3906" i="3"/>
  <c r="D3906" i="3"/>
  <c r="B3906" i="3"/>
  <c r="E3906" i="3"/>
  <c r="A3907" i="3"/>
  <c r="C3907" i="3"/>
  <c r="D3907" i="3"/>
  <c r="B3907" i="3"/>
  <c r="E3907" i="3"/>
  <c r="A3908" i="3"/>
  <c r="C3908" i="3"/>
  <c r="D3908" i="3"/>
  <c r="B3908" i="3"/>
  <c r="E3908" i="3"/>
  <c r="A3909" i="3"/>
  <c r="C3909" i="3"/>
  <c r="D3909" i="3"/>
  <c r="B3909" i="3"/>
  <c r="E3909" i="3"/>
  <c r="A3910" i="3"/>
  <c r="C3910" i="3"/>
  <c r="D3910" i="3"/>
  <c r="B3910" i="3"/>
  <c r="E3910" i="3"/>
  <c r="A3911" i="3"/>
  <c r="C3911" i="3"/>
  <c r="D3911" i="3"/>
  <c r="B3911" i="3"/>
  <c r="E3911" i="3"/>
  <c r="A3912" i="3"/>
  <c r="C3912" i="3"/>
  <c r="D3912" i="3"/>
  <c r="B3912" i="3"/>
  <c r="E3912" i="3"/>
  <c r="A3913" i="3"/>
  <c r="C3913" i="3"/>
  <c r="D3913" i="3"/>
  <c r="B3913" i="3"/>
  <c r="E3913" i="3"/>
  <c r="A3914" i="3"/>
  <c r="C3914" i="3"/>
  <c r="D3914" i="3"/>
  <c r="B3914" i="3"/>
  <c r="E3914" i="3"/>
  <c r="A3915" i="3"/>
  <c r="C3915" i="3"/>
  <c r="D3915" i="3"/>
  <c r="B3915" i="3"/>
  <c r="E3915" i="3"/>
  <c r="A3916" i="3"/>
  <c r="C3916" i="3"/>
  <c r="D3916" i="3"/>
  <c r="B3916" i="3"/>
  <c r="E3916" i="3"/>
  <c r="A3917" i="3"/>
  <c r="C3917" i="3"/>
  <c r="D3917" i="3"/>
  <c r="B3917" i="3"/>
  <c r="E3917" i="3"/>
  <c r="A3918" i="3"/>
  <c r="C3918" i="3"/>
  <c r="D3918" i="3"/>
  <c r="B3918" i="3"/>
  <c r="E3918" i="3"/>
  <c r="A3919" i="3"/>
  <c r="C3919" i="3"/>
  <c r="D3919" i="3"/>
  <c r="B3919" i="3"/>
  <c r="E3919" i="3"/>
  <c r="A3920" i="3"/>
  <c r="C3920" i="3"/>
  <c r="D3920" i="3"/>
  <c r="B3920" i="3"/>
  <c r="E3920" i="3"/>
  <c r="A3921" i="3"/>
  <c r="C3921" i="3"/>
  <c r="D3921" i="3"/>
  <c r="B3921" i="3"/>
  <c r="E3921" i="3"/>
  <c r="A3922" i="3"/>
  <c r="C3922" i="3"/>
  <c r="D3922" i="3"/>
  <c r="B3922" i="3"/>
  <c r="E3922" i="3"/>
  <c r="A3923" i="3"/>
  <c r="C3923" i="3"/>
  <c r="D3923" i="3"/>
  <c r="B3923" i="3"/>
  <c r="E3923" i="3"/>
  <c r="A3924" i="3"/>
  <c r="C3924" i="3"/>
  <c r="D3924" i="3"/>
  <c r="B3924" i="3"/>
  <c r="E3924" i="3"/>
  <c r="A3925" i="3"/>
  <c r="C3925" i="3"/>
  <c r="D3925" i="3"/>
  <c r="B3925" i="3"/>
  <c r="E3925" i="3"/>
  <c r="A3926" i="3"/>
  <c r="C3926" i="3"/>
  <c r="D3926" i="3"/>
  <c r="B3926" i="3"/>
  <c r="E3926" i="3"/>
  <c r="A3927" i="3"/>
  <c r="C3927" i="3"/>
  <c r="D3927" i="3"/>
  <c r="B3927" i="3"/>
  <c r="E3927" i="3"/>
  <c r="A3928" i="3"/>
  <c r="C3928" i="3"/>
  <c r="D3928" i="3"/>
  <c r="B3928" i="3"/>
  <c r="E3928" i="3"/>
  <c r="A3929" i="3"/>
  <c r="C3929" i="3"/>
  <c r="D3929" i="3"/>
  <c r="B3929" i="3"/>
  <c r="E3929" i="3"/>
  <c r="A3930" i="3"/>
  <c r="C3930" i="3"/>
  <c r="D3930" i="3"/>
  <c r="B3930" i="3"/>
  <c r="E3930" i="3"/>
  <c r="A3931" i="3"/>
  <c r="C3931" i="3"/>
  <c r="D3931" i="3"/>
  <c r="B3931" i="3"/>
  <c r="E3931" i="3"/>
  <c r="A3932" i="3"/>
  <c r="C3932" i="3"/>
  <c r="D3932" i="3"/>
  <c r="B3932" i="3"/>
  <c r="E3932" i="3"/>
  <c r="A3933" i="3"/>
  <c r="C3933" i="3"/>
  <c r="D3933" i="3"/>
  <c r="B3933" i="3"/>
  <c r="E3933" i="3"/>
  <c r="A3934" i="3"/>
  <c r="C3934" i="3"/>
  <c r="D3934" i="3"/>
  <c r="B3934" i="3"/>
  <c r="E3934" i="3"/>
  <c r="A3935" i="3"/>
  <c r="C3935" i="3"/>
  <c r="D3935" i="3"/>
  <c r="B3935" i="3"/>
  <c r="E3935" i="3"/>
  <c r="A3936" i="3"/>
  <c r="C3936" i="3"/>
  <c r="D3936" i="3"/>
  <c r="B3936" i="3"/>
  <c r="E3936" i="3"/>
  <c r="A3937" i="3"/>
  <c r="C3937" i="3"/>
  <c r="D3937" i="3"/>
  <c r="B3937" i="3"/>
  <c r="E3937" i="3"/>
  <c r="A3938" i="3"/>
  <c r="C3938" i="3"/>
  <c r="D3938" i="3"/>
  <c r="B3938" i="3"/>
  <c r="E3938" i="3"/>
  <c r="A3939" i="3"/>
  <c r="C3939" i="3"/>
  <c r="D3939" i="3"/>
  <c r="B3939" i="3"/>
  <c r="E3939" i="3"/>
  <c r="A3940" i="3"/>
  <c r="C3940" i="3"/>
  <c r="D3940" i="3"/>
  <c r="B3940" i="3"/>
  <c r="E3940" i="3"/>
  <c r="A3941" i="3"/>
  <c r="C3941" i="3"/>
  <c r="D3941" i="3"/>
  <c r="B3941" i="3"/>
  <c r="E3941" i="3"/>
  <c r="A3942" i="3"/>
  <c r="C3942" i="3"/>
  <c r="D3942" i="3"/>
  <c r="B3942" i="3"/>
  <c r="E3942" i="3"/>
  <c r="A3943" i="3"/>
  <c r="C3943" i="3"/>
  <c r="D3943" i="3"/>
  <c r="B3943" i="3"/>
  <c r="E3943" i="3"/>
  <c r="A3944" i="3"/>
  <c r="C3944" i="3"/>
  <c r="D3944" i="3"/>
  <c r="B3944" i="3"/>
  <c r="E3944" i="3"/>
  <c r="A3945" i="3"/>
  <c r="C3945" i="3"/>
  <c r="D3945" i="3"/>
  <c r="B3945" i="3"/>
  <c r="E3945" i="3"/>
  <c r="A3946" i="3"/>
  <c r="C3946" i="3"/>
  <c r="D3946" i="3"/>
  <c r="B3946" i="3"/>
  <c r="E3946" i="3"/>
  <c r="A3947" i="3"/>
  <c r="C3947" i="3"/>
  <c r="D3947" i="3"/>
  <c r="B3947" i="3"/>
  <c r="E3947" i="3"/>
  <c r="A3948" i="3"/>
  <c r="C3948" i="3"/>
  <c r="D3948" i="3"/>
  <c r="B3948" i="3"/>
  <c r="E3948" i="3"/>
  <c r="A3949" i="3"/>
  <c r="C3949" i="3"/>
  <c r="D3949" i="3"/>
  <c r="B3949" i="3"/>
  <c r="E3949" i="3"/>
  <c r="A3950" i="3"/>
  <c r="C3950" i="3"/>
  <c r="D3950" i="3"/>
  <c r="B3950" i="3"/>
  <c r="E3950" i="3"/>
  <c r="A3951" i="3"/>
  <c r="C3951" i="3"/>
  <c r="D3951" i="3"/>
  <c r="B3951" i="3"/>
  <c r="E3951" i="3"/>
  <c r="A3952" i="3"/>
  <c r="C3952" i="3"/>
  <c r="D3952" i="3"/>
  <c r="B3952" i="3"/>
  <c r="E3952" i="3"/>
  <c r="A3953" i="3"/>
  <c r="C3953" i="3"/>
  <c r="D3953" i="3"/>
  <c r="B3953" i="3"/>
  <c r="E3953" i="3"/>
  <c r="A3954" i="3"/>
  <c r="C3954" i="3"/>
  <c r="D3954" i="3"/>
  <c r="B3954" i="3"/>
  <c r="E3954" i="3"/>
  <c r="A3955" i="3"/>
  <c r="C3955" i="3"/>
  <c r="D3955" i="3"/>
  <c r="B3955" i="3"/>
  <c r="E3955" i="3"/>
  <c r="A3956" i="3"/>
  <c r="C3956" i="3"/>
  <c r="D3956" i="3"/>
  <c r="B3956" i="3"/>
  <c r="E3956" i="3"/>
  <c r="A3957" i="3"/>
  <c r="C3957" i="3"/>
  <c r="D3957" i="3"/>
  <c r="B3957" i="3"/>
  <c r="E3957" i="3"/>
  <c r="A3958" i="3"/>
  <c r="C3958" i="3"/>
  <c r="D3958" i="3"/>
  <c r="B3958" i="3"/>
  <c r="E3958" i="3"/>
  <c r="A3959" i="3"/>
  <c r="C3959" i="3"/>
  <c r="D3959" i="3"/>
  <c r="B3959" i="3"/>
  <c r="E3959" i="3"/>
  <c r="A3960" i="3"/>
  <c r="C3960" i="3"/>
  <c r="D3960" i="3"/>
  <c r="B3960" i="3"/>
  <c r="E3960" i="3"/>
  <c r="A3961" i="3"/>
  <c r="C3961" i="3"/>
  <c r="D3961" i="3"/>
  <c r="B3961" i="3"/>
  <c r="E3961" i="3"/>
  <c r="A3962" i="3"/>
  <c r="C3962" i="3"/>
  <c r="D3962" i="3"/>
  <c r="B3962" i="3"/>
  <c r="E3962" i="3"/>
  <c r="A3963" i="3"/>
  <c r="C3963" i="3"/>
  <c r="D3963" i="3"/>
  <c r="B3963" i="3"/>
  <c r="E3963" i="3"/>
  <c r="A3964" i="3"/>
  <c r="C3964" i="3"/>
  <c r="D3964" i="3"/>
  <c r="B3964" i="3"/>
  <c r="E3964" i="3"/>
  <c r="A3965" i="3"/>
  <c r="C3965" i="3"/>
  <c r="D3965" i="3"/>
  <c r="B3965" i="3"/>
  <c r="E3965" i="3"/>
  <c r="A3966" i="3"/>
  <c r="C3966" i="3"/>
  <c r="D3966" i="3"/>
  <c r="B3966" i="3"/>
  <c r="E3966" i="3"/>
  <c r="A3967" i="3"/>
  <c r="C3967" i="3"/>
  <c r="D3967" i="3"/>
  <c r="B3967" i="3"/>
  <c r="E3967" i="3"/>
  <c r="A3968" i="3"/>
  <c r="C3968" i="3"/>
  <c r="D3968" i="3"/>
  <c r="B3968" i="3"/>
  <c r="E3968" i="3"/>
  <c r="A3969" i="3"/>
  <c r="C3969" i="3"/>
  <c r="D3969" i="3"/>
  <c r="B3969" i="3"/>
  <c r="E3969" i="3"/>
  <c r="A3970" i="3"/>
  <c r="C3970" i="3"/>
  <c r="D3970" i="3"/>
  <c r="B3970" i="3"/>
  <c r="E3970" i="3"/>
  <c r="A3971" i="3"/>
  <c r="C3971" i="3"/>
  <c r="D3971" i="3"/>
  <c r="B3971" i="3"/>
  <c r="E3971" i="3"/>
  <c r="A3972" i="3"/>
  <c r="C3972" i="3"/>
  <c r="D3972" i="3"/>
  <c r="B3972" i="3"/>
  <c r="E3972" i="3"/>
  <c r="A3973" i="3"/>
  <c r="C3973" i="3"/>
  <c r="D3973" i="3"/>
  <c r="B3973" i="3"/>
  <c r="E3973" i="3"/>
  <c r="A3974" i="3"/>
  <c r="C3974" i="3"/>
  <c r="D3974" i="3"/>
  <c r="B3974" i="3"/>
  <c r="E3974" i="3"/>
  <c r="A3975" i="3"/>
  <c r="C3975" i="3"/>
  <c r="D3975" i="3"/>
  <c r="B3975" i="3"/>
  <c r="E3975" i="3"/>
  <c r="A3976" i="3"/>
  <c r="C3976" i="3"/>
  <c r="D3976" i="3"/>
  <c r="B3976" i="3"/>
  <c r="E3976" i="3"/>
  <c r="A3977" i="3"/>
  <c r="C3977" i="3"/>
  <c r="D3977" i="3"/>
  <c r="B3977" i="3"/>
  <c r="E3977" i="3"/>
  <c r="A3978" i="3"/>
  <c r="C3978" i="3"/>
  <c r="D3978" i="3"/>
  <c r="B3978" i="3"/>
  <c r="E3978" i="3"/>
  <c r="A3979" i="3"/>
  <c r="C3979" i="3"/>
  <c r="D3979" i="3"/>
  <c r="B3979" i="3"/>
  <c r="E3979" i="3"/>
  <c r="A3980" i="3"/>
  <c r="C3980" i="3"/>
  <c r="D3980" i="3"/>
  <c r="B3980" i="3"/>
  <c r="E3980" i="3"/>
  <c r="A3981" i="3"/>
  <c r="C3981" i="3"/>
  <c r="D3981" i="3"/>
  <c r="B3981" i="3"/>
  <c r="E3981" i="3"/>
  <c r="A3982" i="3"/>
  <c r="C3982" i="3"/>
  <c r="D3982" i="3"/>
  <c r="B3982" i="3"/>
  <c r="E3982" i="3"/>
  <c r="A3983" i="3"/>
  <c r="C3983" i="3"/>
  <c r="D3983" i="3"/>
  <c r="B3983" i="3"/>
  <c r="E3983" i="3"/>
  <c r="A3984" i="3"/>
  <c r="C3984" i="3"/>
  <c r="D3984" i="3"/>
  <c r="B3984" i="3"/>
  <c r="E3984" i="3"/>
  <c r="A3985" i="3"/>
  <c r="C3985" i="3"/>
  <c r="D3985" i="3"/>
  <c r="B3985" i="3"/>
  <c r="E3985" i="3"/>
  <c r="A3986" i="3"/>
  <c r="C3986" i="3"/>
  <c r="D3986" i="3"/>
  <c r="B3986" i="3"/>
  <c r="E3986" i="3"/>
  <c r="A3987" i="3"/>
  <c r="C3987" i="3"/>
  <c r="D3987" i="3"/>
  <c r="B3987" i="3"/>
  <c r="E3987" i="3"/>
  <c r="A3988" i="3"/>
  <c r="C3988" i="3"/>
  <c r="D3988" i="3"/>
  <c r="B3988" i="3"/>
  <c r="E3988" i="3"/>
  <c r="A3989" i="3"/>
  <c r="C3989" i="3"/>
  <c r="D3989" i="3"/>
  <c r="B3989" i="3"/>
  <c r="E3989" i="3"/>
  <c r="A3990" i="3"/>
  <c r="C3990" i="3"/>
  <c r="D3990" i="3"/>
  <c r="B3990" i="3"/>
  <c r="E3990" i="3"/>
  <c r="A3991" i="3"/>
  <c r="C3991" i="3"/>
  <c r="D3991" i="3"/>
  <c r="B3991" i="3"/>
  <c r="E3991" i="3"/>
  <c r="A3992" i="3"/>
  <c r="C3992" i="3"/>
  <c r="D3992" i="3"/>
  <c r="B3992" i="3"/>
  <c r="E3992" i="3"/>
  <c r="A3993" i="3"/>
  <c r="C3993" i="3"/>
  <c r="D3993" i="3"/>
  <c r="B3993" i="3"/>
  <c r="E3993" i="3"/>
  <c r="A3994" i="3"/>
  <c r="C3994" i="3"/>
  <c r="D3994" i="3"/>
  <c r="B3994" i="3"/>
  <c r="E3994" i="3"/>
  <c r="A3995" i="3"/>
  <c r="C3995" i="3"/>
  <c r="D3995" i="3"/>
  <c r="B3995" i="3"/>
  <c r="E3995" i="3"/>
  <c r="A3996" i="3"/>
  <c r="C3996" i="3"/>
  <c r="D3996" i="3"/>
  <c r="B3996" i="3"/>
  <c r="E3996" i="3"/>
  <c r="A3997" i="3"/>
  <c r="C3997" i="3"/>
  <c r="D3997" i="3"/>
  <c r="B3997" i="3"/>
  <c r="E3997" i="3"/>
  <c r="A3998" i="3"/>
  <c r="C3998" i="3"/>
  <c r="D3998" i="3"/>
  <c r="B3998" i="3"/>
  <c r="E3998" i="3"/>
  <c r="A3999" i="3"/>
  <c r="C3999" i="3"/>
  <c r="D3999" i="3"/>
  <c r="B3999" i="3"/>
  <c r="E3999" i="3"/>
  <c r="A4000" i="3"/>
  <c r="C4000" i="3"/>
  <c r="D4000" i="3"/>
  <c r="B4000" i="3"/>
  <c r="E4000" i="3"/>
  <c r="A4001" i="3"/>
  <c r="C4001" i="3"/>
  <c r="D4001" i="3"/>
  <c r="B4001" i="3"/>
  <c r="E4001" i="3"/>
  <c r="A4002" i="3"/>
  <c r="C4002" i="3"/>
  <c r="D4002" i="3"/>
  <c r="B4002" i="3"/>
  <c r="E4002" i="3"/>
  <c r="A4003" i="3"/>
  <c r="C4003" i="3"/>
  <c r="D4003" i="3"/>
  <c r="B4003" i="3"/>
  <c r="E4003" i="3"/>
  <c r="A4004" i="3"/>
  <c r="C4004" i="3"/>
  <c r="D4004" i="3"/>
  <c r="B4004" i="3"/>
  <c r="E4004" i="3"/>
  <c r="A4005" i="3"/>
  <c r="C4005" i="3"/>
  <c r="D4005" i="3"/>
  <c r="B4005" i="3"/>
  <c r="E4005" i="3"/>
  <c r="A4006" i="3"/>
  <c r="C4006" i="3"/>
  <c r="D4006" i="3"/>
  <c r="B4006" i="3"/>
  <c r="E4006" i="3"/>
  <c r="A4007" i="3"/>
  <c r="C4007" i="3"/>
  <c r="D4007" i="3"/>
  <c r="B4007" i="3"/>
  <c r="E4007" i="3"/>
  <c r="A4008" i="3"/>
  <c r="C4008" i="3"/>
  <c r="D4008" i="3"/>
  <c r="B4008" i="3"/>
  <c r="E4008" i="3"/>
  <c r="A4009" i="3"/>
  <c r="C4009" i="3"/>
  <c r="D4009" i="3"/>
  <c r="B4009" i="3"/>
  <c r="E4009" i="3"/>
  <c r="A4010" i="3"/>
  <c r="C4010" i="3"/>
  <c r="D4010" i="3"/>
  <c r="B4010" i="3"/>
  <c r="E4010" i="3"/>
  <c r="A4011" i="3"/>
  <c r="C4011" i="3"/>
  <c r="D4011" i="3"/>
  <c r="B4011" i="3"/>
  <c r="E4011" i="3"/>
  <c r="A4012" i="3"/>
  <c r="C4012" i="3"/>
  <c r="D4012" i="3"/>
  <c r="B4012" i="3"/>
  <c r="E4012" i="3"/>
  <c r="A4013" i="3"/>
  <c r="C4013" i="3"/>
  <c r="D4013" i="3"/>
  <c r="B4013" i="3"/>
  <c r="E4013" i="3"/>
  <c r="A4014" i="3"/>
  <c r="C4014" i="3"/>
  <c r="D4014" i="3"/>
  <c r="B4014" i="3"/>
  <c r="E4014" i="3"/>
  <c r="A4015" i="3"/>
  <c r="C4015" i="3"/>
  <c r="D4015" i="3"/>
  <c r="B4015" i="3"/>
  <c r="E4015" i="3"/>
  <c r="A4016" i="3"/>
  <c r="C4016" i="3"/>
  <c r="D4016" i="3"/>
  <c r="B4016" i="3"/>
  <c r="E4016" i="3"/>
  <c r="A4017" i="3"/>
  <c r="C4017" i="3"/>
  <c r="D4017" i="3"/>
  <c r="B4017" i="3"/>
  <c r="E4017" i="3"/>
  <c r="A4018" i="3"/>
  <c r="C4018" i="3"/>
  <c r="D4018" i="3"/>
  <c r="B4018" i="3"/>
  <c r="E4018" i="3"/>
  <c r="A4019" i="3"/>
  <c r="C4019" i="3"/>
  <c r="D4019" i="3"/>
  <c r="B4019" i="3"/>
  <c r="E4019" i="3"/>
  <c r="A4020" i="3"/>
  <c r="C4020" i="3"/>
  <c r="D4020" i="3"/>
  <c r="B4020" i="3"/>
  <c r="E4020" i="3"/>
  <c r="A4021" i="3"/>
  <c r="C4021" i="3"/>
  <c r="D4021" i="3"/>
  <c r="B4021" i="3"/>
  <c r="E4021" i="3"/>
  <c r="A4022" i="3"/>
  <c r="C4022" i="3"/>
  <c r="D4022" i="3"/>
  <c r="B4022" i="3"/>
  <c r="E4022" i="3"/>
  <c r="A4023" i="3"/>
  <c r="C4023" i="3"/>
  <c r="D4023" i="3"/>
  <c r="B4023" i="3"/>
  <c r="E4023" i="3"/>
  <c r="A4024" i="3"/>
  <c r="C4024" i="3"/>
  <c r="D4024" i="3"/>
  <c r="B4024" i="3"/>
  <c r="E4024" i="3"/>
  <c r="A4025" i="3"/>
  <c r="C4025" i="3"/>
  <c r="D4025" i="3"/>
  <c r="B4025" i="3"/>
  <c r="E4025" i="3"/>
  <c r="A4026" i="3"/>
  <c r="C4026" i="3"/>
  <c r="D4026" i="3"/>
  <c r="B4026" i="3"/>
  <c r="E4026" i="3"/>
  <c r="A4027" i="3"/>
  <c r="C4027" i="3"/>
  <c r="D4027" i="3"/>
  <c r="B4027" i="3"/>
  <c r="E4027" i="3"/>
  <c r="A4028" i="3"/>
  <c r="C4028" i="3"/>
  <c r="D4028" i="3"/>
  <c r="B4028" i="3"/>
  <c r="E4028" i="3"/>
  <c r="A4029" i="3"/>
  <c r="C4029" i="3"/>
  <c r="D4029" i="3"/>
  <c r="B4029" i="3"/>
  <c r="E4029" i="3"/>
  <c r="A4030" i="3"/>
  <c r="C4030" i="3"/>
  <c r="D4030" i="3"/>
  <c r="B4030" i="3"/>
  <c r="E4030" i="3"/>
  <c r="A4031" i="3"/>
  <c r="C4031" i="3"/>
  <c r="D4031" i="3"/>
  <c r="B4031" i="3"/>
  <c r="E4031" i="3"/>
  <c r="A4032" i="3"/>
  <c r="C4032" i="3"/>
  <c r="D4032" i="3"/>
  <c r="B4032" i="3"/>
  <c r="E4032" i="3"/>
  <c r="A4033" i="3"/>
  <c r="C4033" i="3"/>
  <c r="D4033" i="3"/>
  <c r="B4033" i="3"/>
  <c r="E4033" i="3"/>
  <c r="A4034" i="3"/>
  <c r="C4034" i="3"/>
  <c r="D4034" i="3"/>
  <c r="B4034" i="3"/>
  <c r="E4034" i="3"/>
  <c r="A4035" i="3"/>
  <c r="C4035" i="3"/>
  <c r="D4035" i="3"/>
  <c r="B4035" i="3"/>
  <c r="E4035" i="3"/>
  <c r="A4036" i="3"/>
  <c r="C4036" i="3"/>
  <c r="D4036" i="3"/>
  <c r="B4036" i="3"/>
  <c r="E4036" i="3"/>
  <c r="A4037" i="3"/>
  <c r="C4037" i="3"/>
  <c r="D4037" i="3"/>
  <c r="B4037" i="3"/>
  <c r="E4037" i="3"/>
  <c r="A4038" i="3"/>
  <c r="C4038" i="3"/>
  <c r="D4038" i="3"/>
  <c r="B4038" i="3"/>
  <c r="E4038" i="3"/>
  <c r="A4039" i="3"/>
  <c r="C4039" i="3"/>
  <c r="D4039" i="3"/>
  <c r="B4039" i="3"/>
  <c r="E4039" i="3"/>
  <c r="A4040" i="3"/>
  <c r="C4040" i="3"/>
  <c r="D4040" i="3"/>
  <c r="B4040" i="3"/>
  <c r="E4040" i="3"/>
  <c r="A4041" i="3"/>
  <c r="C4041" i="3"/>
  <c r="D4041" i="3"/>
  <c r="B4041" i="3"/>
  <c r="E4041" i="3"/>
  <c r="A4042" i="3"/>
  <c r="C4042" i="3"/>
  <c r="D4042" i="3"/>
  <c r="B4042" i="3"/>
  <c r="E4042" i="3"/>
  <c r="A4043" i="3"/>
  <c r="C4043" i="3"/>
  <c r="D4043" i="3"/>
  <c r="B4043" i="3"/>
  <c r="E4043" i="3"/>
  <c r="A4044" i="3"/>
  <c r="C4044" i="3"/>
  <c r="D4044" i="3"/>
  <c r="B4044" i="3"/>
  <c r="E4044" i="3"/>
  <c r="A4045" i="3"/>
  <c r="C4045" i="3"/>
  <c r="D4045" i="3"/>
  <c r="B4045" i="3"/>
  <c r="E4045" i="3"/>
  <c r="A4046" i="3"/>
  <c r="C4046" i="3"/>
  <c r="D4046" i="3"/>
  <c r="B4046" i="3"/>
  <c r="E4046" i="3"/>
  <c r="A4047" i="3"/>
  <c r="C4047" i="3"/>
  <c r="D4047" i="3"/>
  <c r="B4047" i="3"/>
  <c r="E4047" i="3"/>
  <c r="A4048" i="3"/>
  <c r="C4048" i="3"/>
  <c r="D4048" i="3"/>
  <c r="B4048" i="3"/>
  <c r="E4048" i="3"/>
  <c r="A4049" i="3"/>
  <c r="C4049" i="3"/>
  <c r="D4049" i="3"/>
  <c r="B4049" i="3"/>
  <c r="E4049" i="3"/>
  <c r="A4050" i="3"/>
  <c r="C4050" i="3"/>
  <c r="D4050" i="3"/>
  <c r="B4050" i="3"/>
  <c r="E4050" i="3"/>
  <c r="A4051" i="3"/>
  <c r="C4051" i="3"/>
  <c r="D4051" i="3"/>
  <c r="B4051" i="3"/>
  <c r="E4051" i="3"/>
  <c r="A4052" i="3"/>
  <c r="C4052" i="3"/>
  <c r="D4052" i="3"/>
  <c r="B4052" i="3"/>
  <c r="E4052" i="3"/>
  <c r="A4053" i="3"/>
  <c r="C4053" i="3"/>
  <c r="D4053" i="3"/>
  <c r="B4053" i="3"/>
  <c r="E4053" i="3"/>
  <c r="A4054" i="3"/>
  <c r="C4054" i="3"/>
  <c r="D4054" i="3"/>
  <c r="B4054" i="3"/>
  <c r="E4054" i="3"/>
  <c r="A4055" i="3"/>
  <c r="C4055" i="3"/>
  <c r="D4055" i="3"/>
  <c r="B4055" i="3"/>
  <c r="E4055" i="3"/>
  <c r="A4056" i="3"/>
  <c r="C4056" i="3"/>
  <c r="D4056" i="3"/>
  <c r="B4056" i="3"/>
  <c r="E4056" i="3"/>
  <c r="A4057" i="3"/>
  <c r="C4057" i="3"/>
  <c r="D4057" i="3"/>
  <c r="B4057" i="3"/>
  <c r="E4057" i="3"/>
  <c r="A4058" i="3"/>
  <c r="C4058" i="3"/>
  <c r="D4058" i="3"/>
  <c r="B4058" i="3"/>
  <c r="E4058" i="3"/>
  <c r="A4059" i="3"/>
  <c r="C4059" i="3"/>
  <c r="D4059" i="3"/>
  <c r="B4059" i="3"/>
  <c r="E4059" i="3"/>
  <c r="A4060" i="3"/>
  <c r="C4060" i="3"/>
  <c r="D4060" i="3"/>
  <c r="B4060" i="3"/>
  <c r="E4060" i="3"/>
  <c r="A4061" i="3"/>
  <c r="C4061" i="3"/>
  <c r="D4061" i="3"/>
  <c r="B4061" i="3"/>
  <c r="E4061" i="3"/>
  <c r="A4062" i="3"/>
  <c r="C4062" i="3"/>
  <c r="D4062" i="3"/>
  <c r="B4062" i="3"/>
  <c r="E4062" i="3"/>
  <c r="A4063" i="3"/>
  <c r="C4063" i="3"/>
  <c r="D4063" i="3"/>
  <c r="B4063" i="3"/>
  <c r="E4063" i="3"/>
  <c r="A4064" i="3"/>
  <c r="C4064" i="3"/>
  <c r="D4064" i="3"/>
  <c r="B4064" i="3"/>
  <c r="E4064" i="3"/>
  <c r="A4065" i="3"/>
  <c r="C4065" i="3"/>
  <c r="D4065" i="3"/>
  <c r="B4065" i="3"/>
  <c r="E4065" i="3"/>
  <c r="A4066" i="3"/>
  <c r="C4066" i="3"/>
  <c r="D4066" i="3"/>
  <c r="B4066" i="3"/>
  <c r="E4066" i="3"/>
  <c r="A4067" i="3"/>
  <c r="C4067" i="3"/>
  <c r="D4067" i="3"/>
  <c r="B4067" i="3"/>
  <c r="E4067" i="3"/>
  <c r="A4068" i="3"/>
  <c r="C4068" i="3"/>
  <c r="D4068" i="3"/>
  <c r="B4068" i="3"/>
  <c r="E4068" i="3"/>
  <c r="A4069" i="3"/>
  <c r="C4069" i="3"/>
  <c r="D4069" i="3"/>
  <c r="B4069" i="3"/>
  <c r="E4069" i="3"/>
  <c r="A4070" i="3"/>
  <c r="C4070" i="3"/>
  <c r="D4070" i="3"/>
  <c r="B4070" i="3"/>
  <c r="E4070" i="3"/>
  <c r="A4071" i="3"/>
  <c r="C4071" i="3"/>
  <c r="D4071" i="3"/>
  <c r="B4071" i="3"/>
  <c r="E4071" i="3"/>
  <c r="A4072" i="3"/>
  <c r="C4072" i="3"/>
  <c r="D4072" i="3"/>
  <c r="B4072" i="3"/>
  <c r="E4072" i="3"/>
  <c r="A4073" i="3"/>
  <c r="C4073" i="3"/>
  <c r="D4073" i="3"/>
  <c r="B4073" i="3"/>
  <c r="E4073" i="3"/>
  <c r="A4074" i="3"/>
  <c r="C4074" i="3"/>
  <c r="D4074" i="3"/>
  <c r="B4074" i="3"/>
  <c r="E4074" i="3"/>
  <c r="A4075" i="3"/>
  <c r="C4075" i="3"/>
  <c r="D4075" i="3"/>
  <c r="B4075" i="3"/>
  <c r="E4075" i="3"/>
  <c r="A4076" i="3"/>
  <c r="C4076" i="3"/>
  <c r="D4076" i="3"/>
  <c r="B4076" i="3"/>
  <c r="E4076" i="3"/>
  <c r="A4077" i="3"/>
  <c r="C4077" i="3"/>
  <c r="D4077" i="3"/>
  <c r="B4077" i="3"/>
  <c r="E4077" i="3"/>
  <c r="A4078" i="3"/>
  <c r="C4078" i="3"/>
  <c r="D4078" i="3"/>
  <c r="B4078" i="3"/>
  <c r="E4078" i="3"/>
  <c r="A4079" i="3"/>
  <c r="C4079" i="3"/>
  <c r="D4079" i="3"/>
  <c r="B4079" i="3"/>
  <c r="E4079" i="3"/>
  <c r="A4080" i="3"/>
  <c r="C4080" i="3"/>
  <c r="D4080" i="3"/>
  <c r="B4080" i="3"/>
  <c r="E4080" i="3"/>
  <c r="A4081" i="3"/>
  <c r="C4081" i="3"/>
  <c r="D4081" i="3"/>
  <c r="B4081" i="3"/>
  <c r="E4081" i="3"/>
  <c r="A4082" i="3"/>
  <c r="C4082" i="3"/>
  <c r="D4082" i="3"/>
  <c r="B4082" i="3"/>
  <c r="E4082" i="3"/>
  <c r="A4083" i="3"/>
  <c r="C4083" i="3"/>
  <c r="D4083" i="3"/>
  <c r="B4083" i="3"/>
  <c r="E4083" i="3"/>
  <c r="A4084" i="3"/>
  <c r="C4084" i="3"/>
  <c r="D4084" i="3"/>
  <c r="B4084" i="3"/>
  <c r="E4084" i="3"/>
  <c r="A4085" i="3"/>
  <c r="C4085" i="3"/>
  <c r="D4085" i="3"/>
  <c r="B4085" i="3"/>
  <c r="E4085" i="3"/>
  <c r="A4086" i="3"/>
  <c r="C4086" i="3"/>
  <c r="D4086" i="3"/>
  <c r="B4086" i="3"/>
  <c r="E4086" i="3"/>
  <c r="A4087" i="3"/>
  <c r="C4087" i="3"/>
  <c r="D4087" i="3"/>
  <c r="B4087" i="3"/>
  <c r="E4087" i="3"/>
  <c r="A4088" i="3"/>
  <c r="C4088" i="3"/>
  <c r="D4088" i="3"/>
  <c r="B4088" i="3"/>
  <c r="E4088" i="3"/>
  <c r="A4089" i="3"/>
  <c r="C4089" i="3"/>
  <c r="D4089" i="3"/>
  <c r="B4089" i="3"/>
  <c r="E4089" i="3"/>
  <c r="A4090" i="3"/>
  <c r="C4090" i="3"/>
  <c r="D4090" i="3"/>
  <c r="B4090" i="3"/>
  <c r="E4090" i="3"/>
  <c r="A4091" i="3"/>
  <c r="C4091" i="3"/>
  <c r="D4091" i="3"/>
  <c r="B4091" i="3"/>
  <c r="E4091" i="3"/>
  <c r="A4092" i="3"/>
  <c r="C4092" i="3"/>
  <c r="D4092" i="3"/>
  <c r="B4092" i="3"/>
  <c r="E4092" i="3"/>
  <c r="A4093" i="3"/>
  <c r="C4093" i="3"/>
  <c r="D4093" i="3"/>
  <c r="B4093" i="3"/>
  <c r="E4093" i="3"/>
  <c r="A4094" i="3"/>
  <c r="C4094" i="3"/>
  <c r="D4094" i="3"/>
  <c r="B4094" i="3"/>
  <c r="E4094" i="3"/>
  <c r="A4095" i="3"/>
  <c r="C4095" i="3"/>
  <c r="D4095" i="3"/>
  <c r="B4095" i="3"/>
  <c r="E4095" i="3"/>
  <c r="A4096" i="3"/>
  <c r="C4096" i="3"/>
  <c r="D4096" i="3"/>
  <c r="B4096" i="3"/>
  <c r="E4096" i="3"/>
  <c r="A4097" i="3"/>
  <c r="C4097" i="3"/>
  <c r="D4097" i="3"/>
  <c r="B4097" i="3"/>
  <c r="E4097" i="3"/>
  <c r="A4098" i="3"/>
  <c r="C4098" i="3"/>
  <c r="D4098" i="3"/>
  <c r="B4098" i="3"/>
  <c r="E4098" i="3"/>
  <c r="A4099" i="3"/>
  <c r="C4099" i="3"/>
  <c r="D4099" i="3"/>
  <c r="B4099" i="3"/>
  <c r="E4099" i="3"/>
  <c r="A4100" i="3"/>
  <c r="C4100" i="3"/>
  <c r="D4100" i="3"/>
  <c r="B4100" i="3"/>
  <c r="E4100" i="3"/>
  <c r="A4101" i="3"/>
  <c r="C4101" i="3"/>
  <c r="D4101" i="3"/>
  <c r="B4101" i="3"/>
  <c r="E4101" i="3"/>
  <c r="A4102" i="3"/>
  <c r="C4102" i="3"/>
  <c r="D4102" i="3"/>
  <c r="B4102" i="3"/>
  <c r="E4102" i="3"/>
  <c r="A4103" i="3"/>
  <c r="C4103" i="3"/>
  <c r="D4103" i="3"/>
  <c r="B4103" i="3"/>
  <c r="E4103" i="3"/>
  <c r="A4104" i="3"/>
  <c r="C4104" i="3"/>
  <c r="D4104" i="3"/>
  <c r="B4104" i="3"/>
  <c r="E4104" i="3"/>
  <c r="A4105" i="3"/>
  <c r="C4105" i="3"/>
  <c r="D4105" i="3"/>
  <c r="B4105" i="3"/>
  <c r="E4105" i="3"/>
  <c r="A4106" i="3"/>
  <c r="C4106" i="3"/>
  <c r="D4106" i="3"/>
  <c r="B4106" i="3"/>
  <c r="E4106" i="3"/>
  <c r="A4107" i="3"/>
  <c r="C4107" i="3"/>
  <c r="D4107" i="3"/>
  <c r="B4107" i="3"/>
  <c r="E4107" i="3"/>
  <c r="A4108" i="3"/>
  <c r="C4108" i="3"/>
  <c r="D4108" i="3"/>
  <c r="B4108" i="3"/>
  <c r="E4108" i="3"/>
  <c r="A4109" i="3"/>
  <c r="C4109" i="3"/>
  <c r="D4109" i="3"/>
  <c r="B4109" i="3"/>
  <c r="E4109" i="3"/>
  <c r="A4110" i="3"/>
  <c r="C4110" i="3"/>
  <c r="D4110" i="3"/>
  <c r="B4110" i="3"/>
  <c r="E4110" i="3"/>
  <c r="A4111" i="3"/>
  <c r="C4111" i="3"/>
  <c r="D4111" i="3"/>
  <c r="B4111" i="3"/>
  <c r="E4111" i="3"/>
  <c r="A4112" i="3"/>
  <c r="C4112" i="3"/>
  <c r="D4112" i="3"/>
  <c r="B4112" i="3"/>
  <c r="E4112" i="3"/>
  <c r="A4113" i="3"/>
  <c r="C4113" i="3"/>
  <c r="D4113" i="3"/>
  <c r="B4113" i="3"/>
  <c r="E4113" i="3"/>
  <c r="A4114" i="3"/>
  <c r="C4114" i="3"/>
  <c r="D4114" i="3"/>
  <c r="B4114" i="3"/>
  <c r="E4114" i="3"/>
  <c r="A4115" i="3"/>
  <c r="C4115" i="3"/>
  <c r="D4115" i="3"/>
  <c r="B4115" i="3"/>
  <c r="E4115" i="3"/>
  <c r="A4116" i="3"/>
  <c r="C4116" i="3"/>
  <c r="D4116" i="3"/>
  <c r="B4116" i="3"/>
  <c r="E4116" i="3"/>
  <c r="A4117" i="3"/>
  <c r="C4117" i="3"/>
  <c r="D4117" i="3"/>
  <c r="B4117" i="3"/>
  <c r="E4117" i="3"/>
  <c r="A4118" i="3"/>
  <c r="C4118" i="3"/>
  <c r="D4118" i="3"/>
  <c r="B4118" i="3"/>
  <c r="E4118" i="3"/>
  <c r="A4119" i="3"/>
  <c r="C4119" i="3"/>
  <c r="D4119" i="3"/>
  <c r="B4119" i="3"/>
  <c r="E4119" i="3"/>
  <c r="A4120" i="3"/>
  <c r="C4120" i="3"/>
  <c r="D4120" i="3"/>
  <c r="B4120" i="3"/>
  <c r="E4120" i="3"/>
  <c r="A4121" i="3"/>
  <c r="C4121" i="3"/>
  <c r="D4121" i="3"/>
  <c r="B4121" i="3"/>
  <c r="E4121" i="3"/>
  <c r="A4122" i="3"/>
  <c r="C4122" i="3"/>
  <c r="D4122" i="3"/>
  <c r="B4122" i="3"/>
  <c r="E4122" i="3"/>
  <c r="A4123" i="3"/>
  <c r="C4123" i="3"/>
  <c r="D4123" i="3"/>
  <c r="B4123" i="3"/>
  <c r="E4123" i="3"/>
  <c r="A4124" i="3"/>
  <c r="C4124" i="3"/>
  <c r="D4124" i="3"/>
  <c r="B4124" i="3"/>
  <c r="E4124" i="3"/>
  <c r="A4125" i="3"/>
  <c r="C4125" i="3"/>
  <c r="D4125" i="3"/>
  <c r="B4125" i="3"/>
  <c r="E4125" i="3"/>
  <c r="A4126" i="3"/>
  <c r="C4126" i="3"/>
  <c r="D4126" i="3"/>
  <c r="B4126" i="3"/>
  <c r="E4126" i="3"/>
  <c r="A4127" i="3"/>
  <c r="C4127" i="3"/>
  <c r="D4127" i="3"/>
  <c r="B4127" i="3"/>
  <c r="E4127" i="3"/>
  <c r="A4128" i="3"/>
  <c r="C4128" i="3"/>
  <c r="D4128" i="3"/>
  <c r="B4128" i="3"/>
  <c r="E4128" i="3"/>
  <c r="A4129" i="3"/>
  <c r="C4129" i="3"/>
  <c r="D4129" i="3"/>
  <c r="B4129" i="3"/>
  <c r="E4129" i="3"/>
  <c r="A4130" i="3"/>
  <c r="C4130" i="3"/>
  <c r="D4130" i="3"/>
  <c r="B4130" i="3"/>
  <c r="E4130" i="3"/>
  <c r="A4131" i="3"/>
  <c r="C4131" i="3"/>
  <c r="D4131" i="3"/>
  <c r="B4131" i="3"/>
  <c r="E4131" i="3"/>
  <c r="A4132" i="3"/>
  <c r="C4132" i="3"/>
  <c r="D4132" i="3"/>
  <c r="B4132" i="3"/>
  <c r="E4132" i="3"/>
  <c r="A4133" i="3"/>
  <c r="C4133" i="3"/>
  <c r="D4133" i="3"/>
  <c r="B4133" i="3"/>
  <c r="E4133" i="3"/>
  <c r="A4134" i="3"/>
  <c r="C4134" i="3"/>
  <c r="D4134" i="3"/>
  <c r="B4134" i="3"/>
  <c r="E4134" i="3"/>
  <c r="A4135" i="3"/>
  <c r="C4135" i="3"/>
  <c r="D4135" i="3"/>
  <c r="B4135" i="3"/>
  <c r="E4135" i="3"/>
  <c r="A4136" i="3"/>
  <c r="C4136" i="3"/>
  <c r="D4136" i="3"/>
  <c r="B4136" i="3"/>
  <c r="E4136" i="3"/>
  <c r="A4137" i="3"/>
  <c r="C4137" i="3"/>
  <c r="D4137" i="3"/>
  <c r="B4137" i="3"/>
  <c r="E4137" i="3"/>
  <c r="A4138" i="3"/>
  <c r="C4138" i="3"/>
  <c r="D4138" i="3"/>
  <c r="B4138" i="3"/>
  <c r="E4138" i="3"/>
  <c r="A4139" i="3"/>
  <c r="C4139" i="3"/>
  <c r="D4139" i="3"/>
  <c r="B4139" i="3"/>
  <c r="E4139" i="3"/>
  <c r="A4140" i="3"/>
  <c r="C4140" i="3"/>
  <c r="D4140" i="3"/>
  <c r="B4140" i="3"/>
  <c r="E4140" i="3"/>
  <c r="A4141" i="3"/>
  <c r="C4141" i="3"/>
  <c r="D4141" i="3"/>
  <c r="B4141" i="3"/>
  <c r="E4141" i="3"/>
  <c r="A4142" i="3"/>
  <c r="C4142" i="3"/>
  <c r="D4142" i="3"/>
  <c r="B4142" i="3"/>
  <c r="E4142" i="3"/>
  <c r="A4143" i="3"/>
  <c r="C4143" i="3"/>
  <c r="D4143" i="3"/>
  <c r="B4143" i="3"/>
  <c r="E4143" i="3"/>
  <c r="A4144" i="3"/>
  <c r="C4144" i="3"/>
  <c r="D4144" i="3"/>
  <c r="B4144" i="3"/>
  <c r="E4144" i="3"/>
  <c r="A4145" i="3"/>
  <c r="C4145" i="3"/>
  <c r="D4145" i="3"/>
  <c r="B4145" i="3"/>
  <c r="E4145" i="3"/>
  <c r="A4146" i="3"/>
  <c r="C4146" i="3"/>
  <c r="D4146" i="3"/>
  <c r="B4146" i="3"/>
  <c r="E4146" i="3"/>
  <c r="A4147" i="3"/>
  <c r="C4147" i="3"/>
  <c r="D4147" i="3"/>
  <c r="B4147" i="3"/>
  <c r="E4147" i="3"/>
  <c r="A4148" i="3"/>
  <c r="C4148" i="3"/>
  <c r="D4148" i="3"/>
  <c r="B4148" i="3"/>
  <c r="E4148" i="3"/>
  <c r="A4149" i="3"/>
  <c r="C4149" i="3"/>
  <c r="D4149" i="3"/>
  <c r="B4149" i="3"/>
  <c r="E4149" i="3"/>
  <c r="A4150" i="3"/>
  <c r="C4150" i="3"/>
  <c r="D4150" i="3"/>
  <c r="B4150" i="3"/>
  <c r="E4150" i="3"/>
  <c r="A4151" i="3"/>
  <c r="C4151" i="3"/>
  <c r="D4151" i="3"/>
  <c r="B4151" i="3"/>
  <c r="E4151" i="3"/>
  <c r="A4152" i="3"/>
  <c r="C4152" i="3"/>
  <c r="D4152" i="3"/>
  <c r="B4152" i="3"/>
  <c r="E4152" i="3"/>
  <c r="A4153" i="3"/>
  <c r="C4153" i="3"/>
  <c r="D4153" i="3"/>
  <c r="B4153" i="3"/>
  <c r="E4153" i="3"/>
  <c r="A4154" i="3"/>
  <c r="C4154" i="3"/>
  <c r="D4154" i="3"/>
  <c r="B4154" i="3"/>
  <c r="E4154" i="3"/>
  <c r="A4155" i="3"/>
  <c r="C4155" i="3"/>
  <c r="D4155" i="3"/>
  <c r="B4155" i="3"/>
  <c r="E4155" i="3"/>
  <c r="A4156" i="3"/>
  <c r="C4156" i="3"/>
  <c r="D4156" i="3"/>
  <c r="B4156" i="3"/>
  <c r="E4156" i="3"/>
  <c r="A4157" i="3"/>
  <c r="C4157" i="3"/>
  <c r="D4157" i="3"/>
  <c r="B4157" i="3"/>
  <c r="E4157" i="3"/>
  <c r="A4158" i="3"/>
  <c r="C4158" i="3"/>
  <c r="D4158" i="3"/>
  <c r="B4158" i="3"/>
  <c r="E4158" i="3"/>
  <c r="A4159" i="3"/>
  <c r="C4159" i="3"/>
  <c r="D4159" i="3"/>
  <c r="B4159" i="3"/>
  <c r="E4159" i="3"/>
  <c r="A4160" i="3"/>
  <c r="C4160" i="3"/>
  <c r="D4160" i="3"/>
  <c r="B4160" i="3"/>
  <c r="E4160" i="3"/>
  <c r="A4161" i="3"/>
  <c r="C4161" i="3"/>
  <c r="D4161" i="3"/>
  <c r="B4161" i="3"/>
  <c r="E4161" i="3"/>
  <c r="A4162" i="3"/>
  <c r="C4162" i="3"/>
  <c r="D4162" i="3"/>
  <c r="B4162" i="3"/>
  <c r="E4162" i="3"/>
  <c r="A4163" i="3"/>
  <c r="C4163" i="3"/>
  <c r="D4163" i="3"/>
  <c r="B4163" i="3"/>
  <c r="E4163" i="3"/>
  <c r="A4164" i="3"/>
  <c r="C4164" i="3"/>
  <c r="D4164" i="3"/>
  <c r="B4164" i="3"/>
  <c r="E4164" i="3"/>
  <c r="A4165" i="3"/>
  <c r="C4165" i="3"/>
  <c r="D4165" i="3"/>
  <c r="B4165" i="3"/>
  <c r="E4165" i="3"/>
  <c r="A4166" i="3"/>
  <c r="C4166" i="3"/>
  <c r="D4166" i="3"/>
  <c r="B4166" i="3"/>
  <c r="E4166" i="3"/>
  <c r="A4167" i="3"/>
  <c r="C4167" i="3"/>
  <c r="D4167" i="3"/>
  <c r="B4167" i="3"/>
  <c r="E4167" i="3"/>
  <c r="A4168" i="3"/>
  <c r="C4168" i="3"/>
  <c r="D4168" i="3"/>
  <c r="B4168" i="3"/>
  <c r="E4168" i="3"/>
  <c r="A4169" i="3"/>
  <c r="C4169" i="3"/>
  <c r="D4169" i="3"/>
  <c r="B4169" i="3"/>
  <c r="E4169" i="3"/>
  <c r="A4170" i="3"/>
  <c r="C4170" i="3"/>
  <c r="D4170" i="3"/>
  <c r="B4170" i="3"/>
  <c r="E4170" i="3"/>
  <c r="A4171" i="3"/>
  <c r="C4171" i="3"/>
  <c r="D4171" i="3"/>
  <c r="B4171" i="3"/>
  <c r="E4171" i="3"/>
  <c r="A4172" i="3"/>
  <c r="C4172" i="3"/>
  <c r="D4172" i="3"/>
  <c r="B4172" i="3"/>
  <c r="E4172" i="3"/>
  <c r="A4173" i="3"/>
  <c r="C4173" i="3"/>
  <c r="D4173" i="3"/>
  <c r="B4173" i="3"/>
  <c r="E4173" i="3"/>
  <c r="A4174" i="3"/>
  <c r="C4174" i="3"/>
  <c r="D4174" i="3"/>
  <c r="B4174" i="3"/>
  <c r="E4174" i="3"/>
  <c r="A4175" i="3"/>
  <c r="C4175" i="3"/>
  <c r="D4175" i="3"/>
  <c r="B4175" i="3"/>
  <c r="E4175" i="3"/>
  <c r="A4176" i="3"/>
  <c r="C4176" i="3"/>
  <c r="D4176" i="3"/>
  <c r="B4176" i="3"/>
  <c r="E4176" i="3"/>
  <c r="A4177" i="3"/>
  <c r="C4177" i="3"/>
  <c r="D4177" i="3"/>
  <c r="B4177" i="3"/>
  <c r="E4177" i="3"/>
  <c r="A4178" i="3"/>
  <c r="C4178" i="3"/>
  <c r="D4178" i="3"/>
  <c r="B4178" i="3"/>
  <c r="E4178" i="3"/>
  <c r="A4179" i="3"/>
  <c r="C4179" i="3"/>
  <c r="D4179" i="3"/>
  <c r="B4179" i="3"/>
  <c r="E4179" i="3"/>
  <c r="A4180" i="3"/>
  <c r="C4180" i="3"/>
  <c r="D4180" i="3"/>
  <c r="B4180" i="3"/>
  <c r="E4180" i="3"/>
  <c r="A4181" i="3"/>
  <c r="C4181" i="3"/>
  <c r="D4181" i="3"/>
  <c r="B4181" i="3"/>
  <c r="E4181" i="3"/>
  <c r="A4182" i="3"/>
  <c r="C4182" i="3"/>
  <c r="D4182" i="3"/>
  <c r="B4182" i="3"/>
  <c r="E4182" i="3"/>
  <c r="A4183" i="3"/>
  <c r="C4183" i="3"/>
  <c r="D4183" i="3"/>
  <c r="B4183" i="3"/>
  <c r="E4183" i="3"/>
  <c r="A4184" i="3"/>
  <c r="C4184" i="3"/>
  <c r="D4184" i="3"/>
  <c r="B4184" i="3"/>
  <c r="E4184" i="3"/>
  <c r="A4185" i="3"/>
  <c r="C4185" i="3"/>
  <c r="D4185" i="3"/>
  <c r="B4185" i="3"/>
  <c r="E4185" i="3"/>
  <c r="A4186" i="3"/>
  <c r="C4186" i="3"/>
  <c r="D4186" i="3"/>
  <c r="B4186" i="3"/>
  <c r="E4186" i="3"/>
  <c r="A4187" i="3"/>
  <c r="C4187" i="3"/>
  <c r="D4187" i="3"/>
  <c r="B4187" i="3"/>
  <c r="E4187" i="3"/>
  <c r="A4188" i="3"/>
  <c r="C4188" i="3"/>
  <c r="D4188" i="3"/>
  <c r="B4188" i="3"/>
  <c r="E4188" i="3"/>
  <c r="A4189" i="3"/>
  <c r="C4189" i="3"/>
  <c r="D4189" i="3"/>
  <c r="B4189" i="3"/>
  <c r="E4189" i="3"/>
  <c r="A4190" i="3"/>
  <c r="C4190" i="3"/>
  <c r="D4190" i="3"/>
  <c r="B4190" i="3"/>
  <c r="E4190" i="3"/>
  <c r="A4191" i="3"/>
  <c r="C4191" i="3"/>
  <c r="D4191" i="3"/>
  <c r="B4191" i="3"/>
  <c r="E4191" i="3"/>
  <c r="A4192" i="3"/>
  <c r="C4192" i="3"/>
  <c r="D4192" i="3"/>
  <c r="B4192" i="3"/>
  <c r="E4192" i="3"/>
  <c r="A4193" i="3"/>
  <c r="C4193" i="3"/>
  <c r="D4193" i="3"/>
  <c r="B4193" i="3"/>
  <c r="E4193" i="3"/>
  <c r="A4194" i="3"/>
  <c r="C4194" i="3"/>
  <c r="D4194" i="3"/>
  <c r="B4194" i="3"/>
  <c r="E4194" i="3"/>
  <c r="A4195" i="3"/>
  <c r="C4195" i="3"/>
  <c r="D4195" i="3"/>
  <c r="B4195" i="3"/>
  <c r="E4195" i="3"/>
  <c r="A4196" i="3"/>
  <c r="C4196" i="3"/>
  <c r="D4196" i="3"/>
  <c r="B4196" i="3"/>
  <c r="E4196" i="3"/>
  <c r="A4197" i="3"/>
  <c r="C4197" i="3"/>
  <c r="D4197" i="3"/>
  <c r="B4197" i="3"/>
  <c r="E4197" i="3"/>
  <c r="A4198" i="3"/>
  <c r="C4198" i="3"/>
  <c r="D4198" i="3"/>
  <c r="B4198" i="3"/>
  <c r="E4198" i="3"/>
  <c r="A4199" i="3"/>
  <c r="C4199" i="3"/>
  <c r="D4199" i="3"/>
  <c r="B4199" i="3"/>
  <c r="E4199" i="3"/>
  <c r="A4200" i="3"/>
  <c r="C4200" i="3"/>
  <c r="D4200" i="3"/>
  <c r="B4200" i="3"/>
  <c r="E4200" i="3"/>
  <c r="A4201" i="3"/>
  <c r="C4201" i="3"/>
  <c r="D4201" i="3"/>
  <c r="B4201" i="3"/>
  <c r="E4201" i="3"/>
  <c r="A4202" i="3"/>
  <c r="C4202" i="3"/>
  <c r="D4202" i="3"/>
  <c r="B4202" i="3"/>
  <c r="E4202" i="3"/>
  <c r="A4203" i="3"/>
  <c r="C4203" i="3"/>
  <c r="D4203" i="3"/>
  <c r="B4203" i="3"/>
  <c r="E4203" i="3"/>
  <c r="A4204" i="3"/>
  <c r="C4204" i="3"/>
  <c r="D4204" i="3"/>
  <c r="B4204" i="3"/>
  <c r="E4204" i="3"/>
  <c r="A4205" i="3"/>
  <c r="C4205" i="3"/>
  <c r="D4205" i="3"/>
  <c r="B4205" i="3"/>
  <c r="E4205" i="3"/>
  <c r="A4206" i="3"/>
  <c r="C4206" i="3"/>
  <c r="D4206" i="3"/>
  <c r="B4206" i="3"/>
  <c r="E4206" i="3"/>
  <c r="A4207" i="3"/>
  <c r="C4207" i="3"/>
  <c r="D4207" i="3"/>
  <c r="B4207" i="3"/>
  <c r="E4207" i="3"/>
  <c r="A4208" i="3"/>
  <c r="C4208" i="3"/>
  <c r="D4208" i="3"/>
  <c r="B4208" i="3"/>
  <c r="E4208" i="3"/>
  <c r="A4209" i="3"/>
  <c r="C4209" i="3"/>
  <c r="D4209" i="3"/>
  <c r="B4209" i="3"/>
  <c r="E4209" i="3"/>
  <c r="A4210" i="3"/>
  <c r="C4210" i="3"/>
  <c r="D4210" i="3"/>
  <c r="B4210" i="3"/>
  <c r="E4210" i="3"/>
  <c r="A4211" i="3"/>
  <c r="C4211" i="3"/>
  <c r="D4211" i="3"/>
  <c r="B4211" i="3"/>
  <c r="E4211" i="3"/>
  <c r="A4212" i="3"/>
  <c r="C4212" i="3"/>
  <c r="D4212" i="3"/>
  <c r="B4212" i="3"/>
  <c r="E4212" i="3"/>
  <c r="A4213" i="3"/>
  <c r="C4213" i="3"/>
  <c r="D4213" i="3"/>
  <c r="B4213" i="3"/>
  <c r="E4213" i="3"/>
  <c r="A4214" i="3"/>
  <c r="C4214" i="3"/>
  <c r="D4214" i="3"/>
  <c r="B4214" i="3"/>
  <c r="E4214" i="3"/>
  <c r="A4215" i="3"/>
  <c r="C4215" i="3"/>
  <c r="D4215" i="3"/>
  <c r="B4215" i="3"/>
  <c r="E4215" i="3"/>
  <c r="A4216" i="3"/>
  <c r="C4216" i="3"/>
  <c r="D4216" i="3"/>
  <c r="B4216" i="3"/>
  <c r="E4216" i="3"/>
  <c r="A4217" i="3"/>
  <c r="C4217" i="3"/>
  <c r="D4217" i="3"/>
  <c r="B4217" i="3"/>
  <c r="E4217" i="3"/>
  <c r="A4218" i="3"/>
  <c r="C4218" i="3"/>
  <c r="D4218" i="3"/>
  <c r="B4218" i="3"/>
  <c r="E4218" i="3"/>
  <c r="A4219" i="3"/>
  <c r="C4219" i="3"/>
  <c r="D4219" i="3"/>
  <c r="B4219" i="3"/>
  <c r="E4219" i="3"/>
  <c r="A4220" i="3"/>
  <c r="C4220" i="3"/>
  <c r="D4220" i="3"/>
  <c r="B4220" i="3"/>
  <c r="E4220" i="3"/>
  <c r="A4221" i="3"/>
  <c r="C4221" i="3"/>
  <c r="D4221" i="3"/>
  <c r="B4221" i="3"/>
  <c r="E4221" i="3"/>
  <c r="A4222" i="3"/>
  <c r="C4222" i="3"/>
  <c r="D4222" i="3"/>
  <c r="B4222" i="3"/>
  <c r="E4222" i="3"/>
  <c r="A4223" i="3"/>
  <c r="C4223" i="3"/>
  <c r="D4223" i="3"/>
  <c r="B4223" i="3"/>
  <c r="E4223" i="3"/>
  <c r="A4224" i="3"/>
  <c r="C4224" i="3"/>
  <c r="D4224" i="3"/>
  <c r="B4224" i="3"/>
  <c r="E4224" i="3"/>
  <c r="A4225" i="3"/>
  <c r="C4225" i="3"/>
  <c r="D4225" i="3"/>
  <c r="B4225" i="3"/>
  <c r="E4225" i="3"/>
  <c r="A4226" i="3"/>
  <c r="C4226" i="3"/>
  <c r="D4226" i="3"/>
  <c r="B4226" i="3"/>
  <c r="E4226" i="3"/>
  <c r="A4227" i="3"/>
  <c r="C4227" i="3"/>
  <c r="D4227" i="3"/>
  <c r="B4227" i="3"/>
  <c r="E4227" i="3"/>
  <c r="A4228" i="3"/>
  <c r="C4228" i="3"/>
  <c r="D4228" i="3"/>
  <c r="B4228" i="3"/>
  <c r="E4228" i="3"/>
  <c r="A4229" i="3"/>
  <c r="C4229" i="3"/>
  <c r="D4229" i="3"/>
  <c r="B4229" i="3"/>
  <c r="E4229" i="3"/>
  <c r="A4230" i="3"/>
  <c r="C4230" i="3"/>
  <c r="D4230" i="3"/>
  <c r="B4230" i="3"/>
  <c r="E4230" i="3"/>
  <c r="A4231" i="3"/>
  <c r="C4231" i="3"/>
  <c r="D4231" i="3"/>
  <c r="B4231" i="3"/>
  <c r="E4231" i="3"/>
  <c r="A4232" i="3"/>
  <c r="C4232" i="3"/>
  <c r="D4232" i="3"/>
  <c r="B4232" i="3"/>
  <c r="E4232" i="3"/>
  <c r="A4233" i="3"/>
  <c r="C4233" i="3"/>
  <c r="D4233" i="3"/>
  <c r="B4233" i="3"/>
  <c r="E4233" i="3"/>
  <c r="A4234" i="3"/>
  <c r="C4234" i="3"/>
  <c r="D4234" i="3"/>
  <c r="B4234" i="3"/>
  <c r="E4234" i="3"/>
  <c r="A4235" i="3"/>
  <c r="C4235" i="3"/>
  <c r="D4235" i="3"/>
  <c r="B4235" i="3"/>
  <c r="E4235" i="3"/>
  <c r="A4236" i="3"/>
  <c r="C4236" i="3"/>
  <c r="D4236" i="3"/>
  <c r="B4236" i="3"/>
  <c r="E4236" i="3"/>
  <c r="A4237" i="3"/>
  <c r="C4237" i="3"/>
  <c r="D4237" i="3"/>
  <c r="B4237" i="3"/>
  <c r="E4237" i="3"/>
  <c r="A4238" i="3"/>
  <c r="C4238" i="3"/>
  <c r="D4238" i="3"/>
  <c r="B4238" i="3"/>
  <c r="E4238" i="3"/>
  <c r="A4239" i="3"/>
  <c r="C4239" i="3"/>
  <c r="D4239" i="3"/>
  <c r="B4239" i="3"/>
  <c r="E4239" i="3"/>
  <c r="A4240" i="3"/>
  <c r="C4240" i="3"/>
  <c r="D4240" i="3"/>
  <c r="B4240" i="3"/>
  <c r="E4240" i="3"/>
  <c r="A4241" i="3"/>
  <c r="C4241" i="3"/>
  <c r="D4241" i="3"/>
  <c r="B4241" i="3"/>
  <c r="E4241" i="3"/>
  <c r="A4242" i="3"/>
  <c r="C4242" i="3"/>
  <c r="D4242" i="3"/>
  <c r="B4242" i="3"/>
  <c r="E4242" i="3"/>
  <c r="A4243" i="3"/>
  <c r="C4243" i="3"/>
  <c r="D4243" i="3"/>
  <c r="B4243" i="3"/>
  <c r="E4243" i="3"/>
  <c r="A4244" i="3"/>
  <c r="C4244" i="3"/>
  <c r="D4244" i="3"/>
  <c r="B4244" i="3"/>
  <c r="E4244" i="3"/>
  <c r="A4245" i="3"/>
  <c r="C4245" i="3"/>
  <c r="D4245" i="3"/>
  <c r="B4245" i="3"/>
  <c r="E4245" i="3"/>
  <c r="A4246" i="3"/>
  <c r="C4246" i="3"/>
  <c r="D4246" i="3"/>
  <c r="B4246" i="3"/>
  <c r="E4246" i="3"/>
  <c r="A4247" i="3"/>
  <c r="C4247" i="3"/>
  <c r="D4247" i="3"/>
  <c r="B4247" i="3"/>
  <c r="E4247" i="3"/>
  <c r="A4248" i="3"/>
  <c r="C4248" i="3"/>
  <c r="D4248" i="3"/>
  <c r="B4248" i="3"/>
  <c r="E4248" i="3"/>
  <c r="A4249" i="3"/>
  <c r="C4249" i="3"/>
  <c r="D4249" i="3"/>
  <c r="B4249" i="3"/>
  <c r="E4249" i="3"/>
  <c r="A4250" i="3"/>
  <c r="C4250" i="3"/>
  <c r="D4250" i="3"/>
  <c r="B4250" i="3"/>
  <c r="E4250" i="3"/>
  <c r="A4251" i="3"/>
  <c r="C4251" i="3"/>
  <c r="D4251" i="3"/>
  <c r="B4251" i="3"/>
  <c r="E4251" i="3"/>
  <c r="A4252" i="3"/>
  <c r="C4252" i="3"/>
  <c r="D4252" i="3"/>
  <c r="B4252" i="3"/>
  <c r="E4252" i="3"/>
  <c r="A4253" i="3"/>
  <c r="C4253" i="3"/>
  <c r="D4253" i="3"/>
  <c r="B4253" i="3"/>
  <c r="E4253" i="3"/>
  <c r="A4254" i="3"/>
  <c r="C4254" i="3"/>
  <c r="D4254" i="3"/>
  <c r="B4254" i="3"/>
  <c r="E4254" i="3"/>
  <c r="A4255" i="3"/>
  <c r="C4255" i="3"/>
  <c r="D4255" i="3"/>
  <c r="B4255" i="3"/>
  <c r="E4255" i="3"/>
  <c r="A4256" i="3"/>
  <c r="C4256" i="3"/>
  <c r="D4256" i="3"/>
  <c r="B4256" i="3"/>
  <c r="E4256" i="3"/>
  <c r="A4257" i="3"/>
  <c r="C4257" i="3"/>
  <c r="D4257" i="3"/>
  <c r="B4257" i="3"/>
  <c r="E4257" i="3"/>
  <c r="A4258" i="3"/>
  <c r="C4258" i="3"/>
  <c r="D4258" i="3"/>
  <c r="B4258" i="3"/>
  <c r="E4258" i="3"/>
  <c r="A4259" i="3"/>
  <c r="C4259" i="3"/>
  <c r="D4259" i="3"/>
  <c r="B4259" i="3"/>
  <c r="E4259" i="3"/>
  <c r="A4260" i="3"/>
  <c r="C4260" i="3"/>
  <c r="D4260" i="3"/>
  <c r="B4260" i="3"/>
  <c r="E4260" i="3"/>
  <c r="A4261" i="3"/>
  <c r="C4261" i="3"/>
  <c r="D4261" i="3"/>
  <c r="B4261" i="3"/>
  <c r="E4261" i="3"/>
  <c r="A4262" i="3"/>
  <c r="C4262" i="3"/>
  <c r="D4262" i="3"/>
  <c r="B4262" i="3"/>
  <c r="E4262" i="3"/>
  <c r="A4263" i="3"/>
  <c r="C4263" i="3"/>
  <c r="D4263" i="3"/>
  <c r="B4263" i="3"/>
  <c r="E4263" i="3"/>
  <c r="A4264" i="3"/>
  <c r="C4264" i="3"/>
  <c r="D4264" i="3"/>
  <c r="B4264" i="3"/>
  <c r="E4264" i="3"/>
  <c r="A4265" i="3"/>
  <c r="C4265" i="3"/>
  <c r="D4265" i="3"/>
  <c r="B4265" i="3"/>
  <c r="E4265" i="3"/>
  <c r="A4266" i="3"/>
  <c r="C4266" i="3"/>
  <c r="D4266" i="3"/>
  <c r="B4266" i="3"/>
  <c r="E4266" i="3"/>
  <c r="A4267" i="3"/>
  <c r="C4267" i="3"/>
  <c r="D4267" i="3"/>
  <c r="B4267" i="3"/>
  <c r="E4267" i="3"/>
  <c r="A4268" i="3"/>
  <c r="C4268" i="3"/>
  <c r="D4268" i="3"/>
  <c r="B4268" i="3"/>
  <c r="E4268" i="3"/>
  <c r="A4269" i="3"/>
  <c r="C4269" i="3"/>
  <c r="D4269" i="3"/>
  <c r="B4269" i="3"/>
  <c r="E4269" i="3"/>
  <c r="A4270" i="3"/>
  <c r="C4270" i="3"/>
  <c r="D4270" i="3"/>
  <c r="B4270" i="3"/>
  <c r="E4270" i="3"/>
  <c r="A4271" i="3"/>
  <c r="C4271" i="3"/>
  <c r="D4271" i="3"/>
  <c r="B4271" i="3"/>
  <c r="E4271" i="3"/>
  <c r="A4272" i="3"/>
  <c r="C4272" i="3"/>
  <c r="D4272" i="3"/>
  <c r="B4272" i="3"/>
  <c r="E4272" i="3"/>
  <c r="A4273" i="3"/>
  <c r="C4273" i="3"/>
  <c r="D4273" i="3"/>
  <c r="B4273" i="3"/>
  <c r="E4273" i="3"/>
  <c r="A4274" i="3"/>
  <c r="C4274" i="3"/>
  <c r="D4274" i="3"/>
  <c r="B4274" i="3"/>
  <c r="E4274" i="3"/>
  <c r="A4275" i="3"/>
  <c r="C4275" i="3"/>
  <c r="D4275" i="3"/>
  <c r="B4275" i="3"/>
  <c r="E4275" i="3"/>
  <c r="A4276" i="3"/>
  <c r="C4276" i="3"/>
  <c r="D4276" i="3"/>
  <c r="B4276" i="3"/>
  <c r="E4276" i="3"/>
  <c r="A4277" i="3"/>
  <c r="C4277" i="3"/>
  <c r="D4277" i="3"/>
  <c r="B4277" i="3"/>
  <c r="E4277" i="3"/>
  <c r="A4278" i="3"/>
  <c r="C4278" i="3"/>
  <c r="D4278" i="3"/>
  <c r="B4278" i="3"/>
  <c r="E4278" i="3"/>
  <c r="A4279" i="3"/>
  <c r="C4279" i="3"/>
  <c r="D4279" i="3"/>
  <c r="B4279" i="3"/>
  <c r="E4279" i="3"/>
  <c r="A4280" i="3"/>
  <c r="C4280" i="3"/>
  <c r="D4280" i="3"/>
  <c r="B4280" i="3"/>
  <c r="E4280" i="3"/>
  <c r="A4281" i="3"/>
  <c r="C4281" i="3"/>
  <c r="D4281" i="3"/>
  <c r="B4281" i="3"/>
  <c r="E4281" i="3"/>
  <c r="A4282" i="3"/>
  <c r="C4282" i="3"/>
  <c r="D4282" i="3"/>
  <c r="B4282" i="3"/>
  <c r="E4282" i="3"/>
  <c r="A4283" i="3"/>
  <c r="C4283" i="3"/>
  <c r="D4283" i="3"/>
  <c r="B4283" i="3"/>
  <c r="E4283" i="3"/>
  <c r="A4284" i="3"/>
  <c r="C4284" i="3"/>
  <c r="D4284" i="3"/>
  <c r="B4284" i="3"/>
  <c r="E4284" i="3"/>
  <c r="A4285" i="3"/>
  <c r="C4285" i="3"/>
  <c r="D4285" i="3"/>
  <c r="B4285" i="3"/>
  <c r="E4285" i="3"/>
  <c r="A4286" i="3"/>
  <c r="C4286" i="3"/>
  <c r="D4286" i="3"/>
  <c r="B4286" i="3"/>
  <c r="E4286" i="3"/>
  <c r="A4287" i="3"/>
  <c r="C4287" i="3"/>
  <c r="D4287" i="3"/>
  <c r="B4287" i="3"/>
  <c r="E4287" i="3"/>
  <c r="A4288" i="3"/>
  <c r="C4288" i="3"/>
  <c r="D4288" i="3"/>
  <c r="B4288" i="3"/>
  <c r="E4288" i="3"/>
  <c r="A4289" i="3"/>
  <c r="C4289" i="3"/>
  <c r="D4289" i="3"/>
  <c r="B4289" i="3"/>
  <c r="E4289" i="3"/>
  <c r="A4290" i="3"/>
  <c r="C4290" i="3"/>
  <c r="D4290" i="3"/>
  <c r="B4290" i="3"/>
  <c r="E4290" i="3"/>
  <c r="A4291" i="3"/>
  <c r="C4291" i="3"/>
  <c r="D4291" i="3"/>
  <c r="B4291" i="3"/>
  <c r="E4291" i="3"/>
  <c r="A4292" i="3"/>
  <c r="C4292" i="3"/>
  <c r="D4292" i="3"/>
  <c r="B4292" i="3"/>
  <c r="E4292" i="3"/>
  <c r="A4293" i="3"/>
  <c r="C4293" i="3"/>
  <c r="D4293" i="3"/>
  <c r="B4293" i="3"/>
  <c r="E4293" i="3"/>
  <c r="A4294" i="3"/>
  <c r="C4294" i="3"/>
  <c r="D4294" i="3"/>
  <c r="B4294" i="3"/>
  <c r="E4294" i="3"/>
  <c r="A4295" i="3"/>
  <c r="C4295" i="3"/>
  <c r="D4295" i="3"/>
  <c r="B4295" i="3"/>
  <c r="E4295" i="3"/>
  <c r="A4296" i="3"/>
  <c r="C4296" i="3"/>
  <c r="D4296" i="3"/>
  <c r="B4296" i="3"/>
  <c r="E4296" i="3"/>
  <c r="A4297" i="3"/>
  <c r="C4297" i="3"/>
  <c r="D4297" i="3"/>
  <c r="B4297" i="3"/>
  <c r="E4297" i="3"/>
  <c r="A4298" i="3"/>
  <c r="C4298" i="3"/>
  <c r="D4298" i="3"/>
  <c r="B4298" i="3"/>
  <c r="E4298" i="3"/>
  <c r="A4299" i="3"/>
  <c r="C4299" i="3"/>
  <c r="D4299" i="3"/>
  <c r="B4299" i="3"/>
  <c r="E4299" i="3"/>
  <c r="A4300" i="3"/>
  <c r="C4300" i="3"/>
  <c r="D4300" i="3"/>
  <c r="B4300" i="3"/>
  <c r="E4300" i="3"/>
  <c r="A4301" i="3"/>
  <c r="C4301" i="3"/>
  <c r="D4301" i="3"/>
  <c r="B4301" i="3"/>
  <c r="E4301" i="3"/>
  <c r="A4302" i="3"/>
  <c r="C4302" i="3"/>
  <c r="D4302" i="3"/>
  <c r="B4302" i="3"/>
  <c r="E4302" i="3"/>
  <c r="A4303" i="3"/>
  <c r="C4303" i="3"/>
  <c r="D4303" i="3"/>
  <c r="B4303" i="3"/>
  <c r="E4303" i="3"/>
  <c r="A4304" i="3"/>
  <c r="C4304" i="3"/>
  <c r="D4304" i="3"/>
  <c r="B4304" i="3"/>
  <c r="E4304" i="3"/>
  <c r="A4305" i="3"/>
  <c r="C4305" i="3"/>
  <c r="D4305" i="3"/>
  <c r="B4305" i="3"/>
  <c r="E4305" i="3"/>
  <c r="A4306" i="3"/>
  <c r="C4306" i="3"/>
  <c r="D4306" i="3"/>
  <c r="B4306" i="3"/>
  <c r="E4306" i="3"/>
  <c r="A4307" i="3"/>
  <c r="C4307" i="3"/>
  <c r="D4307" i="3"/>
  <c r="B4307" i="3"/>
  <c r="E4307" i="3"/>
  <c r="A4308" i="3"/>
  <c r="C4308" i="3"/>
  <c r="D4308" i="3"/>
  <c r="B4308" i="3"/>
  <c r="E4308" i="3"/>
  <c r="A4309" i="3"/>
  <c r="C4309" i="3"/>
  <c r="D4309" i="3"/>
  <c r="B4309" i="3"/>
  <c r="E4309" i="3"/>
  <c r="A4310" i="3"/>
  <c r="C4310" i="3"/>
  <c r="D4310" i="3"/>
  <c r="B4310" i="3"/>
  <c r="E4310" i="3"/>
  <c r="A4311" i="3"/>
  <c r="C4311" i="3"/>
  <c r="D4311" i="3"/>
  <c r="B4311" i="3"/>
  <c r="E4311" i="3"/>
  <c r="A4312" i="3"/>
  <c r="C4312" i="3"/>
  <c r="D4312" i="3"/>
  <c r="B4312" i="3"/>
  <c r="E4312" i="3"/>
  <c r="A4313" i="3"/>
  <c r="C4313" i="3"/>
  <c r="D4313" i="3"/>
  <c r="B4313" i="3"/>
  <c r="E4313" i="3"/>
  <c r="A4314" i="3"/>
  <c r="C4314" i="3"/>
  <c r="D4314" i="3"/>
  <c r="B4314" i="3"/>
  <c r="E4314" i="3"/>
  <c r="A4315" i="3"/>
  <c r="C4315" i="3"/>
  <c r="D4315" i="3"/>
  <c r="B4315" i="3"/>
  <c r="E4315" i="3"/>
  <c r="A4316" i="3"/>
  <c r="C4316" i="3"/>
  <c r="D4316" i="3"/>
  <c r="B4316" i="3"/>
  <c r="E4316" i="3"/>
  <c r="A4317" i="3"/>
  <c r="C4317" i="3"/>
  <c r="D4317" i="3"/>
  <c r="B4317" i="3"/>
  <c r="E4317" i="3"/>
  <c r="A4318" i="3"/>
  <c r="C4318" i="3"/>
  <c r="D4318" i="3"/>
  <c r="B4318" i="3"/>
  <c r="E4318" i="3"/>
  <c r="A4319" i="3"/>
  <c r="C4319" i="3"/>
  <c r="D4319" i="3"/>
  <c r="B4319" i="3"/>
  <c r="E4319" i="3"/>
  <c r="A4320" i="3"/>
  <c r="C4320" i="3"/>
  <c r="D4320" i="3"/>
  <c r="B4320" i="3"/>
  <c r="E4320" i="3"/>
  <c r="A4321" i="3"/>
  <c r="C4321" i="3"/>
  <c r="D4321" i="3"/>
  <c r="B4321" i="3"/>
  <c r="E4321" i="3"/>
  <c r="A4322" i="3"/>
  <c r="C4322" i="3"/>
  <c r="D4322" i="3"/>
  <c r="B4322" i="3"/>
  <c r="E4322" i="3"/>
  <c r="A4323" i="3"/>
  <c r="C4323" i="3"/>
  <c r="D4323" i="3"/>
  <c r="B4323" i="3"/>
  <c r="E4323" i="3"/>
  <c r="A4324" i="3"/>
  <c r="C4324" i="3"/>
  <c r="D4324" i="3"/>
  <c r="B4324" i="3"/>
  <c r="E4324" i="3"/>
  <c r="A4325" i="3"/>
  <c r="C4325" i="3"/>
  <c r="D4325" i="3"/>
  <c r="B4325" i="3"/>
  <c r="E4325" i="3"/>
  <c r="A4326" i="3"/>
  <c r="C4326" i="3"/>
  <c r="D4326" i="3"/>
  <c r="B4326" i="3"/>
  <c r="E4326" i="3"/>
  <c r="A4327" i="3"/>
  <c r="C4327" i="3"/>
  <c r="D4327" i="3"/>
  <c r="B4327" i="3"/>
  <c r="E4327" i="3"/>
  <c r="A4328" i="3"/>
  <c r="C4328" i="3"/>
  <c r="D4328" i="3"/>
  <c r="B4328" i="3"/>
  <c r="E4328" i="3"/>
  <c r="A4329" i="3"/>
  <c r="C4329" i="3"/>
  <c r="D4329" i="3"/>
  <c r="B4329" i="3"/>
  <c r="E4329" i="3"/>
  <c r="A4330" i="3"/>
  <c r="C4330" i="3"/>
  <c r="D4330" i="3"/>
  <c r="B4330" i="3"/>
  <c r="E4330" i="3"/>
  <c r="A4331" i="3"/>
  <c r="C4331" i="3"/>
  <c r="D4331" i="3"/>
  <c r="B4331" i="3"/>
  <c r="E4331" i="3"/>
  <c r="A4332" i="3"/>
  <c r="C4332" i="3"/>
  <c r="D4332" i="3"/>
  <c r="B4332" i="3"/>
  <c r="E4332" i="3"/>
  <c r="A4333" i="3"/>
  <c r="C4333" i="3"/>
  <c r="D4333" i="3"/>
  <c r="B4333" i="3"/>
  <c r="E4333" i="3"/>
  <c r="A4334" i="3"/>
  <c r="C4334" i="3"/>
  <c r="D4334" i="3"/>
  <c r="B4334" i="3"/>
  <c r="E4334" i="3"/>
  <c r="A4335" i="3"/>
  <c r="C4335" i="3"/>
  <c r="D4335" i="3"/>
  <c r="B4335" i="3"/>
  <c r="E4335" i="3"/>
  <c r="A4336" i="3"/>
  <c r="C4336" i="3"/>
  <c r="D4336" i="3"/>
  <c r="B4336" i="3"/>
  <c r="E4336" i="3"/>
  <c r="A4337" i="3"/>
  <c r="C4337" i="3"/>
  <c r="D4337" i="3"/>
  <c r="B4337" i="3"/>
  <c r="E4337" i="3"/>
  <c r="A4338" i="3"/>
  <c r="C4338" i="3"/>
  <c r="D4338" i="3"/>
  <c r="B4338" i="3"/>
  <c r="E4338" i="3"/>
  <c r="A4339" i="3"/>
  <c r="C4339" i="3"/>
  <c r="D4339" i="3"/>
  <c r="B4339" i="3"/>
  <c r="E4339" i="3"/>
  <c r="A4340" i="3"/>
  <c r="C4340" i="3"/>
  <c r="D4340" i="3"/>
  <c r="B4340" i="3"/>
  <c r="E4340" i="3"/>
  <c r="A4341" i="3"/>
  <c r="C4341" i="3"/>
  <c r="D4341" i="3"/>
  <c r="B4341" i="3"/>
  <c r="E4341" i="3"/>
  <c r="A4342" i="3"/>
  <c r="C4342" i="3"/>
  <c r="D4342" i="3"/>
  <c r="B4342" i="3"/>
  <c r="E4342" i="3"/>
  <c r="A4343" i="3"/>
  <c r="C4343" i="3"/>
  <c r="D4343" i="3"/>
  <c r="B4343" i="3"/>
  <c r="E4343" i="3"/>
  <c r="A4344" i="3"/>
  <c r="C4344" i="3"/>
  <c r="D4344" i="3"/>
  <c r="B4344" i="3"/>
  <c r="E4344" i="3"/>
  <c r="A4345" i="3"/>
  <c r="C4345" i="3"/>
  <c r="D4345" i="3"/>
  <c r="B4345" i="3"/>
  <c r="E4345" i="3"/>
  <c r="A4346" i="3"/>
  <c r="C4346" i="3"/>
  <c r="D4346" i="3"/>
  <c r="B4346" i="3"/>
  <c r="E4346" i="3"/>
  <c r="A4347" i="3"/>
  <c r="C4347" i="3"/>
  <c r="D4347" i="3"/>
  <c r="B4347" i="3"/>
  <c r="E4347" i="3"/>
  <c r="A4348" i="3"/>
  <c r="C4348" i="3"/>
  <c r="D4348" i="3"/>
  <c r="B4348" i="3"/>
  <c r="E4348" i="3"/>
  <c r="A4349" i="3"/>
  <c r="C4349" i="3"/>
  <c r="D4349" i="3"/>
  <c r="B4349" i="3"/>
  <c r="E4349" i="3"/>
  <c r="A4350" i="3"/>
  <c r="C4350" i="3"/>
  <c r="D4350" i="3"/>
  <c r="B4350" i="3"/>
  <c r="E4350" i="3"/>
  <c r="A4351" i="3"/>
  <c r="C4351" i="3"/>
  <c r="D4351" i="3"/>
  <c r="B4351" i="3"/>
  <c r="E4351" i="3"/>
  <c r="A4352" i="3"/>
  <c r="C4352" i="3"/>
  <c r="D4352" i="3"/>
  <c r="B4352" i="3"/>
  <c r="E4352" i="3"/>
  <c r="A4353" i="3"/>
  <c r="C4353" i="3"/>
  <c r="D4353" i="3"/>
  <c r="B4353" i="3"/>
  <c r="E4353" i="3"/>
  <c r="A4354" i="3"/>
  <c r="C4354" i="3"/>
  <c r="D4354" i="3"/>
  <c r="B4354" i="3"/>
  <c r="E4354" i="3"/>
  <c r="A4355" i="3"/>
  <c r="C4355" i="3"/>
  <c r="D4355" i="3"/>
  <c r="B4355" i="3"/>
  <c r="E4355" i="3"/>
  <c r="A4356" i="3"/>
  <c r="C4356" i="3"/>
  <c r="D4356" i="3"/>
  <c r="B4356" i="3"/>
  <c r="E4356" i="3"/>
  <c r="A4357" i="3"/>
  <c r="C4357" i="3"/>
  <c r="D4357" i="3"/>
  <c r="B4357" i="3"/>
  <c r="E4357" i="3"/>
  <c r="A4358" i="3"/>
  <c r="C4358" i="3"/>
  <c r="D4358" i="3"/>
  <c r="B4358" i="3"/>
  <c r="E4358" i="3"/>
  <c r="A4359" i="3"/>
  <c r="C4359" i="3"/>
  <c r="D4359" i="3"/>
  <c r="B4359" i="3"/>
  <c r="E4359" i="3"/>
  <c r="A4360" i="3"/>
  <c r="C4360" i="3"/>
  <c r="D4360" i="3"/>
  <c r="B4360" i="3"/>
  <c r="E4360" i="3"/>
  <c r="A4361" i="3"/>
  <c r="C4361" i="3"/>
  <c r="D4361" i="3"/>
  <c r="B4361" i="3"/>
  <c r="E4361" i="3"/>
  <c r="A4362" i="3"/>
  <c r="C4362" i="3"/>
  <c r="D4362" i="3"/>
  <c r="B4362" i="3"/>
  <c r="E4362" i="3"/>
  <c r="A4363" i="3"/>
  <c r="C4363" i="3"/>
  <c r="D4363" i="3"/>
  <c r="B4363" i="3"/>
  <c r="E4363" i="3"/>
  <c r="A4364" i="3"/>
  <c r="C4364" i="3"/>
  <c r="D4364" i="3"/>
  <c r="B4364" i="3"/>
  <c r="E4364" i="3"/>
  <c r="A4365" i="3"/>
  <c r="C4365" i="3"/>
  <c r="D4365" i="3"/>
  <c r="B4365" i="3"/>
  <c r="E4365" i="3"/>
  <c r="A4366" i="3"/>
  <c r="C4366" i="3"/>
  <c r="D4366" i="3"/>
  <c r="B4366" i="3"/>
  <c r="E4366" i="3"/>
  <c r="A4367" i="3"/>
  <c r="C4367" i="3"/>
  <c r="D4367" i="3"/>
  <c r="B4367" i="3"/>
  <c r="E4367" i="3"/>
  <c r="A4368" i="3"/>
  <c r="C4368" i="3"/>
  <c r="D4368" i="3"/>
  <c r="B4368" i="3"/>
  <c r="E4368" i="3"/>
  <c r="A4369" i="3"/>
  <c r="C4369" i="3"/>
  <c r="D4369" i="3"/>
  <c r="B4369" i="3"/>
  <c r="E4369" i="3"/>
  <c r="A4370" i="3"/>
  <c r="C4370" i="3"/>
  <c r="D4370" i="3"/>
  <c r="B4370" i="3"/>
  <c r="E4370" i="3"/>
  <c r="A4371" i="3"/>
  <c r="C4371" i="3"/>
  <c r="D4371" i="3"/>
  <c r="B4371" i="3"/>
  <c r="E4371" i="3"/>
  <c r="A4372" i="3"/>
  <c r="C4372" i="3"/>
  <c r="D4372" i="3"/>
  <c r="B4372" i="3"/>
  <c r="E4372" i="3"/>
  <c r="A4373" i="3"/>
  <c r="C4373" i="3"/>
  <c r="D4373" i="3"/>
  <c r="B4373" i="3"/>
  <c r="E4373" i="3"/>
  <c r="A4374" i="3"/>
  <c r="C4374" i="3"/>
  <c r="D4374" i="3"/>
  <c r="B4374" i="3"/>
  <c r="E4374" i="3"/>
  <c r="A4375" i="3"/>
  <c r="C4375" i="3"/>
  <c r="D4375" i="3"/>
  <c r="B4375" i="3"/>
  <c r="E4375" i="3"/>
  <c r="A4376" i="3"/>
  <c r="C4376" i="3"/>
  <c r="D4376" i="3"/>
  <c r="B4376" i="3"/>
  <c r="E4376" i="3"/>
  <c r="A4377" i="3"/>
  <c r="C4377" i="3"/>
  <c r="D4377" i="3"/>
  <c r="B4377" i="3"/>
  <c r="E4377" i="3"/>
  <c r="A4378" i="3"/>
  <c r="C4378" i="3"/>
  <c r="D4378" i="3"/>
  <c r="B4378" i="3"/>
  <c r="E4378" i="3"/>
  <c r="A4379" i="3"/>
  <c r="C4379" i="3"/>
  <c r="D4379" i="3"/>
  <c r="B4379" i="3"/>
  <c r="E4379" i="3"/>
  <c r="A4380" i="3"/>
  <c r="C4380" i="3"/>
  <c r="D4380" i="3"/>
  <c r="B4380" i="3"/>
  <c r="E4380" i="3"/>
  <c r="A4381" i="3"/>
  <c r="C4381" i="3"/>
  <c r="D4381" i="3"/>
  <c r="B4381" i="3"/>
  <c r="E4381" i="3"/>
  <c r="A4382" i="3"/>
  <c r="C4382" i="3"/>
  <c r="D4382" i="3"/>
  <c r="B4382" i="3"/>
  <c r="E4382" i="3"/>
  <c r="A4383" i="3"/>
  <c r="C4383" i="3"/>
  <c r="D4383" i="3"/>
  <c r="B4383" i="3"/>
  <c r="E4383" i="3"/>
  <c r="A4384" i="3"/>
  <c r="C4384" i="3"/>
  <c r="D4384" i="3"/>
  <c r="B4384" i="3"/>
  <c r="E4384" i="3"/>
  <c r="A4385" i="3"/>
  <c r="C4385" i="3"/>
  <c r="D4385" i="3"/>
  <c r="B4385" i="3"/>
  <c r="E4385" i="3"/>
  <c r="A4386" i="3"/>
  <c r="C4386" i="3"/>
  <c r="D4386" i="3"/>
  <c r="B4386" i="3"/>
  <c r="E4386" i="3"/>
  <c r="A4387" i="3"/>
  <c r="C4387" i="3"/>
  <c r="D4387" i="3"/>
  <c r="B4387" i="3"/>
  <c r="E4387" i="3"/>
  <c r="A4388" i="3"/>
  <c r="C4388" i="3"/>
  <c r="D4388" i="3"/>
  <c r="B4388" i="3"/>
  <c r="E4388" i="3"/>
  <c r="A4389" i="3"/>
  <c r="C4389" i="3"/>
  <c r="D4389" i="3"/>
  <c r="B4389" i="3"/>
  <c r="E4389" i="3"/>
  <c r="A4390" i="3"/>
  <c r="C4390" i="3"/>
  <c r="D4390" i="3"/>
  <c r="B4390" i="3"/>
  <c r="E4390" i="3"/>
  <c r="A4391" i="3"/>
  <c r="C4391" i="3"/>
  <c r="D4391" i="3"/>
  <c r="B4391" i="3"/>
  <c r="E4391" i="3"/>
  <c r="A4392" i="3"/>
  <c r="C4392" i="3"/>
  <c r="D4392" i="3"/>
  <c r="B4392" i="3"/>
  <c r="E4392" i="3"/>
  <c r="A4393" i="3"/>
  <c r="C4393" i="3"/>
  <c r="D4393" i="3"/>
  <c r="B4393" i="3"/>
  <c r="E4393" i="3"/>
  <c r="A4394" i="3"/>
  <c r="C4394" i="3"/>
  <c r="D4394" i="3"/>
  <c r="B4394" i="3"/>
  <c r="E4394" i="3"/>
  <c r="A4395" i="3"/>
  <c r="C4395" i="3"/>
  <c r="D4395" i="3"/>
  <c r="B4395" i="3"/>
  <c r="E4395" i="3"/>
  <c r="A4396" i="3"/>
  <c r="C4396" i="3"/>
  <c r="D4396" i="3"/>
  <c r="B4396" i="3"/>
  <c r="E4396" i="3"/>
  <c r="A4397" i="3"/>
  <c r="C4397" i="3"/>
  <c r="D4397" i="3"/>
  <c r="B4397" i="3"/>
  <c r="E4397" i="3"/>
  <c r="A4398" i="3"/>
  <c r="C4398" i="3"/>
  <c r="D4398" i="3"/>
  <c r="B4398" i="3"/>
  <c r="E4398" i="3"/>
  <c r="A4399" i="3"/>
  <c r="C4399" i="3"/>
  <c r="D4399" i="3"/>
  <c r="B4399" i="3"/>
  <c r="E4399" i="3"/>
  <c r="A4400" i="3"/>
  <c r="C4400" i="3"/>
  <c r="D4400" i="3"/>
  <c r="B4400" i="3"/>
  <c r="E4400" i="3"/>
  <c r="A4401" i="3"/>
  <c r="C4401" i="3"/>
  <c r="D4401" i="3"/>
  <c r="B4401" i="3"/>
  <c r="E4401" i="3"/>
  <c r="A4402" i="3"/>
  <c r="C4402" i="3"/>
  <c r="D4402" i="3"/>
  <c r="B4402" i="3"/>
  <c r="E4402" i="3"/>
  <c r="A4403" i="3"/>
  <c r="C4403" i="3"/>
  <c r="D4403" i="3"/>
  <c r="B4403" i="3"/>
  <c r="E4403" i="3"/>
  <c r="A4404" i="3"/>
  <c r="C4404" i="3"/>
  <c r="D4404" i="3"/>
  <c r="B4404" i="3"/>
  <c r="E4404" i="3"/>
  <c r="A4405" i="3"/>
  <c r="C4405" i="3"/>
  <c r="D4405" i="3"/>
  <c r="B4405" i="3"/>
  <c r="E4405" i="3"/>
  <c r="A4406" i="3"/>
  <c r="C4406" i="3"/>
  <c r="D4406" i="3"/>
  <c r="B4406" i="3"/>
  <c r="E4406" i="3"/>
  <c r="A4407" i="3"/>
  <c r="C4407" i="3"/>
  <c r="D4407" i="3"/>
  <c r="B4407" i="3"/>
  <c r="E4407" i="3"/>
  <c r="A4408" i="3"/>
  <c r="C4408" i="3"/>
  <c r="D4408" i="3"/>
  <c r="B4408" i="3"/>
  <c r="E4408" i="3"/>
  <c r="A4409" i="3"/>
  <c r="C4409" i="3"/>
  <c r="D4409" i="3"/>
  <c r="B4409" i="3"/>
  <c r="E4409" i="3"/>
  <c r="A4410" i="3"/>
  <c r="C4410" i="3"/>
  <c r="D4410" i="3"/>
  <c r="B4410" i="3"/>
  <c r="E4410" i="3"/>
  <c r="A4411" i="3"/>
  <c r="C4411" i="3"/>
  <c r="D4411" i="3"/>
  <c r="B4411" i="3"/>
  <c r="E4411" i="3"/>
  <c r="A4412" i="3"/>
  <c r="C4412" i="3"/>
  <c r="D4412" i="3"/>
  <c r="B4412" i="3"/>
  <c r="E4412" i="3"/>
  <c r="A4413" i="3"/>
  <c r="C4413" i="3"/>
  <c r="D4413" i="3"/>
  <c r="B4413" i="3"/>
  <c r="E4413" i="3"/>
  <c r="A4414" i="3"/>
  <c r="C4414" i="3"/>
  <c r="D4414" i="3"/>
  <c r="B4414" i="3"/>
  <c r="E4414" i="3"/>
  <c r="A4415" i="3"/>
  <c r="C4415" i="3"/>
  <c r="D4415" i="3"/>
  <c r="B4415" i="3"/>
  <c r="E4415" i="3"/>
  <c r="A4416" i="3"/>
  <c r="C4416" i="3"/>
  <c r="D4416" i="3"/>
  <c r="B4416" i="3"/>
  <c r="E4416" i="3"/>
  <c r="A4417" i="3"/>
  <c r="C4417" i="3"/>
  <c r="D4417" i="3"/>
  <c r="B4417" i="3"/>
  <c r="E4417" i="3"/>
  <c r="A4418" i="3"/>
  <c r="C4418" i="3"/>
  <c r="D4418" i="3"/>
  <c r="B4418" i="3"/>
  <c r="E4418" i="3"/>
  <c r="A4419" i="3"/>
  <c r="C4419" i="3"/>
  <c r="D4419" i="3"/>
  <c r="B4419" i="3"/>
  <c r="E4419" i="3"/>
  <c r="A4420" i="3"/>
  <c r="C4420" i="3"/>
  <c r="D4420" i="3"/>
  <c r="B4420" i="3"/>
  <c r="E4420" i="3"/>
  <c r="A4421" i="3"/>
  <c r="C4421" i="3"/>
  <c r="D4421" i="3"/>
  <c r="B4421" i="3"/>
  <c r="E4421" i="3"/>
  <c r="A4422" i="3"/>
  <c r="C4422" i="3"/>
  <c r="D4422" i="3"/>
  <c r="B4422" i="3"/>
  <c r="E4422" i="3"/>
  <c r="A4423" i="3"/>
  <c r="C4423" i="3"/>
  <c r="D4423" i="3"/>
  <c r="B4423" i="3"/>
  <c r="E4423" i="3"/>
  <c r="A4424" i="3"/>
  <c r="C4424" i="3"/>
  <c r="D4424" i="3"/>
  <c r="B4424" i="3"/>
  <c r="E4424" i="3"/>
  <c r="A4425" i="3"/>
  <c r="C4425" i="3"/>
  <c r="D4425" i="3"/>
  <c r="B4425" i="3"/>
  <c r="E4425" i="3"/>
  <c r="A4426" i="3"/>
  <c r="C4426" i="3"/>
  <c r="D4426" i="3"/>
  <c r="B4426" i="3"/>
  <c r="E4426" i="3"/>
  <c r="A4427" i="3"/>
  <c r="C4427" i="3"/>
  <c r="D4427" i="3"/>
  <c r="B4427" i="3"/>
  <c r="E4427" i="3"/>
  <c r="A4428" i="3"/>
  <c r="C4428" i="3"/>
  <c r="D4428" i="3"/>
  <c r="B4428" i="3"/>
  <c r="E4428" i="3"/>
  <c r="A4429" i="3"/>
  <c r="C4429" i="3"/>
  <c r="D4429" i="3"/>
  <c r="B4429" i="3"/>
  <c r="E4429" i="3"/>
  <c r="A4430" i="3"/>
  <c r="C4430" i="3"/>
  <c r="D4430" i="3"/>
  <c r="B4430" i="3"/>
  <c r="E4430" i="3"/>
  <c r="A4431" i="3"/>
  <c r="C4431" i="3"/>
  <c r="D4431" i="3"/>
  <c r="B4431" i="3"/>
  <c r="E4431" i="3"/>
  <c r="A4432" i="3"/>
  <c r="C4432" i="3"/>
  <c r="D4432" i="3"/>
  <c r="B4432" i="3"/>
  <c r="E4432" i="3"/>
  <c r="A4433" i="3"/>
  <c r="C4433" i="3"/>
  <c r="D4433" i="3"/>
  <c r="B4433" i="3"/>
  <c r="E4433" i="3"/>
  <c r="A4434" i="3"/>
  <c r="C4434" i="3"/>
  <c r="D4434" i="3"/>
  <c r="B4434" i="3"/>
  <c r="E4434" i="3"/>
  <c r="A4435" i="3"/>
  <c r="C4435" i="3"/>
  <c r="D4435" i="3"/>
  <c r="B4435" i="3"/>
  <c r="E4435" i="3"/>
  <c r="A4436" i="3"/>
  <c r="C4436" i="3"/>
  <c r="D4436" i="3"/>
  <c r="B4436" i="3"/>
  <c r="E4436" i="3"/>
  <c r="A4437" i="3"/>
  <c r="C4437" i="3"/>
  <c r="D4437" i="3"/>
  <c r="B4437" i="3"/>
  <c r="E4437" i="3"/>
  <c r="A4438" i="3"/>
  <c r="C4438" i="3"/>
  <c r="D4438" i="3"/>
  <c r="B4438" i="3"/>
  <c r="E4438" i="3"/>
  <c r="A4439" i="3"/>
  <c r="C4439" i="3"/>
  <c r="D4439" i="3"/>
  <c r="B4439" i="3"/>
  <c r="E4439" i="3"/>
  <c r="A4440" i="3"/>
  <c r="C4440" i="3"/>
  <c r="D4440" i="3"/>
  <c r="B4440" i="3"/>
  <c r="E4440" i="3"/>
  <c r="A4441" i="3"/>
  <c r="C4441" i="3"/>
  <c r="D4441" i="3"/>
  <c r="B4441" i="3"/>
  <c r="E4441" i="3"/>
  <c r="A4442" i="3"/>
  <c r="C4442" i="3"/>
  <c r="D4442" i="3"/>
  <c r="B4442" i="3"/>
  <c r="E4442" i="3"/>
  <c r="A4443" i="3"/>
  <c r="C4443" i="3"/>
  <c r="D4443" i="3"/>
  <c r="B4443" i="3"/>
  <c r="E4443" i="3"/>
  <c r="A4444" i="3"/>
  <c r="C4444" i="3"/>
  <c r="D4444" i="3"/>
  <c r="B4444" i="3"/>
  <c r="E4444" i="3"/>
  <c r="A4445" i="3"/>
  <c r="C4445" i="3"/>
  <c r="D4445" i="3"/>
  <c r="B4445" i="3"/>
  <c r="E4445" i="3"/>
  <c r="A4446" i="3"/>
  <c r="C4446" i="3"/>
  <c r="D4446" i="3"/>
  <c r="B4446" i="3"/>
  <c r="E4446" i="3"/>
  <c r="A4447" i="3"/>
  <c r="C4447" i="3"/>
  <c r="D4447" i="3"/>
  <c r="B4447" i="3"/>
  <c r="E4447" i="3"/>
  <c r="A4448" i="3"/>
  <c r="C4448" i="3"/>
  <c r="D4448" i="3"/>
  <c r="B4448" i="3"/>
  <c r="E4448" i="3"/>
  <c r="A4449" i="3"/>
  <c r="C4449" i="3"/>
  <c r="D4449" i="3"/>
  <c r="B4449" i="3"/>
  <c r="E4449" i="3"/>
  <c r="A4450" i="3"/>
  <c r="C4450" i="3"/>
  <c r="D4450" i="3"/>
  <c r="B4450" i="3"/>
  <c r="E4450" i="3"/>
  <c r="A4451" i="3"/>
  <c r="C4451" i="3"/>
  <c r="D4451" i="3"/>
  <c r="B4451" i="3"/>
  <c r="E4451" i="3"/>
  <c r="A4452" i="3"/>
  <c r="C4452" i="3"/>
  <c r="D4452" i="3"/>
  <c r="B4452" i="3"/>
  <c r="E4452" i="3"/>
  <c r="A4453" i="3"/>
  <c r="C4453" i="3"/>
  <c r="D4453" i="3"/>
  <c r="B4453" i="3"/>
  <c r="E4453" i="3"/>
  <c r="A4454" i="3"/>
  <c r="C4454" i="3"/>
  <c r="D4454" i="3"/>
  <c r="B4454" i="3"/>
  <c r="E4454" i="3"/>
  <c r="A4455" i="3"/>
  <c r="C4455" i="3"/>
  <c r="D4455" i="3"/>
  <c r="B4455" i="3"/>
  <c r="E4455" i="3"/>
  <c r="A4456" i="3"/>
  <c r="C4456" i="3"/>
  <c r="D4456" i="3"/>
  <c r="B4456" i="3"/>
  <c r="E4456" i="3"/>
  <c r="A4457" i="3"/>
  <c r="C4457" i="3"/>
  <c r="D4457" i="3"/>
  <c r="B4457" i="3"/>
  <c r="E4457" i="3"/>
  <c r="A4458" i="3"/>
  <c r="C4458" i="3"/>
  <c r="D4458" i="3"/>
  <c r="B4458" i="3"/>
  <c r="E4458" i="3"/>
  <c r="A4459" i="3"/>
  <c r="C4459" i="3"/>
  <c r="D4459" i="3"/>
  <c r="B4459" i="3"/>
  <c r="E4459" i="3"/>
  <c r="A4460" i="3"/>
  <c r="C4460" i="3"/>
  <c r="D4460" i="3"/>
  <c r="B4460" i="3"/>
  <c r="E4460" i="3"/>
  <c r="A4461" i="3"/>
  <c r="C4461" i="3"/>
  <c r="D4461" i="3"/>
  <c r="B4461" i="3"/>
  <c r="E4461" i="3"/>
  <c r="A4462" i="3"/>
  <c r="C4462" i="3"/>
  <c r="D4462" i="3"/>
  <c r="B4462" i="3"/>
  <c r="E4462" i="3"/>
  <c r="A4463" i="3"/>
  <c r="C4463" i="3"/>
  <c r="D4463" i="3"/>
  <c r="B4463" i="3"/>
  <c r="E4463" i="3"/>
  <c r="A4464" i="3"/>
  <c r="C4464" i="3"/>
  <c r="D4464" i="3"/>
  <c r="B4464" i="3"/>
  <c r="E4464" i="3"/>
  <c r="A4465" i="3"/>
  <c r="C4465" i="3"/>
  <c r="D4465" i="3"/>
  <c r="B4465" i="3"/>
  <c r="E4465" i="3"/>
  <c r="A4466" i="3"/>
  <c r="C4466" i="3"/>
  <c r="D4466" i="3"/>
  <c r="B4466" i="3"/>
  <c r="E4466" i="3"/>
  <c r="A4467" i="3"/>
  <c r="C4467" i="3"/>
  <c r="D4467" i="3"/>
  <c r="B4467" i="3"/>
  <c r="E4467" i="3"/>
  <c r="A4468" i="3"/>
  <c r="C4468" i="3"/>
  <c r="D4468" i="3"/>
  <c r="B4468" i="3"/>
  <c r="E4468" i="3"/>
  <c r="A4469" i="3"/>
  <c r="C4469" i="3"/>
  <c r="D4469" i="3"/>
  <c r="B4469" i="3"/>
  <c r="E4469" i="3"/>
  <c r="A4470" i="3"/>
  <c r="C4470" i="3"/>
  <c r="D4470" i="3"/>
  <c r="B4470" i="3"/>
  <c r="E4470" i="3"/>
  <c r="A4471" i="3"/>
  <c r="C4471" i="3"/>
  <c r="D4471" i="3"/>
  <c r="B4471" i="3"/>
  <c r="E4471" i="3"/>
  <c r="A4472" i="3"/>
  <c r="C4472" i="3"/>
  <c r="D4472" i="3"/>
  <c r="B4472" i="3"/>
  <c r="E4472" i="3"/>
  <c r="A4473" i="3"/>
  <c r="C4473" i="3"/>
  <c r="D4473" i="3"/>
  <c r="B4473" i="3"/>
  <c r="E4473" i="3"/>
  <c r="A4474" i="3"/>
  <c r="C4474" i="3"/>
  <c r="D4474" i="3"/>
  <c r="B4474" i="3"/>
  <c r="E4474" i="3"/>
  <c r="A4475" i="3"/>
  <c r="C4475" i="3"/>
  <c r="D4475" i="3"/>
  <c r="B4475" i="3"/>
  <c r="E4475" i="3"/>
  <c r="A4476" i="3"/>
  <c r="C4476" i="3"/>
  <c r="D4476" i="3"/>
  <c r="B4476" i="3"/>
  <c r="E4476" i="3"/>
  <c r="A4477" i="3"/>
  <c r="C4477" i="3"/>
  <c r="D4477" i="3"/>
  <c r="B4477" i="3"/>
  <c r="E4477" i="3"/>
  <c r="A4478" i="3"/>
  <c r="C4478" i="3"/>
  <c r="D4478" i="3"/>
  <c r="B4478" i="3"/>
  <c r="E4478" i="3"/>
  <c r="A4479" i="3"/>
  <c r="C4479" i="3"/>
  <c r="D4479" i="3"/>
  <c r="B4479" i="3"/>
  <c r="E4479" i="3"/>
  <c r="A4480" i="3"/>
  <c r="C4480" i="3"/>
  <c r="D4480" i="3"/>
  <c r="B4480" i="3"/>
  <c r="E4480" i="3"/>
  <c r="A4481" i="3"/>
  <c r="C4481" i="3"/>
  <c r="D4481" i="3"/>
  <c r="B4481" i="3"/>
  <c r="E4481" i="3"/>
  <c r="A4482" i="3"/>
  <c r="C4482" i="3"/>
  <c r="D4482" i="3"/>
  <c r="B4482" i="3"/>
  <c r="E4482" i="3"/>
  <c r="A4483" i="3"/>
  <c r="C4483" i="3"/>
  <c r="D4483" i="3"/>
  <c r="B4483" i="3"/>
  <c r="E4483" i="3"/>
  <c r="A4484" i="3"/>
  <c r="C4484" i="3"/>
  <c r="D4484" i="3"/>
  <c r="B4484" i="3"/>
  <c r="E4484" i="3"/>
  <c r="A4485" i="3"/>
  <c r="C4485" i="3"/>
  <c r="D4485" i="3"/>
  <c r="B4485" i="3"/>
  <c r="E4485" i="3"/>
  <c r="A4486" i="3"/>
  <c r="C4486" i="3"/>
  <c r="D4486" i="3"/>
  <c r="B4486" i="3"/>
  <c r="E4486" i="3"/>
  <c r="A4487" i="3"/>
  <c r="C4487" i="3"/>
  <c r="D4487" i="3"/>
  <c r="B4487" i="3"/>
  <c r="E4487" i="3"/>
  <c r="A4488" i="3"/>
  <c r="C4488" i="3"/>
  <c r="D4488" i="3"/>
  <c r="B4488" i="3"/>
  <c r="E4488" i="3"/>
  <c r="A4489" i="3"/>
  <c r="C4489" i="3"/>
  <c r="D4489" i="3"/>
  <c r="B4489" i="3"/>
  <c r="E4489" i="3"/>
  <c r="A4490" i="3"/>
  <c r="C4490" i="3"/>
  <c r="D4490" i="3"/>
  <c r="B4490" i="3"/>
  <c r="E4490" i="3"/>
  <c r="A4491" i="3"/>
  <c r="C4491" i="3"/>
  <c r="D4491" i="3"/>
  <c r="B4491" i="3"/>
  <c r="E4491" i="3"/>
  <c r="A4492" i="3"/>
  <c r="C4492" i="3"/>
  <c r="D4492" i="3"/>
  <c r="B4492" i="3"/>
  <c r="E4492" i="3"/>
  <c r="A4493" i="3"/>
  <c r="C4493" i="3"/>
  <c r="D4493" i="3"/>
  <c r="B4493" i="3"/>
  <c r="E4493" i="3"/>
  <c r="A4494" i="3"/>
  <c r="C4494" i="3"/>
  <c r="D4494" i="3"/>
  <c r="B4494" i="3"/>
  <c r="E4494" i="3"/>
  <c r="A4495" i="3"/>
  <c r="C4495" i="3"/>
  <c r="D4495" i="3"/>
  <c r="B4495" i="3"/>
  <c r="E4495" i="3"/>
  <c r="A4496" i="3"/>
  <c r="C4496" i="3"/>
  <c r="D4496" i="3"/>
  <c r="B4496" i="3"/>
  <c r="E4496" i="3"/>
  <c r="A4497" i="3"/>
  <c r="C4497" i="3"/>
  <c r="D4497" i="3"/>
  <c r="B4497" i="3"/>
  <c r="E4497" i="3"/>
  <c r="A4498" i="3"/>
  <c r="C4498" i="3"/>
  <c r="D4498" i="3"/>
  <c r="B4498" i="3"/>
  <c r="E4498" i="3"/>
  <c r="A4499" i="3"/>
  <c r="C4499" i="3"/>
  <c r="D4499" i="3"/>
  <c r="B4499" i="3"/>
  <c r="E4499" i="3"/>
  <c r="A4500" i="3"/>
  <c r="C4500" i="3"/>
  <c r="D4500" i="3"/>
  <c r="B4500" i="3"/>
  <c r="E4500" i="3"/>
  <c r="A4501" i="3"/>
  <c r="C4501" i="3"/>
  <c r="D4501" i="3"/>
  <c r="B4501" i="3"/>
  <c r="E4501" i="3"/>
  <c r="A4502" i="3"/>
  <c r="C4502" i="3"/>
  <c r="D4502" i="3"/>
  <c r="B4502" i="3"/>
  <c r="E4502" i="3"/>
  <c r="A4503" i="3"/>
  <c r="C4503" i="3"/>
  <c r="D4503" i="3"/>
  <c r="B4503" i="3"/>
  <c r="E4503" i="3"/>
  <c r="A4504" i="3"/>
  <c r="C4504" i="3"/>
  <c r="D4504" i="3"/>
  <c r="B4504" i="3"/>
  <c r="E4504" i="3"/>
  <c r="A4505" i="3"/>
  <c r="C4505" i="3"/>
  <c r="D4505" i="3"/>
  <c r="B4505" i="3"/>
  <c r="E4505" i="3"/>
  <c r="A4506" i="3"/>
  <c r="C4506" i="3"/>
  <c r="D4506" i="3"/>
  <c r="B4506" i="3"/>
  <c r="E4506" i="3"/>
  <c r="A4507" i="3"/>
  <c r="C4507" i="3"/>
  <c r="D4507" i="3"/>
  <c r="B4507" i="3"/>
  <c r="E4507" i="3"/>
  <c r="A4508" i="3"/>
  <c r="C4508" i="3"/>
  <c r="D4508" i="3"/>
  <c r="B4508" i="3"/>
  <c r="E4508" i="3"/>
  <c r="A4509" i="3"/>
  <c r="C4509" i="3"/>
  <c r="D4509" i="3"/>
  <c r="B4509" i="3"/>
  <c r="E4509" i="3"/>
  <c r="A4510" i="3"/>
  <c r="C4510" i="3"/>
  <c r="D4510" i="3"/>
  <c r="B4510" i="3"/>
  <c r="E4510" i="3"/>
  <c r="A4511" i="3"/>
  <c r="C4511" i="3"/>
  <c r="D4511" i="3"/>
  <c r="B4511" i="3"/>
  <c r="E4511" i="3"/>
  <c r="A4512" i="3"/>
  <c r="C4512" i="3"/>
  <c r="D4512" i="3"/>
  <c r="B4512" i="3"/>
  <c r="E4512" i="3"/>
  <c r="A4513" i="3"/>
  <c r="C4513" i="3"/>
  <c r="D4513" i="3"/>
  <c r="B4513" i="3"/>
  <c r="E4513" i="3"/>
  <c r="A4514" i="3"/>
  <c r="C4514" i="3"/>
  <c r="D4514" i="3"/>
  <c r="B4514" i="3"/>
  <c r="E4514" i="3"/>
  <c r="A4515" i="3"/>
  <c r="C4515" i="3"/>
  <c r="D4515" i="3"/>
  <c r="B4515" i="3"/>
  <c r="E4515" i="3"/>
  <c r="A4516" i="3"/>
  <c r="C4516" i="3"/>
  <c r="D4516" i="3"/>
  <c r="B4516" i="3"/>
  <c r="E4516" i="3"/>
  <c r="A4517" i="3"/>
  <c r="C4517" i="3"/>
  <c r="D4517" i="3"/>
  <c r="B4517" i="3"/>
  <c r="E4517" i="3"/>
  <c r="A4518" i="3"/>
  <c r="C4518" i="3"/>
  <c r="D4518" i="3"/>
  <c r="B4518" i="3"/>
  <c r="E4518" i="3"/>
  <c r="A4519" i="3"/>
  <c r="C4519" i="3"/>
  <c r="D4519" i="3"/>
  <c r="B4519" i="3"/>
  <c r="E4519" i="3"/>
  <c r="A4520" i="3"/>
  <c r="C4520" i="3"/>
  <c r="D4520" i="3"/>
  <c r="B4520" i="3"/>
  <c r="E4520" i="3"/>
  <c r="A4521" i="3"/>
  <c r="C4521" i="3"/>
  <c r="D4521" i="3"/>
  <c r="B4521" i="3"/>
  <c r="E4521" i="3"/>
  <c r="A4522" i="3"/>
  <c r="C4522" i="3"/>
  <c r="D4522" i="3"/>
  <c r="B4522" i="3"/>
  <c r="E4522" i="3"/>
  <c r="A4523" i="3"/>
  <c r="C4523" i="3"/>
  <c r="D4523" i="3"/>
  <c r="B4523" i="3"/>
  <c r="E4523" i="3"/>
  <c r="A4524" i="3"/>
  <c r="C4524" i="3"/>
  <c r="D4524" i="3"/>
  <c r="B4524" i="3"/>
  <c r="E4524" i="3"/>
  <c r="A4525" i="3"/>
  <c r="C4525" i="3"/>
  <c r="D4525" i="3"/>
  <c r="B4525" i="3"/>
  <c r="E4525" i="3"/>
  <c r="A4526" i="3"/>
  <c r="C4526" i="3"/>
  <c r="D4526" i="3"/>
  <c r="B4526" i="3"/>
  <c r="E4526" i="3"/>
  <c r="A4527" i="3"/>
  <c r="C4527" i="3"/>
  <c r="D4527" i="3"/>
  <c r="B4527" i="3"/>
  <c r="E4527" i="3"/>
  <c r="A4528" i="3"/>
  <c r="C4528" i="3"/>
  <c r="D4528" i="3"/>
  <c r="B4528" i="3"/>
  <c r="E4528" i="3"/>
  <c r="A4529" i="3"/>
  <c r="C4529" i="3"/>
  <c r="D4529" i="3"/>
  <c r="B4529" i="3"/>
  <c r="E4529" i="3"/>
  <c r="A4530" i="3"/>
  <c r="C4530" i="3"/>
  <c r="D4530" i="3"/>
  <c r="B4530" i="3"/>
  <c r="E4530" i="3"/>
  <c r="A4531" i="3"/>
  <c r="C4531" i="3"/>
  <c r="D4531" i="3"/>
  <c r="B4531" i="3"/>
  <c r="E4531" i="3"/>
  <c r="A4532" i="3"/>
  <c r="C4532" i="3"/>
  <c r="D4532" i="3"/>
  <c r="B4532" i="3"/>
  <c r="E4532" i="3"/>
  <c r="A4533" i="3"/>
  <c r="C4533" i="3"/>
  <c r="D4533" i="3"/>
  <c r="B4533" i="3"/>
  <c r="E4533" i="3"/>
  <c r="A4534" i="3"/>
  <c r="C4534" i="3"/>
  <c r="D4534" i="3"/>
  <c r="B4534" i="3"/>
  <c r="E4534" i="3"/>
  <c r="A4535" i="3"/>
  <c r="C4535" i="3"/>
  <c r="D4535" i="3"/>
  <c r="B4535" i="3"/>
  <c r="E4535" i="3"/>
  <c r="A4536" i="3"/>
  <c r="C4536" i="3"/>
  <c r="D4536" i="3"/>
  <c r="B4536" i="3"/>
  <c r="E4536" i="3"/>
  <c r="A4537" i="3"/>
  <c r="C4537" i="3"/>
  <c r="D4537" i="3"/>
  <c r="B4537" i="3"/>
  <c r="E4537" i="3"/>
  <c r="A4538" i="3"/>
  <c r="C4538" i="3"/>
  <c r="D4538" i="3"/>
  <c r="B4538" i="3"/>
  <c r="E4538" i="3"/>
  <c r="A4539" i="3"/>
  <c r="C4539" i="3"/>
  <c r="D4539" i="3"/>
  <c r="B4539" i="3"/>
  <c r="E4539" i="3"/>
  <c r="A4540" i="3"/>
  <c r="C4540" i="3"/>
  <c r="D4540" i="3"/>
  <c r="B4540" i="3"/>
  <c r="E4540" i="3"/>
  <c r="A4541" i="3"/>
  <c r="C4541" i="3"/>
  <c r="D4541" i="3"/>
  <c r="B4541" i="3"/>
  <c r="E4541" i="3"/>
  <c r="A4542" i="3"/>
  <c r="C4542" i="3"/>
  <c r="D4542" i="3"/>
  <c r="B4542" i="3"/>
  <c r="E4542" i="3"/>
  <c r="A4543" i="3"/>
  <c r="C4543" i="3"/>
  <c r="D4543" i="3"/>
  <c r="B4543" i="3"/>
  <c r="E4543" i="3"/>
  <c r="A4544" i="3"/>
  <c r="C4544" i="3"/>
  <c r="D4544" i="3"/>
  <c r="B4544" i="3"/>
  <c r="E4544" i="3"/>
  <c r="A4545" i="3"/>
  <c r="C4545" i="3"/>
  <c r="D4545" i="3"/>
  <c r="B4545" i="3"/>
  <c r="E4545" i="3"/>
  <c r="A4546" i="3"/>
  <c r="C4546" i="3"/>
  <c r="D4546" i="3"/>
  <c r="B4546" i="3"/>
  <c r="E4546" i="3"/>
  <c r="A4547" i="3"/>
  <c r="C4547" i="3"/>
  <c r="D4547" i="3"/>
  <c r="B4547" i="3"/>
  <c r="E4547" i="3"/>
  <c r="A4548" i="3"/>
  <c r="C4548" i="3"/>
  <c r="D4548" i="3"/>
  <c r="B4548" i="3"/>
  <c r="E4548" i="3"/>
  <c r="A4549" i="3"/>
  <c r="C4549" i="3"/>
  <c r="D4549" i="3"/>
  <c r="B4549" i="3"/>
  <c r="E4549" i="3"/>
  <c r="A4550" i="3"/>
  <c r="C4550" i="3"/>
  <c r="D4550" i="3"/>
  <c r="B4550" i="3"/>
  <c r="E4550" i="3"/>
  <c r="A4551" i="3"/>
  <c r="C4551" i="3"/>
  <c r="D4551" i="3"/>
  <c r="B4551" i="3"/>
  <c r="E4551" i="3"/>
  <c r="A4552" i="3"/>
  <c r="C4552" i="3"/>
  <c r="D4552" i="3"/>
  <c r="B4552" i="3"/>
  <c r="E4552" i="3"/>
  <c r="A4553" i="3"/>
  <c r="C4553" i="3"/>
  <c r="D4553" i="3"/>
  <c r="B4553" i="3"/>
  <c r="E4553" i="3"/>
  <c r="A4554" i="3"/>
  <c r="C4554" i="3"/>
  <c r="D4554" i="3"/>
  <c r="B4554" i="3"/>
  <c r="E4554" i="3"/>
  <c r="A4555" i="3"/>
  <c r="C4555" i="3"/>
  <c r="D4555" i="3"/>
  <c r="B4555" i="3"/>
  <c r="E4555" i="3"/>
  <c r="A4556" i="3"/>
  <c r="C4556" i="3"/>
  <c r="D4556" i="3"/>
  <c r="B4556" i="3"/>
  <c r="E4556" i="3"/>
  <c r="A4557" i="3"/>
  <c r="C4557" i="3"/>
  <c r="D4557" i="3"/>
  <c r="B4557" i="3"/>
  <c r="E4557" i="3"/>
  <c r="A4558" i="3"/>
  <c r="C4558" i="3"/>
  <c r="D4558" i="3"/>
  <c r="B4558" i="3"/>
  <c r="E4558" i="3"/>
  <c r="A4559" i="3"/>
  <c r="C4559" i="3"/>
  <c r="D4559" i="3"/>
  <c r="B4559" i="3"/>
  <c r="E4559" i="3"/>
  <c r="A4560" i="3"/>
  <c r="C4560" i="3"/>
  <c r="D4560" i="3"/>
  <c r="B4560" i="3"/>
  <c r="E4560" i="3"/>
  <c r="A4561" i="3"/>
  <c r="C4561" i="3"/>
  <c r="D4561" i="3"/>
  <c r="B4561" i="3"/>
  <c r="E4561" i="3"/>
  <c r="A4562" i="3"/>
  <c r="C4562" i="3"/>
  <c r="D4562" i="3"/>
  <c r="B4562" i="3"/>
  <c r="E4562" i="3"/>
  <c r="A4563" i="3"/>
  <c r="C4563" i="3"/>
  <c r="D4563" i="3"/>
  <c r="B4563" i="3"/>
  <c r="E4563" i="3"/>
  <c r="A4564" i="3"/>
  <c r="C4564" i="3"/>
  <c r="D4564" i="3"/>
  <c r="B4564" i="3"/>
  <c r="E4564" i="3"/>
  <c r="A4565" i="3"/>
  <c r="C4565" i="3"/>
  <c r="D4565" i="3"/>
  <c r="B4565" i="3"/>
  <c r="E4565" i="3"/>
  <c r="A4566" i="3"/>
  <c r="C4566" i="3"/>
  <c r="D4566" i="3"/>
  <c r="B4566" i="3"/>
  <c r="E4566" i="3"/>
  <c r="A4567" i="3"/>
  <c r="C4567" i="3"/>
  <c r="D4567" i="3"/>
  <c r="B4567" i="3"/>
  <c r="E4567" i="3"/>
  <c r="A4568" i="3"/>
  <c r="C4568" i="3"/>
  <c r="D4568" i="3"/>
  <c r="B4568" i="3"/>
  <c r="E4568" i="3"/>
  <c r="A4569" i="3"/>
  <c r="C4569" i="3"/>
  <c r="D4569" i="3"/>
  <c r="B4569" i="3"/>
  <c r="E4569" i="3"/>
  <c r="A4570" i="3"/>
  <c r="C4570" i="3"/>
  <c r="D4570" i="3"/>
  <c r="B4570" i="3"/>
  <c r="E4570" i="3"/>
  <c r="A4571" i="3"/>
  <c r="C4571" i="3"/>
  <c r="D4571" i="3"/>
  <c r="B4571" i="3"/>
  <c r="E4571" i="3"/>
  <c r="A4572" i="3"/>
  <c r="C4572" i="3"/>
  <c r="D4572" i="3"/>
  <c r="B4572" i="3"/>
  <c r="E4572" i="3"/>
  <c r="A4573" i="3"/>
  <c r="C4573" i="3"/>
  <c r="D4573" i="3"/>
  <c r="B4573" i="3"/>
  <c r="E4573" i="3"/>
  <c r="A4574" i="3"/>
  <c r="C4574" i="3"/>
  <c r="D4574" i="3"/>
  <c r="B4574" i="3"/>
  <c r="E4574" i="3"/>
  <c r="A4575" i="3"/>
  <c r="C4575" i="3"/>
  <c r="D4575" i="3"/>
  <c r="B4575" i="3"/>
  <c r="E4575" i="3"/>
  <c r="A4576" i="3"/>
  <c r="C4576" i="3"/>
  <c r="D4576" i="3"/>
  <c r="B4576" i="3"/>
  <c r="E4576" i="3"/>
  <c r="A4577" i="3"/>
  <c r="C4577" i="3"/>
  <c r="D4577" i="3"/>
  <c r="B4577" i="3"/>
  <c r="E4577" i="3"/>
  <c r="A4578" i="3"/>
  <c r="C4578" i="3"/>
  <c r="D4578" i="3"/>
  <c r="B4578" i="3"/>
  <c r="E4578" i="3"/>
  <c r="A4579" i="3"/>
  <c r="C4579" i="3"/>
  <c r="D4579" i="3"/>
  <c r="B4579" i="3"/>
  <c r="E4579" i="3"/>
  <c r="A4580" i="3"/>
  <c r="C4580" i="3"/>
  <c r="D4580" i="3"/>
  <c r="B4580" i="3"/>
  <c r="E4580" i="3"/>
  <c r="A4581" i="3"/>
  <c r="C4581" i="3"/>
  <c r="D4581" i="3"/>
  <c r="B4581" i="3"/>
  <c r="E4581" i="3"/>
  <c r="A4582" i="3"/>
  <c r="C4582" i="3"/>
  <c r="D4582" i="3"/>
  <c r="B4582" i="3"/>
  <c r="E4582" i="3"/>
  <c r="A4583" i="3"/>
  <c r="C4583" i="3"/>
  <c r="D4583" i="3"/>
  <c r="B4583" i="3"/>
  <c r="E4583" i="3"/>
  <c r="A4584" i="3"/>
  <c r="C4584" i="3"/>
  <c r="D4584" i="3"/>
  <c r="B4584" i="3"/>
  <c r="E4584" i="3"/>
  <c r="A4585" i="3"/>
  <c r="C4585" i="3"/>
  <c r="D4585" i="3"/>
  <c r="B4585" i="3"/>
  <c r="E4585" i="3"/>
  <c r="A4586" i="3"/>
  <c r="C4586" i="3"/>
  <c r="D4586" i="3"/>
  <c r="B4586" i="3"/>
  <c r="E4586" i="3"/>
  <c r="A4587" i="3"/>
  <c r="C4587" i="3"/>
  <c r="D4587" i="3"/>
  <c r="B4587" i="3"/>
  <c r="E4587" i="3"/>
  <c r="A4588" i="3"/>
  <c r="C4588" i="3"/>
  <c r="D4588" i="3"/>
  <c r="B4588" i="3"/>
  <c r="E4588" i="3"/>
  <c r="A4589" i="3"/>
  <c r="C4589" i="3"/>
  <c r="D4589" i="3"/>
  <c r="B4589" i="3"/>
  <c r="E4589" i="3"/>
  <c r="A4590" i="3"/>
  <c r="C4590" i="3"/>
  <c r="D4590" i="3"/>
  <c r="B4590" i="3"/>
  <c r="E4590" i="3"/>
  <c r="A4591" i="3"/>
  <c r="C4591" i="3"/>
  <c r="D4591" i="3"/>
  <c r="B4591" i="3"/>
  <c r="E4591" i="3"/>
  <c r="A4592" i="3"/>
  <c r="C4592" i="3"/>
  <c r="D4592" i="3"/>
  <c r="B4592" i="3"/>
  <c r="E4592" i="3"/>
  <c r="A4593" i="3"/>
  <c r="C4593" i="3"/>
  <c r="D4593" i="3"/>
  <c r="B4593" i="3"/>
  <c r="E4593" i="3"/>
  <c r="A4594" i="3"/>
  <c r="C4594" i="3"/>
  <c r="D4594" i="3"/>
  <c r="B4594" i="3"/>
  <c r="E4594" i="3"/>
  <c r="A4595" i="3"/>
  <c r="C4595" i="3"/>
  <c r="D4595" i="3"/>
  <c r="B4595" i="3"/>
  <c r="E4595" i="3"/>
  <c r="A4596" i="3"/>
  <c r="C4596" i="3"/>
  <c r="D4596" i="3"/>
  <c r="B4596" i="3"/>
  <c r="E4596" i="3"/>
  <c r="A4597" i="3"/>
  <c r="C4597" i="3"/>
  <c r="D4597" i="3"/>
  <c r="B4597" i="3"/>
  <c r="E4597" i="3"/>
  <c r="A4598" i="3"/>
  <c r="C4598" i="3"/>
  <c r="D4598" i="3"/>
  <c r="B4598" i="3"/>
  <c r="E4598" i="3"/>
  <c r="A4599" i="3"/>
  <c r="C4599" i="3"/>
  <c r="D4599" i="3"/>
  <c r="B4599" i="3"/>
  <c r="E4599" i="3"/>
  <c r="A4600" i="3"/>
  <c r="C4600" i="3"/>
  <c r="D4600" i="3"/>
  <c r="B4600" i="3"/>
  <c r="E4600" i="3"/>
  <c r="A4601" i="3"/>
  <c r="C4601" i="3"/>
  <c r="D4601" i="3"/>
  <c r="B4601" i="3"/>
  <c r="E4601" i="3"/>
  <c r="A4602" i="3"/>
  <c r="C4602" i="3"/>
  <c r="D4602" i="3"/>
  <c r="B4602" i="3"/>
  <c r="E4602" i="3"/>
  <c r="A4603" i="3"/>
  <c r="C4603" i="3"/>
  <c r="D4603" i="3"/>
  <c r="B4603" i="3"/>
  <c r="E4603" i="3"/>
  <c r="A4604" i="3"/>
  <c r="C4604" i="3"/>
  <c r="D4604" i="3"/>
  <c r="B4604" i="3"/>
  <c r="E4604" i="3"/>
  <c r="A4605" i="3"/>
  <c r="C4605" i="3"/>
  <c r="D4605" i="3"/>
  <c r="B4605" i="3"/>
  <c r="E4605" i="3"/>
  <c r="A4606" i="3"/>
  <c r="C4606" i="3"/>
  <c r="D4606" i="3"/>
  <c r="B4606" i="3"/>
  <c r="E4606" i="3"/>
  <c r="A4607" i="3"/>
  <c r="C4607" i="3"/>
  <c r="D4607" i="3"/>
  <c r="B4607" i="3"/>
  <c r="E4607" i="3"/>
  <c r="A4608" i="3"/>
  <c r="C4608" i="3"/>
  <c r="D4608" i="3"/>
  <c r="B4608" i="3"/>
  <c r="E4608" i="3"/>
  <c r="A4609" i="3"/>
  <c r="C4609" i="3"/>
  <c r="D4609" i="3"/>
  <c r="B4609" i="3"/>
  <c r="E4609" i="3"/>
  <c r="A4610" i="3"/>
  <c r="C4610" i="3"/>
  <c r="D4610" i="3"/>
  <c r="B4610" i="3"/>
  <c r="E4610" i="3"/>
  <c r="A4611" i="3"/>
  <c r="C4611" i="3"/>
  <c r="D4611" i="3"/>
  <c r="B4611" i="3"/>
  <c r="E4611" i="3"/>
  <c r="A4612" i="3"/>
  <c r="C4612" i="3"/>
  <c r="D4612" i="3"/>
  <c r="B4612" i="3"/>
  <c r="E4612" i="3"/>
  <c r="A4613" i="3"/>
  <c r="C4613" i="3"/>
  <c r="D4613" i="3"/>
  <c r="B4613" i="3"/>
  <c r="E4613" i="3"/>
  <c r="A4614" i="3"/>
  <c r="C4614" i="3"/>
  <c r="D4614" i="3"/>
  <c r="B4614" i="3"/>
  <c r="E4614" i="3"/>
  <c r="A4615" i="3"/>
  <c r="C4615" i="3"/>
  <c r="D4615" i="3"/>
  <c r="B4615" i="3"/>
  <c r="E4615" i="3"/>
  <c r="A4616" i="3"/>
  <c r="C4616" i="3"/>
  <c r="D4616" i="3"/>
  <c r="B4616" i="3"/>
  <c r="E4616" i="3"/>
  <c r="A4617" i="3"/>
  <c r="C4617" i="3"/>
  <c r="D4617" i="3"/>
  <c r="B4617" i="3"/>
  <c r="E4617" i="3"/>
  <c r="A4618" i="3"/>
  <c r="C4618" i="3"/>
  <c r="D4618" i="3"/>
  <c r="B4618" i="3"/>
  <c r="E4618" i="3"/>
  <c r="A4619" i="3"/>
  <c r="C4619" i="3"/>
  <c r="D4619" i="3"/>
  <c r="B4619" i="3"/>
  <c r="E4619" i="3"/>
  <c r="A4620" i="3"/>
  <c r="C4620" i="3"/>
  <c r="D4620" i="3"/>
  <c r="B4620" i="3"/>
  <c r="E4620" i="3"/>
  <c r="A4621" i="3"/>
  <c r="C4621" i="3"/>
  <c r="D4621" i="3"/>
  <c r="B4621" i="3"/>
  <c r="E4621" i="3"/>
  <c r="A4622" i="3"/>
  <c r="C4622" i="3"/>
  <c r="D4622" i="3"/>
  <c r="B4622" i="3"/>
  <c r="E4622" i="3"/>
  <c r="A4623" i="3"/>
  <c r="C4623" i="3"/>
  <c r="D4623" i="3"/>
  <c r="B4623" i="3"/>
  <c r="E4623" i="3"/>
  <c r="A4624" i="3"/>
  <c r="C4624" i="3"/>
  <c r="D4624" i="3"/>
  <c r="B4624" i="3"/>
  <c r="E4624" i="3"/>
  <c r="A4625" i="3"/>
  <c r="C4625" i="3"/>
  <c r="D4625" i="3"/>
  <c r="B4625" i="3"/>
  <c r="E4625" i="3"/>
  <c r="A4626" i="3"/>
  <c r="C4626" i="3"/>
  <c r="D4626" i="3"/>
  <c r="B4626" i="3"/>
  <c r="E4626" i="3"/>
  <c r="A4627" i="3"/>
  <c r="C4627" i="3"/>
  <c r="D4627" i="3"/>
  <c r="B4627" i="3"/>
  <c r="E4627" i="3"/>
  <c r="A4628" i="3"/>
  <c r="C4628" i="3"/>
  <c r="D4628" i="3"/>
  <c r="B4628" i="3"/>
  <c r="E4628" i="3"/>
  <c r="A4629" i="3"/>
  <c r="C4629" i="3"/>
  <c r="D4629" i="3"/>
  <c r="B4629" i="3"/>
  <c r="E4629" i="3"/>
  <c r="A4630" i="3"/>
  <c r="C4630" i="3"/>
  <c r="D4630" i="3"/>
  <c r="B4630" i="3"/>
  <c r="E4630" i="3"/>
  <c r="A4631" i="3"/>
  <c r="C4631" i="3"/>
  <c r="D4631" i="3"/>
  <c r="B4631" i="3"/>
  <c r="E4631" i="3"/>
  <c r="A4632" i="3"/>
  <c r="C4632" i="3"/>
  <c r="D4632" i="3"/>
  <c r="B4632" i="3"/>
  <c r="E4632" i="3"/>
  <c r="A4633" i="3"/>
  <c r="C4633" i="3"/>
  <c r="D4633" i="3"/>
  <c r="B4633" i="3"/>
  <c r="E4633" i="3"/>
  <c r="A4634" i="3"/>
  <c r="C4634" i="3"/>
  <c r="D4634" i="3"/>
  <c r="B4634" i="3"/>
  <c r="E4634" i="3"/>
  <c r="A4635" i="3"/>
  <c r="C4635" i="3"/>
  <c r="D4635" i="3"/>
  <c r="B4635" i="3"/>
  <c r="E4635" i="3"/>
  <c r="A4636" i="3"/>
  <c r="C4636" i="3"/>
  <c r="D4636" i="3"/>
  <c r="B4636" i="3"/>
  <c r="E4636" i="3"/>
  <c r="A4637" i="3"/>
  <c r="C4637" i="3"/>
  <c r="D4637" i="3"/>
  <c r="B4637" i="3"/>
  <c r="E4637" i="3"/>
  <c r="A4638" i="3"/>
  <c r="C4638" i="3"/>
  <c r="D4638" i="3"/>
  <c r="B4638" i="3"/>
  <c r="E4638" i="3"/>
  <c r="A4639" i="3"/>
  <c r="C4639" i="3"/>
  <c r="D4639" i="3"/>
  <c r="B4639" i="3"/>
  <c r="E4639" i="3"/>
  <c r="A4640" i="3"/>
  <c r="C4640" i="3"/>
  <c r="D4640" i="3"/>
  <c r="B4640" i="3"/>
  <c r="E4640" i="3"/>
  <c r="A4641" i="3"/>
  <c r="C4641" i="3"/>
  <c r="D4641" i="3"/>
  <c r="B4641" i="3"/>
  <c r="E4641" i="3"/>
  <c r="A4642" i="3"/>
  <c r="C4642" i="3"/>
  <c r="D4642" i="3"/>
  <c r="B4642" i="3"/>
  <c r="E4642" i="3"/>
  <c r="A4643" i="3"/>
  <c r="C4643" i="3"/>
  <c r="D4643" i="3"/>
  <c r="B4643" i="3"/>
  <c r="E4643" i="3"/>
  <c r="A4644" i="3"/>
  <c r="C4644" i="3"/>
  <c r="D4644" i="3"/>
  <c r="B4644" i="3"/>
  <c r="E4644" i="3"/>
  <c r="A4645" i="3"/>
  <c r="C4645" i="3"/>
  <c r="D4645" i="3"/>
  <c r="B4645" i="3"/>
  <c r="E4645" i="3"/>
  <c r="A4646" i="3"/>
  <c r="C4646" i="3"/>
  <c r="D4646" i="3"/>
  <c r="B4646" i="3"/>
  <c r="E4646" i="3"/>
  <c r="A4647" i="3"/>
  <c r="C4647" i="3"/>
  <c r="D4647" i="3"/>
  <c r="B4647" i="3"/>
  <c r="E4647" i="3"/>
  <c r="A4648" i="3"/>
  <c r="C4648" i="3"/>
  <c r="D4648" i="3"/>
  <c r="B4648" i="3"/>
  <c r="E4648" i="3"/>
  <c r="A4649" i="3"/>
  <c r="C4649" i="3"/>
  <c r="D4649" i="3"/>
  <c r="B4649" i="3"/>
  <c r="E4649" i="3"/>
  <c r="A4650" i="3"/>
  <c r="C4650" i="3"/>
  <c r="D4650" i="3"/>
  <c r="B4650" i="3"/>
  <c r="E4650" i="3"/>
  <c r="A4651" i="3"/>
  <c r="C4651" i="3"/>
  <c r="D4651" i="3"/>
  <c r="B4651" i="3"/>
  <c r="E4651" i="3"/>
  <c r="A4652" i="3"/>
  <c r="C4652" i="3"/>
  <c r="D4652" i="3"/>
  <c r="B4652" i="3"/>
  <c r="E4652" i="3"/>
  <c r="A4653" i="3"/>
  <c r="C4653" i="3"/>
  <c r="D4653" i="3"/>
  <c r="B4653" i="3"/>
  <c r="E4653" i="3"/>
  <c r="A4654" i="3"/>
  <c r="C4654" i="3"/>
  <c r="D4654" i="3"/>
  <c r="B4654" i="3"/>
  <c r="E4654" i="3"/>
  <c r="A4655" i="3"/>
  <c r="C4655" i="3"/>
  <c r="D4655" i="3"/>
  <c r="B4655" i="3"/>
  <c r="E4655" i="3"/>
  <c r="A4656" i="3"/>
  <c r="C4656" i="3"/>
  <c r="D4656" i="3"/>
  <c r="B4656" i="3"/>
  <c r="E4656" i="3"/>
  <c r="A4657" i="3"/>
  <c r="C4657" i="3"/>
  <c r="D4657" i="3"/>
  <c r="B4657" i="3"/>
  <c r="E4657" i="3"/>
  <c r="A4658" i="3"/>
  <c r="C4658" i="3"/>
  <c r="D4658" i="3"/>
  <c r="B4658" i="3"/>
  <c r="E4658" i="3"/>
  <c r="A4659" i="3"/>
  <c r="C4659" i="3"/>
  <c r="D4659" i="3"/>
  <c r="B4659" i="3"/>
  <c r="E4659" i="3"/>
  <c r="A4660" i="3"/>
  <c r="C4660" i="3"/>
  <c r="D4660" i="3"/>
  <c r="B4660" i="3"/>
  <c r="E4660" i="3"/>
  <c r="A4661" i="3"/>
  <c r="C4661" i="3"/>
  <c r="D4661" i="3"/>
  <c r="B4661" i="3"/>
  <c r="E4661" i="3"/>
  <c r="A4662" i="3"/>
  <c r="C4662" i="3"/>
  <c r="D4662" i="3"/>
  <c r="B4662" i="3"/>
  <c r="E4662" i="3"/>
  <c r="A4663" i="3"/>
  <c r="C4663" i="3"/>
  <c r="D4663" i="3"/>
  <c r="B4663" i="3"/>
  <c r="E4663" i="3"/>
  <c r="A4664" i="3"/>
  <c r="C4664" i="3"/>
  <c r="D4664" i="3"/>
  <c r="B4664" i="3"/>
  <c r="E4664" i="3"/>
  <c r="A4665" i="3"/>
  <c r="C4665" i="3"/>
  <c r="D4665" i="3"/>
  <c r="B4665" i="3"/>
  <c r="E4665" i="3"/>
  <c r="A4666" i="3"/>
  <c r="C4666" i="3"/>
  <c r="D4666" i="3"/>
  <c r="B4666" i="3"/>
  <c r="E4666" i="3"/>
  <c r="A4667" i="3"/>
  <c r="C4667" i="3"/>
  <c r="D4667" i="3"/>
  <c r="B4667" i="3"/>
  <c r="E4667" i="3"/>
  <c r="A4668" i="3"/>
  <c r="C4668" i="3"/>
  <c r="D4668" i="3"/>
  <c r="B4668" i="3"/>
  <c r="E4668" i="3"/>
  <c r="A4669" i="3"/>
  <c r="C4669" i="3"/>
  <c r="D4669" i="3"/>
  <c r="B4669" i="3"/>
  <c r="E4669" i="3"/>
  <c r="A4670" i="3"/>
  <c r="C4670" i="3"/>
  <c r="D4670" i="3"/>
  <c r="B4670" i="3"/>
  <c r="E4670" i="3"/>
  <c r="A4671" i="3"/>
  <c r="C4671" i="3"/>
  <c r="D4671" i="3"/>
  <c r="B4671" i="3"/>
  <c r="E4671" i="3"/>
  <c r="A4672" i="3"/>
  <c r="C4672" i="3"/>
  <c r="D4672" i="3"/>
  <c r="B4672" i="3"/>
  <c r="E4672" i="3"/>
  <c r="A4673" i="3"/>
  <c r="C4673" i="3"/>
  <c r="D4673" i="3"/>
  <c r="B4673" i="3"/>
  <c r="E4673" i="3"/>
  <c r="A4674" i="3"/>
  <c r="C4674" i="3"/>
  <c r="D4674" i="3"/>
  <c r="B4674" i="3"/>
  <c r="E4674" i="3"/>
  <c r="A4675" i="3"/>
  <c r="C4675" i="3"/>
  <c r="D4675" i="3"/>
  <c r="B4675" i="3"/>
  <c r="E4675" i="3"/>
  <c r="A4676" i="3"/>
  <c r="C4676" i="3"/>
  <c r="D4676" i="3"/>
  <c r="B4676" i="3"/>
  <c r="E4676" i="3"/>
  <c r="A4677" i="3"/>
  <c r="C4677" i="3"/>
  <c r="D4677" i="3"/>
  <c r="B4677" i="3"/>
  <c r="E4677" i="3"/>
  <c r="A4678" i="3"/>
  <c r="C4678" i="3"/>
  <c r="D4678" i="3"/>
  <c r="B4678" i="3"/>
  <c r="E4678" i="3"/>
  <c r="A4679" i="3"/>
  <c r="C4679" i="3"/>
  <c r="D4679" i="3"/>
  <c r="B4679" i="3"/>
  <c r="E4679" i="3"/>
  <c r="A4680" i="3"/>
  <c r="C4680" i="3"/>
  <c r="D4680" i="3"/>
  <c r="B4680" i="3"/>
  <c r="E4680" i="3"/>
  <c r="A4681" i="3"/>
  <c r="C4681" i="3"/>
  <c r="D4681" i="3"/>
  <c r="B4681" i="3"/>
  <c r="E4681" i="3"/>
  <c r="A4682" i="3"/>
  <c r="C4682" i="3"/>
  <c r="D4682" i="3"/>
  <c r="B4682" i="3"/>
  <c r="E4682" i="3"/>
  <c r="A4683" i="3"/>
  <c r="C4683" i="3"/>
  <c r="D4683" i="3"/>
  <c r="B4683" i="3"/>
  <c r="E4683" i="3"/>
  <c r="A4684" i="3"/>
  <c r="C4684" i="3"/>
  <c r="D4684" i="3"/>
  <c r="B4684" i="3"/>
  <c r="E4684" i="3"/>
  <c r="A4685" i="3"/>
  <c r="C4685" i="3"/>
  <c r="D4685" i="3"/>
  <c r="B4685" i="3"/>
  <c r="E4685" i="3"/>
  <c r="A4686" i="3"/>
  <c r="C4686" i="3"/>
  <c r="D4686" i="3"/>
  <c r="B4686" i="3"/>
  <c r="E4686" i="3"/>
  <c r="A4687" i="3"/>
  <c r="C4687" i="3"/>
  <c r="D4687" i="3"/>
  <c r="B4687" i="3"/>
  <c r="E4687" i="3"/>
  <c r="A4688" i="3"/>
  <c r="C4688" i="3"/>
  <c r="D4688" i="3"/>
  <c r="B4688" i="3"/>
  <c r="E4688" i="3"/>
  <c r="A4689" i="3"/>
  <c r="C4689" i="3"/>
  <c r="D4689" i="3"/>
  <c r="B4689" i="3"/>
  <c r="E4689" i="3"/>
  <c r="A4690" i="3"/>
  <c r="C4690" i="3"/>
  <c r="D4690" i="3"/>
  <c r="B4690" i="3"/>
  <c r="E4690" i="3"/>
  <c r="A4691" i="3"/>
  <c r="C4691" i="3"/>
  <c r="D4691" i="3"/>
  <c r="B4691" i="3"/>
  <c r="E4691" i="3"/>
  <c r="A4692" i="3"/>
  <c r="C4692" i="3"/>
  <c r="D4692" i="3"/>
  <c r="B4692" i="3"/>
  <c r="E4692" i="3"/>
  <c r="A4693" i="3"/>
  <c r="C4693" i="3"/>
  <c r="D4693" i="3"/>
  <c r="B4693" i="3"/>
  <c r="E4693" i="3"/>
  <c r="A4694" i="3"/>
  <c r="C4694" i="3"/>
  <c r="D4694" i="3"/>
  <c r="B4694" i="3"/>
  <c r="E4694" i="3"/>
  <c r="A4695" i="3"/>
  <c r="C4695" i="3"/>
  <c r="D4695" i="3"/>
  <c r="B4695" i="3"/>
  <c r="E4695" i="3"/>
  <c r="A4696" i="3"/>
  <c r="C4696" i="3"/>
  <c r="D4696" i="3"/>
  <c r="B4696" i="3"/>
  <c r="E4696" i="3"/>
  <c r="A4697" i="3"/>
  <c r="C4697" i="3"/>
  <c r="D4697" i="3"/>
  <c r="B4697" i="3"/>
  <c r="E4697" i="3"/>
  <c r="A4698" i="3"/>
  <c r="C4698" i="3"/>
  <c r="D4698" i="3"/>
  <c r="B4698" i="3"/>
  <c r="E4698" i="3"/>
  <c r="A4699" i="3"/>
  <c r="C4699" i="3"/>
  <c r="D4699" i="3"/>
  <c r="B4699" i="3"/>
  <c r="E4699" i="3"/>
  <c r="A4700" i="3"/>
  <c r="C4700" i="3"/>
  <c r="D4700" i="3"/>
  <c r="B4700" i="3"/>
  <c r="E4700" i="3"/>
  <c r="A4701" i="3"/>
  <c r="C4701" i="3"/>
  <c r="D4701" i="3"/>
  <c r="B4701" i="3"/>
  <c r="E4701" i="3"/>
  <c r="A4702" i="3"/>
  <c r="C4702" i="3"/>
  <c r="D4702" i="3"/>
  <c r="B4702" i="3"/>
  <c r="E4702" i="3"/>
  <c r="A4703" i="3"/>
  <c r="C4703" i="3"/>
  <c r="D4703" i="3"/>
  <c r="B4703" i="3"/>
  <c r="E4703" i="3"/>
  <c r="A4704" i="3"/>
  <c r="C4704" i="3"/>
  <c r="D4704" i="3"/>
  <c r="B4704" i="3"/>
  <c r="E4704" i="3"/>
  <c r="A4705" i="3"/>
  <c r="C4705" i="3"/>
  <c r="D4705" i="3"/>
  <c r="B4705" i="3"/>
  <c r="E4705" i="3"/>
  <c r="A4706" i="3"/>
  <c r="C4706" i="3"/>
  <c r="D4706" i="3"/>
  <c r="B4706" i="3"/>
  <c r="E4706" i="3"/>
  <c r="A4707" i="3"/>
  <c r="C4707" i="3"/>
  <c r="D4707" i="3"/>
  <c r="B4707" i="3"/>
  <c r="E4707" i="3"/>
  <c r="A4708" i="3"/>
  <c r="C4708" i="3"/>
  <c r="D4708" i="3"/>
  <c r="B4708" i="3"/>
  <c r="E4708" i="3"/>
  <c r="A4709" i="3"/>
  <c r="C4709" i="3"/>
  <c r="D4709" i="3"/>
  <c r="B4709" i="3"/>
  <c r="E4709" i="3"/>
  <c r="A4710" i="3"/>
  <c r="C4710" i="3"/>
  <c r="D4710" i="3"/>
  <c r="B4710" i="3"/>
  <c r="E4710" i="3"/>
  <c r="A4711" i="3"/>
  <c r="C4711" i="3"/>
  <c r="D4711" i="3"/>
  <c r="B4711" i="3"/>
  <c r="E4711" i="3"/>
  <c r="A4712" i="3"/>
  <c r="C4712" i="3"/>
  <c r="D4712" i="3"/>
  <c r="B4712" i="3"/>
  <c r="E4712" i="3"/>
  <c r="A4713" i="3"/>
  <c r="C4713" i="3"/>
  <c r="D4713" i="3"/>
  <c r="B4713" i="3"/>
  <c r="E4713" i="3"/>
  <c r="A4714" i="3"/>
  <c r="C4714" i="3"/>
  <c r="D4714" i="3"/>
  <c r="B4714" i="3"/>
  <c r="E4714" i="3"/>
  <c r="A4715" i="3"/>
  <c r="C4715" i="3"/>
  <c r="D4715" i="3"/>
  <c r="B4715" i="3"/>
  <c r="E4715" i="3"/>
  <c r="A4716" i="3"/>
  <c r="C4716" i="3"/>
  <c r="D4716" i="3"/>
  <c r="B4716" i="3"/>
  <c r="E4716" i="3"/>
  <c r="A4717" i="3"/>
  <c r="C4717" i="3"/>
  <c r="D4717" i="3"/>
  <c r="B4717" i="3"/>
  <c r="E4717" i="3"/>
  <c r="A4718" i="3"/>
  <c r="C4718" i="3"/>
  <c r="D4718" i="3"/>
  <c r="B4718" i="3"/>
  <c r="E4718" i="3"/>
  <c r="A4719" i="3"/>
  <c r="C4719" i="3"/>
  <c r="D4719" i="3"/>
  <c r="B4719" i="3"/>
  <c r="E4719" i="3"/>
  <c r="A4720" i="3"/>
  <c r="C4720" i="3"/>
  <c r="D4720" i="3"/>
  <c r="B4720" i="3"/>
  <c r="E4720" i="3"/>
  <c r="A4721" i="3"/>
  <c r="C4721" i="3"/>
  <c r="D4721" i="3"/>
  <c r="B4721" i="3"/>
  <c r="E4721" i="3"/>
  <c r="A4722" i="3"/>
  <c r="C4722" i="3"/>
  <c r="D4722" i="3"/>
  <c r="B4722" i="3"/>
  <c r="E4722" i="3"/>
  <c r="A4723" i="3"/>
  <c r="C4723" i="3"/>
  <c r="D4723" i="3"/>
  <c r="B4723" i="3"/>
  <c r="E4723" i="3"/>
  <c r="A4724" i="3"/>
  <c r="C4724" i="3"/>
  <c r="D4724" i="3"/>
  <c r="B4724" i="3"/>
  <c r="E4724" i="3"/>
  <c r="A4725" i="3"/>
  <c r="C4725" i="3"/>
  <c r="D4725" i="3"/>
  <c r="B4725" i="3"/>
  <c r="E4725" i="3"/>
  <c r="A4726" i="3"/>
  <c r="C4726" i="3"/>
  <c r="D4726" i="3"/>
  <c r="B4726" i="3"/>
  <c r="E4726" i="3"/>
  <c r="A4727" i="3"/>
  <c r="C4727" i="3"/>
  <c r="D4727" i="3"/>
  <c r="B4727" i="3"/>
  <c r="E4727" i="3"/>
  <c r="A4728" i="3"/>
  <c r="C4728" i="3"/>
  <c r="D4728" i="3"/>
  <c r="B4728" i="3"/>
  <c r="E4728" i="3"/>
  <c r="A4729" i="3"/>
  <c r="C4729" i="3"/>
  <c r="D4729" i="3"/>
  <c r="B4729" i="3"/>
  <c r="E4729" i="3"/>
  <c r="A4730" i="3"/>
  <c r="C4730" i="3"/>
  <c r="D4730" i="3"/>
  <c r="B4730" i="3"/>
  <c r="E4730" i="3"/>
  <c r="A4731" i="3"/>
  <c r="C4731" i="3"/>
  <c r="D4731" i="3"/>
  <c r="B4731" i="3"/>
  <c r="E4731" i="3"/>
  <c r="A4732" i="3"/>
  <c r="C4732" i="3"/>
  <c r="D4732" i="3"/>
  <c r="B4732" i="3"/>
  <c r="E4732" i="3"/>
  <c r="A4733" i="3"/>
  <c r="C4733" i="3"/>
  <c r="D4733" i="3"/>
  <c r="B4733" i="3"/>
  <c r="E4733" i="3"/>
  <c r="A4734" i="3"/>
  <c r="C4734" i="3"/>
  <c r="D4734" i="3"/>
  <c r="B4734" i="3"/>
  <c r="E4734" i="3"/>
  <c r="A4735" i="3"/>
  <c r="C4735" i="3"/>
  <c r="D4735" i="3"/>
  <c r="B4735" i="3"/>
  <c r="E4735" i="3"/>
  <c r="A4736" i="3"/>
  <c r="C4736" i="3"/>
  <c r="D4736" i="3"/>
  <c r="B4736" i="3"/>
  <c r="E4736" i="3"/>
  <c r="A4737" i="3"/>
  <c r="C4737" i="3"/>
  <c r="D4737" i="3"/>
  <c r="B4737" i="3"/>
  <c r="E4737" i="3"/>
  <c r="A4738" i="3"/>
  <c r="C4738" i="3"/>
  <c r="D4738" i="3"/>
  <c r="B4738" i="3"/>
  <c r="E4738" i="3"/>
  <c r="A4739" i="3"/>
  <c r="C4739" i="3"/>
  <c r="D4739" i="3"/>
  <c r="B4739" i="3"/>
  <c r="E4739" i="3"/>
  <c r="A4740" i="3"/>
  <c r="C4740" i="3"/>
  <c r="D4740" i="3"/>
  <c r="B4740" i="3"/>
  <c r="E4740" i="3"/>
  <c r="A4741" i="3"/>
  <c r="C4741" i="3"/>
  <c r="D4741" i="3"/>
  <c r="B4741" i="3"/>
  <c r="E4741" i="3"/>
  <c r="A4742" i="3"/>
  <c r="C4742" i="3"/>
  <c r="D4742" i="3"/>
  <c r="B4742" i="3"/>
  <c r="E4742" i="3"/>
  <c r="A4743" i="3"/>
  <c r="C4743" i="3"/>
  <c r="D4743" i="3"/>
  <c r="B4743" i="3"/>
  <c r="E4743" i="3"/>
  <c r="A4744" i="3"/>
  <c r="C4744" i="3"/>
  <c r="D4744" i="3"/>
  <c r="B4744" i="3"/>
  <c r="E4744" i="3"/>
  <c r="A4745" i="3"/>
  <c r="C4745" i="3"/>
  <c r="D4745" i="3"/>
  <c r="B4745" i="3"/>
  <c r="E4745" i="3"/>
  <c r="A4746" i="3"/>
  <c r="C4746" i="3"/>
  <c r="D4746" i="3"/>
  <c r="B4746" i="3"/>
  <c r="E4746" i="3"/>
  <c r="A4747" i="3"/>
  <c r="C4747" i="3"/>
  <c r="D4747" i="3"/>
  <c r="B4747" i="3"/>
  <c r="E4747" i="3"/>
  <c r="A4748" i="3"/>
  <c r="C4748" i="3"/>
  <c r="D4748" i="3"/>
  <c r="B4748" i="3"/>
  <c r="E4748" i="3"/>
  <c r="A4749" i="3"/>
  <c r="C4749" i="3"/>
  <c r="D4749" i="3"/>
  <c r="B4749" i="3"/>
  <c r="E4749" i="3"/>
  <c r="A4750" i="3"/>
  <c r="C4750" i="3"/>
  <c r="D4750" i="3"/>
  <c r="B4750" i="3"/>
  <c r="E4750" i="3"/>
  <c r="A4751" i="3"/>
  <c r="C4751" i="3"/>
  <c r="D4751" i="3"/>
  <c r="B4751" i="3"/>
  <c r="E4751" i="3"/>
  <c r="A4752" i="3"/>
  <c r="C4752" i="3"/>
  <c r="D4752" i="3"/>
  <c r="B4752" i="3"/>
  <c r="E4752" i="3"/>
  <c r="A4753" i="3"/>
  <c r="C4753" i="3"/>
  <c r="D4753" i="3"/>
  <c r="B4753" i="3"/>
  <c r="E4753" i="3"/>
  <c r="A4754" i="3"/>
  <c r="C4754" i="3"/>
  <c r="D4754" i="3"/>
  <c r="B4754" i="3"/>
  <c r="E4754" i="3"/>
  <c r="A4755" i="3"/>
  <c r="C4755" i="3"/>
  <c r="D4755" i="3"/>
  <c r="B4755" i="3"/>
  <c r="E4755" i="3"/>
  <c r="A4756" i="3"/>
  <c r="C4756" i="3"/>
  <c r="D4756" i="3"/>
  <c r="B4756" i="3"/>
  <c r="E4756" i="3"/>
  <c r="A4757" i="3"/>
  <c r="C4757" i="3"/>
  <c r="D4757" i="3"/>
  <c r="B4757" i="3"/>
  <c r="E4757" i="3"/>
  <c r="A4758" i="3"/>
  <c r="C4758" i="3"/>
  <c r="D4758" i="3"/>
  <c r="B4758" i="3"/>
  <c r="E4758" i="3"/>
  <c r="A4759" i="3"/>
  <c r="C4759" i="3"/>
  <c r="D4759" i="3"/>
  <c r="B4759" i="3"/>
  <c r="E4759" i="3"/>
  <c r="A4760" i="3"/>
  <c r="C4760" i="3"/>
  <c r="D4760" i="3"/>
  <c r="B4760" i="3"/>
  <c r="E4760" i="3"/>
  <c r="A4761" i="3"/>
  <c r="C4761" i="3"/>
  <c r="D4761" i="3"/>
  <c r="B4761" i="3"/>
  <c r="E4761" i="3"/>
  <c r="A4762" i="3"/>
  <c r="C4762" i="3"/>
  <c r="D4762" i="3"/>
  <c r="B4762" i="3"/>
  <c r="E4762" i="3"/>
  <c r="A4763" i="3"/>
  <c r="C4763" i="3"/>
  <c r="D4763" i="3"/>
  <c r="B4763" i="3"/>
  <c r="E4763" i="3"/>
  <c r="A4764" i="3"/>
  <c r="C4764" i="3"/>
  <c r="D4764" i="3"/>
  <c r="B4764" i="3"/>
  <c r="E4764" i="3"/>
  <c r="A4765" i="3"/>
  <c r="C4765" i="3"/>
  <c r="D4765" i="3"/>
  <c r="B4765" i="3"/>
  <c r="E4765" i="3"/>
  <c r="A4766" i="3"/>
  <c r="C4766" i="3"/>
  <c r="D4766" i="3"/>
  <c r="B4766" i="3"/>
  <c r="E4766" i="3"/>
  <c r="A4767" i="3"/>
  <c r="C4767" i="3"/>
  <c r="D4767" i="3"/>
  <c r="B4767" i="3"/>
  <c r="E4767" i="3"/>
  <c r="A4768" i="3"/>
  <c r="C4768" i="3"/>
  <c r="D4768" i="3"/>
  <c r="B4768" i="3"/>
  <c r="E4768" i="3"/>
  <c r="A4769" i="3"/>
  <c r="C4769" i="3"/>
  <c r="D4769" i="3"/>
  <c r="B4769" i="3"/>
  <c r="E4769" i="3"/>
  <c r="A4770" i="3"/>
  <c r="C4770" i="3"/>
  <c r="D4770" i="3"/>
  <c r="B4770" i="3"/>
  <c r="E4770" i="3"/>
  <c r="A4771" i="3"/>
  <c r="C4771" i="3"/>
  <c r="D4771" i="3"/>
  <c r="B4771" i="3"/>
  <c r="E4771" i="3"/>
  <c r="A4772" i="3"/>
  <c r="C4772" i="3"/>
  <c r="D4772" i="3"/>
  <c r="B4772" i="3"/>
  <c r="E4772" i="3"/>
  <c r="A4773" i="3"/>
  <c r="C4773" i="3"/>
  <c r="D4773" i="3"/>
  <c r="B4773" i="3"/>
  <c r="E4773" i="3"/>
  <c r="A4774" i="3"/>
  <c r="C4774" i="3"/>
  <c r="D4774" i="3"/>
  <c r="B4774" i="3"/>
  <c r="E4774" i="3"/>
  <c r="A4775" i="3"/>
  <c r="C4775" i="3"/>
  <c r="D4775" i="3"/>
  <c r="B4775" i="3"/>
  <c r="E4775" i="3"/>
  <c r="A4776" i="3"/>
  <c r="C4776" i="3"/>
  <c r="D4776" i="3"/>
  <c r="B4776" i="3"/>
  <c r="E4776" i="3"/>
  <c r="A4777" i="3"/>
  <c r="C4777" i="3"/>
  <c r="D4777" i="3"/>
  <c r="B4777" i="3"/>
  <c r="E4777" i="3"/>
  <c r="A4778" i="3"/>
  <c r="C4778" i="3"/>
  <c r="D4778" i="3"/>
  <c r="B4778" i="3"/>
  <c r="E4778" i="3"/>
  <c r="A4779" i="3"/>
  <c r="C4779" i="3"/>
  <c r="D4779" i="3"/>
  <c r="B4779" i="3"/>
  <c r="E4779" i="3"/>
  <c r="A4780" i="3"/>
  <c r="C4780" i="3"/>
  <c r="D4780" i="3"/>
  <c r="B4780" i="3"/>
  <c r="E4780" i="3"/>
  <c r="A4781" i="3"/>
  <c r="C4781" i="3"/>
  <c r="D4781" i="3"/>
  <c r="B4781" i="3"/>
  <c r="E4781" i="3"/>
  <c r="A4782" i="3"/>
  <c r="C4782" i="3"/>
  <c r="D4782" i="3"/>
  <c r="B4782" i="3"/>
  <c r="E4782" i="3"/>
  <c r="A4783" i="3"/>
  <c r="C4783" i="3"/>
  <c r="D4783" i="3"/>
  <c r="B4783" i="3"/>
  <c r="E4783" i="3"/>
  <c r="A4784" i="3"/>
  <c r="C4784" i="3"/>
  <c r="D4784" i="3"/>
  <c r="B4784" i="3"/>
  <c r="E4784" i="3"/>
  <c r="A4785" i="3"/>
  <c r="C4785" i="3"/>
  <c r="D4785" i="3"/>
  <c r="B4785" i="3"/>
  <c r="E4785" i="3"/>
  <c r="A4786" i="3"/>
  <c r="C4786" i="3"/>
  <c r="D4786" i="3"/>
  <c r="B4786" i="3"/>
  <c r="E4786" i="3"/>
  <c r="A4787" i="3"/>
  <c r="C4787" i="3"/>
  <c r="D4787" i="3"/>
  <c r="B4787" i="3"/>
  <c r="E4787" i="3"/>
  <c r="A4788" i="3"/>
  <c r="C4788" i="3"/>
  <c r="D4788" i="3"/>
  <c r="B4788" i="3"/>
  <c r="E4788" i="3"/>
  <c r="A4789" i="3"/>
  <c r="C4789" i="3"/>
  <c r="D4789" i="3"/>
  <c r="B4789" i="3"/>
  <c r="E4789" i="3"/>
  <c r="A4790" i="3"/>
  <c r="C4790" i="3"/>
  <c r="D4790" i="3"/>
  <c r="B4790" i="3"/>
  <c r="E4790" i="3"/>
  <c r="A4791" i="3"/>
  <c r="C4791" i="3"/>
  <c r="D4791" i="3"/>
  <c r="B4791" i="3"/>
  <c r="E4791" i="3"/>
  <c r="A4792" i="3"/>
  <c r="C4792" i="3"/>
  <c r="D4792" i="3"/>
  <c r="B4792" i="3"/>
  <c r="E4792" i="3"/>
  <c r="A4793" i="3"/>
  <c r="C4793" i="3"/>
  <c r="D4793" i="3"/>
  <c r="B4793" i="3"/>
  <c r="E4793" i="3"/>
  <c r="A4794" i="3"/>
  <c r="C4794" i="3"/>
  <c r="D4794" i="3"/>
  <c r="B4794" i="3"/>
  <c r="E4794" i="3"/>
  <c r="A4795" i="3"/>
  <c r="C4795" i="3"/>
  <c r="D4795" i="3"/>
  <c r="B4795" i="3"/>
  <c r="E4795" i="3"/>
  <c r="A4796" i="3"/>
  <c r="C4796" i="3"/>
  <c r="D4796" i="3"/>
  <c r="B4796" i="3"/>
  <c r="E4796" i="3"/>
  <c r="A4797" i="3"/>
  <c r="C4797" i="3"/>
  <c r="D4797" i="3"/>
  <c r="B4797" i="3"/>
  <c r="E4797" i="3"/>
  <c r="A4798" i="3"/>
  <c r="C4798" i="3"/>
  <c r="D4798" i="3"/>
  <c r="B4798" i="3"/>
  <c r="E4798" i="3"/>
  <c r="A4799" i="3"/>
  <c r="C4799" i="3"/>
  <c r="D4799" i="3"/>
  <c r="B4799" i="3"/>
  <c r="E4799" i="3"/>
  <c r="A4800" i="3"/>
  <c r="C4800" i="3"/>
  <c r="D4800" i="3"/>
  <c r="B4800" i="3"/>
  <c r="E4800" i="3"/>
  <c r="A4801" i="3"/>
  <c r="C4801" i="3"/>
  <c r="D4801" i="3"/>
  <c r="B4801" i="3"/>
  <c r="E4801" i="3"/>
  <c r="A4802" i="3"/>
  <c r="C4802" i="3"/>
  <c r="D4802" i="3"/>
  <c r="B4802" i="3"/>
  <c r="E4802" i="3"/>
  <c r="A4803" i="3"/>
  <c r="C4803" i="3"/>
  <c r="D4803" i="3"/>
  <c r="B4803" i="3"/>
  <c r="E4803" i="3"/>
  <c r="A4804" i="3"/>
  <c r="C4804" i="3"/>
  <c r="D4804" i="3"/>
  <c r="B4804" i="3"/>
  <c r="E4804" i="3"/>
  <c r="A4805" i="3"/>
  <c r="C4805" i="3"/>
  <c r="D4805" i="3"/>
  <c r="B4805" i="3"/>
  <c r="E4805" i="3"/>
  <c r="A4806" i="3"/>
  <c r="C4806" i="3"/>
  <c r="D4806" i="3"/>
  <c r="B4806" i="3"/>
  <c r="E4806" i="3"/>
  <c r="A4807" i="3"/>
  <c r="C4807" i="3"/>
  <c r="D4807" i="3"/>
  <c r="B4807" i="3"/>
  <c r="E4807" i="3"/>
  <c r="A4808" i="3"/>
  <c r="C4808" i="3"/>
  <c r="D4808" i="3"/>
  <c r="B4808" i="3"/>
  <c r="E4808" i="3"/>
  <c r="A4809" i="3"/>
  <c r="C4809" i="3"/>
  <c r="D4809" i="3"/>
  <c r="B4809" i="3"/>
  <c r="E4809" i="3"/>
  <c r="A4810" i="3"/>
  <c r="C4810" i="3"/>
  <c r="D4810" i="3"/>
  <c r="B4810" i="3"/>
  <c r="E4810" i="3"/>
  <c r="A4811" i="3"/>
  <c r="C4811" i="3"/>
  <c r="D4811" i="3"/>
  <c r="B4811" i="3"/>
  <c r="E4811" i="3"/>
  <c r="A4812" i="3"/>
  <c r="C4812" i="3"/>
  <c r="D4812" i="3"/>
  <c r="B4812" i="3"/>
  <c r="E4812" i="3"/>
  <c r="A4813" i="3"/>
  <c r="C4813" i="3"/>
  <c r="D4813" i="3"/>
  <c r="B4813" i="3"/>
  <c r="E4813" i="3"/>
  <c r="A4814" i="3"/>
  <c r="C4814" i="3"/>
  <c r="D4814" i="3"/>
  <c r="B4814" i="3"/>
  <c r="E4814" i="3"/>
  <c r="A4815" i="3"/>
  <c r="C4815" i="3"/>
  <c r="D4815" i="3"/>
  <c r="B4815" i="3"/>
  <c r="E4815" i="3"/>
  <c r="A4816" i="3"/>
  <c r="C4816" i="3"/>
  <c r="D4816" i="3"/>
  <c r="B4816" i="3"/>
  <c r="E4816" i="3"/>
  <c r="A4817" i="3"/>
  <c r="C4817" i="3"/>
  <c r="D4817" i="3"/>
  <c r="B4817" i="3"/>
  <c r="E4817" i="3"/>
  <c r="A4818" i="3"/>
  <c r="C4818" i="3"/>
  <c r="D4818" i="3"/>
  <c r="B4818" i="3"/>
  <c r="E4818" i="3"/>
  <c r="A4819" i="3"/>
  <c r="C4819" i="3"/>
  <c r="D4819" i="3"/>
  <c r="B4819" i="3"/>
  <c r="E4819" i="3"/>
  <c r="A4820" i="3"/>
  <c r="C4820" i="3"/>
  <c r="D4820" i="3"/>
  <c r="B4820" i="3"/>
  <c r="E4820" i="3"/>
  <c r="A4821" i="3"/>
  <c r="C4821" i="3"/>
  <c r="D4821" i="3"/>
  <c r="B4821" i="3"/>
  <c r="E4821" i="3"/>
  <c r="A4822" i="3"/>
  <c r="C4822" i="3"/>
  <c r="D4822" i="3"/>
  <c r="B4822" i="3"/>
  <c r="E4822" i="3"/>
  <c r="A4823" i="3"/>
  <c r="C4823" i="3"/>
  <c r="D4823" i="3"/>
  <c r="B4823" i="3"/>
  <c r="E4823" i="3"/>
  <c r="A4824" i="3"/>
  <c r="C4824" i="3"/>
  <c r="D4824" i="3"/>
  <c r="B4824" i="3"/>
  <c r="E4824" i="3"/>
  <c r="A4825" i="3"/>
  <c r="C4825" i="3"/>
  <c r="D4825" i="3"/>
  <c r="B4825" i="3"/>
  <c r="E4825" i="3"/>
  <c r="A4826" i="3"/>
  <c r="C4826" i="3"/>
  <c r="D4826" i="3"/>
  <c r="B4826" i="3"/>
  <c r="E4826" i="3"/>
  <c r="A4827" i="3"/>
  <c r="C4827" i="3"/>
  <c r="D4827" i="3"/>
  <c r="B4827" i="3"/>
  <c r="E4827" i="3"/>
  <c r="A4828" i="3"/>
  <c r="C4828" i="3"/>
  <c r="D4828" i="3"/>
  <c r="B4828" i="3"/>
  <c r="E4828" i="3"/>
  <c r="A4829" i="3"/>
  <c r="C4829" i="3"/>
  <c r="D4829" i="3"/>
  <c r="B4829" i="3"/>
  <c r="E4829" i="3"/>
  <c r="A4830" i="3"/>
  <c r="C4830" i="3"/>
  <c r="D4830" i="3"/>
  <c r="B4830" i="3"/>
  <c r="E4830" i="3"/>
  <c r="A4831" i="3"/>
  <c r="C4831" i="3"/>
  <c r="D4831" i="3"/>
  <c r="B4831" i="3"/>
  <c r="E4831" i="3"/>
  <c r="A4832" i="3"/>
  <c r="C4832" i="3"/>
  <c r="D4832" i="3"/>
  <c r="B4832" i="3"/>
  <c r="E4832" i="3"/>
  <c r="A4833" i="3"/>
  <c r="C4833" i="3"/>
  <c r="D4833" i="3"/>
  <c r="B4833" i="3"/>
  <c r="E4833" i="3"/>
  <c r="A4834" i="3"/>
  <c r="C4834" i="3"/>
  <c r="D4834" i="3"/>
  <c r="B4834" i="3"/>
  <c r="E4834" i="3"/>
  <c r="A4835" i="3"/>
  <c r="C4835" i="3"/>
  <c r="D4835" i="3"/>
  <c r="B4835" i="3"/>
  <c r="E4835" i="3"/>
  <c r="A4836" i="3"/>
  <c r="C4836" i="3"/>
  <c r="D4836" i="3"/>
  <c r="B4836" i="3"/>
  <c r="E4836" i="3"/>
  <c r="A4837" i="3"/>
  <c r="C4837" i="3"/>
  <c r="D4837" i="3"/>
  <c r="B4837" i="3"/>
  <c r="E4837" i="3"/>
  <c r="A4838" i="3"/>
  <c r="C4838" i="3"/>
  <c r="D4838" i="3"/>
  <c r="B4838" i="3"/>
  <c r="E4838" i="3"/>
  <c r="A4839" i="3"/>
  <c r="C4839" i="3"/>
  <c r="D4839" i="3"/>
  <c r="B4839" i="3"/>
  <c r="E4839" i="3"/>
  <c r="A4840" i="3"/>
  <c r="C4840" i="3"/>
  <c r="D4840" i="3"/>
  <c r="B4840" i="3"/>
  <c r="E4840" i="3"/>
  <c r="A4841" i="3"/>
  <c r="C4841" i="3"/>
  <c r="D4841" i="3"/>
  <c r="B4841" i="3"/>
  <c r="E4841" i="3"/>
  <c r="A4842" i="3"/>
  <c r="C4842" i="3"/>
  <c r="D4842" i="3"/>
  <c r="B4842" i="3"/>
  <c r="E4842" i="3"/>
  <c r="A4843" i="3"/>
  <c r="C4843" i="3"/>
  <c r="D4843" i="3"/>
  <c r="B4843" i="3"/>
  <c r="E4843" i="3"/>
  <c r="A4844" i="3"/>
  <c r="C4844" i="3"/>
  <c r="D4844" i="3"/>
  <c r="B4844" i="3"/>
  <c r="E4844" i="3"/>
  <c r="A4845" i="3"/>
  <c r="C4845" i="3"/>
  <c r="D4845" i="3"/>
  <c r="B4845" i="3"/>
  <c r="E4845" i="3"/>
  <c r="A4846" i="3"/>
  <c r="C4846" i="3"/>
  <c r="D4846" i="3"/>
  <c r="B4846" i="3"/>
  <c r="E4846" i="3"/>
  <c r="A4847" i="3"/>
  <c r="C4847" i="3"/>
  <c r="D4847" i="3"/>
  <c r="B4847" i="3"/>
  <c r="E4847" i="3"/>
  <c r="A4848" i="3"/>
  <c r="C4848" i="3"/>
  <c r="D4848" i="3"/>
  <c r="B4848" i="3"/>
  <c r="E4848" i="3"/>
  <c r="A4849" i="3"/>
  <c r="C4849" i="3"/>
  <c r="D4849" i="3"/>
  <c r="B4849" i="3"/>
  <c r="E4849" i="3"/>
  <c r="A4850" i="3"/>
  <c r="C4850" i="3"/>
  <c r="D4850" i="3"/>
  <c r="B4850" i="3"/>
  <c r="E4850" i="3"/>
  <c r="A4851" i="3"/>
  <c r="C4851" i="3"/>
  <c r="D4851" i="3"/>
  <c r="B4851" i="3"/>
  <c r="E4851" i="3"/>
  <c r="A4852" i="3"/>
  <c r="C4852" i="3"/>
  <c r="D4852" i="3"/>
  <c r="B4852" i="3"/>
  <c r="E4852" i="3"/>
  <c r="A4853" i="3"/>
  <c r="C4853" i="3"/>
  <c r="D4853" i="3"/>
  <c r="B4853" i="3"/>
  <c r="E4853" i="3"/>
  <c r="A4854" i="3"/>
  <c r="C4854" i="3"/>
  <c r="D4854" i="3"/>
  <c r="B4854" i="3"/>
  <c r="E4854" i="3"/>
  <c r="A4855" i="3"/>
  <c r="C4855" i="3"/>
  <c r="D4855" i="3"/>
  <c r="B4855" i="3"/>
  <c r="E4855" i="3"/>
  <c r="A4856" i="3"/>
  <c r="C4856" i="3"/>
  <c r="D4856" i="3"/>
  <c r="B4856" i="3"/>
  <c r="E4856" i="3"/>
  <c r="A4857" i="3"/>
  <c r="C4857" i="3"/>
  <c r="D4857" i="3"/>
  <c r="B4857" i="3"/>
  <c r="E4857" i="3"/>
  <c r="A4858" i="3"/>
  <c r="C4858" i="3"/>
  <c r="D4858" i="3"/>
  <c r="B4858" i="3"/>
  <c r="E4858" i="3"/>
  <c r="A4859" i="3"/>
  <c r="C4859" i="3"/>
  <c r="D4859" i="3"/>
  <c r="B4859" i="3"/>
  <c r="E4859" i="3"/>
  <c r="A4860" i="3"/>
  <c r="C4860" i="3"/>
  <c r="D4860" i="3"/>
  <c r="B4860" i="3"/>
  <c r="E4860" i="3"/>
  <c r="A4861" i="3"/>
  <c r="C4861" i="3"/>
  <c r="D4861" i="3"/>
  <c r="B4861" i="3"/>
  <c r="E4861" i="3"/>
  <c r="A4862" i="3"/>
  <c r="C4862" i="3"/>
  <c r="D4862" i="3"/>
  <c r="B4862" i="3"/>
  <c r="E4862" i="3"/>
  <c r="A4863" i="3"/>
  <c r="C4863" i="3"/>
  <c r="D4863" i="3"/>
  <c r="B4863" i="3"/>
  <c r="E4863" i="3"/>
  <c r="A4864" i="3"/>
  <c r="C4864" i="3"/>
  <c r="D4864" i="3"/>
  <c r="B4864" i="3"/>
  <c r="E4864" i="3"/>
  <c r="A4865" i="3"/>
  <c r="C4865" i="3"/>
  <c r="D4865" i="3"/>
  <c r="B4865" i="3"/>
  <c r="E4865" i="3"/>
  <c r="A4866" i="3"/>
  <c r="C4866" i="3"/>
  <c r="D4866" i="3"/>
  <c r="B4866" i="3"/>
  <c r="E4866" i="3"/>
  <c r="A4867" i="3"/>
  <c r="C4867" i="3"/>
  <c r="D4867" i="3"/>
  <c r="B4867" i="3"/>
  <c r="E4867" i="3"/>
  <c r="A4868" i="3"/>
  <c r="C4868" i="3"/>
  <c r="D4868" i="3"/>
  <c r="B4868" i="3"/>
  <c r="E4868" i="3"/>
  <c r="A4869" i="3"/>
  <c r="C4869" i="3"/>
  <c r="D4869" i="3"/>
  <c r="B4869" i="3"/>
  <c r="E4869" i="3"/>
  <c r="A4870" i="3"/>
  <c r="C4870" i="3"/>
  <c r="D4870" i="3"/>
  <c r="B4870" i="3"/>
  <c r="E4870" i="3"/>
  <c r="A4871" i="3"/>
  <c r="C4871" i="3"/>
  <c r="D4871" i="3"/>
  <c r="B4871" i="3"/>
  <c r="E4871" i="3"/>
  <c r="A4872" i="3"/>
  <c r="C4872" i="3"/>
  <c r="D4872" i="3"/>
  <c r="B4872" i="3"/>
  <c r="E4872" i="3"/>
  <c r="A4873" i="3"/>
  <c r="C4873" i="3"/>
  <c r="D4873" i="3"/>
  <c r="B4873" i="3"/>
  <c r="E4873" i="3"/>
  <c r="A4874" i="3"/>
  <c r="C4874" i="3"/>
  <c r="D4874" i="3"/>
  <c r="B4874" i="3"/>
  <c r="E4874" i="3"/>
  <c r="A4875" i="3"/>
  <c r="C4875" i="3"/>
  <c r="D4875" i="3"/>
  <c r="B4875" i="3"/>
  <c r="E4875" i="3"/>
  <c r="A4876" i="3"/>
  <c r="C4876" i="3"/>
  <c r="D4876" i="3"/>
  <c r="B4876" i="3"/>
  <c r="E4876" i="3"/>
  <c r="A4877" i="3"/>
  <c r="C4877" i="3"/>
  <c r="D4877" i="3"/>
  <c r="B4877" i="3"/>
  <c r="E4877" i="3"/>
  <c r="A4878" i="3"/>
  <c r="C4878" i="3"/>
  <c r="D4878" i="3"/>
  <c r="B4878" i="3"/>
  <c r="E4878" i="3"/>
  <c r="A4879" i="3"/>
  <c r="C4879" i="3"/>
  <c r="D4879" i="3"/>
  <c r="B4879" i="3"/>
  <c r="E4879" i="3"/>
  <c r="A4880" i="3"/>
  <c r="C4880" i="3"/>
  <c r="D4880" i="3"/>
  <c r="B4880" i="3"/>
  <c r="E4880" i="3"/>
  <c r="A4881" i="3"/>
  <c r="C4881" i="3"/>
  <c r="D4881" i="3"/>
  <c r="B4881" i="3"/>
  <c r="E4881" i="3"/>
  <c r="A4882" i="3"/>
  <c r="C4882" i="3"/>
  <c r="D4882" i="3"/>
  <c r="B4882" i="3"/>
  <c r="E4882" i="3"/>
  <c r="A4883" i="3"/>
  <c r="C4883" i="3"/>
  <c r="D4883" i="3"/>
  <c r="B4883" i="3"/>
  <c r="E4883" i="3"/>
  <c r="A4884" i="3"/>
  <c r="C4884" i="3"/>
  <c r="D4884" i="3"/>
  <c r="B4884" i="3"/>
  <c r="E4884" i="3"/>
  <c r="A4885" i="3"/>
  <c r="C4885" i="3"/>
  <c r="D4885" i="3"/>
  <c r="B4885" i="3"/>
  <c r="E4885" i="3"/>
  <c r="A4886" i="3"/>
  <c r="C4886" i="3"/>
  <c r="D4886" i="3"/>
  <c r="B4886" i="3"/>
  <c r="E4886" i="3"/>
  <c r="A4887" i="3"/>
  <c r="C4887" i="3"/>
  <c r="D4887" i="3"/>
  <c r="B4887" i="3"/>
  <c r="E4887" i="3"/>
  <c r="A4888" i="3"/>
  <c r="C4888" i="3"/>
  <c r="D4888" i="3"/>
  <c r="B4888" i="3"/>
  <c r="E4888" i="3"/>
  <c r="A4889" i="3"/>
  <c r="C4889" i="3"/>
  <c r="D4889" i="3"/>
  <c r="B4889" i="3"/>
  <c r="E4889" i="3"/>
  <c r="A4890" i="3"/>
  <c r="C4890" i="3"/>
  <c r="D4890" i="3"/>
  <c r="B4890" i="3"/>
  <c r="E4890" i="3"/>
  <c r="A4891" i="3"/>
  <c r="C4891" i="3"/>
  <c r="D4891" i="3"/>
  <c r="B4891" i="3"/>
  <c r="E4891" i="3"/>
  <c r="A4892" i="3"/>
  <c r="C4892" i="3"/>
  <c r="D4892" i="3"/>
  <c r="B4892" i="3"/>
  <c r="E4892" i="3"/>
  <c r="A4893" i="3"/>
  <c r="C4893" i="3"/>
  <c r="D4893" i="3"/>
  <c r="B4893" i="3"/>
  <c r="E4893" i="3"/>
  <c r="A4894" i="3"/>
  <c r="C4894" i="3"/>
  <c r="D4894" i="3"/>
  <c r="B4894" i="3"/>
  <c r="E4894" i="3"/>
  <c r="A4895" i="3"/>
  <c r="C4895" i="3"/>
  <c r="D4895" i="3"/>
  <c r="B4895" i="3"/>
  <c r="E4895" i="3"/>
  <c r="A4896" i="3"/>
  <c r="C4896" i="3"/>
  <c r="D4896" i="3"/>
  <c r="B4896" i="3"/>
  <c r="E4896" i="3"/>
  <c r="A4897" i="3"/>
  <c r="C4897" i="3"/>
  <c r="D4897" i="3"/>
  <c r="B4897" i="3"/>
  <c r="E4897" i="3"/>
  <c r="A4898" i="3"/>
  <c r="C4898" i="3"/>
  <c r="D4898" i="3"/>
  <c r="B4898" i="3"/>
  <c r="E4898" i="3"/>
  <c r="A4899" i="3"/>
  <c r="C4899" i="3"/>
  <c r="D4899" i="3"/>
  <c r="B4899" i="3"/>
  <c r="E4899" i="3"/>
  <c r="A4900" i="3"/>
  <c r="C4900" i="3"/>
  <c r="D4900" i="3"/>
  <c r="B4900" i="3"/>
  <c r="E4900" i="3"/>
  <c r="A4901" i="3"/>
  <c r="C4901" i="3"/>
  <c r="D4901" i="3"/>
  <c r="B4901" i="3"/>
  <c r="E4901" i="3"/>
  <c r="A4902" i="3"/>
  <c r="C4902" i="3"/>
  <c r="D4902" i="3"/>
  <c r="B4902" i="3"/>
  <c r="E4902" i="3"/>
  <c r="A4903" i="3"/>
  <c r="C4903" i="3"/>
  <c r="D4903" i="3"/>
  <c r="B4903" i="3"/>
  <c r="E4903" i="3"/>
  <c r="A4904" i="3"/>
  <c r="C4904" i="3"/>
  <c r="D4904" i="3"/>
  <c r="B4904" i="3"/>
  <c r="E4904" i="3"/>
  <c r="A4905" i="3"/>
  <c r="C4905" i="3"/>
  <c r="D4905" i="3"/>
  <c r="B4905" i="3"/>
  <c r="E4905" i="3"/>
  <c r="A4906" i="3"/>
  <c r="C4906" i="3"/>
  <c r="D4906" i="3"/>
  <c r="B4906" i="3"/>
  <c r="E4906" i="3"/>
  <c r="A4907" i="3"/>
  <c r="C4907" i="3"/>
  <c r="D4907" i="3"/>
  <c r="B4907" i="3"/>
  <c r="E4907" i="3"/>
  <c r="A4908" i="3"/>
  <c r="C4908" i="3"/>
  <c r="D4908" i="3"/>
  <c r="B4908" i="3"/>
  <c r="E4908" i="3"/>
  <c r="A4909" i="3"/>
  <c r="C4909" i="3"/>
  <c r="D4909" i="3"/>
  <c r="B4909" i="3"/>
  <c r="E4909" i="3"/>
  <c r="A4910" i="3"/>
  <c r="C4910" i="3"/>
  <c r="D4910" i="3"/>
  <c r="B4910" i="3"/>
  <c r="E4910" i="3"/>
  <c r="A4911" i="3"/>
  <c r="C4911" i="3"/>
  <c r="D4911" i="3"/>
  <c r="B4911" i="3"/>
  <c r="E4911" i="3"/>
  <c r="A4912" i="3"/>
  <c r="C4912" i="3"/>
  <c r="D4912" i="3"/>
  <c r="B4912" i="3"/>
  <c r="E4912" i="3"/>
  <c r="A4913" i="3"/>
  <c r="C4913" i="3"/>
  <c r="D4913" i="3"/>
  <c r="B4913" i="3"/>
  <c r="E4913" i="3"/>
  <c r="A4914" i="3"/>
  <c r="C4914" i="3"/>
  <c r="D4914" i="3"/>
  <c r="B4914" i="3"/>
  <c r="E4914" i="3"/>
  <c r="A4915" i="3"/>
  <c r="C4915" i="3"/>
  <c r="D4915" i="3"/>
  <c r="B4915" i="3"/>
  <c r="E4915" i="3"/>
  <c r="A4916" i="3"/>
  <c r="C4916" i="3"/>
  <c r="D4916" i="3"/>
  <c r="B4916" i="3"/>
  <c r="E4916" i="3"/>
  <c r="A4917" i="3"/>
  <c r="C4917" i="3"/>
  <c r="D4917" i="3"/>
  <c r="B4917" i="3"/>
  <c r="E4917" i="3"/>
  <c r="A4918" i="3"/>
  <c r="C4918" i="3"/>
  <c r="D4918" i="3"/>
  <c r="B4918" i="3"/>
  <c r="E4918" i="3"/>
  <c r="A4919" i="3"/>
  <c r="C4919" i="3"/>
  <c r="D4919" i="3"/>
  <c r="B4919" i="3"/>
  <c r="E4919" i="3"/>
  <c r="A4920" i="3"/>
  <c r="C4920" i="3"/>
  <c r="D4920" i="3"/>
  <c r="B4920" i="3"/>
  <c r="E4920" i="3"/>
  <c r="A4921" i="3"/>
  <c r="C4921" i="3"/>
  <c r="D4921" i="3"/>
  <c r="B4921" i="3"/>
  <c r="E4921" i="3"/>
  <c r="A4922" i="3"/>
  <c r="C4922" i="3"/>
  <c r="D4922" i="3"/>
  <c r="B4922" i="3"/>
  <c r="E4922" i="3"/>
  <c r="A4923" i="3"/>
  <c r="C4923" i="3"/>
  <c r="D4923" i="3"/>
  <c r="B4923" i="3"/>
  <c r="E4923" i="3"/>
  <c r="A4924" i="3"/>
  <c r="C4924" i="3"/>
  <c r="D4924" i="3"/>
  <c r="B4924" i="3"/>
  <c r="E4924" i="3"/>
  <c r="A4925" i="3"/>
  <c r="C4925" i="3"/>
  <c r="D4925" i="3"/>
  <c r="B4925" i="3"/>
  <c r="E4925" i="3"/>
  <c r="A4926" i="3"/>
  <c r="C4926" i="3"/>
  <c r="D4926" i="3"/>
  <c r="B4926" i="3"/>
  <c r="E4926" i="3"/>
  <c r="A4927" i="3"/>
  <c r="C4927" i="3"/>
  <c r="D4927" i="3"/>
  <c r="B4927" i="3"/>
  <c r="E4927" i="3"/>
  <c r="A4928" i="3"/>
  <c r="C4928" i="3"/>
  <c r="D4928" i="3"/>
  <c r="B4928" i="3"/>
  <c r="E4928" i="3"/>
  <c r="A4929" i="3"/>
  <c r="C4929" i="3"/>
  <c r="D4929" i="3"/>
  <c r="B4929" i="3"/>
  <c r="E4929" i="3"/>
  <c r="A4930" i="3"/>
  <c r="C4930" i="3"/>
  <c r="D4930" i="3"/>
  <c r="B4930" i="3"/>
  <c r="E4930" i="3"/>
  <c r="A4931" i="3"/>
  <c r="C4931" i="3"/>
  <c r="D4931" i="3"/>
  <c r="B4931" i="3"/>
  <c r="E4931" i="3"/>
  <c r="A4932" i="3"/>
  <c r="C4932" i="3"/>
  <c r="D4932" i="3"/>
  <c r="B4932" i="3"/>
  <c r="E4932" i="3"/>
  <c r="A4933" i="3"/>
  <c r="C4933" i="3"/>
  <c r="D4933" i="3"/>
  <c r="B4933" i="3"/>
  <c r="E4933" i="3"/>
  <c r="A4934" i="3"/>
  <c r="C4934" i="3"/>
  <c r="D4934" i="3"/>
  <c r="B4934" i="3"/>
  <c r="E4934" i="3"/>
  <c r="A4935" i="3"/>
  <c r="C4935" i="3"/>
  <c r="D4935" i="3"/>
  <c r="B4935" i="3"/>
  <c r="E4935" i="3"/>
  <c r="A4936" i="3"/>
  <c r="C4936" i="3"/>
  <c r="D4936" i="3"/>
  <c r="B4936" i="3"/>
  <c r="E4936" i="3"/>
  <c r="A4937" i="3"/>
  <c r="C4937" i="3"/>
  <c r="D4937" i="3"/>
  <c r="B4937" i="3"/>
  <c r="E4937" i="3"/>
  <c r="A4938" i="3"/>
  <c r="C4938" i="3"/>
  <c r="D4938" i="3"/>
  <c r="B4938" i="3"/>
  <c r="E4938" i="3"/>
  <c r="A4939" i="3"/>
  <c r="C4939" i="3"/>
  <c r="D4939" i="3"/>
  <c r="B4939" i="3"/>
  <c r="E4939" i="3"/>
  <c r="A4940" i="3"/>
  <c r="C4940" i="3"/>
  <c r="D4940" i="3"/>
  <c r="B4940" i="3"/>
  <c r="E4940" i="3"/>
  <c r="A4941" i="3"/>
  <c r="C4941" i="3"/>
  <c r="D4941" i="3"/>
  <c r="B4941" i="3"/>
  <c r="E4941" i="3"/>
  <c r="A4942" i="3"/>
  <c r="C4942" i="3"/>
  <c r="D4942" i="3"/>
  <c r="B4942" i="3"/>
  <c r="E4942" i="3"/>
  <c r="A4943" i="3"/>
  <c r="C4943" i="3"/>
  <c r="D4943" i="3"/>
  <c r="B4943" i="3"/>
  <c r="E4943" i="3"/>
  <c r="A4944" i="3"/>
  <c r="C4944" i="3"/>
  <c r="D4944" i="3"/>
  <c r="B4944" i="3"/>
  <c r="E4944" i="3"/>
  <c r="A4945" i="3"/>
  <c r="C4945" i="3"/>
  <c r="D4945" i="3"/>
  <c r="B4945" i="3"/>
  <c r="E4945" i="3"/>
  <c r="A4946" i="3"/>
  <c r="C4946" i="3"/>
  <c r="D4946" i="3"/>
  <c r="B4946" i="3"/>
  <c r="E4946" i="3"/>
  <c r="A4947" i="3"/>
  <c r="C4947" i="3"/>
  <c r="D4947" i="3"/>
  <c r="B4947" i="3"/>
  <c r="E4947" i="3"/>
  <c r="A4948" i="3"/>
  <c r="C4948" i="3"/>
  <c r="D4948" i="3"/>
  <c r="B4948" i="3"/>
  <c r="E4948" i="3"/>
  <c r="A4949" i="3"/>
  <c r="C4949" i="3"/>
  <c r="D4949" i="3"/>
  <c r="B4949" i="3"/>
  <c r="E4949" i="3"/>
  <c r="A4950" i="3"/>
  <c r="C4950" i="3"/>
  <c r="D4950" i="3"/>
  <c r="B4950" i="3"/>
  <c r="E4950" i="3"/>
  <c r="A4951" i="3"/>
  <c r="C4951" i="3"/>
  <c r="D4951" i="3"/>
  <c r="B4951" i="3"/>
  <c r="E4951" i="3"/>
  <c r="A4952" i="3"/>
  <c r="C4952" i="3"/>
  <c r="D4952" i="3"/>
  <c r="B4952" i="3"/>
  <c r="E4952" i="3"/>
  <c r="A4953" i="3"/>
  <c r="C4953" i="3"/>
  <c r="D4953" i="3"/>
  <c r="B4953" i="3"/>
  <c r="E4953" i="3"/>
  <c r="A4954" i="3"/>
  <c r="C4954" i="3"/>
  <c r="D4954" i="3"/>
  <c r="B4954" i="3"/>
  <c r="E4954" i="3"/>
  <c r="A4955" i="3"/>
  <c r="C4955" i="3"/>
  <c r="D4955" i="3"/>
  <c r="B4955" i="3"/>
  <c r="E4955" i="3"/>
  <c r="A4956" i="3"/>
  <c r="C4956" i="3"/>
  <c r="D4956" i="3"/>
  <c r="B4956" i="3"/>
  <c r="E4956" i="3"/>
  <c r="A4957" i="3"/>
  <c r="C4957" i="3"/>
  <c r="D4957" i="3"/>
  <c r="B4957" i="3"/>
  <c r="E4957" i="3"/>
  <c r="A4958" i="3"/>
  <c r="C4958" i="3"/>
  <c r="D4958" i="3"/>
  <c r="B4958" i="3"/>
  <c r="E4958" i="3"/>
  <c r="A4959" i="3"/>
  <c r="C4959" i="3"/>
  <c r="D4959" i="3"/>
  <c r="B4959" i="3"/>
  <c r="E4959" i="3"/>
  <c r="A4960" i="3"/>
  <c r="C4960" i="3"/>
  <c r="D4960" i="3"/>
  <c r="B4960" i="3"/>
  <c r="E4960" i="3"/>
  <c r="A4961" i="3"/>
  <c r="C4961" i="3"/>
  <c r="D4961" i="3"/>
  <c r="B4961" i="3"/>
  <c r="E4961" i="3"/>
  <c r="A4962" i="3"/>
  <c r="C4962" i="3"/>
  <c r="D4962" i="3"/>
  <c r="B4962" i="3"/>
  <c r="E4962" i="3"/>
  <c r="A4963" i="3"/>
  <c r="C4963" i="3"/>
  <c r="D4963" i="3"/>
  <c r="B4963" i="3"/>
  <c r="E4963" i="3"/>
  <c r="A4964" i="3"/>
  <c r="C4964" i="3"/>
  <c r="D4964" i="3"/>
  <c r="B4964" i="3"/>
  <c r="E4964" i="3"/>
  <c r="A4965" i="3"/>
  <c r="C4965" i="3"/>
  <c r="D4965" i="3"/>
  <c r="B4965" i="3"/>
  <c r="E4965" i="3"/>
  <c r="A4966" i="3"/>
  <c r="C4966" i="3"/>
  <c r="D4966" i="3"/>
  <c r="B4966" i="3"/>
  <c r="E4966" i="3"/>
  <c r="A4967" i="3"/>
  <c r="C4967" i="3"/>
  <c r="D4967" i="3"/>
  <c r="B4967" i="3"/>
  <c r="E4967" i="3"/>
  <c r="A4968" i="3"/>
  <c r="C4968" i="3"/>
  <c r="D4968" i="3"/>
  <c r="B4968" i="3"/>
  <c r="E4968" i="3"/>
  <c r="A4969" i="3"/>
  <c r="C4969" i="3"/>
  <c r="D4969" i="3"/>
  <c r="B4969" i="3"/>
  <c r="E4969" i="3"/>
  <c r="A4970" i="3"/>
  <c r="C4970" i="3"/>
  <c r="D4970" i="3"/>
  <c r="B4970" i="3"/>
  <c r="E4970" i="3"/>
  <c r="A4971" i="3"/>
  <c r="C4971" i="3"/>
  <c r="D4971" i="3"/>
  <c r="B4971" i="3"/>
  <c r="E4971" i="3"/>
  <c r="A4972" i="3"/>
  <c r="C4972" i="3"/>
  <c r="D4972" i="3"/>
  <c r="B4972" i="3"/>
  <c r="E4972" i="3"/>
  <c r="A4973" i="3"/>
  <c r="C4973" i="3"/>
  <c r="D4973" i="3"/>
  <c r="B4973" i="3"/>
  <c r="E4973" i="3"/>
  <c r="A4974" i="3"/>
  <c r="C4974" i="3"/>
  <c r="D4974" i="3"/>
  <c r="B4974" i="3"/>
  <c r="E4974" i="3"/>
  <c r="A4975" i="3"/>
  <c r="C4975" i="3"/>
  <c r="D4975" i="3"/>
  <c r="B4975" i="3"/>
  <c r="E4975" i="3"/>
  <c r="A4976" i="3"/>
  <c r="C4976" i="3"/>
  <c r="D4976" i="3"/>
  <c r="B4976" i="3"/>
  <c r="E4976" i="3"/>
  <c r="A4977" i="3"/>
  <c r="C4977" i="3"/>
  <c r="D4977" i="3"/>
  <c r="B4977" i="3"/>
  <c r="E4977" i="3"/>
  <c r="A4978" i="3"/>
  <c r="C4978" i="3"/>
  <c r="D4978" i="3"/>
  <c r="B4978" i="3"/>
  <c r="E4978" i="3"/>
  <c r="A4979" i="3"/>
  <c r="C4979" i="3"/>
  <c r="D4979" i="3"/>
  <c r="B4979" i="3"/>
  <c r="E4979" i="3"/>
  <c r="A4980" i="3"/>
  <c r="C4980" i="3"/>
  <c r="D4980" i="3"/>
  <c r="B4980" i="3"/>
  <c r="E4980" i="3"/>
  <c r="A4981" i="3"/>
  <c r="C4981" i="3"/>
  <c r="D4981" i="3"/>
  <c r="B4981" i="3"/>
  <c r="E4981" i="3"/>
  <c r="A4982" i="3"/>
  <c r="C4982" i="3"/>
  <c r="D4982" i="3"/>
  <c r="B4982" i="3"/>
  <c r="E4982" i="3"/>
  <c r="A4983" i="3"/>
  <c r="C4983" i="3"/>
  <c r="D4983" i="3"/>
  <c r="B4983" i="3"/>
  <c r="E4983" i="3"/>
  <c r="A4984" i="3"/>
  <c r="C4984" i="3"/>
  <c r="D4984" i="3"/>
  <c r="B4984" i="3"/>
  <c r="E4984" i="3"/>
  <c r="A4985" i="3"/>
  <c r="C4985" i="3"/>
  <c r="D4985" i="3"/>
  <c r="B4985" i="3"/>
  <c r="E4985" i="3"/>
  <c r="A4986" i="3"/>
  <c r="C4986" i="3"/>
  <c r="D4986" i="3"/>
  <c r="B4986" i="3"/>
  <c r="E4986" i="3"/>
  <c r="A4987" i="3"/>
  <c r="C4987" i="3"/>
  <c r="D4987" i="3"/>
  <c r="B4987" i="3"/>
  <c r="E4987" i="3"/>
  <c r="A4988" i="3"/>
  <c r="C4988" i="3"/>
  <c r="D4988" i="3"/>
  <c r="B4988" i="3"/>
  <c r="E4988" i="3"/>
  <c r="A4989" i="3"/>
  <c r="C4989" i="3"/>
  <c r="D4989" i="3"/>
  <c r="B4989" i="3"/>
  <c r="E4989" i="3"/>
  <c r="A4990" i="3"/>
  <c r="C4990" i="3"/>
  <c r="D4990" i="3"/>
  <c r="B4990" i="3"/>
  <c r="E4990" i="3"/>
  <c r="A4991" i="3"/>
  <c r="C4991" i="3"/>
  <c r="D4991" i="3"/>
  <c r="B4991" i="3"/>
  <c r="E4991" i="3"/>
  <c r="A4992" i="3"/>
  <c r="C4992" i="3"/>
  <c r="D4992" i="3"/>
  <c r="B4992" i="3"/>
  <c r="E4992" i="3"/>
  <c r="A4993" i="3"/>
  <c r="C4993" i="3"/>
  <c r="D4993" i="3"/>
  <c r="B4993" i="3"/>
  <c r="E4993" i="3"/>
  <c r="A4994" i="3"/>
  <c r="C4994" i="3"/>
  <c r="D4994" i="3"/>
  <c r="B4994" i="3"/>
  <c r="E4994" i="3"/>
  <c r="A4995" i="3"/>
  <c r="C4995" i="3"/>
  <c r="D4995" i="3"/>
  <c r="B4995" i="3"/>
  <c r="E4995" i="3"/>
  <c r="A4996" i="3"/>
  <c r="C4996" i="3"/>
  <c r="D4996" i="3"/>
  <c r="B4996" i="3"/>
  <c r="E4996" i="3"/>
  <c r="A4997" i="3"/>
  <c r="C4997" i="3"/>
  <c r="D4997" i="3"/>
  <c r="B4997" i="3"/>
  <c r="E4997" i="3"/>
  <c r="A4998" i="3"/>
  <c r="C4998" i="3"/>
  <c r="D4998" i="3"/>
  <c r="B4998" i="3"/>
  <c r="E4998" i="3"/>
  <c r="A4999" i="3"/>
  <c r="C4999" i="3"/>
  <c r="D4999" i="3"/>
  <c r="B4999" i="3"/>
  <c r="E4999" i="3"/>
  <c r="A5000" i="3"/>
  <c r="C5000" i="3"/>
  <c r="D5000" i="3"/>
  <c r="B5000" i="3"/>
  <c r="E5000" i="3"/>
  <c r="A5001" i="3"/>
  <c r="C5001" i="3"/>
  <c r="D5001" i="3"/>
  <c r="B5001" i="3"/>
  <c r="E5001" i="3"/>
  <c r="U6" i="3"/>
  <c r="O29" i="3"/>
  <c r="P37" i="3"/>
  <c r="I8" i="3"/>
  <c r="I9" i="3"/>
  <c r="I10" i="3" s="1"/>
  <c r="I11" i="3"/>
  <c r="I12" i="3" s="1"/>
  <c r="I13" i="3" s="1"/>
  <c r="I14" i="3" s="1"/>
  <c r="I15" i="3" s="1"/>
  <c r="I16" i="3" s="1"/>
  <c r="I17" i="3" s="1"/>
  <c r="I18" i="3" s="1"/>
  <c r="I19" i="3" s="1"/>
  <c r="I20" i="3" s="1"/>
  <c r="I21" i="3" s="1"/>
  <c r="I22" i="3" s="1"/>
  <c r="I23" i="3" s="1"/>
  <c r="I24" i="3" s="1"/>
  <c r="I25" i="3" s="1"/>
  <c r="I26" i="3" s="1"/>
  <c r="I27" i="3" s="1"/>
  <c r="I28" i="3" s="1"/>
  <c r="I29" i="3" s="1"/>
  <c r="I30" i="3" s="1"/>
  <c r="I31" i="3" s="1"/>
  <c r="I32" i="3" s="1"/>
  <c r="I33" i="3" s="1"/>
  <c r="I34" i="3" s="1"/>
  <c r="I35" i="3" s="1"/>
  <c r="I36" i="3" s="1"/>
  <c r="I37" i="3" s="1"/>
  <c r="I38" i="3" s="1"/>
  <c r="I39" i="3" s="1"/>
  <c r="I40" i="3" s="1"/>
  <c r="I41" i="3" s="1"/>
  <c r="I42" i="3" s="1"/>
  <c r="I43" i="3" s="1"/>
  <c r="I44" i="3" s="1"/>
  <c r="I45" i="3" s="1"/>
  <c r="I46" i="3" s="1"/>
  <c r="I47" i="3" s="1"/>
  <c r="I48" i="3" s="1"/>
  <c r="I13" i="1"/>
  <c r="I15" i="1"/>
  <c r="I16" i="1"/>
  <c r="I14" i="1"/>
  <c r="D24" i="1"/>
  <c r="D25" i="1"/>
  <c r="D27" i="1"/>
  <c r="G4023" i="3" l="1"/>
  <c r="G3523" i="3"/>
  <c r="G2721" i="3"/>
  <c r="G2673" i="3"/>
  <c r="G2665" i="3"/>
  <c r="G2801" i="3"/>
  <c r="G2689" i="3"/>
  <c r="G2661" i="3"/>
  <c r="G4213" i="3"/>
  <c r="G4165" i="3"/>
  <c r="G4127" i="3"/>
  <c r="G4041" i="3"/>
  <c r="G4037" i="3"/>
  <c r="G4036" i="3"/>
  <c r="G4027" i="3"/>
  <c r="G4024" i="3"/>
  <c r="G4261" i="3"/>
  <c r="G4215" i="3"/>
  <c r="G4207" i="3"/>
  <c r="G3661" i="3"/>
  <c r="G3527" i="3"/>
  <c r="G3524" i="3"/>
  <c r="G3437" i="3"/>
  <c r="G3129" i="3"/>
  <c r="G3001" i="3"/>
  <c r="G4407" i="3"/>
  <c r="G4329" i="3"/>
  <c r="G4214" i="3"/>
  <c r="G4461" i="3"/>
  <c r="G4545" i="3"/>
  <c r="G3869" i="3"/>
  <c r="G3763" i="3"/>
  <c r="G4507" i="3"/>
  <c r="G4491" i="3"/>
  <c r="G4488" i="3"/>
  <c r="G4425" i="3"/>
  <c r="G4424" i="3"/>
  <c r="G4415" i="3"/>
  <c r="G4409" i="3"/>
  <c r="G4408" i="3"/>
  <c r="G4345" i="3"/>
  <c r="G4181" i="3"/>
  <c r="G4173" i="3"/>
  <c r="G4166" i="3"/>
  <c r="G3693" i="3"/>
  <c r="G3689" i="3"/>
  <c r="G3677" i="3"/>
  <c r="G3673" i="3"/>
  <c r="G3669" i="3"/>
  <c r="G3663" i="3"/>
  <c r="G3662" i="3"/>
  <c r="G3555" i="3"/>
  <c r="G3443" i="3"/>
  <c r="G3173" i="3"/>
  <c r="G3151" i="3"/>
  <c r="G3033" i="3"/>
  <c r="G3029" i="3"/>
  <c r="G3027" i="3"/>
  <c r="G4714" i="3"/>
  <c r="G4670" i="3"/>
  <c r="G4648" i="3"/>
  <c r="G4608" i="3"/>
  <c r="G4600" i="3"/>
  <c r="G4596" i="3"/>
  <c r="G4563" i="3"/>
  <c r="G4562" i="3"/>
  <c r="G4558" i="3"/>
  <c r="G4547" i="3"/>
  <c r="G4546" i="3"/>
  <c r="G4537" i="3"/>
  <c r="G3783" i="3"/>
  <c r="G3779" i="3"/>
  <c r="G3764" i="3"/>
  <c r="G3725" i="3"/>
  <c r="G3709" i="3"/>
  <c r="G3613" i="3"/>
  <c r="G3597" i="3"/>
  <c r="G3581" i="3"/>
  <c r="G3565" i="3"/>
  <c r="G3351" i="3"/>
  <c r="G3235" i="3"/>
  <c r="G4097" i="3"/>
  <c r="G3997" i="3"/>
  <c r="G3933" i="3"/>
  <c r="G3873" i="3"/>
  <c r="G3870" i="3"/>
  <c r="G3853" i="3"/>
  <c r="G3811" i="3"/>
  <c r="G3799" i="3"/>
  <c r="G3405" i="3"/>
  <c r="G3389" i="3"/>
  <c r="G3385" i="3"/>
  <c r="G3375" i="3"/>
  <c r="G3374" i="3"/>
  <c r="G2865" i="3"/>
  <c r="G2821" i="3"/>
  <c r="G2805" i="3"/>
  <c r="G556" i="3"/>
  <c r="G4473" i="3"/>
  <c r="G4463" i="3"/>
  <c r="G4462" i="3"/>
  <c r="G4323" i="3"/>
  <c r="G4311" i="3"/>
  <c r="G4304" i="3"/>
  <c r="G4281" i="3"/>
  <c r="G4279" i="3"/>
  <c r="G4269" i="3"/>
  <c r="G4268" i="3"/>
  <c r="G4237" i="3"/>
  <c r="G4236" i="3"/>
  <c r="G4219" i="3"/>
  <c r="G4113" i="3"/>
  <c r="G4109" i="3"/>
  <c r="G4099" i="3"/>
  <c r="G4098" i="3"/>
  <c r="G3991" i="3"/>
  <c r="G3983" i="3"/>
  <c r="G3977" i="3"/>
  <c r="G3976" i="3"/>
  <c r="G3975" i="3"/>
  <c r="G3971" i="3"/>
  <c r="G3967" i="3"/>
  <c r="G3959" i="3"/>
  <c r="G3951" i="3"/>
  <c r="G3945" i="3"/>
  <c r="G3699" i="3"/>
  <c r="G3533" i="3"/>
  <c r="G3501" i="3"/>
  <c r="G3495" i="3"/>
  <c r="G3491" i="3"/>
  <c r="G3395" i="3"/>
  <c r="G3357" i="3"/>
  <c r="G3355" i="3"/>
  <c r="G3352" i="3"/>
  <c r="G3315" i="3"/>
  <c r="G3197" i="3"/>
  <c r="G3157" i="3"/>
  <c r="G3141" i="3"/>
  <c r="G3133" i="3"/>
  <c r="G2849" i="3"/>
  <c r="G4916" i="3"/>
  <c r="G4782" i="3"/>
  <c r="G4449" i="3"/>
  <c r="G4391" i="3"/>
  <c r="G4385" i="3"/>
  <c r="G4381" i="3"/>
  <c r="G4361" i="3"/>
  <c r="G4191" i="3"/>
  <c r="G4153" i="3"/>
  <c r="G4149" i="3"/>
  <c r="G4061" i="3"/>
  <c r="G3843" i="3"/>
  <c r="G3823" i="3"/>
  <c r="G3812" i="3"/>
  <c r="G3741" i="3"/>
  <c r="G3733" i="3"/>
  <c r="G3727" i="3"/>
  <c r="G3726" i="3"/>
  <c r="G3651" i="3"/>
  <c r="G3643" i="3"/>
  <c r="G3636" i="3"/>
  <c r="G3571" i="3"/>
  <c r="G3563" i="3"/>
  <c r="G3556" i="3"/>
  <c r="G3469" i="3"/>
  <c r="G3447" i="3"/>
  <c r="G3439" i="3"/>
  <c r="G3438" i="3"/>
  <c r="G3431" i="3"/>
  <c r="G3271" i="3"/>
  <c r="G3241" i="3"/>
  <c r="G3239" i="3"/>
  <c r="G3236" i="3"/>
  <c r="G3053" i="3"/>
  <c r="G3013" i="3"/>
  <c r="G3005" i="3"/>
  <c r="G2925" i="3"/>
  <c r="G2705" i="3"/>
  <c r="G2699" i="3"/>
  <c r="G2683" i="3"/>
  <c r="G4988" i="3"/>
  <c r="G4987" i="3"/>
  <c r="G4983" i="3"/>
  <c r="G4950" i="3"/>
  <c r="G4947" i="3"/>
  <c r="G4943" i="3"/>
  <c r="G4939" i="3"/>
  <c r="G4935" i="3"/>
  <c r="G4931" i="3"/>
  <c r="G4894" i="3"/>
  <c r="G4819" i="3"/>
  <c r="G4815" i="3"/>
  <c r="G4811" i="3"/>
  <c r="G4783" i="3"/>
  <c r="G540" i="3"/>
  <c r="G524" i="3"/>
  <c r="G507" i="3"/>
  <c r="G4748" i="3"/>
  <c r="G4745" i="3"/>
  <c r="G4741" i="3"/>
  <c r="G4737" i="3"/>
  <c r="G4692" i="3"/>
  <c r="G4423" i="3"/>
  <c r="G4397" i="3"/>
  <c r="G4373" i="3"/>
  <c r="G4363" i="3"/>
  <c r="G4362" i="3"/>
  <c r="G4331" i="3"/>
  <c r="G4330" i="3"/>
  <c r="G4287" i="3"/>
  <c r="G4251" i="3"/>
  <c r="G4197" i="3"/>
  <c r="G4195" i="3"/>
  <c r="G4192" i="3"/>
  <c r="G4091" i="3"/>
  <c r="G4013" i="3"/>
  <c r="G4009" i="3"/>
  <c r="G3999" i="3"/>
  <c r="G3998" i="3"/>
  <c r="G3927" i="3"/>
  <c r="G3911" i="3"/>
  <c r="G3907" i="3"/>
  <c r="G3903" i="3"/>
  <c r="G3899" i="3"/>
  <c r="G3897" i="3"/>
  <c r="G3847" i="3"/>
  <c r="G3844" i="3"/>
  <c r="G3827" i="3"/>
  <c r="G3805" i="3"/>
  <c r="G3683" i="3"/>
  <c r="G3655" i="3"/>
  <c r="G3652" i="3"/>
  <c r="G3629" i="3"/>
  <c r="G3549" i="3"/>
  <c r="G3545" i="3"/>
  <c r="G3541" i="3"/>
  <c r="G3535" i="3"/>
  <c r="G3534" i="3"/>
  <c r="G3421" i="3"/>
  <c r="G3417" i="3"/>
  <c r="G3413" i="3"/>
  <c r="G3407" i="3"/>
  <c r="G3406" i="3"/>
  <c r="G3373" i="3"/>
  <c r="G3367" i="3"/>
  <c r="G3363" i="3"/>
  <c r="G3283" i="3"/>
  <c r="G3273" i="3"/>
  <c r="G3272" i="3"/>
  <c r="G3231" i="3"/>
  <c r="G3227" i="3"/>
  <c r="G3226" i="3"/>
  <c r="G3201" i="3"/>
  <c r="G3109" i="3"/>
  <c r="G3093" i="3"/>
  <c r="G3091" i="3"/>
  <c r="G3087" i="3"/>
  <c r="G3079" i="3"/>
  <c r="G2969" i="3"/>
  <c r="G2937" i="3"/>
  <c r="G2929" i="3"/>
  <c r="G2897" i="3"/>
  <c r="G2885" i="3"/>
  <c r="G2869" i="3"/>
  <c r="G2785" i="3"/>
  <c r="G2779" i="3"/>
  <c r="G2763" i="3"/>
  <c r="G2747" i="3"/>
  <c r="G1340" i="3"/>
  <c r="G4531" i="3"/>
  <c r="G4523" i="3"/>
  <c r="G4519" i="3"/>
  <c r="G4517" i="3"/>
  <c r="G4509" i="3"/>
  <c r="G4508" i="3"/>
  <c r="G4499" i="3"/>
  <c r="G4487" i="3"/>
  <c r="G4453" i="3"/>
  <c r="G4450" i="3"/>
  <c r="G4445" i="3"/>
  <c r="G4433" i="3"/>
  <c r="G4355" i="3"/>
  <c r="G4335" i="3"/>
  <c r="G4297" i="3"/>
  <c r="G4229" i="3"/>
  <c r="G4225" i="3"/>
  <c r="G4159" i="3"/>
  <c r="G4133" i="3"/>
  <c r="G4129" i="3"/>
  <c r="G4128" i="3"/>
  <c r="G4081" i="3"/>
  <c r="G4077" i="3"/>
  <c r="G4065" i="3"/>
  <c r="G4062" i="3"/>
  <c r="G3965" i="3"/>
  <c r="G3941" i="3"/>
  <c r="G3881" i="3"/>
  <c r="G3877" i="3"/>
  <c r="G3857" i="3"/>
  <c r="G3854" i="3"/>
  <c r="G3795" i="3"/>
  <c r="G3784" i="3"/>
  <c r="G3757" i="3"/>
  <c r="G3753" i="3"/>
  <c r="G3749" i="3"/>
  <c r="G3743" i="3"/>
  <c r="G3742" i="3"/>
  <c r="G3719" i="3"/>
  <c r="G3703" i="3"/>
  <c r="G3700" i="3"/>
  <c r="G3607" i="3"/>
  <c r="G3603" i="3"/>
  <c r="G3591" i="3"/>
  <c r="G3587" i="3"/>
  <c r="G3517" i="3"/>
  <c r="G3513" i="3"/>
  <c r="G3503" i="3"/>
  <c r="G3502" i="3"/>
  <c r="G3479" i="3"/>
  <c r="G3477" i="3"/>
  <c r="G3471" i="3"/>
  <c r="G3470" i="3"/>
  <c r="G3459" i="3"/>
  <c r="G3427" i="3"/>
  <c r="G3289" i="3"/>
  <c r="G3251" i="3"/>
  <c r="G3247" i="3"/>
  <c r="G3065" i="3"/>
  <c r="G3057" i="3"/>
  <c r="G2981" i="3"/>
  <c r="G2965" i="3"/>
  <c r="G2963" i="3"/>
  <c r="G2959" i="3"/>
  <c r="G2951" i="3"/>
  <c r="G2913" i="3"/>
  <c r="G2737" i="3"/>
  <c r="G2729" i="3"/>
  <c r="G2725" i="3"/>
  <c r="G1372" i="3"/>
  <c r="G1368" i="3"/>
  <c r="G1352" i="3"/>
  <c r="G5001" i="3"/>
  <c r="G4997" i="3"/>
  <c r="G4968" i="3"/>
  <c r="G4965" i="3"/>
  <c r="G4961" i="3"/>
  <c r="G4928" i="3"/>
  <c r="G4925" i="3"/>
  <c r="G4921" i="3"/>
  <c r="G4917" i="3"/>
  <c r="G4912" i="3"/>
  <c r="G4908" i="3"/>
  <c r="G4904" i="3"/>
  <c r="G4758" i="3"/>
  <c r="G4727" i="3"/>
  <c r="G4723" i="3"/>
  <c r="G4719" i="3"/>
  <c r="G4715" i="3"/>
  <c r="G4710" i="3"/>
  <c r="G4706" i="3"/>
  <c r="G4529" i="3"/>
  <c r="G4526" i="3"/>
  <c r="G4515" i="3"/>
  <c r="G4514" i="3"/>
  <c r="G4511" i="3"/>
  <c r="G4475" i="3"/>
  <c r="G4469" i="3"/>
  <c r="G4468" i="3"/>
  <c r="G4429" i="3"/>
  <c r="G4393" i="3"/>
  <c r="G4392" i="3"/>
  <c r="G4353" i="3"/>
  <c r="G4880" i="3"/>
  <c r="G4877" i="3"/>
  <c r="G4874" i="3"/>
  <c r="G4873" i="3"/>
  <c r="G4869" i="3"/>
  <c r="G4865" i="3"/>
  <c r="G4842" i="3"/>
  <c r="G4841" i="3"/>
  <c r="G4837" i="3"/>
  <c r="G4796" i="3"/>
  <c r="G4793" i="3"/>
  <c r="G4789" i="3"/>
  <c r="G4776" i="3"/>
  <c r="G4772" i="3"/>
  <c r="G4768" i="3"/>
  <c r="G4680" i="3"/>
  <c r="G4679" i="3"/>
  <c r="G4675" i="3"/>
  <c r="G4671" i="3"/>
  <c r="G4666" i="3"/>
  <c r="G4662" i="3"/>
  <c r="G4650" i="3"/>
  <c r="G4630" i="3"/>
  <c r="G4626" i="3"/>
  <c r="G4582" i="3"/>
  <c r="G4578" i="3"/>
  <c r="G4574" i="3"/>
  <c r="G4570" i="3"/>
  <c r="G4555" i="3"/>
  <c r="G4551" i="3"/>
  <c r="G4549" i="3"/>
  <c r="G4493" i="3"/>
  <c r="G4483" i="3"/>
  <c r="G4477" i="3"/>
  <c r="G4455" i="3"/>
  <c r="G4439" i="3"/>
  <c r="G4417" i="3"/>
  <c r="G4401" i="3"/>
  <c r="G4375" i="3"/>
  <c r="G4371" i="3"/>
  <c r="G4368" i="3"/>
  <c r="G4241" i="3"/>
  <c r="G4996" i="3"/>
  <c r="G4992" i="3"/>
  <c r="G4960" i="3"/>
  <c r="G4956" i="3"/>
  <c r="G4952" i="3"/>
  <c r="G4902" i="3"/>
  <c r="G4899" i="3"/>
  <c r="G4895" i="3"/>
  <c r="G4890" i="3"/>
  <c r="G4886" i="3"/>
  <c r="G4882" i="3"/>
  <c r="G4854" i="3"/>
  <c r="G4850" i="3"/>
  <c r="G4846" i="3"/>
  <c r="G4806" i="3"/>
  <c r="G4802" i="3"/>
  <c r="G4798" i="3"/>
  <c r="G4777" i="3"/>
  <c r="G4736" i="3"/>
  <c r="G4732" i="3"/>
  <c r="G4728" i="3"/>
  <c r="G4660" i="3"/>
  <c r="G4657" i="3"/>
  <c r="G4653" i="3"/>
  <c r="G4622" i="3"/>
  <c r="G4621" i="3"/>
  <c r="G4617" i="3"/>
  <c r="G4613" i="3"/>
  <c r="G4602" i="3"/>
  <c r="G4568" i="3"/>
  <c r="G4565" i="3"/>
  <c r="G4553" i="3"/>
  <c r="G4539" i="3"/>
  <c r="G4538" i="3"/>
  <c r="G4525" i="3"/>
  <c r="G4501" i="3"/>
  <c r="G4500" i="3"/>
  <c r="G4485" i="3"/>
  <c r="G4481" i="3"/>
  <c r="G4479" i="3"/>
  <c r="G4457" i="3"/>
  <c r="G4456" i="3"/>
  <c r="G4437" i="3"/>
  <c r="G4430" i="3"/>
  <c r="G4413" i="3"/>
  <c r="G4405" i="3"/>
  <c r="G4398" i="3"/>
  <c r="G4383" i="3"/>
  <c r="G4377" i="3"/>
  <c r="G4376" i="3"/>
  <c r="G4367" i="3"/>
  <c r="G4351" i="3"/>
  <c r="G4343" i="3"/>
  <c r="G4336" i="3"/>
  <c r="G4319" i="3"/>
  <c r="G4291" i="3"/>
  <c r="G4267" i="3"/>
  <c r="G4257" i="3"/>
  <c r="G4249" i="3"/>
  <c r="G4242" i="3"/>
  <c r="G4227" i="3"/>
  <c r="G4221" i="3"/>
  <c r="G4220" i="3"/>
  <c r="G4209" i="3"/>
  <c r="G4199" i="3"/>
  <c r="G4198" i="3"/>
  <c r="G4143" i="3"/>
  <c r="G4139" i="3"/>
  <c r="G4135" i="3"/>
  <c r="G4125" i="3"/>
  <c r="G4122" i="3"/>
  <c r="G4115" i="3"/>
  <c r="G4114" i="3"/>
  <c r="G4107" i="3"/>
  <c r="G4095" i="3"/>
  <c r="G4092" i="3"/>
  <c r="G4067" i="3"/>
  <c r="G4049" i="3"/>
  <c r="G4042" i="3"/>
  <c r="G4347" i="3"/>
  <c r="G4346" i="3"/>
  <c r="G4339" i="3"/>
  <c r="G4321" i="3"/>
  <c r="G4315" i="3"/>
  <c r="G4314" i="3"/>
  <c r="G4313" i="3"/>
  <c r="G4309" i="3"/>
  <c r="G4299" i="3"/>
  <c r="G4298" i="3"/>
  <c r="G4259" i="3"/>
  <c r="G4253" i="3"/>
  <c r="G4252" i="3"/>
  <c r="G4245" i="3"/>
  <c r="G4233" i="3"/>
  <c r="G4230" i="3"/>
  <c r="G4175" i="3"/>
  <c r="G4171" i="3"/>
  <c r="G4167" i="3"/>
  <c r="G4157" i="3"/>
  <c r="G4154" i="3"/>
  <c r="G4079" i="3"/>
  <c r="G4069" i="3"/>
  <c r="G4068" i="3"/>
  <c r="G4057" i="3"/>
  <c r="G4029" i="3"/>
  <c r="G4019" i="3"/>
  <c r="G4011" i="3"/>
  <c r="G4004" i="3"/>
  <c r="G3989" i="3"/>
  <c r="G3973" i="3"/>
  <c r="G3966" i="3"/>
  <c r="G3929" i="3"/>
  <c r="G3928" i="3"/>
  <c r="G3885" i="3"/>
  <c r="G3882" i="3"/>
  <c r="G3821" i="3"/>
  <c r="G3817" i="3"/>
  <c r="G3611" i="3"/>
  <c r="G3608" i="3"/>
  <c r="G4982" i="3"/>
  <c r="G4978" i="3"/>
  <c r="G4974" i="3"/>
  <c r="G4970" i="3"/>
  <c r="G4864" i="3"/>
  <c r="G4860" i="3"/>
  <c r="G4832" i="3"/>
  <c r="G4828" i="3"/>
  <c r="G4824" i="3"/>
  <c r="G4820" i="3"/>
  <c r="G4808" i="3"/>
  <c r="G4784" i="3"/>
  <c r="G4766" i="3"/>
  <c r="G4763" i="3"/>
  <c r="G4759" i="3"/>
  <c r="G4754" i="3"/>
  <c r="G4750" i="3"/>
  <c r="G4702" i="3"/>
  <c r="G4701" i="3"/>
  <c r="G4697" i="3"/>
  <c r="G4693" i="3"/>
  <c r="G4688" i="3"/>
  <c r="G4684" i="3"/>
  <c r="G4644" i="3"/>
  <c r="G4643" i="3"/>
  <c r="G4639" i="3"/>
  <c r="G4635" i="3"/>
  <c r="G4631" i="3"/>
  <c r="G4594" i="3"/>
  <c r="G4591" i="3"/>
  <c r="G4587" i="3"/>
  <c r="G4557" i="3"/>
  <c r="G4543" i="3"/>
  <c r="G4541" i="3"/>
  <c r="G4533" i="3"/>
  <c r="G4532" i="3"/>
  <c r="G4521" i="3"/>
  <c r="G4505" i="3"/>
  <c r="G4503" i="3"/>
  <c r="G4495" i="3"/>
  <c r="G4494" i="3"/>
  <c r="G4476" i="3"/>
  <c r="G4467" i="3"/>
  <c r="G4447" i="3"/>
  <c r="G4441" i="3"/>
  <c r="G4440" i="3"/>
  <c r="G4435" i="3"/>
  <c r="G4431" i="3"/>
  <c r="G4421" i="3"/>
  <c r="G4418" i="3"/>
  <c r="G4403" i="3"/>
  <c r="G4399" i="3"/>
  <c r="G4389" i="3"/>
  <c r="G4386" i="3"/>
  <c r="G4359" i="3"/>
  <c r="G4356" i="3"/>
  <c r="G4341" i="3"/>
  <c r="G4327" i="3"/>
  <c r="G4324" i="3"/>
  <c r="G4303" i="3"/>
  <c r="G4289" i="3"/>
  <c r="G4283" i="3"/>
  <c r="G4282" i="3"/>
  <c r="G4275" i="3"/>
  <c r="G4273" i="3"/>
  <c r="G4203" i="3"/>
  <c r="G4189" i="3"/>
  <c r="G4183" i="3"/>
  <c r="G4182" i="3"/>
  <c r="G4161" i="3"/>
  <c r="G4160" i="3"/>
  <c r="G4141" i="3"/>
  <c r="G4134" i="3"/>
  <c r="G4103" i="3"/>
  <c r="G4087" i="3"/>
  <c r="G4051" i="3"/>
  <c r="G4047" i="3"/>
  <c r="G4035" i="3"/>
  <c r="G4021" i="3"/>
  <c r="G4015" i="3"/>
  <c r="G4014" i="3"/>
  <c r="G4007" i="3"/>
  <c r="G3995" i="3"/>
  <c r="G3992" i="3"/>
  <c r="G3981" i="3"/>
  <c r="G3957" i="3"/>
  <c r="G3954" i="3"/>
  <c r="G3942" i="3"/>
  <c r="G3915" i="3"/>
  <c r="G3912" i="3"/>
  <c r="G3893" i="3"/>
  <c r="G3889" i="3"/>
  <c r="G3793" i="3"/>
  <c r="G3789" i="3"/>
  <c r="G3755" i="3"/>
  <c r="G3717" i="3"/>
  <c r="G3711" i="3"/>
  <c r="G3710" i="3"/>
  <c r="G3691" i="3"/>
  <c r="G3684" i="3"/>
  <c r="G3575" i="3"/>
  <c r="G3021" i="3"/>
  <c r="G2769" i="3"/>
  <c r="G1356" i="3"/>
  <c r="G4307" i="3"/>
  <c r="G4295" i="3"/>
  <c r="G4292" i="3"/>
  <c r="G4277" i="3"/>
  <c r="G4265" i="3"/>
  <c r="G4262" i="3"/>
  <c r="G4247" i="3"/>
  <c r="G4235" i="3"/>
  <c r="G4211" i="3"/>
  <c r="G4204" i="3"/>
  <c r="G4187" i="3"/>
  <c r="G4179" i="3"/>
  <c r="G4176" i="3"/>
  <c r="G4169" i="3"/>
  <c r="G4151" i="3"/>
  <c r="G4145" i="3"/>
  <c r="G4144" i="3"/>
  <c r="G4137" i="3"/>
  <c r="G4119" i="3"/>
  <c r="G4111" i="3"/>
  <c r="G4104" i="3"/>
  <c r="G4089" i="3"/>
  <c r="G4083" i="3"/>
  <c r="G4082" i="3"/>
  <c r="G4075" i="3"/>
  <c r="G4073" i="3"/>
  <c r="G4059" i="3"/>
  <c r="G4053" i="3"/>
  <c r="G4052" i="3"/>
  <c r="G4045" i="3"/>
  <c r="G4033" i="3"/>
  <c r="G4030" i="3"/>
  <c r="G4003" i="3"/>
  <c r="G3987" i="3"/>
  <c r="G3985" i="3"/>
  <c r="G3961" i="3"/>
  <c r="G3960" i="3"/>
  <c r="G3949" i="3"/>
  <c r="G3935" i="3"/>
  <c r="G3934" i="3"/>
  <c r="G3919" i="3"/>
  <c r="G3916" i="3"/>
  <c r="G3909" i="3"/>
  <c r="G3905" i="3"/>
  <c r="G3901" i="3"/>
  <c r="G3886" i="3"/>
  <c r="G3879" i="3"/>
  <c r="G3865" i="3"/>
  <c r="G3861" i="3"/>
  <c r="G3839" i="3"/>
  <c r="G3835" i="3"/>
  <c r="G3831" i="3"/>
  <c r="G3807" i="3"/>
  <c r="G3800" i="3"/>
  <c r="G3777" i="3"/>
  <c r="G3773" i="3"/>
  <c r="G3769" i="3"/>
  <c r="G3735" i="3"/>
  <c r="G3675" i="3"/>
  <c r="G3645" i="3"/>
  <c r="G3641" i="3"/>
  <c r="G3631" i="3"/>
  <c r="G3630" i="3"/>
  <c r="G3623" i="3"/>
  <c r="G3619" i="3"/>
  <c r="G3595" i="3"/>
  <c r="G3592" i="3"/>
  <c r="G3097" i="3"/>
  <c r="G2833" i="3"/>
  <c r="G3969" i="3"/>
  <c r="G3953" i="3"/>
  <c r="G3925" i="3"/>
  <c r="G3922" i="3"/>
  <c r="G3895" i="3"/>
  <c r="G3891" i="3"/>
  <c r="G3874" i="3"/>
  <c r="G3867" i="3"/>
  <c r="G3863" i="3"/>
  <c r="G3828" i="3"/>
  <c r="G3824" i="3"/>
  <c r="G3803" i="3"/>
  <c r="G3796" i="3"/>
  <c r="G3775" i="3"/>
  <c r="G3771" i="3"/>
  <c r="G3767" i="3"/>
  <c r="G3731" i="3"/>
  <c r="G3723" i="3"/>
  <c r="G3720" i="3"/>
  <c r="G3679" i="3"/>
  <c r="G3678" i="3"/>
  <c r="G3671" i="3"/>
  <c r="G3667" i="3"/>
  <c r="G3659" i="3"/>
  <c r="G3656" i="3"/>
  <c r="G3647" i="3"/>
  <c r="G3646" i="3"/>
  <c r="G3639" i="3"/>
  <c r="G3627" i="3"/>
  <c r="G3605" i="3"/>
  <c r="G3599" i="3"/>
  <c r="G3598" i="3"/>
  <c r="G3551" i="3"/>
  <c r="G3550" i="3"/>
  <c r="G3543" i="3"/>
  <c r="G3539" i="3"/>
  <c r="G3531" i="3"/>
  <c r="G3528" i="3"/>
  <c r="G3519" i="3"/>
  <c r="G3518" i="3"/>
  <c r="G3511" i="3"/>
  <c r="G3499" i="3"/>
  <c r="G3483" i="3"/>
  <c r="G3480" i="3"/>
  <c r="G3453" i="3"/>
  <c r="G3435" i="3"/>
  <c r="G3428" i="3"/>
  <c r="G3341" i="3"/>
  <c r="G3325" i="3"/>
  <c r="G3305" i="3"/>
  <c r="G3301" i="3"/>
  <c r="G3297" i="3"/>
  <c r="G3291" i="3"/>
  <c r="G3290" i="3"/>
  <c r="G3279" i="3"/>
  <c r="G3259" i="3"/>
  <c r="G3149" i="3"/>
  <c r="G3113" i="3"/>
  <c r="G2985" i="3"/>
  <c r="G2853" i="3"/>
  <c r="G2709" i="3"/>
  <c r="G572" i="3"/>
  <c r="G530" i="3"/>
  <c r="G526" i="3"/>
  <c r="G514" i="3"/>
  <c r="G3858" i="3"/>
  <c r="G3851" i="3"/>
  <c r="G3848" i="3"/>
  <c r="G3841" i="3"/>
  <c r="G3837" i="3"/>
  <c r="G3833" i="3"/>
  <c r="G3819" i="3"/>
  <c r="G3815" i="3"/>
  <c r="G3808" i="3"/>
  <c r="G3791" i="3"/>
  <c r="G3787" i="3"/>
  <c r="G3780" i="3"/>
  <c r="G3759" i="3"/>
  <c r="G3758" i="3"/>
  <c r="G3751" i="3"/>
  <c r="G3747" i="3"/>
  <c r="G3739" i="3"/>
  <c r="G3736" i="3"/>
  <c r="G3715" i="3"/>
  <c r="G3707" i="3"/>
  <c r="G3704" i="3"/>
  <c r="G3695" i="3"/>
  <c r="G3694" i="3"/>
  <c r="G3687" i="3"/>
  <c r="G3635" i="3"/>
  <c r="G3625" i="3"/>
  <c r="G3621" i="3"/>
  <c r="G3615" i="3"/>
  <c r="G3614" i="3"/>
  <c r="G3589" i="3"/>
  <c r="G3583" i="3"/>
  <c r="G3582" i="3"/>
  <c r="G3485" i="3"/>
  <c r="G3463" i="3"/>
  <c r="G3451" i="3"/>
  <c r="G3448" i="3"/>
  <c r="G3399" i="3"/>
  <c r="G3396" i="3"/>
  <c r="G3379" i="3"/>
  <c r="G3369" i="3"/>
  <c r="G3365" i="3"/>
  <c r="G3359" i="3"/>
  <c r="G3358" i="3"/>
  <c r="G3335" i="3"/>
  <c r="G3331" i="3"/>
  <c r="G3323" i="3"/>
  <c r="G3316" i="3"/>
  <c r="G3265" i="3"/>
  <c r="G3257" i="3"/>
  <c r="G3253" i="3"/>
  <c r="G3249" i="3"/>
  <c r="G3245" i="3"/>
  <c r="G3243" i="3"/>
  <c r="G3242" i="3"/>
  <c r="G3232" i="3"/>
  <c r="G3213" i="3"/>
  <c r="G3205" i="3"/>
  <c r="G3177" i="3"/>
  <c r="G3085" i="3"/>
  <c r="G3077" i="3"/>
  <c r="G3037" i="3"/>
  <c r="G2957" i="3"/>
  <c r="G2949" i="3"/>
  <c r="G2917" i="3"/>
  <c r="G2789" i="3"/>
  <c r="G1376" i="3"/>
  <c r="G3579" i="3"/>
  <c r="G3576" i="3"/>
  <c r="G3567" i="3"/>
  <c r="G3566" i="3"/>
  <c r="G3559" i="3"/>
  <c r="G3507" i="3"/>
  <c r="G3497" i="3"/>
  <c r="G3493" i="3"/>
  <c r="G3487" i="3"/>
  <c r="G3486" i="3"/>
  <c r="G3461" i="3"/>
  <c r="G3455" i="3"/>
  <c r="G3454" i="3"/>
  <c r="G3444" i="3"/>
  <c r="G3433" i="3"/>
  <c r="G3419" i="3"/>
  <c r="G3387" i="3"/>
  <c r="G3380" i="3"/>
  <c r="G3347" i="3"/>
  <c r="G3339" i="3"/>
  <c r="G3336" i="3"/>
  <c r="G3327" i="3"/>
  <c r="G3326" i="3"/>
  <c r="G3319" i="3"/>
  <c r="G3303" i="3"/>
  <c r="G3281" i="3"/>
  <c r="G3263" i="3"/>
  <c r="G3260" i="3"/>
  <c r="G3221" i="3"/>
  <c r="G3219" i="3"/>
  <c r="G3215" i="3"/>
  <c r="G3207" i="3"/>
  <c r="G3181" i="3"/>
  <c r="G3161" i="3"/>
  <c r="G3117" i="3"/>
  <c r="G3101" i="3"/>
  <c r="G3061" i="3"/>
  <c r="G3059" i="3"/>
  <c r="G3045" i="3"/>
  <c r="G3025" i="3"/>
  <c r="G2989" i="3"/>
  <c r="G2973" i="3"/>
  <c r="G2933" i="3"/>
  <c r="G2931" i="3"/>
  <c r="G2901" i="3"/>
  <c r="G2881" i="3"/>
  <c r="G2879" i="3"/>
  <c r="G2875" i="3"/>
  <c r="G2837" i="3"/>
  <c r="G2817" i="3"/>
  <c r="G2815" i="3"/>
  <c r="G2811" i="3"/>
  <c r="G2773" i="3"/>
  <c r="G2753" i="3"/>
  <c r="G2733" i="3"/>
  <c r="G2731" i="3"/>
  <c r="G2701" i="3"/>
  <c r="G2697" i="3"/>
  <c r="G2693" i="3"/>
  <c r="G2667" i="3"/>
  <c r="G1360" i="3"/>
  <c r="G580" i="3"/>
  <c r="G532" i="3"/>
  <c r="G516" i="3"/>
  <c r="G475" i="3"/>
  <c r="G3572" i="3"/>
  <c r="G3561" i="3"/>
  <c r="G3547" i="3"/>
  <c r="G3515" i="3"/>
  <c r="G3508" i="3"/>
  <c r="G3475" i="3"/>
  <c r="G3467" i="3"/>
  <c r="G3464" i="3"/>
  <c r="G3423" i="3"/>
  <c r="G3422" i="3"/>
  <c r="G3415" i="3"/>
  <c r="G3411" i="3"/>
  <c r="G3403" i="3"/>
  <c r="G3400" i="3"/>
  <c r="G3391" i="3"/>
  <c r="G3390" i="3"/>
  <c r="G3383" i="3"/>
  <c r="G3371" i="3"/>
  <c r="G3349" i="3"/>
  <c r="G3343" i="3"/>
  <c r="G3342" i="3"/>
  <c r="G3332" i="3"/>
  <c r="G3321" i="3"/>
  <c r="G3311" i="3"/>
  <c r="G3309" i="3"/>
  <c r="G3307" i="3"/>
  <c r="G3306" i="3"/>
  <c r="G3299" i="3"/>
  <c r="G3295" i="3"/>
  <c r="G3284" i="3"/>
  <c r="G3267" i="3"/>
  <c r="G3266" i="3"/>
  <c r="G3255" i="3"/>
  <c r="G3225" i="3"/>
  <c r="G3193" i="3"/>
  <c r="G3191" i="3"/>
  <c r="G3189" i="3"/>
  <c r="G3187" i="3"/>
  <c r="G3183" i="3"/>
  <c r="G3145" i="3"/>
  <c r="G3119" i="3"/>
  <c r="G3069" i="3"/>
  <c r="G3047" i="3"/>
  <c r="G3017" i="3"/>
  <c r="G2997" i="3"/>
  <c r="G2995" i="3"/>
  <c r="G2991" i="3"/>
  <c r="G2941" i="3"/>
  <c r="G2889" i="3"/>
  <c r="G2829" i="3"/>
  <c r="G2825" i="3"/>
  <c r="G2765" i="3"/>
  <c r="G2761" i="3"/>
  <c r="G2757" i="3"/>
  <c r="G2749" i="3"/>
  <c r="G2741" i="3"/>
  <c r="G2717" i="3"/>
  <c r="G2715" i="3"/>
  <c r="G2685" i="3"/>
  <c r="G2677" i="3"/>
  <c r="G1384" i="3"/>
  <c r="G1348" i="3"/>
  <c r="G1344" i="3"/>
  <c r="G538" i="3"/>
  <c r="G522" i="3"/>
  <c r="G493" i="3"/>
  <c r="G4957" i="3"/>
  <c r="G4337" i="3"/>
  <c r="G4305" i="3"/>
  <c r="G4205" i="3"/>
  <c r="G4105" i="3"/>
  <c r="G4005" i="3"/>
  <c r="G4948" i="3"/>
  <c r="G4944" i="3"/>
  <c r="I25" i="1"/>
  <c r="G4966" i="3"/>
  <c r="G4962" i="3"/>
  <c r="G4953" i="3"/>
  <c r="G4900" i="3"/>
  <c r="G4896" i="3"/>
  <c r="G4891" i="3"/>
  <c r="G4887" i="3"/>
  <c r="G4883" i="3"/>
  <c r="I24" i="1"/>
  <c r="G4998" i="3"/>
  <c r="G4993" i="3"/>
  <c r="G4989" i="3"/>
  <c r="G4984" i="3"/>
  <c r="G4979" i="3"/>
  <c r="G4975" i="3"/>
  <c r="G4971" i="3"/>
  <c r="G4942" i="3"/>
  <c r="G4938" i="3"/>
  <c r="G4934" i="3"/>
  <c r="G4930" i="3"/>
  <c r="G4926" i="3"/>
  <c r="G4922" i="3"/>
  <c r="G4918" i="3"/>
  <c r="G4913" i="3"/>
  <c r="G4909" i="3"/>
  <c r="G4905" i="3"/>
  <c r="G4872" i="3"/>
  <c r="G4868" i="3"/>
  <c r="G4863" i="3"/>
  <c r="G4859" i="3"/>
  <c r="G4856" i="3"/>
  <c r="G4855" i="3"/>
  <c r="G4851" i="3"/>
  <c r="G4847" i="3"/>
  <c r="G4843" i="3"/>
  <c r="G4778" i="3"/>
  <c r="G4584" i="3"/>
  <c r="G4471" i="3"/>
  <c r="G4243" i="3"/>
  <c r="G4043" i="3"/>
  <c r="G4878" i="3"/>
  <c r="G4834" i="3"/>
  <c r="G4786" i="3"/>
  <c r="G4610" i="3"/>
  <c r="G4833" i="3"/>
  <c r="G4821" i="3"/>
  <c r="G4803" i="3"/>
  <c r="G4764" i="3"/>
  <c r="G4746" i="3"/>
  <c r="G4742" i="3"/>
  <c r="G4716" i="3"/>
  <c r="G4994" i="3"/>
  <c r="G4958" i="3"/>
  <c r="G4954" i="3"/>
  <c r="G4940" i="3"/>
  <c r="G4927" i="3"/>
  <c r="G4923" i="3"/>
  <c r="G4914" i="3"/>
  <c r="G4910" i="3"/>
  <c r="G4888" i="3"/>
  <c r="G4879" i="3"/>
  <c r="G4870" i="3"/>
  <c r="G4866" i="3"/>
  <c r="G4839" i="3"/>
  <c r="G4835" i="3"/>
  <c r="G4822" i="3"/>
  <c r="G4804" i="3"/>
  <c r="G4791" i="3"/>
  <c r="G4787" i="3"/>
  <c r="G4774" i="3"/>
  <c r="G4765" i="3"/>
  <c r="G4756" i="3"/>
  <c r="G4734" i="3"/>
  <c r="G4725" i="3"/>
  <c r="G4712" i="3"/>
  <c r="G4708" i="3"/>
  <c r="G4699" i="3"/>
  <c r="G4690" i="3"/>
  <c r="G4668" i="3"/>
  <c r="G4641" i="3"/>
  <c r="G4637" i="3"/>
  <c r="G4628" i="3"/>
  <c r="G4619" i="3"/>
  <c r="G4615" i="3"/>
  <c r="G4611" i="3"/>
  <c r="G4585" i="3"/>
  <c r="G4548" i="3"/>
  <c r="G4522" i="3"/>
  <c r="G4510" i="3"/>
  <c r="G4465" i="3"/>
  <c r="G4414" i="3"/>
  <c r="G4370" i="3"/>
  <c r="G4357" i="3"/>
  <c r="G4352" i="3"/>
  <c r="G4340" i="3"/>
  <c r="G4325" i="3"/>
  <c r="G4320" i="3"/>
  <c r="G4308" i="3"/>
  <c r="G4293" i="3"/>
  <c r="G4288" i="3"/>
  <c r="G4276" i="3"/>
  <c r="G4263" i="3"/>
  <c r="G4258" i="3"/>
  <c r="G4246" i="3"/>
  <c r="G4231" i="3"/>
  <c r="G4226" i="3"/>
  <c r="G4208" i="3"/>
  <c r="G4193" i="3"/>
  <c r="G4188" i="3"/>
  <c r="G4170" i="3"/>
  <c r="G4155" i="3"/>
  <c r="G4150" i="3"/>
  <c r="G4138" i="3"/>
  <c r="G4123" i="3"/>
  <c r="G4120" i="3"/>
  <c r="G4108" i="3"/>
  <c r="G4093" i="3"/>
  <c r="G4088" i="3"/>
  <c r="G4076" i="3"/>
  <c r="G4063" i="3"/>
  <c r="G4058" i="3"/>
  <c r="G4046" i="3"/>
  <c r="G4031" i="3"/>
  <c r="G4026" i="3"/>
  <c r="G4020" i="3"/>
  <c r="G4008" i="3"/>
  <c r="G3993" i="3"/>
  <c r="G3988" i="3"/>
  <c r="G3982" i="3"/>
  <c r="G3970" i="3"/>
  <c r="G3955" i="3"/>
  <c r="G3950" i="3"/>
  <c r="G3943" i="3"/>
  <c r="G3917" i="3"/>
  <c r="G3908" i="3"/>
  <c r="G3890" i="3"/>
  <c r="G3883" i="3"/>
  <c r="G3859" i="3"/>
  <c r="G3850" i="3"/>
  <c r="G3840" i="3"/>
  <c r="G3816" i="3"/>
  <c r="G3809" i="3"/>
  <c r="G3785" i="3"/>
  <c r="G3776" i="3"/>
  <c r="G3748" i="3"/>
  <c r="G3737" i="3"/>
  <c r="G3685" i="3"/>
  <c r="G3672" i="3"/>
  <c r="G3620" i="3"/>
  <c r="G3609" i="3"/>
  <c r="G3557" i="3"/>
  <c r="G3544" i="3"/>
  <c r="G3492" i="3"/>
  <c r="G3481" i="3"/>
  <c r="G3429" i="3"/>
  <c r="G3416" i="3"/>
  <c r="G3364" i="3"/>
  <c r="G4829" i="3"/>
  <c r="G4825" i="3"/>
  <c r="G4816" i="3"/>
  <c r="G4807" i="3"/>
  <c r="G4799" i="3"/>
  <c r="G4790" i="3"/>
  <c r="G4779" i="3"/>
  <c r="G4773" i="3"/>
  <c r="G4769" i="3"/>
  <c r="G4760" i="3"/>
  <c r="G4755" i="3"/>
  <c r="G4751" i="3"/>
  <c r="G4738" i="3"/>
  <c r="G4733" i="3"/>
  <c r="G4720" i="3"/>
  <c r="G4999" i="3"/>
  <c r="G4990" i="3"/>
  <c r="G4985" i="3"/>
  <c r="G4980" i="3"/>
  <c r="G4976" i="3"/>
  <c r="G4972" i="3"/>
  <c r="G4967" i="3"/>
  <c r="G4963" i="3"/>
  <c r="G4949" i="3"/>
  <c r="G4945" i="3"/>
  <c r="G4936" i="3"/>
  <c r="G4932" i="3"/>
  <c r="G4919" i="3"/>
  <c r="G4906" i="3"/>
  <c r="G4901" i="3"/>
  <c r="G4897" i="3"/>
  <c r="G4892" i="3"/>
  <c r="G4884" i="3"/>
  <c r="G4875" i="3"/>
  <c r="G4861" i="3"/>
  <c r="G4857" i="3"/>
  <c r="G4852" i="3"/>
  <c r="G4848" i="3"/>
  <c r="G4844" i="3"/>
  <c r="G4830" i="3"/>
  <c r="G4826" i="3"/>
  <c r="G4817" i="3"/>
  <c r="G4813" i="3"/>
  <c r="G4809" i="3"/>
  <c r="G4800" i="3"/>
  <c r="G4795" i="3"/>
  <c r="G4780" i="3"/>
  <c r="G4770" i="3"/>
  <c r="G4761" i="3"/>
  <c r="G4752" i="3"/>
  <c r="G4747" i="3"/>
  <c r="G4743" i="3"/>
  <c r="G4739" i="3"/>
  <c r="G4730" i="3"/>
  <c r="G4721" i="3"/>
  <c r="G4717" i="3"/>
  <c r="G4704" i="3"/>
  <c r="G4695" i="3"/>
  <c r="G4686" i="3"/>
  <c r="G4682" i="3"/>
  <c r="G4677" i="3"/>
  <c r="G4673" i="3"/>
  <c r="G4664" i="3"/>
  <c r="G4659" i="3"/>
  <c r="G4655" i="3"/>
  <c r="G4651" i="3"/>
  <c r="G4646" i="3"/>
  <c r="G4633" i="3"/>
  <c r="G4624" i="3"/>
  <c r="G4606" i="3"/>
  <c r="G4601" i="3"/>
  <c r="G4597" i="3"/>
  <c r="G4593" i="3"/>
  <c r="G4589" i="3"/>
  <c r="G4580" i="3"/>
  <c r="G4559" i="3"/>
  <c r="G4554" i="3"/>
  <c r="G4542" i="3"/>
  <c r="G4527" i="3"/>
  <c r="G4516" i="3"/>
  <c r="G4504" i="3"/>
  <c r="G4489" i="3"/>
  <c r="G4484" i="3"/>
  <c r="G4478" i="3"/>
  <c r="G4472" i="3"/>
  <c r="G4451" i="3"/>
  <c r="G4446" i="3"/>
  <c r="G4434" i="3"/>
  <c r="G4419" i="3"/>
  <c r="G4402" i="3"/>
  <c r="G4387" i="3"/>
  <c r="G4382" i="3"/>
  <c r="G5000" i="3"/>
  <c r="G4995" i="3"/>
  <c r="G4991" i="3"/>
  <c r="G4986" i="3"/>
  <c r="G4981" i="3"/>
  <c r="G4977" i="3"/>
  <c r="G4973" i="3"/>
  <c r="G4969" i="3"/>
  <c r="G4964" i="3"/>
  <c r="G4959" i="3"/>
  <c r="G4955" i="3"/>
  <c r="G4951" i="3"/>
  <c r="G4946" i="3"/>
  <c r="G4941" i="3"/>
  <c r="G4937" i="3"/>
  <c r="G4933" i="3"/>
  <c r="G4929" i="3"/>
  <c r="G4924" i="3"/>
  <c r="G4920" i="3"/>
  <c r="G4915" i="3"/>
  <c r="G4911" i="3"/>
  <c r="G4907" i="3"/>
  <c r="G4903" i="3"/>
  <c r="G4898" i="3"/>
  <c r="G4893" i="3"/>
  <c r="G4889" i="3"/>
  <c r="G4885" i="3"/>
  <c r="G4881" i="3"/>
  <c r="G4876" i="3"/>
  <c r="G4871" i="3"/>
  <c r="G4867" i="3"/>
  <c r="G4862" i="3"/>
  <c r="G4858" i="3"/>
  <c r="G4853" i="3"/>
  <c r="G4849" i="3"/>
  <c r="G4845" i="3"/>
  <c r="G4840" i="3"/>
  <c r="G4836" i="3"/>
  <c r="G4831" i="3"/>
  <c r="G4827" i="3"/>
  <c r="G4823" i="3"/>
  <c r="G4818" i="3"/>
  <c r="G4814" i="3"/>
  <c r="G4810" i="3"/>
  <c r="G4805" i="3"/>
  <c r="G4801" i="3"/>
  <c r="G4797" i="3"/>
  <c r="G4792" i="3"/>
  <c r="G4788" i="3"/>
  <c r="G4781" i="3"/>
  <c r="G4775" i="3"/>
  <c r="G4771" i="3"/>
  <c r="G4767" i="3"/>
  <c r="G4762" i="3"/>
  <c r="G4757" i="3"/>
  <c r="G4753" i="3"/>
  <c r="G4749" i="3"/>
  <c r="G4744" i="3"/>
  <c r="G4740" i="3"/>
  <c r="G4735" i="3"/>
  <c r="G4731" i="3"/>
  <c r="G4726" i="3"/>
  <c r="G4722" i="3"/>
  <c r="G4718" i="3"/>
  <c r="G4713" i="3"/>
  <c r="G4709" i="3"/>
  <c r="G4705" i="3"/>
  <c r="G4700" i="3"/>
  <c r="G4696" i="3"/>
  <c r="G4691" i="3"/>
  <c r="G4687" i="3"/>
  <c r="G4683" i="3"/>
  <c r="G4678" i="3"/>
  <c r="G4674" i="3"/>
  <c r="G4669" i="3"/>
  <c r="G4665" i="3"/>
  <c r="G4661" i="3"/>
  <c r="G4656" i="3"/>
  <c r="G4652" i="3"/>
  <c r="G4647" i="3"/>
  <c r="G4642" i="3"/>
  <c r="G4638" i="3"/>
  <c r="G4634" i="3"/>
  <c r="G4629" i="3"/>
  <c r="G4625" i="3"/>
  <c r="G4620" i="3"/>
  <c r="G4616" i="3"/>
  <c r="G4612" i="3"/>
  <c r="G4607" i="3"/>
  <c r="G4603" i="3"/>
  <c r="G4598" i="3"/>
  <c r="G4576" i="3"/>
  <c r="G4573" i="3"/>
  <c r="G4569" i="3"/>
  <c r="G4561" i="3"/>
  <c r="G4556" i="3"/>
  <c r="G4550" i="3"/>
  <c r="G4535" i="3"/>
  <c r="G4530" i="3"/>
  <c r="G4524" i="3"/>
  <c r="G4518" i="3"/>
  <c r="G4512" i="3"/>
  <c r="G4497" i="3"/>
  <c r="G4492" i="3"/>
  <c r="G4486" i="3"/>
  <c r="G4480" i="3"/>
  <c r="G4459" i="3"/>
  <c r="G4454" i="3"/>
  <c r="G4448" i="3"/>
  <c r="G4442" i="3"/>
  <c r="G4427" i="3"/>
  <c r="G4422" i="3"/>
  <c r="G4416" i="3"/>
  <c r="G4410" i="3"/>
  <c r="G4395" i="3"/>
  <c r="G4390" i="3"/>
  <c r="G4384" i="3"/>
  <c r="G4378" i="3"/>
  <c r="G4365" i="3"/>
  <c r="G4360" i="3"/>
  <c r="G4354" i="3"/>
  <c r="G4348" i="3"/>
  <c r="G4333" i="3"/>
  <c r="G4328" i="3"/>
  <c r="G4322" i="3"/>
  <c r="G4316" i="3"/>
  <c r="G4301" i="3"/>
  <c r="G4296" i="3"/>
  <c r="G4290" i="3"/>
  <c r="G4284" i="3"/>
  <c r="G4271" i="3"/>
  <c r="G4266" i="3"/>
  <c r="G4260" i="3"/>
  <c r="G4254" i="3"/>
  <c r="G4239" i="3"/>
  <c r="G4234" i="3"/>
  <c r="G4228" i="3"/>
  <c r="G4222" i="3"/>
  <c r="G4216" i="3"/>
  <c r="G4201" i="3"/>
  <c r="G4196" i="3"/>
  <c r="G4190" i="3"/>
  <c r="G4184" i="3"/>
  <c r="G4177" i="3"/>
  <c r="G4163" i="3"/>
  <c r="G4158" i="3"/>
  <c r="G4152" i="3"/>
  <c r="G4146" i="3"/>
  <c r="G4131" i="3"/>
  <c r="G4126" i="3"/>
  <c r="G4121" i="3"/>
  <c r="G4116" i="3"/>
  <c r="G4101" i="3"/>
  <c r="G4096" i="3"/>
  <c r="G4090" i="3"/>
  <c r="G4084" i="3"/>
  <c r="G4071" i="3"/>
  <c r="G4066" i="3"/>
  <c r="G4060" i="3"/>
  <c r="G4054" i="3"/>
  <c r="G4039" i="3"/>
  <c r="G4034" i="3"/>
  <c r="G4028" i="3"/>
  <c r="G4022" i="3"/>
  <c r="G4016" i="3"/>
  <c r="G4001" i="3"/>
  <c r="G3996" i="3"/>
  <c r="G3990" i="3"/>
  <c r="G3984" i="3"/>
  <c r="G3978" i="3"/>
  <c r="G3963" i="3"/>
  <c r="G3958" i="3"/>
  <c r="G3952" i="3"/>
  <c r="G3946" i="3"/>
  <c r="G3939" i="3"/>
  <c r="G3937" i="3"/>
  <c r="G3936" i="3"/>
  <c r="G3930" i="3"/>
  <c r="G3900" i="3"/>
  <c r="G3875" i="3"/>
  <c r="G3866" i="3"/>
  <c r="G3832" i="3"/>
  <c r="G3825" i="3"/>
  <c r="G3801" i="3"/>
  <c r="G3792" i="3"/>
  <c r="G3768" i="3"/>
  <c r="G3716" i="3"/>
  <c r="G3705" i="3"/>
  <c r="G3653" i="3"/>
  <c r="G3640" i="3"/>
  <c r="G3588" i="3"/>
  <c r="G3577" i="3"/>
  <c r="G3525" i="3"/>
  <c r="G3512" i="3"/>
  <c r="G3460" i="3"/>
  <c r="G3449" i="3"/>
  <c r="G3397" i="3"/>
  <c r="G3384" i="3"/>
  <c r="G4838" i="3"/>
  <c r="G4812" i="3"/>
  <c r="G4794" i="3"/>
  <c r="G4785" i="3"/>
  <c r="G4729" i="3"/>
  <c r="G4724" i="3"/>
  <c r="G4711" i="3"/>
  <c r="G4707" i="3"/>
  <c r="G4703" i="3"/>
  <c r="G4698" i="3"/>
  <c r="G4694" i="3"/>
  <c r="G4689" i="3"/>
  <c r="G4685" i="3"/>
  <c r="G4681" i="3"/>
  <c r="G4676" i="3"/>
  <c r="G4672" i="3"/>
  <c r="G4667" i="3"/>
  <c r="G4663" i="3"/>
  <c r="G4658" i="3"/>
  <c r="G4654" i="3"/>
  <c r="G4649" i="3"/>
  <c r="G4645" i="3"/>
  <c r="G4640" i="3"/>
  <c r="G4636" i="3"/>
  <c r="G4632" i="3"/>
  <c r="G4627" i="3"/>
  <c r="G4623" i="3"/>
  <c r="G4618" i="3"/>
  <c r="G4614" i="3"/>
  <c r="G4609" i="3"/>
  <c r="G4605" i="3"/>
  <c r="G4592" i="3"/>
  <c r="G4588" i="3"/>
  <c r="G4583" i="3"/>
  <c r="G4579" i="3"/>
  <c r="G4575" i="3"/>
  <c r="G4571" i="3"/>
  <c r="G4566" i="3"/>
  <c r="G4564" i="3"/>
  <c r="G4540" i="3"/>
  <c r="G4534" i="3"/>
  <c r="G4502" i="3"/>
  <c r="G4496" i="3"/>
  <c r="G4470" i="3"/>
  <c r="G4464" i="3"/>
  <c r="G4458" i="3"/>
  <c r="G4443" i="3"/>
  <c r="G4438" i="3"/>
  <c r="G4432" i="3"/>
  <c r="G4426" i="3"/>
  <c r="G4411" i="3"/>
  <c r="G4406" i="3"/>
  <c r="G4400" i="3"/>
  <c r="G4394" i="3"/>
  <c r="G4379" i="3"/>
  <c r="G4374" i="3"/>
  <c r="G4369" i="3"/>
  <c r="G4364" i="3"/>
  <c r="G4349" i="3"/>
  <c r="G4344" i="3"/>
  <c r="G4338" i="3"/>
  <c r="G4332" i="3"/>
  <c r="G4317" i="3"/>
  <c r="G4312" i="3"/>
  <c r="G4306" i="3"/>
  <c r="G4300" i="3"/>
  <c r="G4285" i="3"/>
  <c r="G4280" i="3"/>
  <c r="G4274" i="3"/>
  <c r="G4270" i="3"/>
  <c r="G4255" i="3"/>
  <c r="G4250" i="3"/>
  <c r="G4244" i="3"/>
  <c r="G4238" i="3"/>
  <c r="G4223" i="3"/>
  <c r="G4218" i="3"/>
  <c r="G4212" i="3"/>
  <c r="G4206" i="3"/>
  <c r="G4200" i="3"/>
  <c r="G4185" i="3"/>
  <c r="G4180" i="3"/>
  <c r="G4174" i="3"/>
  <c r="G4168" i="3"/>
  <c r="G4162" i="3"/>
  <c r="G4147" i="3"/>
  <c r="G4142" i="3"/>
  <c r="G4136" i="3"/>
  <c r="G4130" i="3"/>
  <c r="G4117" i="3"/>
  <c r="G4112" i="3"/>
  <c r="G4106" i="3"/>
  <c r="G4100" i="3"/>
  <c r="G4085" i="3"/>
  <c r="G4080" i="3"/>
  <c r="G4074" i="3"/>
  <c r="G4070" i="3"/>
  <c r="G4055" i="3"/>
  <c r="G4050" i="3"/>
  <c r="G4044" i="3"/>
  <c r="G4038" i="3"/>
  <c r="G4017" i="3"/>
  <c r="G4012" i="3"/>
  <c r="G4006" i="3"/>
  <c r="G4000" i="3"/>
  <c r="G3979" i="3"/>
  <c r="G3974" i="3"/>
  <c r="G3968" i="3"/>
  <c r="G3962" i="3"/>
  <c r="G3947" i="3"/>
  <c r="G3931" i="3"/>
  <c r="G3926" i="3"/>
  <c r="G3921" i="3"/>
  <c r="G3944" i="3"/>
  <c r="G3938" i="3"/>
  <c r="G3923" i="3"/>
  <c r="G3920" i="3"/>
  <c r="G3914" i="3"/>
  <c r="G3913" i="3"/>
  <c r="G3904" i="3"/>
  <c r="G3894" i="3"/>
  <c r="G3887" i="3"/>
  <c r="G3878" i="3"/>
  <c r="G3871" i="3"/>
  <c r="G3862" i="3"/>
  <c r="G3855" i="3"/>
  <c r="G3845" i="3"/>
  <c r="G3836" i="3"/>
  <c r="G3829" i="3"/>
  <c r="G3820" i="3"/>
  <c r="G3813" i="3"/>
  <c r="G3804" i="3"/>
  <c r="G3797" i="3"/>
  <c r="G3788" i="3"/>
  <c r="G3781" i="3"/>
  <c r="G3772" i="3"/>
  <c r="G3765" i="3"/>
  <c r="G3752" i="3"/>
  <c r="G3732" i="3"/>
  <c r="G3721" i="3"/>
  <c r="G3701" i="3"/>
  <c r="G3688" i="3"/>
  <c r="G3668" i="3"/>
  <c r="G3657" i="3"/>
  <c r="G3637" i="3"/>
  <c r="G3624" i="3"/>
  <c r="G3604" i="3"/>
  <c r="G3593" i="3"/>
  <c r="G3573" i="3"/>
  <c r="G3560" i="3"/>
  <c r="G3540" i="3"/>
  <c r="G3529" i="3"/>
  <c r="G3509" i="3"/>
  <c r="G3496" i="3"/>
  <c r="G3476" i="3"/>
  <c r="G3465" i="3"/>
  <c r="G3445" i="3"/>
  <c r="G3432" i="3"/>
  <c r="G3412" i="3"/>
  <c r="G3401" i="3"/>
  <c r="G3381" i="3"/>
  <c r="G3368" i="3"/>
  <c r="G3348" i="3"/>
  <c r="G3337" i="3"/>
  <c r="G3317" i="3"/>
  <c r="G3300" i="3"/>
  <c r="G3280" i="3"/>
  <c r="G3252" i="3"/>
  <c r="G3237" i="3"/>
  <c r="G3353" i="3"/>
  <c r="G3333" i="3"/>
  <c r="G3320" i="3"/>
  <c r="G3296" i="3"/>
  <c r="G3233" i="3"/>
  <c r="G3217" i="3"/>
  <c r="G3185" i="3"/>
  <c r="G3175" i="3"/>
  <c r="G3143" i="3"/>
  <c r="G3111" i="3"/>
  <c r="G3089" i="3"/>
  <c r="G3049" i="3"/>
  <c r="G3023" i="3"/>
  <c r="G2983" i="3"/>
  <c r="G2961" i="3"/>
  <c r="G2669" i="3"/>
  <c r="G4604" i="3"/>
  <c r="G4599" i="3"/>
  <c r="G4595" i="3"/>
  <c r="G4590" i="3"/>
  <c r="G4586" i="3"/>
  <c r="G4581" i="3"/>
  <c r="G4577" i="3"/>
  <c r="G4572" i="3"/>
  <c r="G4567" i="3"/>
  <c r="G4560" i="3"/>
  <c r="G4552" i="3"/>
  <c r="G4544" i="3"/>
  <c r="G4536" i="3"/>
  <c r="G4528" i="3"/>
  <c r="G4520" i="3"/>
  <c r="G4513" i="3"/>
  <c r="G4506" i="3"/>
  <c r="G4498" i="3"/>
  <c r="G4490" i="3"/>
  <c r="G4482" i="3"/>
  <c r="G4474" i="3"/>
  <c r="G4466" i="3"/>
  <c r="G4460" i="3"/>
  <c r="G4452" i="3"/>
  <c r="G4444" i="3"/>
  <c r="G4436" i="3"/>
  <c r="G4428" i="3"/>
  <c r="G4420" i="3"/>
  <c r="G4412" i="3"/>
  <c r="G4404" i="3"/>
  <c r="G4396" i="3"/>
  <c r="G4388" i="3"/>
  <c r="G4380" i="3"/>
  <c r="G4372" i="3"/>
  <c r="G4366" i="3"/>
  <c r="G4358" i="3"/>
  <c r="G4350" i="3"/>
  <c r="G4342" i="3"/>
  <c r="G4334" i="3"/>
  <c r="G4326" i="3"/>
  <c r="G4318" i="3"/>
  <c r="G4310" i="3"/>
  <c r="G4302" i="3"/>
  <c r="G4294" i="3"/>
  <c r="G4286" i="3"/>
  <c r="G4278" i="3"/>
  <c r="G4272" i="3"/>
  <c r="G4264" i="3"/>
  <c r="G4256" i="3"/>
  <c r="G4248" i="3"/>
  <c r="G4240" i="3"/>
  <c r="G4232" i="3"/>
  <c r="G4224" i="3"/>
  <c r="G4217" i="3"/>
  <c r="G4210" i="3"/>
  <c r="G4202" i="3"/>
  <c r="G4194" i="3"/>
  <c r="G4186" i="3"/>
  <c r="G4178" i="3"/>
  <c r="G4172" i="3"/>
  <c r="G4164" i="3"/>
  <c r="G4156" i="3"/>
  <c r="G4148" i="3"/>
  <c r="G4140" i="3"/>
  <c r="G4132" i="3"/>
  <c r="G4124" i="3"/>
  <c r="G4118" i="3"/>
  <c r="G4110" i="3"/>
  <c r="G4102" i="3"/>
  <c r="G4094" i="3"/>
  <c r="G4086" i="3"/>
  <c r="G4078" i="3"/>
  <c r="G4072" i="3"/>
  <c r="G4064" i="3"/>
  <c r="G4056" i="3"/>
  <c r="G4048" i="3"/>
  <c r="G4040" i="3"/>
  <c r="G4032" i="3"/>
  <c r="G4025" i="3"/>
  <c r="G4018" i="3"/>
  <c r="G4010" i="3"/>
  <c r="G4002" i="3"/>
  <c r="G3994" i="3"/>
  <c r="G3986" i="3"/>
  <c r="G3980" i="3"/>
  <c r="G3972" i="3"/>
  <c r="G3964" i="3"/>
  <c r="G3956" i="3"/>
  <c r="G3948" i="3"/>
  <c r="G3940" i="3"/>
  <c r="G3932" i="3"/>
  <c r="G3924" i="3"/>
  <c r="G3918" i="3"/>
  <c r="G3910" i="3"/>
  <c r="G3902" i="3"/>
  <c r="G3896" i="3"/>
  <c r="G3888" i="3"/>
  <c r="G3880" i="3"/>
  <c r="G3872" i="3"/>
  <c r="G3864" i="3"/>
  <c r="G3856" i="3"/>
  <c r="G3849" i="3"/>
  <c r="G3842" i="3"/>
  <c r="G3834" i="3"/>
  <c r="G3826" i="3"/>
  <c r="G3818" i="3"/>
  <c r="G3810" i="3"/>
  <c r="G3802" i="3"/>
  <c r="G3794" i="3"/>
  <c r="G3786" i="3"/>
  <c r="G3778" i="3"/>
  <c r="G3770" i="3"/>
  <c r="G3761" i="3"/>
  <c r="G3756" i="3"/>
  <c r="G3750" i="3"/>
  <c r="G3744" i="3"/>
  <c r="G3729" i="3"/>
  <c r="G3724" i="3"/>
  <c r="G3718" i="3"/>
  <c r="G3712" i="3"/>
  <c r="G3697" i="3"/>
  <c r="G3692" i="3"/>
  <c r="G3686" i="3"/>
  <c r="G3680" i="3"/>
  <c r="G3665" i="3"/>
  <c r="G3660" i="3"/>
  <c r="G3654" i="3"/>
  <c r="G3648" i="3"/>
  <c r="G3633" i="3"/>
  <c r="G3628" i="3"/>
  <c r="G3622" i="3"/>
  <c r="G3616" i="3"/>
  <c r="G3601" i="3"/>
  <c r="G3596" i="3"/>
  <c r="G3590" i="3"/>
  <c r="G3584" i="3"/>
  <c r="G3569" i="3"/>
  <c r="G3564" i="3"/>
  <c r="G3558" i="3"/>
  <c r="G3552" i="3"/>
  <c r="G3537" i="3"/>
  <c r="G3532" i="3"/>
  <c r="G3526" i="3"/>
  <c r="G3520" i="3"/>
  <c r="G3505" i="3"/>
  <c r="G3500" i="3"/>
  <c r="G3494" i="3"/>
  <c r="G3488" i="3"/>
  <c r="G3473" i="3"/>
  <c r="G3468" i="3"/>
  <c r="G3462" i="3"/>
  <c r="G3456" i="3"/>
  <c r="G3441" i="3"/>
  <c r="G3436" i="3"/>
  <c r="G3430" i="3"/>
  <c r="G3424" i="3"/>
  <c r="G3409" i="3"/>
  <c r="G3404" i="3"/>
  <c r="G3398" i="3"/>
  <c r="G3392" i="3"/>
  <c r="G3377" i="3"/>
  <c r="G3372" i="3"/>
  <c r="G3366" i="3"/>
  <c r="G3360" i="3"/>
  <c r="G3345" i="3"/>
  <c r="G3340" i="3"/>
  <c r="G3334" i="3"/>
  <c r="G3328" i="3"/>
  <c r="G3313" i="3"/>
  <c r="G3304" i="3"/>
  <c r="G3298" i="3"/>
  <c r="G3292" i="3"/>
  <c r="G3285" i="3"/>
  <c r="G3269" i="3"/>
  <c r="G3264" i="3"/>
  <c r="G3258" i="3"/>
  <c r="G3248" i="3"/>
  <c r="G3209" i="3"/>
  <c r="G3171" i="3"/>
  <c r="G3167" i="3"/>
  <c r="G3153" i="3"/>
  <c r="G3121" i="3"/>
  <c r="G3081" i="3"/>
  <c r="G3055" i="3"/>
  <c r="G3015" i="3"/>
  <c r="G2993" i="3"/>
  <c r="G2953" i="3"/>
  <c r="G2927" i="3"/>
  <c r="G3906" i="3"/>
  <c r="G3898" i="3"/>
  <c r="G3892" i="3"/>
  <c r="G3884" i="3"/>
  <c r="G3876" i="3"/>
  <c r="G3868" i="3"/>
  <c r="G3860" i="3"/>
  <c r="G3852" i="3"/>
  <c r="G3846" i="3"/>
  <c r="G3838" i="3"/>
  <c r="G3830" i="3"/>
  <c r="G3822" i="3"/>
  <c r="G3814" i="3"/>
  <c r="G3806" i="3"/>
  <c r="G3798" i="3"/>
  <c r="G3790" i="3"/>
  <c r="G3782" i="3"/>
  <c r="G3774" i="3"/>
  <c r="G3766" i="3"/>
  <c r="G3760" i="3"/>
  <c r="G3745" i="3"/>
  <c r="G3740" i="3"/>
  <c r="G3734" i="3"/>
  <c r="G3728" i="3"/>
  <c r="G3713" i="3"/>
  <c r="G3708" i="3"/>
  <c r="G3702" i="3"/>
  <c r="G3696" i="3"/>
  <c r="G3681" i="3"/>
  <c r="G3676" i="3"/>
  <c r="G3670" i="3"/>
  <c r="G3664" i="3"/>
  <c r="G3649" i="3"/>
  <c r="G3644" i="3"/>
  <c r="G3638" i="3"/>
  <c r="G3632" i="3"/>
  <c r="G3617" i="3"/>
  <c r="G3612" i="3"/>
  <c r="G3606" i="3"/>
  <c r="G3600" i="3"/>
  <c r="G3585" i="3"/>
  <c r="G3580" i="3"/>
  <c r="G3574" i="3"/>
  <c r="G3568" i="3"/>
  <c r="G3553" i="3"/>
  <c r="G3548" i="3"/>
  <c r="G3542" i="3"/>
  <c r="G3536" i="3"/>
  <c r="G3521" i="3"/>
  <c r="G3516" i="3"/>
  <c r="G3510" i="3"/>
  <c r="G3504" i="3"/>
  <c r="G3489" i="3"/>
  <c r="G3484" i="3"/>
  <c r="G3478" i="3"/>
  <c r="G3472" i="3"/>
  <c r="G3457" i="3"/>
  <c r="G3452" i="3"/>
  <c r="G3446" i="3"/>
  <c r="G3440" i="3"/>
  <c r="G3425" i="3"/>
  <c r="G3420" i="3"/>
  <c r="G3414" i="3"/>
  <c r="G3408" i="3"/>
  <c r="G3393" i="3"/>
  <c r="G3388" i="3"/>
  <c r="G3382" i="3"/>
  <c r="G3376" i="3"/>
  <c r="G3361" i="3"/>
  <c r="G3356" i="3"/>
  <c r="G3350" i="3"/>
  <c r="G3344" i="3"/>
  <c r="G3329" i="3"/>
  <c r="G3324" i="3"/>
  <c r="G3318" i="3"/>
  <c r="G3312" i="3"/>
  <c r="G3287" i="3"/>
  <c r="G3277" i="3"/>
  <c r="G3275" i="3"/>
  <c r="G3274" i="3"/>
  <c r="G3268" i="3"/>
  <c r="G3240" i="3"/>
  <c r="G3234" i="3"/>
  <c r="G3228" i="3"/>
  <c r="G3165" i="3"/>
  <c r="G3155" i="3"/>
  <c r="G3137" i="3"/>
  <c r="G3127" i="3"/>
  <c r="G3125" i="3"/>
  <c r="G3123" i="3"/>
  <c r="G3762" i="3"/>
  <c r="G3754" i="3"/>
  <c r="G3746" i="3"/>
  <c r="G3738" i="3"/>
  <c r="G3730" i="3"/>
  <c r="G3722" i="3"/>
  <c r="G3714" i="3"/>
  <c r="G3706" i="3"/>
  <c r="G3698" i="3"/>
  <c r="G3690" i="3"/>
  <c r="G3682" i="3"/>
  <c r="G3674" i="3"/>
  <c r="G3666" i="3"/>
  <c r="G3658" i="3"/>
  <c r="G3650" i="3"/>
  <c r="G3642" i="3"/>
  <c r="G3634" i="3"/>
  <c r="G3626" i="3"/>
  <c r="G3618" i="3"/>
  <c r="G3610" i="3"/>
  <c r="G3602" i="3"/>
  <c r="G3594" i="3"/>
  <c r="G3586" i="3"/>
  <c r="G3578" i="3"/>
  <c r="G3570" i="3"/>
  <c r="G3562" i="3"/>
  <c r="G3554" i="3"/>
  <c r="G3546" i="3"/>
  <c r="G3538" i="3"/>
  <c r="G3530" i="3"/>
  <c r="G3522" i="3"/>
  <c r="G3514" i="3"/>
  <c r="G3506" i="3"/>
  <c r="G3498" i="3"/>
  <c r="G3490" i="3"/>
  <c r="G3482" i="3"/>
  <c r="G3474" i="3"/>
  <c r="G3466" i="3"/>
  <c r="G3458" i="3"/>
  <c r="G3450" i="3"/>
  <c r="G3442" i="3"/>
  <c r="G3434" i="3"/>
  <c r="G3426" i="3"/>
  <c r="G3418" i="3"/>
  <c r="G3410" i="3"/>
  <c r="G3402" i="3"/>
  <c r="G3394" i="3"/>
  <c r="G3386" i="3"/>
  <c r="G3378" i="3"/>
  <c r="G3370" i="3"/>
  <c r="G3362" i="3"/>
  <c r="G3354" i="3"/>
  <c r="G3346" i="3"/>
  <c r="G3338" i="3"/>
  <c r="G3330" i="3"/>
  <c r="G3322" i="3"/>
  <c r="G3314" i="3"/>
  <c r="G3308" i="3"/>
  <c r="G3293" i="3"/>
  <c r="G3288" i="3"/>
  <c r="G3282" i="3"/>
  <c r="G3276" i="3"/>
  <c r="G3261" i="3"/>
  <c r="G3256" i="3"/>
  <c r="G3250" i="3"/>
  <c r="G3244" i="3"/>
  <c r="G3229" i="3"/>
  <c r="G3223" i="3"/>
  <c r="G3203" i="3"/>
  <c r="G3199" i="3"/>
  <c r="G3169" i="3"/>
  <c r="G3159" i="3"/>
  <c r="G3139" i="3"/>
  <c r="G3135" i="3"/>
  <c r="G3105" i="3"/>
  <c r="G3095" i="3"/>
  <c r="G3075" i="3"/>
  <c r="G3071" i="3"/>
  <c r="G3041" i="3"/>
  <c r="G3031" i="3"/>
  <c r="G3011" i="3"/>
  <c r="G3007" i="3"/>
  <c r="G2977" i="3"/>
  <c r="G2967" i="3"/>
  <c r="G2947" i="3"/>
  <c r="G2943" i="3"/>
  <c r="G2861" i="3"/>
  <c r="G2857" i="3"/>
  <c r="G2847" i="3"/>
  <c r="G2843" i="3"/>
  <c r="G3107" i="3"/>
  <c r="G3103" i="3"/>
  <c r="G3073" i="3"/>
  <c r="G3063" i="3"/>
  <c r="G3043" i="3"/>
  <c r="G3039" i="3"/>
  <c r="G3009" i="3"/>
  <c r="G2999" i="3"/>
  <c r="G2979" i="3"/>
  <c r="G2975" i="3"/>
  <c r="G2945" i="3"/>
  <c r="G2935" i="3"/>
  <c r="G2921" i="3"/>
  <c r="G2911" i="3"/>
  <c r="G2909" i="3"/>
  <c r="G2907" i="3"/>
  <c r="G2797" i="3"/>
  <c r="G2793" i="3"/>
  <c r="G2745" i="3"/>
  <c r="G2681" i="3"/>
  <c r="G3310" i="3"/>
  <c r="G3302" i="3"/>
  <c r="G3294" i="3"/>
  <c r="G3286" i="3"/>
  <c r="G3278" i="3"/>
  <c r="G3270" i="3"/>
  <c r="G3262" i="3"/>
  <c r="G3254" i="3"/>
  <c r="G3246" i="3"/>
  <c r="G3238" i="3"/>
  <c r="G3230" i="3"/>
  <c r="G3211" i="3"/>
  <c r="G3195" i="3"/>
  <c r="G3179" i="3"/>
  <c r="G3163" i="3"/>
  <c r="G3147" i="3"/>
  <c r="G3131" i="3"/>
  <c r="G3115" i="3"/>
  <c r="G3099" i="3"/>
  <c r="G3083" i="3"/>
  <c r="G3067" i="3"/>
  <c r="G3051" i="3"/>
  <c r="G3035" i="3"/>
  <c r="G3019" i="3"/>
  <c r="G3003" i="3"/>
  <c r="G2987" i="3"/>
  <c r="G2971" i="3"/>
  <c r="G2955" i="3"/>
  <c r="G2939" i="3"/>
  <c r="G2923" i="3"/>
  <c r="G2905" i="3"/>
  <c r="G2895" i="3"/>
  <c r="G2893" i="3"/>
  <c r="G2891" i="3"/>
  <c r="G2877" i="3"/>
  <c r="G2873" i="3"/>
  <c r="G2863" i="3"/>
  <c r="G2859" i="3"/>
  <c r="G2845" i="3"/>
  <c r="G2841" i="3"/>
  <c r="G2831" i="3"/>
  <c r="G2827" i="3"/>
  <c r="G2813" i="3"/>
  <c r="G2809" i="3"/>
  <c r="G2799" i="3"/>
  <c r="G2795" i="3"/>
  <c r="G2781" i="3"/>
  <c r="G2777" i="3"/>
  <c r="G2713" i="3"/>
  <c r="G1380" i="3"/>
  <c r="G588" i="3"/>
  <c r="G1364" i="3"/>
  <c r="G2915" i="3"/>
  <c r="G2899" i="3"/>
  <c r="G2883" i="3"/>
  <c r="G2867" i="3"/>
  <c r="G2851" i="3"/>
  <c r="G2835" i="3"/>
  <c r="G2819" i="3"/>
  <c r="G2803" i="3"/>
  <c r="G2787" i="3"/>
  <c r="G2771" i="3"/>
  <c r="G2755" i="3"/>
  <c r="G2739" i="3"/>
  <c r="G2723" i="3"/>
  <c r="G2707" i="3"/>
  <c r="G2691" i="3"/>
  <c r="G2675" i="3"/>
  <c r="G548" i="3"/>
  <c r="G534" i="3"/>
  <c r="G518" i="3"/>
  <c r="G2783" i="3"/>
  <c r="G2767" i="3"/>
  <c r="G2751" i="3"/>
  <c r="G2735" i="3"/>
  <c r="G2719" i="3"/>
  <c r="G2703" i="3"/>
  <c r="G2687" i="3"/>
  <c r="G2671" i="3"/>
  <c r="G932" i="3"/>
  <c r="G924" i="3"/>
  <c r="G916" i="3"/>
  <c r="G908" i="3"/>
  <c r="G900" i="3"/>
  <c r="G892" i="3"/>
  <c r="G884" i="3"/>
  <c r="G876" i="3"/>
  <c r="G868" i="3"/>
  <c r="G860" i="3"/>
  <c r="G852" i="3"/>
  <c r="G844" i="3"/>
  <c r="G836" i="3"/>
  <c r="G828" i="3"/>
  <c r="G820" i="3"/>
  <c r="G812" i="3"/>
  <c r="G804" i="3"/>
  <c r="G796" i="3"/>
  <c r="G788" i="3"/>
  <c r="G780" i="3"/>
  <c r="G772" i="3"/>
  <c r="G764" i="3"/>
  <c r="G756" i="3"/>
  <c r="G748" i="3"/>
  <c r="G740" i="3"/>
  <c r="G732" i="3"/>
  <c r="G724" i="3"/>
  <c r="G716" i="3"/>
  <c r="G708" i="3"/>
  <c r="G700" i="3"/>
  <c r="G692" i="3"/>
  <c r="G684" i="3"/>
  <c r="G676" i="3"/>
  <c r="G668" i="3"/>
  <c r="G660" i="3"/>
  <c r="G652" i="3"/>
  <c r="G644" i="3"/>
  <c r="G636" i="3"/>
  <c r="G628" i="3"/>
  <c r="G620" i="3"/>
  <c r="G612" i="3"/>
  <c r="G604" i="3"/>
  <c r="G596" i="3"/>
  <c r="G485" i="3"/>
  <c r="G2919" i="3"/>
  <c r="G2903" i="3"/>
  <c r="G2887" i="3"/>
  <c r="G2871" i="3"/>
  <c r="G2855" i="3"/>
  <c r="G2839" i="3"/>
  <c r="G2823" i="3"/>
  <c r="G2807" i="3"/>
  <c r="G2791" i="3"/>
  <c r="G2775" i="3"/>
  <c r="G2759" i="3"/>
  <c r="G2743" i="3"/>
  <c r="G2727" i="3"/>
  <c r="G2711" i="3"/>
  <c r="G2695" i="3"/>
  <c r="G2679" i="3"/>
  <c r="G2663" i="3"/>
  <c r="G936" i="3"/>
  <c r="G928" i="3"/>
  <c r="G920" i="3"/>
  <c r="G912" i="3"/>
  <c r="G904" i="3"/>
  <c r="G896" i="3"/>
  <c r="G888" i="3"/>
  <c r="G880" i="3"/>
  <c r="G872" i="3"/>
  <c r="G864" i="3"/>
  <c r="G856" i="3"/>
  <c r="G848" i="3"/>
  <c r="G840" i="3"/>
  <c r="G832" i="3"/>
  <c r="G824" i="3"/>
  <c r="G816" i="3"/>
  <c r="G808" i="3"/>
  <c r="G800" i="3"/>
  <c r="G792" i="3"/>
  <c r="G784" i="3"/>
  <c r="G776" i="3"/>
  <c r="G768" i="3"/>
  <c r="G760" i="3"/>
  <c r="G752" i="3"/>
  <c r="G744" i="3"/>
  <c r="G736" i="3"/>
  <c r="G728" i="3"/>
  <c r="G720" i="3"/>
  <c r="G712" i="3"/>
  <c r="G704" i="3"/>
  <c r="G696" i="3"/>
  <c r="G688" i="3"/>
  <c r="G680" i="3"/>
  <c r="G672" i="3"/>
  <c r="G664" i="3"/>
  <c r="G656" i="3"/>
  <c r="G648" i="3"/>
  <c r="G640" i="3"/>
  <c r="G632" i="3"/>
  <c r="G624" i="3"/>
  <c r="G616" i="3"/>
  <c r="G608" i="3"/>
  <c r="G600" i="3"/>
  <c r="G564" i="3"/>
  <c r="G3224" i="3"/>
  <c r="G3216" i="3"/>
  <c r="G3208" i="3"/>
  <c r="G3200" i="3"/>
  <c r="G3192" i="3"/>
  <c r="G3184" i="3"/>
  <c r="G3176" i="3"/>
  <c r="G3168" i="3"/>
  <c r="G3160" i="3"/>
  <c r="G3152" i="3"/>
  <c r="G3144" i="3"/>
  <c r="G3136" i="3"/>
  <c r="G3128" i="3"/>
  <c r="G3120" i="3"/>
  <c r="G3112" i="3"/>
  <c r="G3104" i="3"/>
  <c r="G3096" i="3"/>
  <c r="G3088" i="3"/>
  <c r="G3080" i="3"/>
  <c r="G3072" i="3"/>
  <c r="G3064" i="3"/>
  <c r="G3056" i="3"/>
  <c r="G3048" i="3"/>
  <c r="G3040" i="3"/>
  <c r="G3032" i="3"/>
  <c r="G3024" i="3"/>
  <c r="G3016" i="3"/>
  <c r="G3008" i="3"/>
  <c r="G3000" i="3"/>
  <c r="G2992" i="3"/>
  <c r="G2984" i="3"/>
  <c r="G2976" i="3"/>
  <c r="G2968" i="3"/>
  <c r="G2960" i="3"/>
  <c r="G2952" i="3"/>
  <c r="G2944" i="3"/>
  <c r="G2936" i="3"/>
  <c r="G2928" i="3"/>
  <c r="G2920" i="3"/>
  <c r="G2912" i="3"/>
  <c r="G2904" i="3"/>
  <c r="G2896" i="3"/>
  <c r="G2888" i="3"/>
  <c r="G2880" i="3"/>
  <c r="G2872" i="3"/>
  <c r="G2864" i="3"/>
  <c r="G2856" i="3"/>
  <c r="G2848" i="3"/>
  <c r="G2840" i="3"/>
  <c r="G2832" i="3"/>
  <c r="G2824" i="3"/>
  <c r="G2816" i="3"/>
  <c r="G2808" i="3"/>
  <c r="G2800" i="3"/>
  <c r="G2792" i="3"/>
  <c r="G2784" i="3"/>
  <c r="G2776" i="3"/>
  <c r="G2768" i="3"/>
  <c r="G2760" i="3"/>
  <c r="G2752" i="3"/>
  <c r="G2744" i="3"/>
  <c r="G2736" i="3"/>
  <c r="G2728" i="3"/>
  <c r="G2720" i="3"/>
  <c r="G2712" i="3"/>
  <c r="G2704" i="3"/>
  <c r="G2696" i="3"/>
  <c r="G2688" i="3"/>
  <c r="G2680" i="3"/>
  <c r="G2672" i="3"/>
  <c r="G2664" i="3"/>
  <c r="G2658" i="3"/>
  <c r="G2654" i="3"/>
  <c r="G2650" i="3"/>
  <c r="G2646" i="3"/>
  <c r="G2642" i="3"/>
  <c r="G2638" i="3"/>
  <c r="G2634" i="3"/>
  <c r="G2630" i="3"/>
  <c r="G2626" i="3"/>
  <c r="G2622" i="3"/>
  <c r="G2618" i="3"/>
  <c r="G2614" i="3"/>
  <c r="G2610" i="3"/>
  <c r="G2606" i="3"/>
  <c r="G2602" i="3"/>
  <c r="G2598" i="3"/>
  <c r="G2594" i="3"/>
  <c r="G2590" i="3"/>
  <c r="G2586" i="3"/>
  <c r="G2582" i="3"/>
  <c r="G2578" i="3"/>
  <c r="G2574" i="3"/>
  <c r="G2570" i="3"/>
  <c r="G2566" i="3"/>
  <c r="G2562" i="3"/>
  <c r="G2558" i="3"/>
  <c r="G2554" i="3"/>
  <c r="G2550" i="3"/>
  <c r="G2546" i="3"/>
  <c r="G2542" i="3"/>
  <c r="G2538" i="3"/>
  <c r="G2534" i="3"/>
  <c r="G2530" i="3"/>
  <c r="G2526" i="3"/>
  <c r="G2522" i="3"/>
  <c r="G2518" i="3"/>
  <c r="G2514" i="3"/>
  <c r="G2510" i="3"/>
  <c r="G2506" i="3"/>
  <c r="G2502" i="3"/>
  <c r="G2498" i="3"/>
  <c r="G2494" i="3"/>
  <c r="G2490" i="3"/>
  <c r="G2486" i="3"/>
  <c r="G2482" i="3"/>
  <c r="G2478" i="3"/>
  <c r="G2474" i="3"/>
  <c r="G2470" i="3"/>
  <c r="G2466" i="3"/>
  <c r="G2462" i="3"/>
  <c r="G2458" i="3"/>
  <c r="G2454" i="3"/>
  <c r="G2450" i="3"/>
  <c r="G2446" i="3"/>
  <c r="G2442" i="3"/>
  <c r="G2438" i="3"/>
  <c r="G2434" i="3"/>
  <c r="G2430" i="3"/>
  <c r="G2426" i="3"/>
  <c r="G2422" i="3"/>
  <c r="G2418" i="3"/>
  <c r="G2414" i="3"/>
  <c r="G2410" i="3"/>
  <c r="G2406" i="3"/>
  <c r="G2402" i="3"/>
  <c r="G2398" i="3"/>
  <c r="G2394" i="3"/>
  <c r="G2390" i="3"/>
  <c r="G2386" i="3"/>
  <c r="G2382" i="3"/>
  <c r="G2378" i="3"/>
  <c r="G2374" i="3"/>
  <c r="G2370" i="3"/>
  <c r="G2366" i="3"/>
  <c r="G2362" i="3"/>
  <c r="G2358" i="3"/>
  <c r="G2354" i="3"/>
  <c r="G2350" i="3"/>
  <c r="G2346" i="3"/>
  <c r="G2342" i="3"/>
  <c r="G2338" i="3"/>
  <c r="G2334" i="3"/>
  <c r="G2330" i="3"/>
  <c r="G2326" i="3"/>
  <c r="G2322" i="3"/>
  <c r="G2318" i="3"/>
  <c r="G2314" i="3"/>
  <c r="G2310" i="3"/>
  <c r="G2306" i="3"/>
  <c r="G2302" i="3"/>
  <c r="G2298" i="3"/>
  <c r="G2294" i="3"/>
  <c r="G2290" i="3"/>
  <c r="G2286" i="3"/>
  <c r="G2282" i="3"/>
  <c r="G2278" i="3"/>
  <c r="G2274" i="3"/>
  <c r="G2270" i="3"/>
  <c r="G2266" i="3"/>
  <c r="G2262" i="3"/>
  <c r="G2258" i="3"/>
  <c r="G2254" i="3"/>
  <c r="G2250" i="3"/>
  <c r="G2246" i="3"/>
  <c r="G2242" i="3"/>
  <c r="G2238" i="3"/>
  <c r="G2234" i="3"/>
  <c r="G2230" i="3"/>
  <c r="G2226" i="3"/>
  <c r="G2222" i="3"/>
  <c r="G2218" i="3"/>
  <c r="G2214" i="3"/>
  <c r="G2210" i="3"/>
  <c r="G2206" i="3"/>
  <c r="G2202" i="3"/>
  <c r="G2198" i="3"/>
  <c r="G2194" i="3"/>
  <c r="G2190" i="3"/>
  <c r="G2186" i="3"/>
  <c r="G2182" i="3"/>
  <c r="G2178" i="3"/>
  <c r="G2174" i="3"/>
  <c r="G2170" i="3"/>
  <c r="G2166" i="3"/>
  <c r="G2162" i="3"/>
  <c r="G2158" i="3"/>
  <c r="G2154" i="3"/>
  <c r="G2150" i="3"/>
  <c r="G2146" i="3"/>
  <c r="G2142" i="3"/>
  <c r="G2138" i="3"/>
  <c r="G2134" i="3"/>
  <c r="G2130" i="3"/>
  <c r="G2126" i="3"/>
  <c r="G2122" i="3"/>
  <c r="G2118" i="3"/>
  <c r="G2114" i="3"/>
  <c r="G2110" i="3"/>
  <c r="G2106" i="3"/>
  <c r="G2102" i="3"/>
  <c r="G2098" i="3"/>
  <c r="G2094" i="3"/>
  <c r="G2090" i="3"/>
  <c r="G2086" i="3"/>
  <c r="G2082" i="3"/>
  <c r="G2078" i="3"/>
  <c r="G2074" i="3"/>
  <c r="G2070" i="3"/>
  <c r="G2066" i="3"/>
  <c r="G2062" i="3"/>
  <c r="G2058" i="3"/>
  <c r="G2054" i="3"/>
  <c r="G2050" i="3"/>
  <c r="G2046" i="3"/>
  <c r="G2042" i="3"/>
  <c r="G2038" i="3"/>
  <c r="G2034" i="3"/>
  <c r="G2030" i="3"/>
  <c r="G2026" i="3"/>
  <c r="G2022" i="3"/>
  <c r="G2018" i="3"/>
  <c r="G2014" i="3"/>
  <c r="G2010" i="3"/>
  <c r="G2006" i="3"/>
  <c r="G2002" i="3"/>
  <c r="G1998" i="3"/>
  <c r="G1994" i="3"/>
  <c r="G1990" i="3"/>
  <c r="G1986" i="3"/>
  <c r="G1982" i="3"/>
  <c r="G1978" i="3"/>
  <c r="G1974" i="3"/>
  <c r="G1970" i="3"/>
  <c r="G1966" i="3"/>
  <c r="G1962" i="3"/>
  <c r="G1958" i="3"/>
  <c r="G1954" i="3"/>
  <c r="G1950" i="3"/>
  <c r="G1946" i="3"/>
  <c r="G1942" i="3"/>
  <c r="G1938" i="3"/>
  <c r="G1934" i="3"/>
  <c r="G1930" i="3"/>
  <c r="G1926" i="3"/>
  <c r="G1922" i="3"/>
  <c r="G1918" i="3"/>
  <c r="G1914" i="3"/>
  <c r="G1910" i="3"/>
  <c r="G1906" i="3"/>
  <c r="G1902" i="3"/>
  <c r="G1898" i="3"/>
  <c r="G1894" i="3"/>
  <c r="G1890" i="3"/>
  <c r="G1886" i="3"/>
  <c r="G1882" i="3"/>
  <c r="G1878" i="3"/>
  <c r="G1874" i="3"/>
  <c r="G1870" i="3"/>
  <c r="G1866" i="3"/>
  <c r="G1862" i="3"/>
  <c r="G1858" i="3"/>
  <c r="G1854" i="3"/>
  <c r="G1850" i="3"/>
  <c r="G1846" i="3"/>
  <c r="G1842" i="3"/>
  <c r="G1838" i="3"/>
  <c r="G1834" i="3"/>
  <c r="G1830" i="3"/>
  <c r="G1826" i="3"/>
  <c r="G1822" i="3"/>
  <c r="G1818" i="3"/>
  <c r="G1814" i="3"/>
  <c r="G1810" i="3"/>
  <c r="G1806" i="3"/>
  <c r="G1802" i="3"/>
  <c r="G1798" i="3"/>
  <c r="G1794" i="3"/>
  <c r="G1790" i="3"/>
  <c r="G1786" i="3"/>
  <c r="G1782" i="3"/>
  <c r="G1778" i="3"/>
  <c r="G1774" i="3"/>
  <c r="G1770" i="3"/>
  <c r="G1766" i="3"/>
  <c r="G1762" i="3"/>
  <c r="G1758" i="3"/>
  <c r="G1754" i="3"/>
  <c r="G1750" i="3"/>
  <c r="G1746" i="3"/>
  <c r="G1742" i="3"/>
  <c r="G1738" i="3"/>
  <c r="G1734" i="3"/>
  <c r="G1730" i="3"/>
  <c r="G1726" i="3"/>
  <c r="G1722" i="3"/>
  <c r="G1718" i="3"/>
  <c r="G1714" i="3"/>
  <c r="G1710" i="3"/>
  <c r="G1706" i="3"/>
  <c r="G1702" i="3"/>
  <c r="G1698" i="3"/>
  <c r="G1694" i="3"/>
  <c r="G1690" i="3"/>
  <c r="G1686" i="3"/>
  <c r="G1682" i="3"/>
  <c r="G1678" i="3"/>
  <c r="G1674" i="3"/>
  <c r="G1670" i="3"/>
  <c r="G1666" i="3"/>
  <c r="G1662" i="3"/>
  <c r="G1658" i="3"/>
  <c r="G1654" i="3"/>
  <c r="G1650" i="3"/>
  <c r="G1646" i="3"/>
  <c r="G1642" i="3"/>
  <c r="G1638" i="3"/>
  <c r="G1634" i="3"/>
  <c r="G1630" i="3"/>
  <c r="G1626" i="3"/>
  <c r="G1622" i="3"/>
  <c r="G1618" i="3"/>
  <c r="G1614" i="3"/>
  <c r="G1610" i="3"/>
  <c r="G1606" i="3"/>
  <c r="G1602" i="3"/>
  <c r="G1598" i="3"/>
  <c r="G1594" i="3"/>
  <c r="G1590" i="3"/>
  <c r="G1586" i="3"/>
  <c r="G1582" i="3"/>
  <c r="G1578" i="3"/>
  <c r="G1574" i="3"/>
  <c r="G1570" i="3"/>
  <c r="G1566" i="3"/>
  <c r="G1562" i="3"/>
  <c r="G1558" i="3"/>
  <c r="G1554" i="3"/>
  <c r="G1550" i="3"/>
  <c r="G1546" i="3"/>
  <c r="G1542" i="3"/>
  <c r="G1538" i="3"/>
  <c r="G1534" i="3"/>
  <c r="G1530" i="3"/>
  <c r="G1526" i="3"/>
  <c r="G1522" i="3"/>
  <c r="G1518" i="3"/>
  <c r="G1514" i="3"/>
  <c r="G1510" i="3"/>
  <c r="G1506" i="3"/>
  <c r="G1502" i="3"/>
  <c r="G1498" i="3"/>
  <c r="G1494" i="3"/>
  <c r="G1490" i="3"/>
  <c r="G1486" i="3"/>
  <c r="G1482" i="3"/>
  <c r="G1478" i="3"/>
  <c r="G1474" i="3"/>
  <c r="G1470" i="3"/>
  <c r="G1466" i="3"/>
  <c r="G1462" i="3"/>
  <c r="G1458" i="3"/>
  <c r="G1454" i="3"/>
  <c r="G1450" i="3"/>
  <c r="G1446" i="3"/>
  <c r="G1442" i="3"/>
  <c r="G1438" i="3"/>
  <c r="G1434" i="3"/>
  <c r="G1430" i="3"/>
  <c r="G1426" i="3"/>
  <c r="G1422" i="3"/>
  <c r="G1418" i="3"/>
  <c r="G1414" i="3"/>
  <c r="G1410" i="3"/>
  <c r="G1406" i="3"/>
  <c r="G1402" i="3"/>
  <c r="G1398" i="3"/>
  <c r="G1394" i="3"/>
  <c r="G1390" i="3"/>
  <c r="G1386" i="3"/>
  <c r="G1383" i="3"/>
  <c r="G1370" i="3"/>
  <c r="G1367" i="3"/>
  <c r="G1354" i="3"/>
  <c r="G1351" i="3"/>
  <c r="G1338" i="3"/>
  <c r="G1334" i="3"/>
  <c r="G1330" i="3"/>
  <c r="G1326" i="3"/>
  <c r="G1322" i="3"/>
  <c r="G1318" i="3"/>
  <c r="G1314" i="3"/>
  <c r="G1310" i="3"/>
  <c r="G1306" i="3"/>
  <c r="G1302" i="3"/>
  <c r="G1298" i="3"/>
  <c r="G1294" i="3"/>
  <c r="G1290" i="3"/>
  <c r="G1286" i="3"/>
  <c r="G1282" i="3"/>
  <c r="G1278" i="3"/>
  <c r="G1274" i="3"/>
  <c r="G1270" i="3"/>
  <c r="G1266" i="3"/>
  <c r="G1262" i="3"/>
  <c r="G1258" i="3"/>
  <c r="G1254" i="3"/>
  <c r="G1250" i="3"/>
  <c r="G1246" i="3"/>
  <c r="G1242" i="3"/>
  <c r="G1238" i="3"/>
  <c r="G1234" i="3"/>
  <c r="G1230" i="3"/>
  <c r="G1226" i="3"/>
  <c r="G1222" i="3"/>
  <c r="G1218" i="3"/>
  <c r="G1214" i="3"/>
  <c r="G1210" i="3"/>
  <c r="G1206" i="3"/>
  <c r="G1202" i="3"/>
  <c r="G1198" i="3"/>
  <c r="G1194" i="3"/>
  <c r="G1190" i="3"/>
  <c r="G1186" i="3"/>
  <c r="G1182" i="3"/>
  <c r="G1178" i="3"/>
  <c r="G1174" i="3"/>
  <c r="G3218" i="3"/>
  <c r="G3210" i="3"/>
  <c r="G3202" i="3"/>
  <c r="G3194" i="3"/>
  <c r="G3186" i="3"/>
  <c r="G3178" i="3"/>
  <c r="G3170" i="3"/>
  <c r="G3162" i="3"/>
  <c r="G3154" i="3"/>
  <c r="G3146" i="3"/>
  <c r="G3138" i="3"/>
  <c r="G3130" i="3"/>
  <c r="G3122" i="3"/>
  <c r="G3114" i="3"/>
  <c r="G3106" i="3"/>
  <c r="G3098" i="3"/>
  <c r="G3090" i="3"/>
  <c r="G3082" i="3"/>
  <c r="G3074" i="3"/>
  <c r="G3066" i="3"/>
  <c r="G3058" i="3"/>
  <c r="G3050" i="3"/>
  <c r="G3042" i="3"/>
  <c r="G3034" i="3"/>
  <c r="G3026" i="3"/>
  <c r="G3018" i="3"/>
  <c r="G3010" i="3"/>
  <c r="G3002" i="3"/>
  <c r="G2994" i="3"/>
  <c r="G2986" i="3"/>
  <c r="G2978" i="3"/>
  <c r="G2970" i="3"/>
  <c r="G2962" i="3"/>
  <c r="G2954" i="3"/>
  <c r="G2946" i="3"/>
  <c r="G2938" i="3"/>
  <c r="G2930" i="3"/>
  <c r="G2922" i="3"/>
  <c r="G2914" i="3"/>
  <c r="G2906" i="3"/>
  <c r="G2898" i="3"/>
  <c r="G2890" i="3"/>
  <c r="G2882" i="3"/>
  <c r="G2874" i="3"/>
  <c r="G2866" i="3"/>
  <c r="G2858" i="3"/>
  <c r="G2850" i="3"/>
  <c r="G2842" i="3"/>
  <c r="G2834" i="3"/>
  <c r="G2826" i="3"/>
  <c r="G2818" i="3"/>
  <c r="G2810" i="3"/>
  <c r="G2802" i="3"/>
  <c r="G2794" i="3"/>
  <c r="G2786" i="3"/>
  <c r="G2778" i="3"/>
  <c r="G2770" i="3"/>
  <c r="G2762" i="3"/>
  <c r="G2754" i="3"/>
  <c r="G2746" i="3"/>
  <c r="G2738" i="3"/>
  <c r="G2730" i="3"/>
  <c r="G2722" i="3"/>
  <c r="G2714" i="3"/>
  <c r="G2706" i="3"/>
  <c r="G2698" i="3"/>
  <c r="G2690" i="3"/>
  <c r="G2682" i="3"/>
  <c r="G2674" i="3"/>
  <c r="G2666" i="3"/>
  <c r="G2657" i="3"/>
  <c r="G2653" i="3"/>
  <c r="G2649" i="3"/>
  <c r="G2645" i="3"/>
  <c r="G2641" i="3"/>
  <c r="G2637" i="3"/>
  <c r="G2633" i="3"/>
  <c r="G2629" i="3"/>
  <c r="G2625" i="3"/>
  <c r="G2621" i="3"/>
  <c r="G2617" i="3"/>
  <c r="G2613" i="3"/>
  <c r="G2609" i="3"/>
  <c r="G2605" i="3"/>
  <c r="G2601" i="3"/>
  <c r="G2597" i="3"/>
  <c r="G2593" i="3"/>
  <c r="G2589" i="3"/>
  <c r="G2585" i="3"/>
  <c r="G2581" i="3"/>
  <c r="G2577" i="3"/>
  <c r="G2573" i="3"/>
  <c r="G2569" i="3"/>
  <c r="G2565" i="3"/>
  <c r="G2561" i="3"/>
  <c r="G2557" i="3"/>
  <c r="G2553" i="3"/>
  <c r="G2549" i="3"/>
  <c r="G2545" i="3"/>
  <c r="G2541" i="3"/>
  <c r="G2537" i="3"/>
  <c r="G2533" i="3"/>
  <c r="G2529" i="3"/>
  <c r="G2525" i="3"/>
  <c r="G2521" i="3"/>
  <c r="G2517" i="3"/>
  <c r="G2513" i="3"/>
  <c r="G2509" i="3"/>
  <c r="G2505" i="3"/>
  <c r="G2501" i="3"/>
  <c r="G2497" i="3"/>
  <c r="G2493" i="3"/>
  <c r="G2489" i="3"/>
  <c r="G2485" i="3"/>
  <c r="G2481" i="3"/>
  <c r="G2477" i="3"/>
  <c r="G2473" i="3"/>
  <c r="G2469" i="3"/>
  <c r="G2465" i="3"/>
  <c r="G2461" i="3"/>
  <c r="G2457" i="3"/>
  <c r="G2453" i="3"/>
  <c r="G2449" i="3"/>
  <c r="G2445" i="3"/>
  <c r="G574" i="3"/>
  <c r="G568" i="3"/>
  <c r="G3220" i="3"/>
  <c r="G3212" i="3"/>
  <c r="G3204" i="3"/>
  <c r="G3196" i="3"/>
  <c r="G3188" i="3"/>
  <c r="G3180" i="3"/>
  <c r="G3172" i="3"/>
  <c r="G3164" i="3"/>
  <c r="G3156" i="3"/>
  <c r="G3148" i="3"/>
  <c r="G3140" i="3"/>
  <c r="G3132" i="3"/>
  <c r="G3124" i="3"/>
  <c r="G3116" i="3"/>
  <c r="G3108" i="3"/>
  <c r="G3100" i="3"/>
  <c r="G3092" i="3"/>
  <c r="G3084" i="3"/>
  <c r="G3076" i="3"/>
  <c r="G3068" i="3"/>
  <c r="G3060" i="3"/>
  <c r="G3052" i="3"/>
  <c r="G3044" i="3"/>
  <c r="G3036" i="3"/>
  <c r="G3028" i="3"/>
  <c r="G3020" i="3"/>
  <c r="G3012" i="3"/>
  <c r="G3004" i="3"/>
  <c r="G2996" i="3"/>
  <c r="G2988" i="3"/>
  <c r="G2980" i="3"/>
  <c r="G2972" i="3"/>
  <c r="G2964" i="3"/>
  <c r="G2956" i="3"/>
  <c r="G2948" i="3"/>
  <c r="G2940" i="3"/>
  <c r="G2932" i="3"/>
  <c r="G2924" i="3"/>
  <c r="G2916" i="3"/>
  <c r="G2908" i="3"/>
  <c r="G2900" i="3"/>
  <c r="G2892" i="3"/>
  <c r="G2884" i="3"/>
  <c r="G2876" i="3"/>
  <c r="G2868" i="3"/>
  <c r="G2860" i="3"/>
  <c r="G2852" i="3"/>
  <c r="G2844" i="3"/>
  <c r="G2836" i="3"/>
  <c r="G2828" i="3"/>
  <c r="G2820" i="3"/>
  <c r="G2812" i="3"/>
  <c r="G2804" i="3"/>
  <c r="G2796" i="3"/>
  <c r="G2788" i="3"/>
  <c r="G2780" i="3"/>
  <c r="G2772" i="3"/>
  <c r="G2764" i="3"/>
  <c r="G2756" i="3"/>
  <c r="G2748" i="3"/>
  <c r="G2740" i="3"/>
  <c r="G2732" i="3"/>
  <c r="G2724" i="3"/>
  <c r="G2716" i="3"/>
  <c r="G2708" i="3"/>
  <c r="G2700" i="3"/>
  <c r="G2692" i="3"/>
  <c r="G2684" i="3"/>
  <c r="G2676" i="3"/>
  <c r="G2668" i="3"/>
  <c r="G2660" i="3"/>
  <c r="G2656" i="3"/>
  <c r="G2652" i="3"/>
  <c r="G2648" i="3"/>
  <c r="G2644" i="3"/>
  <c r="G2640" i="3"/>
  <c r="G2636" i="3"/>
  <c r="G2632" i="3"/>
  <c r="G2628" i="3"/>
  <c r="G2624" i="3"/>
  <c r="G2620" i="3"/>
  <c r="G2616" i="3"/>
  <c r="G2612" i="3"/>
  <c r="G2608" i="3"/>
  <c r="G2604" i="3"/>
  <c r="G2600" i="3"/>
  <c r="G2596" i="3"/>
  <c r="G2592" i="3"/>
  <c r="G2588" i="3"/>
  <c r="G2584" i="3"/>
  <c r="G2580" i="3"/>
  <c r="G2576" i="3"/>
  <c r="G2572" i="3"/>
  <c r="G2568" i="3"/>
  <c r="G2564" i="3"/>
  <c r="G2560" i="3"/>
  <c r="G2556" i="3"/>
  <c r="G2552" i="3"/>
  <c r="G2548" i="3"/>
  <c r="G2544" i="3"/>
  <c r="G2540" i="3"/>
  <c r="G2536" i="3"/>
  <c r="G2532" i="3"/>
  <c r="G2528" i="3"/>
  <c r="G2524" i="3"/>
  <c r="G2520" i="3"/>
  <c r="G2516" i="3"/>
  <c r="G2512" i="3"/>
  <c r="G2508" i="3"/>
  <c r="G2504" i="3"/>
  <c r="G2500" i="3"/>
  <c r="G2496" i="3"/>
  <c r="G2492" i="3"/>
  <c r="G2488" i="3"/>
  <c r="G2484" i="3"/>
  <c r="G2480" i="3"/>
  <c r="G2476" i="3"/>
  <c r="G2472" i="3"/>
  <c r="G2468" i="3"/>
  <c r="G2464" i="3"/>
  <c r="G2460" i="3"/>
  <c r="G2456" i="3"/>
  <c r="G2452" i="3"/>
  <c r="G2448" i="3"/>
  <c r="G2444" i="3"/>
  <c r="G2440" i="3"/>
  <c r="G2436" i="3"/>
  <c r="G2432" i="3"/>
  <c r="G2428" i="3"/>
  <c r="G2424" i="3"/>
  <c r="G2420" i="3"/>
  <c r="G2416" i="3"/>
  <c r="G2412" i="3"/>
  <c r="G2408" i="3"/>
  <c r="G2404" i="3"/>
  <c r="G2400" i="3"/>
  <c r="G2396" i="3"/>
  <c r="G2392" i="3"/>
  <c r="G2388" i="3"/>
  <c r="G2384" i="3"/>
  <c r="G2380" i="3"/>
  <c r="G2376" i="3"/>
  <c r="G2372" i="3"/>
  <c r="G2368" i="3"/>
  <c r="G2364" i="3"/>
  <c r="G2360" i="3"/>
  <c r="G2356" i="3"/>
  <c r="G2352" i="3"/>
  <c r="G2348" i="3"/>
  <c r="G2344" i="3"/>
  <c r="G2340" i="3"/>
  <c r="G2336" i="3"/>
  <c r="G2332" i="3"/>
  <c r="G2328" i="3"/>
  <c r="G2324" i="3"/>
  <c r="G2320" i="3"/>
  <c r="G2316" i="3"/>
  <c r="G2312" i="3"/>
  <c r="G2308" i="3"/>
  <c r="G2304" i="3"/>
  <c r="G2300" i="3"/>
  <c r="G2296" i="3"/>
  <c r="G2292" i="3"/>
  <c r="G2288" i="3"/>
  <c r="G2284" i="3"/>
  <c r="G2280" i="3"/>
  <c r="G2276" i="3"/>
  <c r="G2272" i="3"/>
  <c r="G2268" i="3"/>
  <c r="G2264" i="3"/>
  <c r="G2260" i="3"/>
  <c r="G2256" i="3"/>
  <c r="G2252" i="3"/>
  <c r="G2248" i="3"/>
  <c r="G2244" i="3"/>
  <c r="G2240" i="3"/>
  <c r="G2236" i="3"/>
  <c r="G2232" i="3"/>
  <c r="G2228" i="3"/>
  <c r="G2224" i="3"/>
  <c r="G2220" i="3"/>
  <c r="G2216" i="3"/>
  <c r="G2212" i="3"/>
  <c r="G2208" i="3"/>
  <c r="G2204" i="3"/>
  <c r="G2200" i="3"/>
  <c r="G2196" i="3"/>
  <c r="G2192" i="3"/>
  <c r="G2188" i="3"/>
  <c r="G2184" i="3"/>
  <c r="G2180" i="3"/>
  <c r="G2176" i="3"/>
  <c r="G2172" i="3"/>
  <c r="G2168" i="3"/>
  <c r="G2164" i="3"/>
  <c r="G2160" i="3"/>
  <c r="G2156" i="3"/>
  <c r="G2152" i="3"/>
  <c r="G2148" i="3"/>
  <c r="G2144" i="3"/>
  <c r="G2140" i="3"/>
  <c r="G2136" i="3"/>
  <c r="G2132" i="3"/>
  <c r="G2128" i="3"/>
  <c r="G2124" i="3"/>
  <c r="G2120" i="3"/>
  <c r="G2116" i="3"/>
  <c r="G2112" i="3"/>
  <c r="G2108" i="3"/>
  <c r="G2104" i="3"/>
  <c r="G2100" i="3"/>
  <c r="G2096" i="3"/>
  <c r="G2092" i="3"/>
  <c r="G2088" i="3"/>
  <c r="G2084" i="3"/>
  <c r="G2080" i="3"/>
  <c r="G2076" i="3"/>
  <c r="G2072" i="3"/>
  <c r="G2068" i="3"/>
  <c r="G2064" i="3"/>
  <c r="G2060" i="3"/>
  <c r="G2056" i="3"/>
  <c r="G2052" i="3"/>
  <c r="G2048" i="3"/>
  <c r="G2044" i="3"/>
  <c r="G2040" i="3"/>
  <c r="G2036" i="3"/>
  <c r="G2032" i="3"/>
  <c r="G2028" i="3"/>
  <c r="G2024" i="3"/>
  <c r="G2020" i="3"/>
  <c r="G2016" i="3"/>
  <c r="G2012" i="3"/>
  <c r="G2008" i="3"/>
  <c r="G2004" i="3"/>
  <c r="G2000" i="3"/>
  <c r="G1996" i="3"/>
  <c r="G1992" i="3"/>
  <c r="G1988" i="3"/>
  <c r="G1984" i="3"/>
  <c r="G1980" i="3"/>
  <c r="G1976" i="3"/>
  <c r="G1972" i="3"/>
  <c r="G1968" i="3"/>
  <c r="G1964" i="3"/>
  <c r="G1960" i="3"/>
  <c r="G1956" i="3"/>
  <c r="G1952" i="3"/>
  <c r="G1948" i="3"/>
  <c r="G1944" i="3"/>
  <c r="G1940" i="3"/>
  <c r="G1936" i="3"/>
  <c r="G1932" i="3"/>
  <c r="G1928" i="3"/>
  <c r="G1924" i="3"/>
  <c r="G1920" i="3"/>
  <c r="G1916" i="3"/>
  <c r="G1912" i="3"/>
  <c r="G1908" i="3"/>
  <c r="G1904" i="3"/>
  <c r="G1900" i="3"/>
  <c r="G1896" i="3"/>
  <c r="G1892" i="3"/>
  <c r="G1888" i="3"/>
  <c r="G1884" i="3"/>
  <c r="G1880" i="3"/>
  <c r="G1876" i="3"/>
  <c r="G1872" i="3"/>
  <c r="G1868" i="3"/>
  <c r="G1864" i="3"/>
  <c r="G1860" i="3"/>
  <c r="G1856" i="3"/>
  <c r="G1852" i="3"/>
  <c r="G1848" i="3"/>
  <c r="G1844" i="3"/>
  <c r="G1840" i="3"/>
  <c r="G1836" i="3"/>
  <c r="G1832" i="3"/>
  <c r="G1828" i="3"/>
  <c r="G1824" i="3"/>
  <c r="G1820" i="3"/>
  <c r="G1816" i="3"/>
  <c r="G1812" i="3"/>
  <c r="G1808" i="3"/>
  <c r="G1804" i="3"/>
  <c r="G1800" i="3"/>
  <c r="G1796" i="3"/>
  <c r="G1792" i="3"/>
  <c r="G1788" i="3"/>
  <c r="G1784" i="3"/>
  <c r="G1780" i="3"/>
  <c r="G1776" i="3"/>
  <c r="G1772" i="3"/>
  <c r="G1768" i="3"/>
  <c r="G1764" i="3"/>
  <c r="G1760" i="3"/>
  <c r="G1756" i="3"/>
  <c r="G1752" i="3"/>
  <c r="G1748" i="3"/>
  <c r="G1744" i="3"/>
  <c r="G1740" i="3"/>
  <c r="G1736" i="3"/>
  <c r="G1732" i="3"/>
  <c r="G1728" i="3"/>
  <c r="G1724" i="3"/>
  <c r="G1720" i="3"/>
  <c r="G1716" i="3"/>
  <c r="G1712" i="3"/>
  <c r="G1708" i="3"/>
  <c r="G1704" i="3"/>
  <c r="G1700" i="3"/>
  <c r="G1696" i="3"/>
  <c r="G1692" i="3"/>
  <c r="G1688" i="3"/>
  <c r="G1684" i="3"/>
  <c r="G1680" i="3"/>
  <c r="G1676" i="3"/>
  <c r="G1672" i="3"/>
  <c r="G1668" i="3"/>
  <c r="G1664" i="3"/>
  <c r="G1660" i="3"/>
  <c r="G1656" i="3"/>
  <c r="G1652" i="3"/>
  <c r="G1648" i="3"/>
  <c r="G1644" i="3"/>
  <c r="G1640" i="3"/>
  <c r="G1636" i="3"/>
  <c r="G1632" i="3"/>
  <c r="G1628" i="3"/>
  <c r="G1624" i="3"/>
  <c r="G1620" i="3"/>
  <c r="G1616" i="3"/>
  <c r="G1612" i="3"/>
  <c r="G1608" i="3"/>
  <c r="G1604" i="3"/>
  <c r="G1600" i="3"/>
  <c r="G1596" i="3"/>
  <c r="G1592" i="3"/>
  <c r="G1588" i="3"/>
  <c r="G1584" i="3"/>
  <c r="G1580" i="3"/>
  <c r="G1576" i="3"/>
  <c r="G1572" i="3"/>
  <c r="G1568" i="3"/>
  <c r="G1564" i="3"/>
  <c r="G1560" i="3"/>
  <c r="G1556" i="3"/>
  <c r="G1552" i="3"/>
  <c r="G1548" i="3"/>
  <c r="G1544" i="3"/>
  <c r="G1540" i="3"/>
  <c r="G1536" i="3"/>
  <c r="G1532" i="3"/>
  <c r="G1528" i="3"/>
  <c r="G1524" i="3"/>
  <c r="G1520" i="3"/>
  <c r="G1516" i="3"/>
  <c r="G1512" i="3"/>
  <c r="G1508" i="3"/>
  <c r="G1504" i="3"/>
  <c r="G1500" i="3"/>
  <c r="G1496" i="3"/>
  <c r="G1492" i="3"/>
  <c r="G1488" i="3"/>
  <c r="G1484" i="3"/>
  <c r="G1480" i="3"/>
  <c r="G1476" i="3"/>
  <c r="G1472" i="3"/>
  <c r="G1468" i="3"/>
  <c r="G1464" i="3"/>
  <c r="G1460" i="3"/>
  <c r="G1456" i="3"/>
  <c r="G1452" i="3"/>
  <c r="G1448" i="3"/>
  <c r="G1444" i="3"/>
  <c r="G1440" i="3"/>
  <c r="G1436" i="3"/>
  <c r="G1432" i="3"/>
  <c r="G1428" i="3"/>
  <c r="G1424" i="3"/>
  <c r="G1420" i="3"/>
  <c r="G1416" i="3"/>
  <c r="G1412" i="3"/>
  <c r="G1408" i="3"/>
  <c r="G1404" i="3"/>
  <c r="G1400" i="3"/>
  <c r="G1396" i="3"/>
  <c r="G1392" i="3"/>
  <c r="G1388" i="3"/>
  <c r="G1378" i="3"/>
  <c r="G1375" i="3"/>
  <c r="G1362" i="3"/>
  <c r="G1359" i="3"/>
  <c r="G1346" i="3"/>
  <c r="G1343" i="3"/>
  <c r="G1336" i="3"/>
  <c r="G1332" i="3"/>
  <c r="G1328" i="3"/>
  <c r="G1324" i="3"/>
  <c r="G1320" i="3"/>
  <c r="G1316" i="3"/>
  <c r="G1312" i="3"/>
  <c r="G1308" i="3"/>
  <c r="G1304" i="3"/>
  <c r="G1300" i="3"/>
  <c r="G1296" i="3"/>
  <c r="G1292" i="3"/>
  <c r="G1288" i="3"/>
  <c r="G1284" i="3"/>
  <c r="G1280" i="3"/>
  <c r="G1276" i="3"/>
  <c r="G1272" i="3"/>
  <c r="G1268" i="3"/>
  <c r="G1264" i="3"/>
  <c r="G1260" i="3"/>
  <c r="G1256" i="3"/>
  <c r="G1252" i="3"/>
  <c r="G1248" i="3"/>
  <c r="G1244" i="3"/>
  <c r="G1240" i="3"/>
  <c r="G1236" i="3"/>
  <c r="G1232" i="3"/>
  <c r="G1228" i="3"/>
  <c r="G1224" i="3"/>
  <c r="G1220" i="3"/>
  <c r="G1216" i="3"/>
  <c r="G1212" i="3"/>
  <c r="G1208" i="3"/>
  <c r="G1204" i="3"/>
  <c r="G1200" i="3"/>
  <c r="G1196" i="3"/>
  <c r="G1192" i="3"/>
  <c r="G1188" i="3"/>
  <c r="G1184" i="3"/>
  <c r="G1180" i="3"/>
  <c r="G1176" i="3"/>
  <c r="G1172" i="3"/>
  <c r="G1168" i="3"/>
  <c r="G1164" i="3"/>
  <c r="G1160" i="3"/>
  <c r="G1156" i="3"/>
  <c r="G1152" i="3"/>
  <c r="G1148" i="3"/>
  <c r="G1144" i="3"/>
  <c r="G1140" i="3"/>
  <c r="G1136" i="3"/>
  <c r="G1132" i="3"/>
  <c r="G1128" i="3"/>
  <c r="G1124" i="3"/>
  <c r="G1120" i="3"/>
  <c r="G1116" i="3"/>
  <c r="G1112" i="3"/>
  <c r="G1108" i="3"/>
  <c r="G1104" i="3"/>
  <c r="G1100" i="3"/>
  <c r="G1096" i="3"/>
  <c r="G1092" i="3"/>
  <c r="G1088" i="3"/>
  <c r="G1084" i="3"/>
  <c r="G1080" i="3"/>
  <c r="G1076" i="3"/>
  <c r="G1072" i="3"/>
  <c r="G1068" i="3"/>
  <c r="G1064" i="3"/>
  <c r="G1060" i="3"/>
  <c r="G1056" i="3"/>
  <c r="G1052" i="3"/>
  <c r="G1048" i="3"/>
  <c r="G1044" i="3"/>
  <c r="G1040" i="3"/>
  <c r="G1036" i="3"/>
  <c r="G1032" i="3"/>
  <c r="G1028" i="3"/>
  <c r="G1024" i="3"/>
  <c r="G1020" i="3"/>
  <c r="G1016" i="3"/>
  <c r="G1012" i="3"/>
  <c r="G1008" i="3"/>
  <c r="G1004" i="3"/>
  <c r="G1000" i="3"/>
  <c r="G996" i="3"/>
  <c r="G992" i="3"/>
  <c r="G988" i="3"/>
  <c r="G984" i="3"/>
  <c r="G980" i="3"/>
  <c r="G976" i="3"/>
  <c r="G972" i="3"/>
  <c r="G968" i="3"/>
  <c r="G964" i="3"/>
  <c r="G960" i="3"/>
  <c r="G956" i="3"/>
  <c r="G952" i="3"/>
  <c r="G948" i="3"/>
  <c r="G944" i="3"/>
  <c r="G940" i="3"/>
  <c r="G208" i="3"/>
  <c r="G3222" i="3"/>
  <c r="G3214" i="3"/>
  <c r="G3206" i="3"/>
  <c r="G3198" i="3"/>
  <c r="G3190" i="3"/>
  <c r="G3182" i="3"/>
  <c r="G3174" i="3"/>
  <c r="G3166" i="3"/>
  <c r="G3158" i="3"/>
  <c r="G3150" i="3"/>
  <c r="G3142" i="3"/>
  <c r="G3134" i="3"/>
  <c r="G3126" i="3"/>
  <c r="G3118" i="3"/>
  <c r="G3110" i="3"/>
  <c r="G3102" i="3"/>
  <c r="G3094" i="3"/>
  <c r="G3086" i="3"/>
  <c r="G3078" i="3"/>
  <c r="G3070" i="3"/>
  <c r="G3062" i="3"/>
  <c r="G3054" i="3"/>
  <c r="G3046" i="3"/>
  <c r="G3038" i="3"/>
  <c r="G3030" i="3"/>
  <c r="G3022" i="3"/>
  <c r="G3014" i="3"/>
  <c r="G3006" i="3"/>
  <c r="G2998" i="3"/>
  <c r="G2990" i="3"/>
  <c r="G2982" i="3"/>
  <c r="G2974" i="3"/>
  <c r="G2966" i="3"/>
  <c r="G2958" i="3"/>
  <c r="G2950" i="3"/>
  <c r="G2942" i="3"/>
  <c r="G2934" i="3"/>
  <c r="G2926" i="3"/>
  <c r="G2918" i="3"/>
  <c r="G2910" i="3"/>
  <c r="G2902" i="3"/>
  <c r="G2894" i="3"/>
  <c r="G2886" i="3"/>
  <c r="G2878" i="3"/>
  <c r="G2870" i="3"/>
  <c r="G2862" i="3"/>
  <c r="G2854" i="3"/>
  <c r="G2846" i="3"/>
  <c r="G2838" i="3"/>
  <c r="G2830" i="3"/>
  <c r="G2822" i="3"/>
  <c r="G2814" i="3"/>
  <c r="G2806" i="3"/>
  <c r="G2798" i="3"/>
  <c r="G2790" i="3"/>
  <c r="G2782" i="3"/>
  <c r="G2774" i="3"/>
  <c r="G2766" i="3"/>
  <c r="G2758" i="3"/>
  <c r="G2750" i="3"/>
  <c r="G2742" i="3"/>
  <c r="G2734" i="3"/>
  <c r="G2726" i="3"/>
  <c r="G2718" i="3"/>
  <c r="G2710" i="3"/>
  <c r="G2702" i="3"/>
  <c r="G2694" i="3"/>
  <c r="G2686" i="3"/>
  <c r="G2678" i="3"/>
  <c r="G2670" i="3"/>
  <c r="G2662" i="3"/>
  <c r="G2659" i="3"/>
  <c r="G2655" i="3"/>
  <c r="G2651" i="3"/>
  <c r="G2647" i="3"/>
  <c r="G2643" i="3"/>
  <c r="G2639" i="3"/>
  <c r="G2635" i="3"/>
  <c r="G2631" i="3"/>
  <c r="G2627" i="3"/>
  <c r="G2623" i="3"/>
  <c r="G2619" i="3"/>
  <c r="G2615" i="3"/>
  <c r="G2611" i="3"/>
  <c r="G2607" i="3"/>
  <c r="G2603" i="3"/>
  <c r="G2599" i="3"/>
  <c r="G2595" i="3"/>
  <c r="G2591" i="3"/>
  <c r="G2587" i="3"/>
  <c r="G2583" i="3"/>
  <c r="G2579" i="3"/>
  <c r="G2575" i="3"/>
  <c r="G2571" i="3"/>
  <c r="G2567" i="3"/>
  <c r="G2563" i="3"/>
  <c r="G2559" i="3"/>
  <c r="G2555" i="3"/>
  <c r="G2551" i="3"/>
  <c r="G2547" i="3"/>
  <c r="G2543" i="3"/>
  <c r="G2539" i="3"/>
  <c r="G2535" i="3"/>
  <c r="G2531" i="3"/>
  <c r="G2527" i="3"/>
  <c r="G2523" i="3"/>
  <c r="G2519" i="3"/>
  <c r="G2515" i="3"/>
  <c r="G2511" i="3"/>
  <c r="G2507" i="3"/>
  <c r="G2503" i="3"/>
  <c r="G2499" i="3"/>
  <c r="G2495" i="3"/>
  <c r="G2491" i="3"/>
  <c r="G2487" i="3"/>
  <c r="G2483" i="3"/>
  <c r="G2479" i="3"/>
  <c r="G2475" i="3"/>
  <c r="G2471" i="3"/>
  <c r="G2467" i="3"/>
  <c r="G2463" i="3"/>
  <c r="G2459" i="3"/>
  <c r="G2455" i="3"/>
  <c r="G2451" i="3"/>
  <c r="G2447" i="3"/>
  <c r="G2443" i="3"/>
  <c r="G542" i="3"/>
  <c r="G509" i="3"/>
  <c r="G2441" i="3"/>
  <c r="G2437" i="3"/>
  <c r="G2433" i="3"/>
  <c r="G2429" i="3"/>
  <c r="G2425" i="3"/>
  <c r="G2421" i="3"/>
  <c r="G2417" i="3"/>
  <c r="G2413" i="3"/>
  <c r="G2409" i="3"/>
  <c r="G2405" i="3"/>
  <c r="G2401" i="3"/>
  <c r="G2397" i="3"/>
  <c r="G2393" i="3"/>
  <c r="G2389" i="3"/>
  <c r="G2385" i="3"/>
  <c r="G2381" i="3"/>
  <c r="G2377" i="3"/>
  <c r="G2373" i="3"/>
  <c r="G2369" i="3"/>
  <c r="G2365" i="3"/>
  <c r="G2361" i="3"/>
  <c r="G2357" i="3"/>
  <c r="G2353" i="3"/>
  <c r="G2349" i="3"/>
  <c r="G2345" i="3"/>
  <c r="G2341" i="3"/>
  <c r="G2337" i="3"/>
  <c r="G2333" i="3"/>
  <c r="G2329" i="3"/>
  <c r="G2325" i="3"/>
  <c r="G2321" i="3"/>
  <c r="G2317" i="3"/>
  <c r="G2313" i="3"/>
  <c r="G2309" i="3"/>
  <c r="G2305" i="3"/>
  <c r="G2301" i="3"/>
  <c r="G2297" i="3"/>
  <c r="G2293" i="3"/>
  <c r="G2289" i="3"/>
  <c r="G2285" i="3"/>
  <c r="G2281" i="3"/>
  <c r="G2277" i="3"/>
  <c r="G2273" i="3"/>
  <c r="G2269" i="3"/>
  <c r="G2265" i="3"/>
  <c r="G2261" i="3"/>
  <c r="G2257" i="3"/>
  <c r="G2253" i="3"/>
  <c r="G2249" i="3"/>
  <c r="G2245" i="3"/>
  <c r="G2241" i="3"/>
  <c r="G2237" i="3"/>
  <c r="G2233" i="3"/>
  <c r="G2229" i="3"/>
  <c r="G2225" i="3"/>
  <c r="G2221" i="3"/>
  <c r="G2217" i="3"/>
  <c r="G2213" i="3"/>
  <c r="G2209" i="3"/>
  <c r="G2205" i="3"/>
  <c r="G2201" i="3"/>
  <c r="G2197" i="3"/>
  <c r="G2193" i="3"/>
  <c r="G2189" i="3"/>
  <c r="G2185" i="3"/>
  <c r="G2181" i="3"/>
  <c r="G2177" i="3"/>
  <c r="G2173" i="3"/>
  <c r="G2169" i="3"/>
  <c r="G2165" i="3"/>
  <c r="G2161" i="3"/>
  <c r="G2157" i="3"/>
  <c r="G2153" i="3"/>
  <c r="G2149" i="3"/>
  <c r="G2145" i="3"/>
  <c r="G2141" i="3"/>
  <c r="G2137" i="3"/>
  <c r="G2133" i="3"/>
  <c r="G2129" i="3"/>
  <c r="G2125" i="3"/>
  <c r="G2121" i="3"/>
  <c r="G2117" i="3"/>
  <c r="G2113" i="3"/>
  <c r="G2109" i="3"/>
  <c r="G2105" i="3"/>
  <c r="G2101" i="3"/>
  <c r="G2097" i="3"/>
  <c r="G2093" i="3"/>
  <c r="G2089" i="3"/>
  <c r="G2085" i="3"/>
  <c r="G2081" i="3"/>
  <c r="G2077" i="3"/>
  <c r="G2073" i="3"/>
  <c r="G2069" i="3"/>
  <c r="G2065" i="3"/>
  <c r="G2061" i="3"/>
  <c r="G2057" i="3"/>
  <c r="G2053" i="3"/>
  <c r="G2049" i="3"/>
  <c r="G2045" i="3"/>
  <c r="G2041" i="3"/>
  <c r="G2037" i="3"/>
  <c r="G2033" i="3"/>
  <c r="G2029" i="3"/>
  <c r="G2025" i="3"/>
  <c r="G2021" i="3"/>
  <c r="G2017" i="3"/>
  <c r="G2013" i="3"/>
  <c r="G2009" i="3"/>
  <c r="G2005" i="3"/>
  <c r="G2001" i="3"/>
  <c r="G1997" i="3"/>
  <c r="G1993" i="3"/>
  <c r="G1989" i="3"/>
  <c r="G1985" i="3"/>
  <c r="G1981" i="3"/>
  <c r="G1977" i="3"/>
  <c r="G1973" i="3"/>
  <c r="G1969" i="3"/>
  <c r="G1965" i="3"/>
  <c r="G1961" i="3"/>
  <c r="G1957" i="3"/>
  <c r="G1953" i="3"/>
  <c r="G1949" i="3"/>
  <c r="G1945" i="3"/>
  <c r="G1941" i="3"/>
  <c r="G1937" i="3"/>
  <c r="G1933" i="3"/>
  <c r="G1929" i="3"/>
  <c r="G1925" i="3"/>
  <c r="G1921" i="3"/>
  <c r="G1917" i="3"/>
  <c r="G1913" i="3"/>
  <c r="G1909" i="3"/>
  <c r="G1905" i="3"/>
  <c r="G1901" i="3"/>
  <c r="G1897" i="3"/>
  <c r="G1893" i="3"/>
  <c r="G1889" i="3"/>
  <c r="G1885" i="3"/>
  <c r="G1881" i="3"/>
  <c r="G1877" i="3"/>
  <c r="G1873" i="3"/>
  <c r="G1869" i="3"/>
  <c r="G1865" i="3"/>
  <c r="G1861" i="3"/>
  <c r="G1857" i="3"/>
  <c r="G1853" i="3"/>
  <c r="G1849" i="3"/>
  <c r="G1845" i="3"/>
  <c r="G1841" i="3"/>
  <c r="G1837" i="3"/>
  <c r="G1833" i="3"/>
  <c r="G1829" i="3"/>
  <c r="G1825" i="3"/>
  <c r="G1821" i="3"/>
  <c r="G1817" i="3"/>
  <c r="G1813" i="3"/>
  <c r="G1809" i="3"/>
  <c r="G1805" i="3"/>
  <c r="G1801" i="3"/>
  <c r="G1797" i="3"/>
  <c r="G1793" i="3"/>
  <c r="G1789" i="3"/>
  <c r="G1785" i="3"/>
  <c r="G1781" i="3"/>
  <c r="G1777" i="3"/>
  <c r="G1773" i="3"/>
  <c r="G1769" i="3"/>
  <c r="G1765" i="3"/>
  <c r="G1761" i="3"/>
  <c r="G1757" i="3"/>
  <c r="G1753" i="3"/>
  <c r="G1749" i="3"/>
  <c r="G1745" i="3"/>
  <c r="G1741" i="3"/>
  <c r="G1737" i="3"/>
  <c r="G1733" i="3"/>
  <c r="G1729" i="3"/>
  <c r="G1725" i="3"/>
  <c r="G1721" i="3"/>
  <c r="G1717" i="3"/>
  <c r="G1713" i="3"/>
  <c r="G1709" i="3"/>
  <c r="G1705" i="3"/>
  <c r="G1701" i="3"/>
  <c r="G1697" i="3"/>
  <c r="G1693" i="3"/>
  <c r="G1689" i="3"/>
  <c r="G1685" i="3"/>
  <c r="G1681" i="3"/>
  <c r="G1677" i="3"/>
  <c r="G1673" i="3"/>
  <c r="G1669" i="3"/>
  <c r="G1665" i="3"/>
  <c r="G1661" i="3"/>
  <c r="G1657" i="3"/>
  <c r="G1653" i="3"/>
  <c r="G1649" i="3"/>
  <c r="G1645" i="3"/>
  <c r="G1641" i="3"/>
  <c r="G1637" i="3"/>
  <c r="G1633" i="3"/>
  <c r="G1629" i="3"/>
  <c r="G1625" i="3"/>
  <c r="G1621" i="3"/>
  <c r="G1617" i="3"/>
  <c r="G1613" i="3"/>
  <c r="G1609" i="3"/>
  <c r="G1605" i="3"/>
  <c r="G1601" i="3"/>
  <c r="G1597" i="3"/>
  <c r="G1593" i="3"/>
  <c r="G1589" i="3"/>
  <c r="G1585" i="3"/>
  <c r="G1581" i="3"/>
  <c r="G1577" i="3"/>
  <c r="G1573" i="3"/>
  <c r="G1569" i="3"/>
  <c r="G1565" i="3"/>
  <c r="G1561" i="3"/>
  <c r="G1557" i="3"/>
  <c r="G1553" i="3"/>
  <c r="G1549" i="3"/>
  <c r="G1545" i="3"/>
  <c r="G1541" i="3"/>
  <c r="G1537" i="3"/>
  <c r="G1533" i="3"/>
  <c r="G1529" i="3"/>
  <c r="G1525" i="3"/>
  <c r="G1521" i="3"/>
  <c r="G1517" i="3"/>
  <c r="G1513" i="3"/>
  <c r="G1509" i="3"/>
  <c r="G1505" i="3"/>
  <c r="G1501" i="3"/>
  <c r="G1497" i="3"/>
  <c r="G1493" i="3"/>
  <c r="G1489" i="3"/>
  <c r="G1485" i="3"/>
  <c r="G1481" i="3"/>
  <c r="G1477" i="3"/>
  <c r="G1473" i="3"/>
  <c r="G1469" i="3"/>
  <c r="G1465" i="3"/>
  <c r="G1461" i="3"/>
  <c r="G1457" i="3"/>
  <c r="G1453" i="3"/>
  <c r="G1449" i="3"/>
  <c r="G1445" i="3"/>
  <c r="G1441" i="3"/>
  <c r="G1437" i="3"/>
  <c r="G1433" i="3"/>
  <c r="G1429" i="3"/>
  <c r="G1425" i="3"/>
  <c r="G1421" i="3"/>
  <c r="G1417" i="3"/>
  <c r="G1413" i="3"/>
  <c r="G1409" i="3"/>
  <c r="G1405" i="3"/>
  <c r="G1401" i="3"/>
  <c r="G1397" i="3"/>
  <c r="G1393" i="3"/>
  <c r="G1389" i="3"/>
  <c r="G1382" i="3"/>
  <c r="G1379" i="3"/>
  <c r="G1366" i="3"/>
  <c r="G1363" i="3"/>
  <c r="G1350" i="3"/>
  <c r="G1347" i="3"/>
  <c r="G590" i="3"/>
  <c r="G584" i="3"/>
  <c r="G2439" i="3"/>
  <c r="G2435" i="3"/>
  <c r="G2431" i="3"/>
  <c r="G2427" i="3"/>
  <c r="G2423" i="3"/>
  <c r="G2419" i="3"/>
  <c r="G2415" i="3"/>
  <c r="G2411" i="3"/>
  <c r="G2407" i="3"/>
  <c r="G2403" i="3"/>
  <c r="G2399" i="3"/>
  <c r="G2395" i="3"/>
  <c r="G2391" i="3"/>
  <c r="G2387" i="3"/>
  <c r="G2383" i="3"/>
  <c r="G2379" i="3"/>
  <c r="G2375" i="3"/>
  <c r="G2371" i="3"/>
  <c r="G2367" i="3"/>
  <c r="G2363" i="3"/>
  <c r="G2359" i="3"/>
  <c r="G2355" i="3"/>
  <c r="G2351" i="3"/>
  <c r="G2347" i="3"/>
  <c r="G2343" i="3"/>
  <c r="G2339" i="3"/>
  <c r="G2335" i="3"/>
  <c r="G2331" i="3"/>
  <c r="G2327" i="3"/>
  <c r="G2323" i="3"/>
  <c r="G2319" i="3"/>
  <c r="G2315" i="3"/>
  <c r="G2311" i="3"/>
  <c r="G2307" i="3"/>
  <c r="G2303" i="3"/>
  <c r="G2299" i="3"/>
  <c r="G2295" i="3"/>
  <c r="G2291" i="3"/>
  <c r="G2287" i="3"/>
  <c r="G2283" i="3"/>
  <c r="G2279" i="3"/>
  <c r="G2275" i="3"/>
  <c r="G2271" i="3"/>
  <c r="G2267" i="3"/>
  <c r="G2263" i="3"/>
  <c r="G2259" i="3"/>
  <c r="G2255" i="3"/>
  <c r="G2251" i="3"/>
  <c r="G2247" i="3"/>
  <c r="G2243" i="3"/>
  <c r="G2239" i="3"/>
  <c r="G2235" i="3"/>
  <c r="G2231" i="3"/>
  <c r="G2227" i="3"/>
  <c r="G2223" i="3"/>
  <c r="G2219" i="3"/>
  <c r="G2215" i="3"/>
  <c r="G2211" i="3"/>
  <c r="G2207" i="3"/>
  <c r="G2203" i="3"/>
  <c r="G2199" i="3"/>
  <c r="G2195" i="3"/>
  <c r="G2191" i="3"/>
  <c r="G2187" i="3"/>
  <c r="G2183" i="3"/>
  <c r="G2179" i="3"/>
  <c r="G2175" i="3"/>
  <c r="G2171" i="3"/>
  <c r="G2167" i="3"/>
  <c r="G2163" i="3"/>
  <c r="G2159" i="3"/>
  <c r="G2155" i="3"/>
  <c r="G2151" i="3"/>
  <c r="G2147" i="3"/>
  <c r="G2143" i="3"/>
  <c r="G2139" i="3"/>
  <c r="G2135" i="3"/>
  <c r="G2131" i="3"/>
  <c r="G2127" i="3"/>
  <c r="G2123" i="3"/>
  <c r="G2119" i="3"/>
  <c r="G2115" i="3"/>
  <c r="G2111" i="3"/>
  <c r="G2107" i="3"/>
  <c r="G2103" i="3"/>
  <c r="G2099" i="3"/>
  <c r="G2095" i="3"/>
  <c r="G2091" i="3"/>
  <c r="G2087" i="3"/>
  <c r="G2083" i="3"/>
  <c r="G2079" i="3"/>
  <c r="G2075" i="3"/>
  <c r="G2071" i="3"/>
  <c r="G2067" i="3"/>
  <c r="G2063" i="3"/>
  <c r="G2059" i="3"/>
  <c r="G2055" i="3"/>
  <c r="G2051" i="3"/>
  <c r="G2047" i="3"/>
  <c r="G2043" i="3"/>
  <c r="G2039" i="3"/>
  <c r="G2035" i="3"/>
  <c r="G2031" i="3"/>
  <c r="G2027" i="3"/>
  <c r="G2023" i="3"/>
  <c r="G2019" i="3"/>
  <c r="G2015" i="3"/>
  <c r="G2011" i="3"/>
  <c r="G2007" i="3"/>
  <c r="G2003" i="3"/>
  <c r="G1999" i="3"/>
  <c r="G1995" i="3"/>
  <c r="G1991" i="3"/>
  <c r="G1987" i="3"/>
  <c r="G1983" i="3"/>
  <c r="G1979" i="3"/>
  <c r="G1975" i="3"/>
  <c r="G1971" i="3"/>
  <c r="G1967" i="3"/>
  <c r="G1963" i="3"/>
  <c r="G1959" i="3"/>
  <c r="G1955" i="3"/>
  <c r="G1951" i="3"/>
  <c r="G1947" i="3"/>
  <c r="G1943" i="3"/>
  <c r="G1939" i="3"/>
  <c r="G1935" i="3"/>
  <c r="G1931" i="3"/>
  <c r="G1927" i="3"/>
  <c r="G1923" i="3"/>
  <c r="G1919" i="3"/>
  <c r="G1915" i="3"/>
  <c r="G1911" i="3"/>
  <c r="G1907" i="3"/>
  <c r="G1903" i="3"/>
  <c r="G1899" i="3"/>
  <c r="G1895" i="3"/>
  <c r="G1891" i="3"/>
  <c r="G1887" i="3"/>
  <c r="G1883" i="3"/>
  <c r="G1879" i="3"/>
  <c r="G1875" i="3"/>
  <c r="G1871" i="3"/>
  <c r="G1867" i="3"/>
  <c r="G1863" i="3"/>
  <c r="G1859" i="3"/>
  <c r="G1855" i="3"/>
  <c r="G1851" i="3"/>
  <c r="G1847" i="3"/>
  <c r="G1843" i="3"/>
  <c r="G1839" i="3"/>
  <c r="G1835" i="3"/>
  <c r="G1831" i="3"/>
  <c r="G1827" i="3"/>
  <c r="G1823" i="3"/>
  <c r="G1819" i="3"/>
  <c r="G1815" i="3"/>
  <c r="G1811" i="3"/>
  <c r="G1807" i="3"/>
  <c r="G1803" i="3"/>
  <c r="G1799" i="3"/>
  <c r="G1795" i="3"/>
  <c r="G1791" i="3"/>
  <c r="G1787" i="3"/>
  <c r="G1783" i="3"/>
  <c r="G1779" i="3"/>
  <c r="G1775" i="3"/>
  <c r="G1771" i="3"/>
  <c r="G1767" i="3"/>
  <c r="G1763" i="3"/>
  <c r="G1759" i="3"/>
  <c r="G1755" i="3"/>
  <c r="G1751" i="3"/>
  <c r="G1747" i="3"/>
  <c r="G1743" i="3"/>
  <c r="G1739" i="3"/>
  <c r="G1735" i="3"/>
  <c r="G1731" i="3"/>
  <c r="G1727" i="3"/>
  <c r="G1723" i="3"/>
  <c r="G1719" i="3"/>
  <c r="G1715" i="3"/>
  <c r="G1711" i="3"/>
  <c r="G1707" i="3"/>
  <c r="G1703" i="3"/>
  <c r="G1699" i="3"/>
  <c r="G1695" i="3"/>
  <c r="G1691" i="3"/>
  <c r="G1687" i="3"/>
  <c r="G1683" i="3"/>
  <c r="G1679" i="3"/>
  <c r="G1675" i="3"/>
  <c r="G1671" i="3"/>
  <c r="G1667" i="3"/>
  <c r="G1663" i="3"/>
  <c r="G1659" i="3"/>
  <c r="G1655" i="3"/>
  <c r="G1651" i="3"/>
  <c r="G1647" i="3"/>
  <c r="G1643" i="3"/>
  <c r="G1639" i="3"/>
  <c r="G1635" i="3"/>
  <c r="G1631" i="3"/>
  <c r="G1627" i="3"/>
  <c r="G1623" i="3"/>
  <c r="G1619" i="3"/>
  <c r="G1615" i="3"/>
  <c r="G1611" i="3"/>
  <c r="G1607" i="3"/>
  <c r="G1603" i="3"/>
  <c r="G1599" i="3"/>
  <c r="G1595" i="3"/>
  <c r="G1591" i="3"/>
  <c r="G1587" i="3"/>
  <c r="G1583" i="3"/>
  <c r="G1579" i="3"/>
  <c r="G1575" i="3"/>
  <c r="G1571" i="3"/>
  <c r="G1567" i="3"/>
  <c r="G1563" i="3"/>
  <c r="G1559" i="3"/>
  <c r="G1555" i="3"/>
  <c r="G1551" i="3"/>
  <c r="G1547" i="3"/>
  <c r="G1543" i="3"/>
  <c r="G1539" i="3"/>
  <c r="G1535" i="3"/>
  <c r="G1531" i="3"/>
  <c r="G1527" i="3"/>
  <c r="G1523" i="3"/>
  <c r="G1519" i="3"/>
  <c r="G1515" i="3"/>
  <c r="G1511" i="3"/>
  <c r="G1507" i="3"/>
  <c r="G1503" i="3"/>
  <c r="G1499" i="3"/>
  <c r="G1495" i="3"/>
  <c r="G1491" i="3"/>
  <c r="G1487" i="3"/>
  <c r="G1483" i="3"/>
  <c r="G1479" i="3"/>
  <c r="G1475" i="3"/>
  <c r="G1471" i="3"/>
  <c r="G1467" i="3"/>
  <c r="G1463" i="3"/>
  <c r="G1459" i="3"/>
  <c r="G1455" i="3"/>
  <c r="G1451" i="3"/>
  <c r="G1447" i="3"/>
  <c r="G1443" i="3"/>
  <c r="G1439" i="3"/>
  <c r="G1435" i="3"/>
  <c r="G1431" i="3"/>
  <c r="G1427" i="3"/>
  <c r="G1423" i="3"/>
  <c r="G1419" i="3"/>
  <c r="G1415" i="3"/>
  <c r="G1411" i="3"/>
  <c r="G1407" i="3"/>
  <c r="G1403" i="3"/>
  <c r="G1399" i="3"/>
  <c r="G1395" i="3"/>
  <c r="G1391" i="3"/>
  <c r="G1387" i="3"/>
  <c r="G1374" i="3"/>
  <c r="G1371" i="3"/>
  <c r="G1358" i="3"/>
  <c r="G1355" i="3"/>
  <c r="G1342" i="3"/>
  <c r="G1339" i="3"/>
  <c r="G558" i="3"/>
  <c r="G552" i="3"/>
  <c r="G461" i="3"/>
  <c r="G429" i="3"/>
  <c r="G397" i="3"/>
  <c r="G339" i="3"/>
  <c r="G332" i="3"/>
  <c r="G302" i="3"/>
  <c r="G1381" i="3"/>
  <c r="G1373" i="3"/>
  <c r="G1365" i="3"/>
  <c r="G1357" i="3"/>
  <c r="G1349" i="3"/>
  <c r="G1341" i="3"/>
  <c r="G1335" i="3"/>
  <c r="G1331" i="3"/>
  <c r="G1327" i="3"/>
  <c r="G1323" i="3"/>
  <c r="G1319" i="3"/>
  <c r="G1315" i="3"/>
  <c r="G1311" i="3"/>
  <c r="G1307" i="3"/>
  <c r="G1303" i="3"/>
  <c r="G1299" i="3"/>
  <c r="G1295" i="3"/>
  <c r="G1291" i="3"/>
  <c r="G1287" i="3"/>
  <c r="G1283" i="3"/>
  <c r="G1279" i="3"/>
  <c r="G1275" i="3"/>
  <c r="G1271" i="3"/>
  <c r="G1267" i="3"/>
  <c r="G1263" i="3"/>
  <c r="G1259" i="3"/>
  <c r="G1255" i="3"/>
  <c r="G1251" i="3"/>
  <c r="G1247" i="3"/>
  <c r="G1243" i="3"/>
  <c r="G1239" i="3"/>
  <c r="G1235" i="3"/>
  <c r="G1231" i="3"/>
  <c r="G1227" i="3"/>
  <c r="G1223" i="3"/>
  <c r="G1219" i="3"/>
  <c r="G1215" i="3"/>
  <c r="G1211" i="3"/>
  <c r="G1207" i="3"/>
  <c r="G1203" i="3"/>
  <c r="G1199" i="3"/>
  <c r="G1195" i="3"/>
  <c r="G1191" i="3"/>
  <c r="G1187" i="3"/>
  <c r="G1183" i="3"/>
  <c r="G1179" i="3"/>
  <c r="G1175" i="3"/>
  <c r="G1171" i="3"/>
  <c r="G1167" i="3"/>
  <c r="G1163" i="3"/>
  <c r="G1159" i="3"/>
  <c r="G1155" i="3"/>
  <c r="G1151" i="3"/>
  <c r="G1147" i="3"/>
  <c r="G1143" i="3"/>
  <c r="G1139" i="3"/>
  <c r="G1135" i="3"/>
  <c r="G1131" i="3"/>
  <c r="G1127" i="3"/>
  <c r="G1123" i="3"/>
  <c r="G1119" i="3"/>
  <c r="G1115" i="3"/>
  <c r="G1111" i="3"/>
  <c r="G1107" i="3"/>
  <c r="G1103" i="3"/>
  <c r="G1099" i="3"/>
  <c r="G1095" i="3"/>
  <c r="G1091" i="3"/>
  <c r="G1087" i="3"/>
  <c r="G1083" i="3"/>
  <c r="G1079" i="3"/>
  <c r="G1075" i="3"/>
  <c r="G1071" i="3"/>
  <c r="G1067" i="3"/>
  <c r="G1063" i="3"/>
  <c r="G1059" i="3"/>
  <c r="G1055" i="3"/>
  <c r="G1051" i="3"/>
  <c r="G1047" i="3"/>
  <c r="G1043" i="3"/>
  <c r="G1039" i="3"/>
  <c r="G1035" i="3"/>
  <c r="G1031" i="3"/>
  <c r="G1027" i="3"/>
  <c r="G1023" i="3"/>
  <c r="G1019" i="3"/>
  <c r="G1015" i="3"/>
  <c r="G1011" i="3"/>
  <c r="G1007" i="3"/>
  <c r="G1003" i="3"/>
  <c r="G999" i="3"/>
  <c r="G995" i="3"/>
  <c r="G991" i="3"/>
  <c r="G987" i="3"/>
  <c r="G983" i="3"/>
  <c r="G979" i="3"/>
  <c r="G975" i="3"/>
  <c r="G971" i="3"/>
  <c r="G967" i="3"/>
  <c r="G963" i="3"/>
  <c r="G959" i="3"/>
  <c r="G955" i="3"/>
  <c r="G951" i="3"/>
  <c r="G947" i="3"/>
  <c r="G943" i="3"/>
  <c r="G939" i="3"/>
  <c r="G586" i="3"/>
  <c r="G554" i="3"/>
  <c r="G536" i="3"/>
  <c r="G520" i="3"/>
  <c r="G501" i="3"/>
  <c r="G477" i="3"/>
  <c r="G227" i="3"/>
  <c r="G189" i="3"/>
  <c r="G172" i="3"/>
  <c r="G132" i="3"/>
  <c r="G8" i="3"/>
  <c r="G1385" i="3"/>
  <c r="G1377" i="3"/>
  <c r="G1369" i="3"/>
  <c r="G1361" i="3"/>
  <c r="G1353" i="3"/>
  <c r="G1345" i="3"/>
  <c r="G1337" i="3"/>
  <c r="G1333" i="3"/>
  <c r="G1329" i="3"/>
  <c r="G1325" i="3"/>
  <c r="G1321" i="3"/>
  <c r="G1317" i="3"/>
  <c r="G1313" i="3"/>
  <c r="G1309" i="3"/>
  <c r="G1305" i="3"/>
  <c r="G1301" i="3"/>
  <c r="G1297" i="3"/>
  <c r="G1293" i="3"/>
  <c r="G1289" i="3"/>
  <c r="G1285" i="3"/>
  <c r="G1281" i="3"/>
  <c r="G1277" i="3"/>
  <c r="G1273" i="3"/>
  <c r="G1269" i="3"/>
  <c r="G1265" i="3"/>
  <c r="G1261" i="3"/>
  <c r="G1257" i="3"/>
  <c r="G1253" i="3"/>
  <c r="G1249" i="3"/>
  <c r="G1245" i="3"/>
  <c r="G1241" i="3"/>
  <c r="G1237" i="3"/>
  <c r="G1233" i="3"/>
  <c r="G1229" i="3"/>
  <c r="G1225" i="3"/>
  <c r="G1221" i="3"/>
  <c r="G1217" i="3"/>
  <c r="G1213" i="3"/>
  <c r="G1209" i="3"/>
  <c r="G1205" i="3"/>
  <c r="G1201" i="3"/>
  <c r="G1197" i="3"/>
  <c r="G1193" i="3"/>
  <c r="G1189" i="3"/>
  <c r="G1185" i="3"/>
  <c r="G1181" i="3"/>
  <c r="G1177" i="3"/>
  <c r="G1173" i="3"/>
  <c r="G1169" i="3"/>
  <c r="G1165" i="3"/>
  <c r="G1161" i="3"/>
  <c r="G1157" i="3"/>
  <c r="G1153" i="3"/>
  <c r="G1149" i="3"/>
  <c r="G1145" i="3"/>
  <c r="G1141" i="3"/>
  <c r="G1137" i="3"/>
  <c r="G1133" i="3"/>
  <c r="G1129" i="3"/>
  <c r="G1125" i="3"/>
  <c r="G1121" i="3"/>
  <c r="G1117" i="3"/>
  <c r="G1113" i="3"/>
  <c r="G1109" i="3"/>
  <c r="G1105" i="3"/>
  <c r="G1101" i="3"/>
  <c r="G1097" i="3"/>
  <c r="G1093" i="3"/>
  <c r="G1089" i="3"/>
  <c r="G1085" i="3"/>
  <c r="G1081" i="3"/>
  <c r="G1077" i="3"/>
  <c r="G1073" i="3"/>
  <c r="G1069" i="3"/>
  <c r="G1065" i="3"/>
  <c r="G1061" i="3"/>
  <c r="G1057" i="3"/>
  <c r="G1053" i="3"/>
  <c r="G1049" i="3"/>
  <c r="G1045" i="3"/>
  <c r="G1041" i="3"/>
  <c r="G1037" i="3"/>
  <c r="G1033" i="3"/>
  <c r="G1029" i="3"/>
  <c r="G1025" i="3"/>
  <c r="G1021" i="3"/>
  <c r="G1017" i="3"/>
  <c r="G1013" i="3"/>
  <c r="G1009" i="3"/>
  <c r="G1005" i="3"/>
  <c r="G1001" i="3"/>
  <c r="G997" i="3"/>
  <c r="G993" i="3"/>
  <c r="G570" i="3"/>
  <c r="G483" i="3"/>
  <c r="G58" i="3"/>
  <c r="G1170" i="3"/>
  <c r="G1166" i="3"/>
  <c r="G1162" i="3"/>
  <c r="G1158" i="3"/>
  <c r="G1154" i="3"/>
  <c r="G1150" i="3"/>
  <c r="G1146" i="3"/>
  <c r="G1142" i="3"/>
  <c r="G1138" i="3"/>
  <c r="G1134" i="3"/>
  <c r="G1130" i="3"/>
  <c r="G1126" i="3"/>
  <c r="G1122" i="3"/>
  <c r="G1118" i="3"/>
  <c r="G1114" i="3"/>
  <c r="G1110" i="3"/>
  <c r="G1106" i="3"/>
  <c r="G1102" i="3"/>
  <c r="G1098" i="3"/>
  <c r="G1094" i="3"/>
  <c r="G1090" i="3"/>
  <c r="G1086" i="3"/>
  <c r="G1082" i="3"/>
  <c r="G1078" i="3"/>
  <c r="G1074" i="3"/>
  <c r="G1070" i="3"/>
  <c r="G1066" i="3"/>
  <c r="G1062" i="3"/>
  <c r="G1058" i="3"/>
  <c r="G1054" i="3"/>
  <c r="G1050" i="3"/>
  <c r="G1046" i="3"/>
  <c r="G1042" i="3"/>
  <c r="G1038" i="3"/>
  <c r="G1034" i="3"/>
  <c r="G1030" i="3"/>
  <c r="G1026" i="3"/>
  <c r="G1022" i="3"/>
  <c r="G1018" i="3"/>
  <c r="G1014" i="3"/>
  <c r="G1010" i="3"/>
  <c r="G1006" i="3"/>
  <c r="G1002" i="3"/>
  <c r="G998" i="3"/>
  <c r="G994" i="3"/>
  <c r="G990" i="3"/>
  <c r="G986" i="3"/>
  <c r="G982" i="3"/>
  <c r="G978" i="3"/>
  <c r="G974" i="3"/>
  <c r="G970" i="3"/>
  <c r="G966" i="3"/>
  <c r="G962" i="3"/>
  <c r="G958" i="3"/>
  <c r="G954" i="3"/>
  <c r="G950" i="3"/>
  <c r="G946" i="3"/>
  <c r="G942" i="3"/>
  <c r="G938" i="3"/>
  <c r="G934" i="3"/>
  <c r="G930" i="3"/>
  <c r="G926" i="3"/>
  <c r="G922" i="3"/>
  <c r="G918" i="3"/>
  <c r="G914" i="3"/>
  <c r="G910" i="3"/>
  <c r="G906" i="3"/>
  <c r="G902" i="3"/>
  <c r="G898" i="3"/>
  <c r="G894" i="3"/>
  <c r="G890" i="3"/>
  <c r="G886" i="3"/>
  <c r="G882" i="3"/>
  <c r="G878" i="3"/>
  <c r="G874" i="3"/>
  <c r="G870" i="3"/>
  <c r="G866" i="3"/>
  <c r="G862" i="3"/>
  <c r="G858" i="3"/>
  <c r="G854" i="3"/>
  <c r="G850" i="3"/>
  <c r="G846" i="3"/>
  <c r="G842" i="3"/>
  <c r="G838" i="3"/>
  <c r="G834" i="3"/>
  <c r="G830" i="3"/>
  <c r="G826" i="3"/>
  <c r="G822" i="3"/>
  <c r="G818" i="3"/>
  <c r="G814" i="3"/>
  <c r="G810" i="3"/>
  <c r="G806" i="3"/>
  <c r="G802" i="3"/>
  <c r="G798" i="3"/>
  <c r="G794" i="3"/>
  <c r="G790" i="3"/>
  <c r="G786" i="3"/>
  <c r="G782" i="3"/>
  <c r="G778" i="3"/>
  <c r="G774" i="3"/>
  <c r="G770" i="3"/>
  <c r="G766" i="3"/>
  <c r="G762" i="3"/>
  <c r="G758" i="3"/>
  <c r="G754" i="3"/>
  <c r="G750" i="3"/>
  <c r="G746" i="3"/>
  <c r="G742" i="3"/>
  <c r="G738" i="3"/>
  <c r="G734" i="3"/>
  <c r="G730" i="3"/>
  <c r="G726" i="3"/>
  <c r="G722" i="3"/>
  <c r="G718" i="3"/>
  <c r="G714" i="3"/>
  <c r="G710" i="3"/>
  <c r="G706" i="3"/>
  <c r="G702" i="3"/>
  <c r="G698" i="3"/>
  <c r="G694" i="3"/>
  <c r="G690" i="3"/>
  <c r="G686" i="3"/>
  <c r="G682" i="3"/>
  <c r="G678" i="3"/>
  <c r="G674" i="3"/>
  <c r="G670" i="3"/>
  <c r="G666" i="3"/>
  <c r="G662" i="3"/>
  <c r="G658" i="3"/>
  <c r="G654" i="3"/>
  <c r="G650" i="3"/>
  <c r="G646" i="3"/>
  <c r="G642" i="3"/>
  <c r="G638" i="3"/>
  <c r="G634" i="3"/>
  <c r="G630" i="3"/>
  <c r="G626" i="3"/>
  <c r="G622" i="3"/>
  <c r="G618" i="3"/>
  <c r="G614" i="3"/>
  <c r="G610" i="3"/>
  <c r="G606" i="3"/>
  <c r="G602" i="3"/>
  <c r="G598" i="3"/>
  <c r="G594" i="3"/>
  <c r="G582" i="3"/>
  <c r="G578" i="3"/>
  <c r="G566" i="3"/>
  <c r="G562" i="3"/>
  <c r="G550" i="3"/>
  <c r="G546" i="3"/>
  <c r="G445" i="3"/>
  <c r="G413" i="3"/>
  <c r="G366" i="3"/>
  <c r="G318" i="3"/>
  <c r="G289" i="3"/>
  <c r="G282" i="3"/>
  <c r="G256" i="3"/>
  <c r="G220" i="3"/>
  <c r="G179" i="3"/>
  <c r="G160" i="3"/>
  <c r="G989" i="3"/>
  <c r="G985" i="3"/>
  <c r="G981" i="3"/>
  <c r="G977" i="3"/>
  <c r="G973" i="3"/>
  <c r="G969" i="3"/>
  <c r="G965" i="3"/>
  <c r="G961" i="3"/>
  <c r="G957" i="3"/>
  <c r="G953" i="3"/>
  <c r="G949" i="3"/>
  <c r="G945" i="3"/>
  <c r="G941" i="3"/>
  <c r="G592" i="3"/>
  <c r="G576" i="3"/>
  <c r="G560" i="3"/>
  <c r="G544" i="3"/>
  <c r="G528" i="3"/>
  <c r="G512" i="3"/>
  <c r="G382" i="3"/>
  <c r="G353" i="3"/>
  <c r="G346" i="3"/>
  <c r="G275" i="3"/>
  <c r="G267" i="3"/>
  <c r="G122" i="3"/>
  <c r="G497" i="3"/>
  <c r="G491" i="3"/>
  <c r="G367" i="3"/>
  <c r="G351" i="3"/>
  <c r="G323" i="3"/>
  <c r="G316" i="3"/>
  <c r="G273" i="3"/>
  <c r="G229" i="3"/>
  <c r="G217" i="3"/>
  <c r="G182" i="3"/>
  <c r="G170" i="3"/>
  <c r="G106" i="3"/>
  <c r="G68" i="3"/>
  <c r="G505" i="3"/>
  <c r="G499" i="3"/>
  <c r="G473" i="3"/>
  <c r="G457" i="3"/>
  <c r="G441" i="3"/>
  <c r="G425" i="3"/>
  <c r="G409" i="3"/>
  <c r="G393" i="3"/>
  <c r="G380" i="3"/>
  <c r="G337" i="3"/>
  <c r="G330" i="3"/>
  <c r="G303" i="3"/>
  <c r="G287" i="3"/>
  <c r="G257" i="3"/>
  <c r="G246" i="3"/>
  <c r="G236" i="3"/>
  <c r="G192" i="3"/>
  <c r="G96" i="3"/>
  <c r="G56" i="3"/>
  <c r="G18" i="3"/>
  <c r="G489" i="3"/>
  <c r="G465" i="3"/>
  <c r="G449" i="3"/>
  <c r="G433" i="3"/>
  <c r="G417" i="3"/>
  <c r="G401" i="3"/>
  <c r="G385" i="3"/>
  <c r="G378" i="3"/>
  <c r="G371" i="3"/>
  <c r="G364" i="3"/>
  <c r="G350" i="3"/>
  <c r="G335" i="3"/>
  <c r="G321" i="3"/>
  <c r="G314" i="3"/>
  <c r="G307" i="3"/>
  <c r="G300" i="3"/>
  <c r="G286" i="3"/>
  <c r="G271" i="3"/>
  <c r="G253" i="3"/>
  <c r="G243" i="3"/>
  <c r="G206" i="3"/>
  <c r="G196" i="3"/>
  <c r="G177" i="3"/>
  <c r="G128" i="3"/>
  <c r="G90" i="3"/>
  <c r="G28" i="3"/>
  <c r="A3" i="3"/>
  <c r="G3" i="3" s="1"/>
  <c r="A5" i="3"/>
  <c r="G5" i="3" s="1"/>
  <c r="A7" i="3"/>
  <c r="G7" i="3" s="1"/>
  <c r="A9" i="3"/>
  <c r="G9" i="3" s="1"/>
  <c r="A11" i="3"/>
  <c r="G11" i="3" s="1"/>
  <c r="A13" i="3"/>
  <c r="G13" i="3" s="1"/>
  <c r="A15" i="3"/>
  <c r="G15" i="3" s="1"/>
  <c r="A17" i="3"/>
  <c r="G17" i="3" s="1"/>
  <c r="A19" i="3"/>
  <c r="G19" i="3" s="1"/>
  <c r="A21" i="3"/>
  <c r="G21" i="3" s="1"/>
  <c r="A23" i="3"/>
  <c r="G23" i="3" s="1"/>
  <c r="A25" i="3"/>
  <c r="G25" i="3" s="1"/>
  <c r="A27" i="3"/>
  <c r="G27" i="3" s="1"/>
  <c r="A29" i="3"/>
  <c r="G29" i="3" s="1"/>
  <c r="A31" i="3"/>
  <c r="G31" i="3" s="1"/>
  <c r="A33" i="3"/>
  <c r="G33" i="3" s="1"/>
  <c r="A35" i="3"/>
  <c r="G35" i="3" s="1"/>
  <c r="A37" i="3"/>
  <c r="G37" i="3" s="1"/>
  <c r="A39" i="3"/>
  <c r="G39" i="3" s="1"/>
  <c r="A41" i="3"/>
  <c r="G41" i="3" s="1"/>
  <c r="A43" i="3"/>
  <c r="G43" i="3" s="1"/>
  <c r="A45" i="3"/>
  <c r="G45" i="3" s="1"/>
  <c r="A47" i="3"/>
  <c r="G47" i="3" s="1"/>
  <c r="A49" i="3"/>
  <c r="G49" i="3" s="1"/>
  <c r="A51" i="3"/>
  <c r="G51" i="3" s="1"/>
  <c r="A53" i="3"/>
  <c r="G53" i="3" s="1"/>
  <c r="A55" i="3"/>
  <c r="G55" i="3" s="1"/>
  <c r="A57" i="3"/>
  <c r="G57" i="3" s="1"/>
  <c r="A59" i="3"/>
  <c r="G59" i="3" s="1"/>
  <c r="A61" i="3"/>
  <c r="G61" i="3" s="1"/>
  <c r="A63" i="3"/>
  <c r="G63" i="3" s="1"/>
  <c r="A65" i="3"/>
  <c r="G65" i="3" s="1"/>
  <c r="A67" i="3"/>
  <c r="G67" i="3" s="1"/>
  <c r="A69" i="3"/>
  <c r="G69" i="3" s="1"/>
  <c r="A71" i="3"/>
  <c r="G71" i="3" s="1"/>
  <c r="A73" i="3"/>
  <c r="G73" i="3" s="1"/>
  <c r="A75" i="3"/>
  <c r="G75" i="3" s="1"/>
  <c r="A77" i="3"/>
  <c r="G77" i="3" s="1"/>
  <c r="A79" i="3"/>
  <c r="G79" i="3" s="1"/>
  <c r="A81" i="3"/>
  <c r="G81" i="3" s="1"/>
  <c r="A83" i="3"/>
  <c r="G83" i="3" s="1"/>
  <c r="A85" i="3"/>
  <c r="G85" i="3" s="1"/>
  <c r="A87" i="3"/>
  <c r="G87" i="3" s="1"/>
  <c r="A89" i="3"/>
  <c r="G89" i="3" s="1"/>
  <c r="A91" i="3"/>
  <c r="G91" i="3" s="1"/>
  <c r="A93" i="3"/>
  <c r="G93" i="3" s="1"/>
  <c r="A95" i="3"/>
  <c r="G95" i="3" s="1"/>
  <c r="A97" i="3"/>
  <c r="G97" i="3" s="1"/>
  <c r="A99" i="3"/>
  <c r="G99" i="3" s="1"/>
  <c r="A101" i="3"/>
  <c r="G101" i="3" s="1"/>
  <c r="A103" i="3"/>
  <c r="G103" i="3" s="1"/>
  <c r="A105" i="3"/>
  <c r="G105" i="3" s="1"/>
  <c r="A107" i="3"/>
  <c r="G107" i="3" s="1"/>
  <c r="A109" i="3"/>
  <c r="G109" i="3" s="1"/>
  <c r="A111" i="3"/>
  <c r="G111" i="3" s="1"/>
  <c r="A113" i="3"/>
  <c r="G113" i="3" s="1"/>
  <c r="A115" i="3"/>
  <c r="G115" i="3" s="1"/>
  <c r="A117" i="3"/>
  <c r="G117" i="3" s="1"/>
  <c r="A119" i="3"/>
  <c r="G119" i="3" s="1"/>
  <c r="A121" i="3"/>
  <c r="G121" i="3" s="1"/>
  <c r="A123" i="3"/>
  <c r="G123" i="3" s="1"/>
  <c r="A125" i="3"/>
  <c r="G125" i="3" s="1"/>
  <c r="A127" i="3"/>
  <c r="G127" i="3" s="1"/>
  <c r="A129" i="3"/>
  <c r="G129" i="3" s="1"/>
  <c r="A131" i="3"/>
  <c r="G131" i="3" s="1"/>
  <c r="A133" i="3"/>
  <c r="G133" i="3" s="1"/>
  <c r="A135" i="3"/>
  <c r="G135" i="3" s="1"/>
  <c r="A137" i="3"/>
  <c r="G137" i="3" s="1"/>
  <c r="A139" i="3"/>
  <c r="G139" i="3" s="1"/>
  <c r="A141" i="3"/>
  <c r="G141" i="3" s="1"/>
  <c r="A143" i="3"/>
  <c r="G143" i="3" s="1"/>
  <c r="A145" i="3"/>
  <c r="G145" i="3" s="1"/>
  <c r="A147" i="3"/>
  <c r="G147" i="3" s="1"/>
  <c r="A149" i="3"/>
  <c r="G149" i="3" s="1"/>
  <c r="A151" i="3"/>
  <c r="G151" i="3" s="1"/>
  <c r="A153" i="3"/>
  <c r="G153" i="3" s="1"/>
  <c r="A155" i="3"/>
  <c r="G155" i="3" s="1"/>
  <c r="A157" i="3"/>
  <c r="G157" i="3" s="1"/>
  <c r="A159" i="3"/>
  <c r="G159" i="3" s="1"/>
  <c r="A161" i="3"/>
  <c r="G161" i="3" s="1"/>
  <c r="A163" i="3"/>
  <c r="G163" i="3" s="1"/>
  <c r="A165" i="3"/>
  <c r="G165" i="3" s="1"/>
  <c r="A167" i="3"/>
  <c r="G167" i="3" s="1"/>
  <c r="A169" i="3"/>
  <c r="G169" i="3" s="1"/>
  <c r="A171" i="3"/>
  <c r="G171" i="3" s="1"/>
  <c r="A6" i="3"/>
  <c r="G6" i="3" s="1"/>
  <c r="A14" i="3"/>
  <c r="G14" i="3" s="1"/>
  <c r="A22" i="3"/>
  <c r="G22" i="3" s="1"/>
  <c r="A30" i="3"/>
  <c r="G30" i="3" s="1"/>
  <c r="A38" i="3"/>
  <c r="G38" i="3" s="1"/>
  <c r="A46" i="3"/>
  <c r="G46" i="3" s="1"/>
  <c r="A54" i="3"/>
  <c r="G54" i="3" s="1"/>
  <c r="A62" i="3"/>
  <c r="G62" i="3" s="1"/>
  <c r="A70" i="3"/>
  <c r="G70" i="3" s="1"/>
  <c r="A78" i="3"/>
  <c r="G78" i="3" s="1"/>
  <c r="A86" i="3"/>
  <c r="G86" i="3" s="1"/>
  <c r="A94" i="3"/>
  <c r="G94" i="3" s="1"/>
  <c r="A102" i="3"/>
  <c r="G102" i="3" s="1"/>
  <c r="A110" i="3"/>
  <c r="G110" i="3" s="1"/>
  <c r="A118" i="3"/>
  <c r="G118" i="3" s="1"/>
  <c r="A126" i="3"/>
  <c r="G126" i="3" s="1"/>
  <c r="A134" i="3"/>
  <c r="G134" i="3" s="1"/>
  <c r="A142" i="3"/>
  <c r="G142" i="3" s="1"/>
  <c r="A150" i="3"/>
  <c r="G150" i="3" s="1"/>
  <c r="A158" i="3"/>
  <c r="G158" i="3" s="1"/>
  <c r="A166" i="3"/>
  <c r="G166" i="3" s="1"/>
  <c r="A2" i="3"/>
  <c r="G2" i="3" s="1"/>
  <c r="A16" i="3"/>
  <c r="G16" i="3" s="1"/>
  <c r="A20" i="3"/>
  <c r="G20" i="3" s="1"/>
  <c r="A34" i="3"/>
  <c r="G34" i="3" s="1"/>
  <c r="A48" i="3"/>
  <c r="G48" i="3" s="1"/>
  <c r="A52" i="3"/>
  <c r="G52" i="3" s="1"/>
  <c r="A66" i="3"/>
  <c r="G66" i="3" s="1"/>
  <c r="A80" i="3"/>
  <c r="G80" i="3" s="1"/>
  <c r="A84" i="3"/>
  <c r="G84" i="3" s="1"/>
  <c r="A98" i="3"/>
  <c r="G98" i="3" s="1"/>
  <c r="A112" i="3"/>
  <c r="G112" i="3" s="1"/>
  <c r="A116" i="3"/>
  <c r="G116" i="3" s="1"/>
  <c r="A130" i="3"/>
  <c r="G130" i="3" s="1"/>
  <c r="A144" i="3"/>
  <c r="G144" i="3" s="1"/>
  <c r="A148" i="3"/>
  <c r="G148" i="3" s="1"/>
  <c r="A162" i="3"/>
  <c r="G162" i="3" s="1"/>
  <c r="A175" i="3"/>
  <c r="G175" i="3" s="1"/>
  <c r="A178" i="3"/>
  <c r="G178" i="3" s="1"/>
  <c r="A183" i="3"/>
  <c r="G183" i="3" s="1"/>
  <c r="A186" i="3"/>
  <c r="G186" i="3" s="1"/>
  <c r="A191" i="3"/>
  <c r="G191" i="3" s="1"/>
  <c r="A194" i="3"/>
  <c r="G194" i="3" s="1"/>
  <c r="A199" i="3"/>
  <c r="G199" i="3" s="1"/>
  <c r="A202" i="3"/>
  <c r="G202" i="3" s="1"/>
  <c r="A207" i="3"/>
  <c r="G207" i="3" s="1"/>
  <c r="A210" i="3"/>
  <c r="G210" i="3" s="1"/>
  <c r="A215" i="3"/>
  <c r="G215" i="3" s="1"/>
  <c r="A218" i="3"/>
  <c r="G218" i="3" s="1"/>
  <c r="A223" i="3"/>
  <c r="G223" i="3" s="1"/>
  <c r="A226" i="3"/>
  <c r="G226" i="3" s="1"/>
  <c r="A231" i="3"/>
  <c r="G231" i="3" s="1"/>
  <c r="A234" i="3"/>
  <c r="G234" i="3" s="1"/>
  <c r="A239" i="3"/>
  <c r="G239" i="3" s="1"/>
  <c r="A242" i="3"/>
  <c r="G242" i="3" s="1"/>
  <c r="A247" i="3"/>
  <c r="G247" i="3" s="1"/>
  <c r="A250" i="3"/>
  <c r="G250" i="3" s="1"/>
  <c r="A255" i="3"/>
  <c r="G255" i="3" s="1"/>
  <c r="A258" i="3"/>
  <c r="G258" i="3" s="1"/>
  <c r="A263" i="3"/>
  <c r="G263" i="3" s="1"/>
  <c r="A266" i="3"/>
  <c r="G266" i="3" s="1"/>
  <c r="A12" i="3"/>
  <c r="G12" i="3" s="1"/>
  <c r="A26" i="3"/>
  <c r="G26" i="3" s="1"/>
  <c r="A36" i="3"/>
  <c r="G36" i="3" s="1"/>
  <c r="A40" i="3"/>
  <c r="G40" i="3" s="1"/>
  <c r="A50" i="3"/>
  <c r="G50" i="3" s="1"/>
  <c r="A60" i="3"/>
  <c r="G60" i="3" s="1"/>
  <c r="A64" i="3"/>
  <c r="G64" i="3" s="1"/>
  <c r="A74" i="3"/>
  <c r="G74" i="3" s="1"/>
  <c r="A88" i="3"/>
  <c r="G88" i="3" s="1"/>
  <c r="A140" i="3"/>
  <c r="G140" i="3" s="1"/>
  <c r="A154" i="3"/>
  <c r="G154" i="3" s="1"/>
  <c r="A164" i="3"/>
  <c r="G164" i="3" s="1"/>
  <c r="A168" i="3"/>
  <c r="G168" i="3" s="1"/>
  <c r="A173" i="3"/>
  <c r="G173" i="3" s="1"/>
  <c r="A180" i="3"/>
  <c r="G180" i="3" s="1"/>
  <c r="A184" i="3"/>
  <c r="G184" i="3" s="1"/>
  <c r="A187" i="3"/>
  <c r="G187" i="3" s="1"/>
  <c r="A198" i="3"/>
  <c r="G198" i="3" s="1"/>
  <c r="A201" i="3"/>
  <c r="G201" i="3" s="1"/>
  <c r="A205" i="3"/>
  <c r="G205" i="3" s="1"/>
  <c r="A212" i="3"/>
  <c r="G212" i="3" s="1"/>
  <c r="A216" i="3"/>
  <c r="G216" i="3" s="1"/>
  <c r="A219" i="3"/>
  <c r="G219" i="3" s="1"/>
  <c r="A230" i="3"/>
  <c r="G230" i="3" s="1"/>
  <c r="A233" i="3"/>
  <c r="G233" i="3" s="1"/>
  <c r="A237" i="3"/>
  <c r="G237" i="3" s="1"/>
  <c r="A244" i="3"/>
  <c r="G244" i="3" s="1"/>
  <c r="A248" i="3"/>
  <c r="G248" i="3" s="1"/>
  <c r="A251" i="3"/>
  <c r="G251" i="3" s="1"/>
  <c r="A262" i="3"/>
  <c r="G262" i="3" s="1"/>
  <c r="A265" i="3"/>
  <c r="G265" i="3" s="1"/>
  <c r="A269" i="3"/>
  <c r="G269" i="3" s="1"/>
  <c r="A272" i="3"/>
  <c r="G272" i="3" s="1"/>
  <c r="A277" i="3"/>
  <c r="G277" i="3" s="1"/>
  <c r="A280" i="3"/>
  <c r="G280" i="3" s="1"/>
  <c r="A285" i="3"/>
  <c r="G285" i="3" s="1"/>
  <c r="A288" i="3"/>
  <c r="G288" i="3" s="1"/>
  <c r="A293" i="3"/>
  <c r="G293" i="3" s="1"/>
  <c r="A296" i="3"/>
  <c r="G296" i="3" s="1"/>
  <c r="A301" i="3"/>
  <c r="G301" i="3" s="1"/>
  <c r="A304" i="3"/>
  <c r="G304" i="3" s="1"/>
  <c r="A309" i="3"/>
  <c r="G309" i="3" s="1"/>
  <c r="A312" i="3"/>
  <c r="G312" i="3" s="1"/>
  <c r="A317" i="3"/>
  <c r="G317" i="3" s="1"/>
  <c r="A320" i="3"/>
  <c r="G320" i="3" s="1"/>
  <c r="A325" i="3"/>
  <c r="G325" i="3" s="1"/>
  <c r="A328" i="3"/>
  <c r="G328" i="3" s="1"/>
  <c r="A333" i="3"/>
  <c r="G333" i="3" s="1"/>
  <c r="A336" i="3"/>
  <c r="G336" i="3" s="1"/>
  <c r="A341" i="3"/>
  <c r="G341" i="3" s="1"/>
  <c r="A344" i="3"/>
  <c r="G344" i="3" s="1"/>
  <c r="A349" i="3"/>
  <c r="G349" i="3" s="1"/>
  <c r="A352" i="3"/>
  <c r="G352" i="3" s="1"/>
  <c r="A357" i="3"/>
  <c r="G357" i="3" s="1"/>
  <c r="A360" i="3"/>
  <c r="G360" i="3" s="1"/>
  <c r="A365" i="3"/>
  <c r="G365" i="3" s="1"/>
  <c r="A368" i="3"/>
  <c r="G368" i="3" s="1"/>
  <c r="A373" i="3"/>
  <c r="G373" i="3" s="1"/>
  <c r="A376" i="3"/>
  <c r="G376" i="3" s="1"/>
  <c r="A381" i="3"/>
  <c r="G381" i="3" s="1"/>
  <c r="A384" i="3"/>
  <c r="G384" i="3" s="1"/>
  <c r="A386" i="3"/>
  <c r="G386" i="3" s="1"/>
  <c r="A388" i="3"/>
  <c r="G388" i="3" s="1"/>
  <c r="A390" i="3"/>
  <c r="G390" i="3" s="1"/>
  <c r="A392" i="3"/>
  <c r="G392" i="3" s="1"/>
  <c r="A394" i="3"/>
  <c r="G394" i="3" s="1"/>
  <c r="A396" i="3"/>
  <c r="G396" i="3" s="1"/>
  <c r="A398" i="3"/>
  <c r="G398" i="3" s="1"/>
  <c r="A400" i="3"/>
  <c r="G400" i="3" s="1"/>
  <c r="A402" i="3"/>
  <c r="G402" i="3" s="1"/>
  <c r="A404" i="3"/>
  <c r="G404" i="3" s="1"/>
  <c r="A406" i="3"/>
  <c r="G406" i="3" s="1"/>
  <c r="A408" i="3"/>
  <c r="G408" i="3" s="1"/>
  <c r="A410" i="3"/>
  <c r="G410" i="3" s="1"/>
  <c r="A412" i="3"/>
  <c r="G412" i="3" s="1"/>
  <c r="A414" i="3"/>
  <c r="G414" i="3" s="1"/>
  <c r="A416" i="3"/>
  <c r="G416" i="3" s="1"/>
  <c r="A418" i="3"/>
  <c r="G418" i="3" s="1"/>
  <c r="A420" i="3"/>
  <c r="G420" i="3" s="1"/>
  <c r="A422" i="3"/>
  <c r="G422" i="3" s="1"/>
  <c r="A424" i="3"/>
  <c r="G424" i="3" s="1"/>
  <c r="A426" i="3"/>
  <c r="G426" i="3" s="1"/>
  <c r="A428" i="3"/>
  <c r="G428" i="3" s="1"/>
  <c r="A430" i="3"/>
  <c r="G430" i="3" s="1"/>
  <c r="A432" i="3"/>
  <c r="G432" i="3" s="1"/>
  <c r="A434" i="3"/>
  <c r="G434" i="3" s="1"/>
  <c r="A436" i="3"/>
  <c r="G436" i="3" s="1"/>
  <c r="A438" i="3"/>
  <c r="G438" i="3" s="1"/>
  <c r="A440" i="3"/>
  <c r="G440" i="3" s="1"/>
  <c r="A442" i="3"/>
  <c r="G442" i="3" s="1"/>
  <c r="A444" i="3"/>
  <c r="G444" i="3" s="1"/>
  <c r="A446" i="3"/>
  <c r="G446" i="3" s="1"/>
  <c r="A448" i="3"/>
  <c r="G448" i="3" s="1"/>
  <c r="A450" i="3"/>
  <c r="G450" i="3" s="1"/>
  <c r="A452" i="3"/>
  <c r="G452" i="3" s="1"/>
  <c r="A454" i="3"/>
  <c r="G454" i="3" s="1"/>
  <c r="A456" i="3"/>
  <c r="G456" i="3" s="1"/>
  <c r="A458" i="3"/>
  <c r="G458" i="3" s="1"/>
  <c r="A460" i="3"/>
  <c r="G460" i="3" s="1"/>
  <c r="A462" i="3"/>
  <c r="G462" i="3" s="1"/>
  <c r="A464" i="3"/>
  <c r="G464" i="3" s="1"/>
  <c r="A466" i="3"/>
  <c r="G466" i="3" s="1"/>
  <c r="A468" i="3"/>
  <c r="G468" i="3" s="1"/>
  <c r="A470" i="3"/>
  <c r="G470" i="3" s="1"/>
  <c r="A472" i="3"/>
  <c r="G472" i="3" s="1"/>
  <c r="A474" i="3"/>
  <c r="G474" i="3" s="1"/>
  <c r="A476" i="3"/>
  <c r="G476" i="3" s="1"/>
  <c r="A478" i="3"/>
  <c r="G478" i="3" s="1"/>
  <c r="A480" i="3"/>
  <c r="G480" i="3" s="1"/>
  <c r="A482" i="3"/>
  <c r="G482" i="3" s="1"/>
  <c r="A484" i="3"/>
  <c r="G484" i="3" s="1"/>
  <c r="A486" i="3"/>
  <c r="G486" i="3" s="1"/>
  <c r="A488" i="3"/>
  <c r="G488" i="3" s="1"/>
  <c r="A490" i="3"/>
  <c r="G490" i="3" s="1"/>
  <c r="A492" i="3"/>
  <c r="G492" i="3" s="1"/>
  <c r="A494" i="3"/>
  <c r="G494" i="3" s="1"/>
  <c r="A496" i="3"/>
  <c r="G496" i="3" s="1"/>
  <c r="A498" i="3"/>
  <c r="G498" i="3" s="1"/>
  <c r="A500" i="3"/>
  <c r="G500" i="3" s="1"/>
  <c r="A502" i="3"/>
  <c r="G502" i="3" s="1"/>
  <c r="A504" i="3"/>
  <c r="G504" i="3" s="1"/>
  <c r="A506" i="3"/>
  <c r="G506" i="3" s="1"/>
  <c r="A508" i="3"/>
  <c r="G508" i="3" s="1"/>
  <c r="A510" i="3"/>
  <c r="G510" i="3" s="1"/>
  <c r="A32" i="3"/>
  <c r="G32" i="3" s="1"/>
  <c r="A44" i="3"/>
  <c r="G44" i="3" s="1"/>
  <c r="A76" i="3"/>
  <c r="G76" i="3" s="1"/>
  <c r="A82" i="3"/>
  <c r="G82" i="3" s="1"/>
  <c r="A108" i="3"/>
  <c r="G108" i="3" s="1"/>
  <c r="A114" i="3"/>
  <c r="G114" i="3" s="1"/>
  <c r="A120" i="3"/>
  <c r="G120" i="3" s="1"/>
  <c r="A146" i="3"/>
  <c r="G146" i="3" s="1"/>
  <c r="A152" i="3"/>
  <c r="G152" i="3" s="1"/>
  <c r="A176" i="3"/>
  <c r="G176" i="3" s="1"/>
  <c r="A181" i="3"/>
  <c r="G181" i="3" s="1"/>
  <c r="A185" i="3"/>
  <c r="G185" i="3" s="1"/>
  <c r="A190" i="3"/>
  <c r="G190" i="3" s="1"/>
  <c r="A195" i="3"/>
  <c r="G195" i="3" s="1"/>
  <c r="A200" i="3"/>
  <c r="G200" i="3" s="1"/>
  <c r="A204" i="3"/>
  <c r="G204" i="3" s="1"/>
  <c r="A209" i="3"/>
  <c r="G209" i="3" s="1"/>
  <c r="A214" i="3"/>
  <c r="G214" i="3" s="1"/>
  <c r="A224" i="3"/>
  <c r="G224" i="3" s="1"/>
  <c r="A228" i="3"/>
  <c r="G228" i="3" s="1"/>
  <c r="A238" i="3"/>
  <c r="G238" i="3" s="1"/>
  <c r="A252" i="3"/>
  <c r="G252" i="3" s="1"/>
  <c r="A261" i="3"/>
  <c r="G261" i="3" s="1"/>
  <c r="A274" i="3"/>
  <c r="G274" i="3" s="1"/>
  <c r="A278" i="3"/>
  <c r="G278" i="3" s="1"/>
  <c r="A281" i="3"/>
  <c r="G281" i="3" s="1"/>
  <c r="A292" i="3"/>
  <c r="G292" i="3" s="1"/>
  <c r="A295" i="3"/>
  <c r="G295" i="3" s="1"/>
  <c r="A299" i="3"/>
  <c r="G299" i="3" s="1"/>
  <c r="A306" i="3"/>
  <c r="G306" i="3" s="1"/>
  <c r="A310" i="3"/>
  <c r="G310" i="3" s="1"/>
  <c r="A313" i="3"/>
  <c r="G313" i="3" s="1"/>
  <c r="A324" i="3"/>
  <c r="G324" i="3" s="1"/>
  <c r="A327" i="3"/>
  <c r="G327" i="3" s="1"/>
  <c r="A331" i="3"/>
  <c r="G331" i="3" s="1"/>
  <c r="A338" i="3"/>
  <c r="G338" i="3" s="1"/>
  <c r="A342" i="3"/>
  <c r="G342" i="3" s="1"/>
  <c r="A345" i="3"/>
  <c r="G345" i="3" s="1"/>
  <c r="A356" i="3"/>
  <c r="G356" i="3" s="1"/>
  <c r="A359" i="3"/>
  <c r="G359" i="3" s="1"/>
  <c r="A363" i="3"/>
  <c r="G363" i="3" s="1"/>
  <c r="A370" i="3"/>
  <c r="G370" i="3" s="1"/>
  <c r="A374" i="3"/>
  <c r="G374" i="3" s="1"/>
  <c r="A377" i="3"/>
  <c r="G377" i="3" s="1"/>
  <c r="A387" i="3"/>
  <c r="G387" i="3" s="1"/>
  <c r="A395" i="3"/>
  <c r="G395" i="3" s="1"/>
  <c r="A403" i="3"/>
  <c r="G403" i="3" s="1"/>
  <c r="A411" i="3"/>
  <c r="G411" i="3" s="1"/>
  <c r="A419" i="3"/>
  <c r="G419" i="3" s="1"/>
  <c r="A427" i="3"/>
  <c r="G427" i="3" s="1"/>
  <c r="A435" i="3"/>
  <c r="G435" i="3" s="1"/>
  <c r="A443" i="3"/>
  <c r="G443" i="3" s="1"/>
  <c r="A451" i="3"/>
  <c r="G451" i="3" s="1"/>
  <c r="A459" i="3"/>
  <c r="G459" i="3" s="1"/>
  <c r="A467" i="3"/>
  <c r="G467" i="3" s="1"/>
  <c r="A4" i="3"/>
  <c r="G4" i="3" s="1"/>
  <c r="A10" i="3"/>
  <c r="G10" i="3" s="1"/>
  <c r="A42" i="3"/>
  <c r="G42" i="3" s="1"/>
  <c r="A72" i="3"/>
  <c r="G72" i="3" s="1"/>
  <c r="A92" i="3"/>
  <c r="G92" i="3" s="1"/>
  <c r="A104" i="3"/>
  <c r="G104" i="3" s="1"/>
  <c r="A124" i="3"/>
  <c r="G124" i="3" s="1"/>
  <c r="A136" i="3"/>
  <c r="G136" i="3" s="1"/>
  <c r="A156" i="3"/>
  <c r="G156" i="3" s="1"/>
  <c r="A174" i="3"/>
  <c r="G174" i="3" s="1"/>
  <c r="A188" i="3"/>
  <c r="G188" i="3" s="1"/>
  <c r="A197" i="3"/>
  <c r="G197" i="3" s="1"/>
  <c r="A211" i="3"/>
  <c r="G211" i="3" s="1"/>
  <c r="A221" i="3"/>
  <c r="G221" i="3" s="1"/>
  <c r="A225" i="3"/>
  <c r="G225" i="3" s="1"/>
  <c r="A235" i="3"/>
  <c r="G235" i="3" s="1"/>
  <c r="A240" i="3"/>
  <c r="G240" i="3" s="1"/>
  <c r="A245" i="3"/>
  <c r="G245" i="3" s="1"/>
  <c r="A249" i="3"/>
  <c r="G249" i="3" s="1"/>
  <c r="A254" i="3"/>
  <c r="G254" i="3" s="1"/>
  <c r="A259" i="3"/>
  <c r="G259" i="3" s="1"/>
  <c r="A264" i="3"/>
  <c r="G264" i="3" s="1"/>
  <c r="A268" i="3"/>
  <c r="G268" i="3" s="1"/>
  <c r="A276" i="3"/>
  <c r="G276" i="3" s="1"/>
  <c r="A279" i="3"/>
  <c r="G279" i="3" s="1"/>
  <c r="A283" i="3"/>
  <c r="G283" i="3" s="1"/>
  <c r="A290" i="3"/>
  <c r="G290" i="3" s="1"/>
  <c r="A294" i="3"/>
  <c r="G294" i="3" s="1"/>
  <c r="A297" i="3"/>
  <c r="G297" i="3" s="1"/>
  <c r="A308" i="3"/>
  <c r="G308" i="3" s="1"/>
  <c r="A311" i="3"/>
  <c r="G311" i="3" s="1"/>
  <c r="A315" i="3"/>
  <c r="G315" i="3" s="1"/>
  <c r="A322" i="3"/>
  <c r="G322" i="3" s="1"/>
  <c r="A326" i="3"/>
  <c r="G326" i="3" s="1"/>
  <c r="A329" i="3"/>
  <c r="G329" i="3" s="1"/>
  <c r="A340" i="3"/>
  <c r="G340" i="3" s="1"/>
  <c r="A343" i="3"/>
  <c r="G343" i="3" s="1"/>
  <c r="A347" i="3"/>
  <c r="G347" i="3" s="1"/>
  <c r="A354" i="3"/>
  <c r="G354" i="3" s="1"/>
  <c r="A358" i="3"/>
  <c r="G358" i="3" s="1"/>
  <c r="A361" i="3"/>
  <c r="G361" i="3" s="1"/>
  <c r="A372" i="3"/>
  <c r="G372" i="3" s="1"/>
  <c r="A375" i="3"/>
  <c r="G375" i="3" s="1"/>
  <c r="A379" i="3"/>
  <c r="G379" i="3" s="1"/>
  <c r="A391" i="3"/>
  <c r="G391" i="3" s="1"/>
  <c r="A399" i="3"/>
  <c r="G399" i="3" s="1"/>
  <c r="A407" i="3"/>
  <c r="G407" i="3" s="1"/>
  <c r="A415" i="3"/>
  <c r="G415" i="3" s="1"/>
  <c r="A423" i="3"/>
  <c r="G423" i="3" s="1"/>
  <c r="A431" i="3"/>
  <c r="G431" i="3" s="1"/>
  <c r="A439" i="3"/>
  <c r="G439" i="3" s="1"/>
  <c r="A447" i="3"/>
  <c r="G447" i="3" s="1"/>
  <c r="A455" i="3"/>
  <c r="G455" i="3" s="1"/>
  <c r="A463" i="3"/>
  <c r="G463" i="3" s="1"/>
  <c r="A471" i="3"/>
  <c r="G471" i="3" s="1"/>
  <c r="A479" i="3"/>
  <c r="G479" i="3" s="1"/>
  <c r="A487" i="3"/>
  <c r="G487" i="3" s="1"/>
  <c r="A495" i="3"/>
  <c r="G495" i="3" s="1"/>
  <c r="A503" i="3"/>
  <c r="G503" i="3" s="1"/>
  <c r="A511" i="3"/>
  <c r="G511" i="3" s="1"/>
  <c r="A513" i="3"/>
  <c r="G513" i="3" s="1"/>
  <c r="A515" i="3"/>
  <c r="G515" i="3" s="1"/>
  <c r="A517" i="3"/>
  <c r="G517" i="3" s="1"/>
  <c r="A519" i="3"/>
  <c r="G519" i="3" s="1"/>
  <c r="A521" i="3"/>
  <c r="G521" i="3" s="1"/>
  <c r="A523" i="3"/>
  <c r="G523" i="3" s="1"/>
  <c r="A525" i="3"/>
  <c r="G525" i="3" s="1"/>
  <c r="A527" i="3"/>
  <c r="G527" i="3" s="1"/>
  <c r="A529" i="3"/>
  <c r="G529" i="3" s="1"/>
  <c r="A531" i="3"/>
  <c r="G531" i="3" s="1"/>
  <c r="A533" i="3"/>
  <c r="G533" i="3" s="1"/>
  <c r="A535" i="3"/>
  <c r="G535" i="3" s="1"/>
  <c r="A537" i="3"/>
  <c r="G537" i="3" s="1"/>
  <c r="A539" i="3"/>
  <c r="G539" i="3" s="1"/>
  <c r="A541" i="3"/>
  <c r="G541" i="3" s="1"/>
  <c r="A543" i="3"/>
  <c r="G543" i="3" s="1"/>
  <c r="A545" i="3"/>
  <c r="G545" i="3" s="1"/>
  <c r="A547" i="3"/>
  <c r="G547" i="3" s="1"/>
  <c r="A549" i="3"/>
  <c r="G549" i="3" s="1"/>
  <c r="A551" i="3"/>
  <c r="G551" i="3" s="1"/>
  <c r="A553" i="3"/>
  <c r="G553" i="3" s="1"/>
  <c r="A555" i="3"/>
  <c r="G555" i="3" s="1"/>
  <c r="A557" i="3"/>
  <c r="G557" i="3" s="1"/>
  <c r="A559" i="3"/>
  <c r="G559" i="3" s="1"/>
  <c r="A561" i="3"/>
  <c r="G561" i="3" s="1"/>
  <c r="A563" i="3"/>
  <c r="G563" i="3" s="1"/>
  <c r="A565" i="3"/>
  <c r="G565" i="3" s="1"/>
  <c r="A567" i="3"/>
  <c r="G567" i="3" s="1"/>
  <c r="A569" i="3"/>
  <c r="G569" i="3" s="1"/>
  <c r="A571" i="3"/>
  <c r="G571" i="3" s="1"/>
  <c r="A573" i="3"/>
  <c r="G573" i="3" s="1"/>
  <c r="A575" i="3"/>
  <c r="G575" i="3" s="1"/>
  <c r="A577" i="3"/>
  <c r="G577" i="3" s="1"/>
  <c r="A579" i="3"/>
  <c r="G579" i="3" s="1"/>
  <c r="A581" i="3"/>
  <c r="G581" i="3" s="1"/>
  <c r="A583" i="3"/>
  <c r="G583" i="3" s="1"/>
  <c r="A585" i="3"/>
  <c r="G585" i="3" s="1"/>
  <c r="A587" i="3"/>
  <c r="G587" i="3" s="1"/>
  <c r="A589" i="3"/>
  <c r="G589" i="3" s="1"/>
  <c r="A591" i="3"/>
  <c r="G591" i="3" s="1"/>
  <c r="A593" i="3"/>
  <c r="G593" i="3" s="1"/>
  <c r="A595" i="3"/>
  <c r="G595" i="3" s="1"/>
  <c r="A597" i="3"/>
  <c r="G597" i="3" s="1"/>
  <c r="A599" i="3"/>
  <c r="G599" i="3" s="1"/>
  <c r="A601" i="3"/>
  <c r="G601" i="3" s="1"/>
  <c r="A603" i="3"/>
  <c r="G603" i="3" s="1"/>
  <c r="A605" i="3"/>
  <c r="G605" i="3" s="1"/>
  <c r="A607" i="3"/>
  <c r="G607" i="3" s="1"/>
  <c r="A609" i="3"/>
  <c r="G609" i="3" s="1"/>
  <c r="A611" i="3"/>
  <c r="G611" i="3" s="1"/>
  <c r="A613" i="3"/>
  <c r="G613" i="3" s="1"/>
  <c r="A615" i="3"/>
  <c r="G615" i="3" s="1"/>
  <c r="A617" i="3"/>
  <c r="G617" i="3" s="1"/>
  <c r="A619" i="3"/>
  <c r="G619" i="3" s="1"/>
  <c r="A621" i="3"/>
  <c r="G621" i="3" s="1"/>
  <c r="A623" i="3"/>
  <c r="G623" i="3" s="1"/>
  <c r="A625" i="3"/>
  <c r="G625" i="3" s="1"/>
  <c r="A627" i="3"/>
  <c r="G627" i="3" s="1"/>
  <c r="A629" i="3"/>
  <c r="G629" i="3" s="1"/>
  <c r="A631" i="3"/>
  <c r="G631" i="3" s="1"/>
  <c r="A633" i="3"/>
  <c r="G633" i="3" s="1"/>
  <c r="A635" i="3"/>
  <c r="G635" i="3" s="1"/>
  <c r="A637" i="3"/>
  <c r="G637" i="3" s="1"/>
  <c r="A639" i="3"/>
  <c r="G639" i="3" s="1"/>
  <c r="A641" i="3"/>
  <c r="G641" i="3" s="1"/>
  <c r="A643" i="3"/>
  <c r="G643" i="3" s="1"/>
  <c r="A645" i="3"/>
  <c r="G645" i="3" s="1"/>
  <c r="A647" i="3"/>
  <c r="G647" i="3" s="1"/>
  <c r="A649" i="3"/>
  <c r="G649" i="3" s="1"/>
  <c r="A651" i="3"/>
  <c r="G651" i="3" s="1"/>
  <c r="A653" i="3"/>
  <c r="G653" i="3" s="1"/>
  <c r="A655" i="3"/>
  <c r="G655" i="3" s="1"/>
  <c r="A657" i="3"/>
  <c r="G657" i="3" s="1"/>
  <c r="A659" i="3"/>
  <c r="G659" i="3" s="1"/>
  <c r="A661" i="3"/>
  <c r="G661" i="3" s="1"/>
  <c r="A663" i="3"/>
  <c r="G663" i="3" s="1"/>
  <c r="A665" i="3"/>
  <c r="G665" i="3" s="1"/>
  <c r="A667" i="3"/>
  <c r="G667" i="3" s="1"/>
  <c r="A669" i="3"/>
  <c r="G669" i="3" s="1"/>
  <c r="A671" i="3"/>
  <c r="G671" i="3" s="1"/>
  <c r="A673" i="3"/>
  <c r="G673" i="3" s="1"/>
  <c r="A675" i="3"/>
  <c r="G675" i="3" s="1"/>
  <c r="A677" i="3"/>
  <c r="G677" i="3" s="1"/>
  <c r="A679" i="3"/>
  <c r="G679" i="3" s="1"/>
  <c r="A681" i="3"/>
  <c r="G681" i="3" s="1"/>
  <c r="A683" i="3"/>
  <c r="G683" i="3" s="1"/>
  <c r="A685" i="3"/>
  <c r="G685" i="3" s="1"/>
  <c r="A687" i="3"/>
  <c r="G687" i="3" s="1"/>
  <c r="A689" i="3"/>
  <c r="G689" i="3" s="1"/>
  <c r="A691" i="3"/>
  <c r="G691" i="3" s="1"/>
  <c r="A693" i="3"/>
  <c r="G693" i="3" s="1"/>
  <c r="A695" i="3"/>
  <c r="G695" i="3" s="1"/>
  <c r="A697" i="3"/>
  <c r="G697" i="3" s="1"/>
  <c r="A699" i="3"/>
  <c r="G699" i="3" s="1"/>
  <c r="A701" i="3"/>
  <c r="G701" i="3" s="1"/>
  <c r="A703" i="3"/>
  <c r="G703" i="3" s="1"/>
  <c r="A705" i="3"/>
  <c r="G705" i="3" s="1"/>
  <c r="A707" i="3"/>
  <c r="G707" i="3" s="1"/>
  <c r="A709" i="3"/>
  <c r="G709" i="3" s="1"/>
  <c r="A711" i="3"/>
  <c r="G711" i="3" s="1"/>
  <c r="A713" i="3"/>
  <c r="G713" i="3" s="1"/>
  <c r="A715" i="3"/>
  <c r="G715" i="3" s="1"/>
  <c r="A717" i="3"/>
  <c r="G717" i="3" s="1"/>
  <c r="A719" i="3"/>
  <c r="G719" i="3" s="1"/>
  <c r="A721" i="3"/>
  <c r="G721" i="3" s="1"/>
  <c r="A723" i="3"/>
  <c r="G723" i="3" s="1"/>
  <c r="A725" i="3"/>
  <c r="G725" i="3" s="1"/>
  <c r="A727" i="3"/>
  <c r="G727" i="3" s="1"/>
  <c r="A729" i="3"/>
  <c r="G729" i="3" s="1"/>
  <c r="A731" i="3"/>
  <c r="G731" i="3" s="1"/>
  <c r="A733" i="3"/>
  <c r="G733" i="3" s="1"/>
  <c r="A735" i="3"/>
  <c r="G735" i="3" s="1"/>
  <c r="A737" i="3"/>
  <c r="G737" i="3" s="1"/>
  <c r="A739" i="3"/>
  <c r="G739" i="3" s="1"/>
  <c r="A741" i="3"/>
  <c r="G741" i="3" s="1"/>
  <c r="A743" i="3"/>
  <c r="G743" i="3" s="1"/>
  <c r="A745" i="3"/>
  <c r="G745" i="3" s="1"/>
  <c r="A747" i="3"/>
  <c r="G747" i="3" s="1"/>
  <c r="A749" i="3"/>
  <c r="G749" i="3" s="1"/>
  <c r="A751" i="3"/>
  <c r="G751" i="3" s="1"/>
  <c r="A753" i="3"/>
  <c r="G753" i="3" s="1"/>
  <c r="A755" i="3"/>
  <c r="G755" i="3" s="1"/>
  <c r="A757" i="3"/>
  <c r="G757" i="3" s="1"/>
  <c r="A759" i="3"/>
  <c r="G759" i="3" s="1"/>
  <c r="A761" i="3"/>
  <c r="G761" i="3" s="1"/>
  <c r="A763" i="3"/>
  <c r="G763" i="3" s="1"/>
  <c r="A765" i="3"/>
  <c r="G765" i="3" s="1"/>
  <c r="A767" i="3"/>
  <c r="G767" i="3" s="1"/>
  <c r="A769" i="3"/>
  <c r="G769" i="3" s="1"/>
  <c r="A771" i="3"/>
  <c r="G771" i="3" s="1"/>
  <c r="A773" i="3"/>
  <c r="G773" i="3" s="1"/>
  <c r="A775" i="3"/>
  <c r="G775" i="3" s="1"/>
  <c r="A777" i="3"/>
  <c r="G777" i="3" s="1"/>
  <c r="A779" i="3"/>
  <c r="G779" i="3" s="1"/>
  <c r="A781" i="3"/>
  <c r="G781" i="3" s="1"/>
  <c r="A783" i="3"/>
  <c r="G783" i="3" s="1"/>
  <c r="A785" i="3"/>
  <c r="G785" i="3" s="1"/>
  <c r="A787" i="3"/>
  <c r="G787" i="3" s="1"/>
  <c r="A789" i="3"/>
  <c r="G789" i="3" s="1"/>
  <c r="A791" i="3"/>
  <c r="G791" i="3" s="1"/>
  <c r="A793" i="3"/>
  <c r="G793" i="3" s="1"/>
  <c r="A795" i="3"/>
  <c r="G795" i="3" s="1"/>
  <c r="A797" i="3"/>
  <c r="G797" i="3" s="1"/>
  <c r="A799" i="3"/>
  <c r="G799" i="3" s="1"/>
  <c r="A801" i="3"/>
  <c r="G801" i="3" s="1"/>
  <c r="A803" i="3"/>
  <c r="G803" i="3" s="1"/>
  <c r="A805" i="3"/>
  <c r="G805" i="3" s="1"/>
  <c r="A807" i="3"/>
  <c r="G807" i="3" s="1"/>
  <c r="A809" i="3"/>
  <c r="G809" i="3" s="1"/>
  <c r="A811" i="3"/>
  <c r="G811" i="3" s="1"/>
  <c r="A813" i="3"/>
  <c r="G813" i="3" s="1"/>
  <c r="A815" i="3"/>
  <c r="G815" i="3" s="1"/>
  <c r="A817" i="3"/>
  <c r="G817" i="3" s="1"/>
  <c r="A819" i="3"/>
  <c r="G819" i="3" s="1"/>
  <c r="A821" i="3"/>
  <c r="G821" i="3" s="1"/>
  <c r="A823" i="3"/>
  <c r="G823" i="3" s="1"/>
  <c r="A825" i="3"/>
  <c r="G825" i="3" s="1"/>
  <c r="A827" i="3"/>
  <c r="G827" i="3" s="1"/>
  <c r="A829" i="3"/>
  <c r="G829" i="3" s="1"/>
  <c r="A831" i="3"/>
  <c r="G831" i="3" s="1"/>
  <c r="A833" i="3"/>
  <c r="G833" i="3" s="1"/>
  <c r="A835" i="3"/>
  <c r="G835" i="3" s="1"/>
  <c r="A837" i="3"/>
  <c r="G837" i="3" s="1"/>
  <c r="A839" i="3"/>
  <c r="G839" i="3" s="1"/>
  <c r="A841" i="3"/>
  <c r="G841" i="3" s="1"/>
  <c r="A843" i="3"/>
  <c r="G843" i="3" s="1"/>
  <c r="A845" i="3"/>
  <c r="G845" i="3" s="1"/>
  <c r="A847" i="3"/>
  <c r="G847" i="3" s="1"/>
  <c r="A849" i="3"/>
  <c r="G849" i="3" s="1"/>
  <c r="A851" i="3"/>
  <c r="G851" i="3" s="1"/>
  <c r="A853" i="3"/>
  <c r="G853" i="3" s="1"/>
  <c r="A855" i="3"/>
  <c r="G855" i="3" s="1"/>
  <c r="A857" i="3"/>
  <c r="G857" i="3" s="1"/>
  <c r="A859" i="3"/>
  <c r="G859" i="3" s="1"/>
  <c r="A861" i="3"/>
  <c r="G861" i="3" s="1"/>
  <c r="A863" i="3"/>
  <c r="G863" i="3" s="1"/>
  <c r="A865" i="3"/>
  <c r="G865" i="3" s="1"/>
  <c r="A867" i="3"/>
  <c r="G867" i="3" s="1"/>
  <c r="A869" i="3"/>
  <c r="G869" i="3" s="1"/>
  <c r="A871" i="3"/>
  <c r="G871" i="3" s="1"/>
  <c r="A873" i="3"/>
  <c r="G873" i="3" s="1"/>
  <c r="A875" i="3"/>
  <c r="G875" i="3" s="1"/>
  <c r="A877" i="3"/>
  <c r="G877" i="3" s="1"/>
  <c r="A879" i="3"/>
  <c r="G879" i="3" s="1"/>
  <c r="A881" i="3"/>
  <c r="G881" i="3" s="1"/>
  <c r="A883" i="3"/>
  <c r="G883" i="3" s="1"/>
  <c r="A885" i="3"/>
  <c r="G885" i="3" s="1"/>
  <c r="A887" i="3"/>
  <c r="G887" i="3" s="1"/>
  <c r="A889" i="3"/>
  <c r="G889" i="3" s="1"/>
  <c r="A891" i="3"/>
  <c r="G891" i="3" s="1"/>
  <c r="A893" i="3"/>
  <c r="G893" i="3" s="1"/>
  <c r="A895" i="3"/>
  <c r="G895" i="3" s="1"/>
  <c r="A897" i="3"/>
  <c r="G897" i="3" s="1"/>
  <c r="A899" i="3"/>
  <c r="G899" i="3" s="1"/>
  <c r="A901" i="3"/>
  <c r="G901" i="3" s="1"/>
  <c r="A903" i="3"/>
  <c r="G903" i="3" s="1"/>
  <c r="A905" i="3"/>
  <c r="G905" i="3" s="1"/>
  <c r="A907" i="3"/>
  <c r="G907" i="3" s="1"/>
  <c r="A909" i="3"/>
  <c r="G909" i="3" s="1"/>
  <c r="A911" i="3"/>
  <c r="G911" i="3" s="1"/>
  <c r="A913" i="3"/>
  <c r="G913" i="3" s="1"/>
  <c r="A915" i="3"/>
  <c r="G915" i="3" s="1"/>
  <c r="A917" i="3"/>
  <c r="G917" i="3" s="1"/>
  <c r="A919" i="3"/>
  <c r="G919" i="3" s="1"/>
  <c r="A921" i="3"/>
  <c r="G921" i="3" s="1"/>
  <c r="A923" i="3"/>
  <c r="G923" i="3" s="1"/>
  <c r="A925" i="3"/>
  <c r="G925" i="3" s="1"/>
  <c r="A927" i="3"/>
  <c r="G927" i="3" s="1"/>
  <c r="A929" i="3"/>
  <c r="G929" i="3" s="1"/>
  <c r="A931" i="3"/>
  <c r="G931" i="3" s="1"/>
  <c r="A933" i="3"/>
  <c r="G933" i="3" s="1"/>
  <c r="A935" i="3"/>
  <c r="G935" i="3" s="1"/>
  <c r="A937" i="3"/>
  <c r="G937" i="3" s="1"/>
  <c r="G481" i="3"/>
  <c r="G469" i="3"/>
  <c r="G453" i="3"/>
  <c r="G437" i="3"/>
  <c r="G421" i="3"/>
  <c r="G405" i="3"/>
  <c r="G389" i="3"/>
  <c r="G383" i="3"/>
  <c r="G369" i="3"/>
  <c r="G362" i="3"/>
  <c r="G355" i="3"/>
  <c r="G348" i="3"/>
  <c r="G334" i="3"/>
  <c r="G319" i="3"/>
  <c r="G305" i="3"/>
  <c r="G298" i="3"/>
  <c r="G291" i="3"/>
  <c r="G284" i="3"/>
  <c r="G270" i="3"/>
  <c r="G260" i="3"/>
  <c r="G241" i="3"/>
  <c r="G232" i="3"/>
  <c r="G222" i="3"/>
  <c r="G213" i="3"/>
  <c r="G203" i="3"/>
  <c r="G193" i="3"/>
  <c r="G138" i="3"/>
  <c r="G100" i="3"/>
  <c r="G24" i="3"/>
  <c r="I27" i="1" l="1"/>
  <c r="Q35" i="3"/>
  <c r="Q28" i="3"/>
  <c r="Q25" i="3"/>
  <c r="I54" i="1" s="1"/>
  <c r="Q7" i="3"/>
  <c r="I40" i="1" s="1"/>
  <c r="O19" i="3"/>
  <c r="P33" i="3"/>
  <c r="I60" i="1" s="1"/>
  <c r="O12" i="3"/>
  <c r="O25" i="3"/>
  <c r="I48" i="1" s="1"/>
  <c r="J5" i="3"/>
  <c r="Q13" i="3"/>
  <c r="O26" i="3"/>
  <c r="I49" i="1" s="1"/>
  <c r="O13" i="3"/>
  <c r="O20" i="3"/>
  <c r="O7" i="3"/>
  <c r="Q26" i="3"/>
  <c r="I55" i="1" s="1"/>
  <c r="O14" i="3"/>
  <c r="I38" i="1" s="1"/>
  <c r="Q36" i="3"/>
  <c r="Q37" i="3" s="1"/>
  <c r="Q38" i="3" s="1"/>
  <c r="Q29" i="3"/>
  <c r="Q14" i="3"/>
  <c r="I39" i="1" s="1"/>
  <c r="J8" i="3" a="1"/>
  <c r="D41" i="1" l="1"/>
  <c r="J8" i="3"/>
  <c r="K8" i="3" s="1"/>
  <c r="J12" i="3"/>
  <c r="K12" i="3" s="1"/>
  <c r="J16" i="3"/>
  <c r="K16" i="3" s="1"/>
  <c r="J20" i="3"/>
  <c r="K20" i="3" s="1"/>
  <c r="J24" i="3"/>
  <c r="K24" i="3" s="1"/>
  <c r="J28" i="3"/>
  <c r="K28" i="3" s="1"/>
  <c r="J32" i="3"/>
  <c r="K32" i="3" s="1"/>
  <c r="J36" i="3"/>
  <c r="K36" i="3" s="1"/>
  <c r="J40" i="3"/>
  <c r="K40" i="3" s="1"/>
  <c r="J44" i="3"/>
  <c r="K44" i="3" s="1"/>
  <c r="J48" i="3"/>
  <c r="K48" i="3" s="1"/>
  <c r="J10" i="3"/>
  <c r="K10" i="3" s="1"/>
  <c r="J14" i="3"/>
  <c r="K14" i="3" s="1"/>
  <c r="J18" i="3"/>
  <c r="K18" i="3" s="1"/>
  <c r="J22" i="3"/>
  <c r="K22" i="3" s="1"/>
  <c r="J26" i="3"/>
  <c r="K26" i="3" s="1"/>
  <c r="J30" i="3"/>
  <c r="K30" i="3" s="1"/>
  <c r="J34" i="3"/>
  <c r="K34" i="3" s="1"/>
  <c r="J38" i="3"/>
  <c r="K38" i="3" s="1"/>
  <c r="J42" i="3"/>
  <c r="K42" i="3" s="1"/>
  <c r="J46" i="3"/>
  <c r="K46" i="3" s="1"/>
  <c r="J13" i="3"/>
  <c r="K13" i="3" s="1"/>
  <c r="J21" i="3"/>
  <c r="K21" i="3" s="1"/>
  <c r="J29" i="3"/>
  <c r="K29" i="3" s="1"/>
  <c r="J37" i="3"/>
  <c r="K37" i="3" s="1"/>
  <c r="J45" i="3"/>
  <c r="K45" i="3" s="1"/>
  <c r="J15" i="3"/>
  <c r="K15" i="3" s="1"/>
  <c r="J23" i="3"/>
  <c r="K23" i="3" s="1"/>
  <c r="J31" i="3"/>
  <c r="K31" i="3" s="1"/>
  <c r="J39" i="3"/>
  <c r="K39" i="3" s="1"/>
  <c r="J47" i="3"/>
  <c r="K47" i="3" s="1"/>
  <c r="J9" i="3"/>
  <c r="K9" i="3" s="1"/>
  <c r="J17" i="3"/>
  <c r="K17" i="3" s="1"/>
  <c r="J25" i="3"/>
  <c r="K25" i="3" s="1"/>
  <c r="J33" i="3"/>
  <c r="K33" i="3" s="1"/>
  <c r="J41" i="3"/>
  <c r="K41" i="3" s="1"/>
  <c r="J11" i="3"/>
  <c r="K11" i="3" s="1"/>
  <c r="J19" i="3"/>
  <c r="K19" i="3" s="1"/>
  <c r="J27" i="3"/>
  <c r="K27" i="3" s="1"/>
  <c r="J35" i="3"/>
  <c r="K35" i="3" s="1"/>
  <c r="J43" i="3"/>
  <c r="K43" i="3" s="1"/>
  <c r="I42" i="1"/>
  <c r="O15" i="3"/>
  <c r="D40" i="1"/>
  <c r="Q15" i="3"/>
  <c r="I41" i="1"/>
  <c r="P3" i="3"/>
  <c r="O8" i="3" s="1"/>
  <c r="D38" i="1"/>
  <c r="L11" i="3" l="1"/>
  <c r="L15" i="3"/>
  <c r="L38" i="3"/>
  <c r="L8" i="3"/>
  <c r="L20" i="3"/>
  <c r="D42" i="1"/>
  <c r="U9" i="3"/>
  <c r="L25" i="3"/>
  <c r="L21" i="3"/>
  <c r="L36" i="3"/>
  <c r="L47" i="3"/>
  <c r="L22" i="3"/>
  <c r="L43" i="3"/>
  <c r="L9" i="3"/>
  <c r="L17" i="3"/>
  <c r="L45" i="3"/>
  <c r="L13" i="3"/>
  <c r="L18" i="3"/>
  <c r="L32" i="3"/>
  <c r="L35" i="3"/>
  <c r="L41" i="3"/>
  <c r="L31" i="3"/>
  <c r="L37" i="3"/>
  <c r="L46" i="3"/>
  <c r="L30" i="3"/>
  <c r="L14" i="3"/>
  <c r="L44" i="3"/>
  <c r="L28" i="3"/>
  <c r="L12" i="3"/>
  <c r="U8" i="3"/>
  <c r="L27" i="3"/>
  <c r="L33" i="3"/>
  <c r="L19" i="3"/>
  <c r="L23" i="3"/>
  <c r="L29" i="3"/>
  <c r="L42" i="3"/>
  <c r="L26" i="3"/>
  <c r="L10" i="3"/>
  <c r="L40" i="3"/>
  <c r="L24" i="3"/>
  <c r="L39" i="3"/>
  <c r="L34" i="3"/>
  <c r="L48" i="3"/>
  <c r="L16" i="3"/>
</calcChain>
</file>

<file path=xl/comments1.xml><?xml version="1.0" encoding="utf-8"?>
<comments xmlns="http://schemas.openxmlformats.org/spreadsheetml/2006/main">
  <authors>
    <author>Jon</author>
  </authors>
  <commentList>
    <comment ref="N7" authorId="0" shapeId="0">
      <text>
        <r>
          <rPr>
            <b/>
            <sz val="8"/>
            <color indexed="81"/>
            <rFont val="Tahoma"/>
          </rPr>
          <t>Sample Mean:</t>
        </r>
        <r>
          <rPr>
            <sz val="8"/>
            <color indexed="81"/>
            <rFont val="Tahoma"/>
          </rPr>
          <t xml:space="preserve">
The average of the sampled data. An </t>
        </r>
        <r>
          <rPr>
            <b/>
            <sz val="8"/>
            <color indexed="81"/>
            <rFont val="Tahoma"/>
            <family val="2"/>
          </rPr>
          <t>estimate</t>
        </r>
        <r>
          <rPr>
            <sz val="8"/>
            <color indexed="81"/>
            <rFont val="Tahoma"/>
          </rPr>
          <t xml:space="preserve"> of the </t>
        </r>
        <r>
          <rPr>
            <b/>
            <sz val="8"/>
            <color indexed="81"/>
            <rFont val="Tahoma"/>
            <family val="2"/>
          </rPr>
          <t>true population mean</t>
        </r>
        <r>
          <rPr>
            <sz val="8"/>
            <color indexed="81"/>
            <rFont val="Tahoma"/>
          </rPr>
          <t>.</t>
        </r>
      </text>
    </comment>
    <comment ref="P7" authorId="0" shapeId="0">
      <text>
        <r>
          <rPr>
            <b/>
            <sz val="8"/>
            <color indexed="81"/>
            <rFont val="Tahoma"/>
          </rPr>
          <t>Median:</t>
        </r>
        <r>
          <rPr>
            <sz val="8"/>
            <color indexed="81"/>
            <rFont val="Tahoma"/>
          </rPr>
          <t xml:space="preserve">
The "value in the middle" or the 50th percentile. For an even number of points, the median is the average of the middle two points.</t>
        </r>
      </text>
    </comment>
    <comment ref="N8" authorId="0" shapeId="0">
      <text>
        <r>
          <rPr>
            <b/>
            <sz val="8"/>
            <color indexed="81"/>
            <rFont val="Tahoma"/>
          </rPr>
          <t>Standard Error:</t>
        </r>
        <r>
          <rPr>
            <sz val="8"/>
            <color indexed="81"/>
            <rFont val="Tahoma"/>
          </rPr>
          <t xml:space="preserve">
The uncertainty associated with the estimated mean. The standard error is an estimate of the standard deviation of the sample means for repeated MC simulations. It can be used to calculate confidence intervals for the true population mean.</t>
        </r>
      </text>
    </comment>
    <comment ref="N12" authorId="0" shapeId="0">
      <text>
        <r>
          <rPr>
            <b/>
            <sz val="8"/>
            <color indexed="81"/>
            <rFont val="Tahoma"/>
          </rPr>
          <t>Sample Standard Deviation</t>
        </r>
        <r>
          <rPr>
            <sz val="8"/>
            <color indexed="81"/>
            <rFont val="Tahoma"/>
          </rPr>
          <t xml:space="preserve">
</t>
        </r>
      </text>
    </comment>
    <comment ref="N13" authorId="0" shapeId="0">
      <text>
        <r>
          <rPr>
            <b/>
            <sz val="8"/>
            <color indexed="81"/>
            <rFont val="Tahoma"/>
          </rPr>
          <t>Maximum</t>
        </r>
        <r>
          <rPr>
            <sz val="8"/>
            <color indexed="81"/>
            <rFont val="Tahoma"/>
          </rPr>
          <t xml:space="preserve">
</t>
        </r>
      </text>
    </comment>
    <comment ref="P13" authorId="0" shapeId="0">
      <text>
        <r>
          <rPr>
            <b/>
            <sz val="8"/>
            <color indexed="81"/>
            <rFont val="Tahoma"/>
          </rPr>
          <t>3rd Quartile (Q3):</t>
        </r>
        <r>
          <rPr>
            <sz val="8"/>
            <color indexed="81"/>
            <rFont val="Tahoma"/>
          </rPr>
          <t xml:space="preserve">
The 75th Percentile</t>
        </r>
      </text>
    </comment>
    <comment ref="N14" authorId="0" shapeId="0">
      <text>
        <r>
          <rPr>
            <b/>
            <sz val="8"/>
            <color indexed="81"/>
            <rFont val="Tahoma"/>
          </rPr>
          <t>Minimum</t>
        </r>
        <r>
          <rPr>
            <sz val="8"/>
            <color indexed="81"/>
            <rFont val="Tahoma"/>
          </rPr>
          <t xml:space="preserve">
</t>
        </r>
      </text>
    </comment>
    <comment ref="P14" authorId="0" shapeId="0">
      <text>
        <r>
          <rPr>
            <b/>
            <sz val="8"/>
            <color indexed="81"/>
            <rFont val="Tahoma"/>
          </rPr>
          <t>1st Quartile (Q1):</t>
        </r>
        <r>
          <rPr>
            <sz val="8"/>
            <color indexed="81"/>
            <rFont val="Tahoma"/>
          </rPr>
          <t xml:space="preserve">
The 25th Percentile</t>
        </r>
      </text>
    </comment>
    <comment ref="N15" authorId="0" shapeId="0">
      <text>
        <r>
          <rPr>
            <b/>
            <sz val="8"/>
            <color indexed="81"/>
            <rFont val="Tahoma"/>
          </rPr>
          <t>Range:</t>
        </r>
        <r>
          <rPr>
            <sz val="8"/>
            <color indexed="81"/>
            <rFont val="Tahoma"/>
          </rPr>
          <t xml:space="preserve">
Max - Min</t>
        </r>
      </text>
    </comment>
    <comment ref="P15" authorId="0" shapeId="0">
      <text>
        <r>
          <rPr>
            <b/>
            <sz val="8"/>
            <color indexed="81"/>
            <rFont val="Tahoma"/>
          </rPr>
          <t>Interquartile Range:</t>
        </r>
        <r>
          <rPr>
            <sz val="8"/>
            <color indexed="81"/>
            <rFont val="Tahoma"/>
          </rPr>
          <t xml:space="preserve">
Q(0.75) - Q(0.25)
or Q3 - Q1</t>
        </r>
      </text>
    </comment>
    <comment ref="N19" authorId="0" shapeId="0">
      <text>
        <r>
          <rPr>
            <b/>
            <sz val="8"/>
            <color indexed="81"/>
            <rFont val="Tahoma"/>
          </rPr>
          <t>Skewness:</t>
        </r>
        <r>
          <rPr>
            <sz val="8"/>
            <color indexed="81"/>
            <rFont val="Tahoma"/>
          </rPr>
          <t xml:space="preserve">
+ </t>
        </r>
        <r>
          <rPr>
            <i/>
            <sz val="8"/>
            <color indexed="81"/>
            <rFont val="Tahoma"/>
            <family val="2"/>
          </rPr>
          <t>Positive:</t>
        </r>
        <r>
          <rPr>
            <sz val="8"/>
            <color indexed="81"/>
            <rFont val="Tahoma"/>
          </rPr>
          <t xml:space="preserve"> skewed to the right (longer right-hand tail)
- </t>
        </r>
        <r>
          <rPr>
            <i/>
            <sz val="8"/>
            <color indexed="81"/>
            <rFont val="Tahoma"/>
            <family val="2"/>
          </rPr>
          <t>Negative:</t>
        </r>
        <r>
          <rPr>
            <sz val="8"/>
            <color indexed="81"/>
            <rFont val="Tahoma"/>
          </rPr>
          <t xml:space="preserve"> skewed to the left (longer left-hand tail)</t>
        </r>
      </text>
    </comment>
    <comment ref="N20" authorId="0" shapeId="0">
      <text>
        <r>
          <rPr>
            <b/>
            <sz val="8"/>
            <color indexed="81"/>
            <rFont val="Tahoma"/>
          </rPr>
          <t>Kurtosis:</t>
        </r>
        <r>
          <rPr>
            <sz val="8"/>
            <color indexed="81"/>
            <rFont val="Tahoma"/>
          </rPr>
          <t xml:space="preserve">
Peakedness, compared to a Normal distribution.</t>
        </r>
      </text>
    </comment>
  </commentList>
</comments>
</file>

<file path=xl/sharedStrings.xml><?xml version="1.0" encoding="utf-8"?>
<sst xmlns="http://schemas.openxmlformats.org/spreadsheetml/2006/main" count="93" uniqueCount="85">
  <si>
    <t>Max</t>
  </si>
  <si>
    <t>Min</t>
  </si>
  <si>
    <r>
      <t>Projected Monthly</t>
    </r>
    <r>
      <rPr>
        <b/>
        <sz val="10"/>
        <rFont val="Verdana"/>
        <family val="2"/>
      </rPr>
      <t xml:space="preserve"> Profit:</t>
    </r>
  </si>
  <si>
    <t>Monte Carlo Simulation Example</t>
  </si>
  <si>
    <r>
      <t xml:space="preserve">Cost Per Lead </t>
    </r>
    <r>
      <rPr>
        <b/>
        <sz val="10"/>
        <color indexed="9"/>
        <rFont val="Verdana"/>
        <family val="2"/>
      </rPr>
      <t>(C)</t>
    </r>
  </si>
  <si>
    <r>
      <t xml:space="preserve">Profit per Sale </t>
    </r>
    <r>
      <rPr>
        <b/>
        <sz val="10"/>
        <color indexed="9"/>
        <rFont val="Verdana"/>
        <family val="2"/>
      </rPr>
      <t>(P)</t>
    </r>
  </si>
  <si>
    <r>
      <t xml:space="preserve">Conversion Rate </t>
    </r>
    <r>
      <rPr>
        <b/>
        <sz val="10"/>
        <color indexed="9"/>
        <rFont val="Verdana"/>
        <family val="2"/>
      </rPr>
      <t>(R)</t>
    </r>
  </si>
  <si>
    <t>Nominal</t>
  </si>
  <si>
    <t>Stochastic</t>
  </si>
  <si>
    <t>Deterministic</t>
  </si>
  <si>
    <r>
      <t>Input Values</t>
    </r>
    <r>
      <rPr>
        <b/>
        <sz val="8"/>
        <color indexed="16"/>
        <rFont val="Verdana"/>
        <family val="2"/>
      </rPr>
      <t xml:space="preserve"> (input)</t>
    </r>
  </si>
  <si>
    <r>
      <t xml:space="preserve">Results </t>
    </r>
    <r>
      <rPr>
        <b/>
        <sz val="8"/>
        <color indexed="16"/>
        <rFont val="Verdana"/>
        <family val="2"/>
      </rPr>
      <t>(calculations)</t>
    </r>
  </si>
  <si>
    <t>Sales Forecast Model</t>
  </si>
  <si>
    <r>
      <t xml:space="preserve">Monthly </t>
    </r>
    <r>
      <rPr>
        <b/>
        <sz val="10"/>
        <rFont val="Verdana"/>
        <family val="2"/>
      </rPr>
      <t>Expenses</t>
    </r>
    <r>
      <rPr>
        <sz val="10"/>
        <rFont val="Verdana"/>
        <family val="2"/>
      </rPr>
      <t>:</t>
    </r>
  </si>
  <si>
    <r>
      <t xml:space="preserve">Monthly </t>
    </r>
    <r>
      <rPr>
        <b/>
        <sz val="10"/>
        <rFont val="Verdana"/>
        <family val="2"/>
      </rPr>
      <t>Income</t>
    </r>
    <r>
      <rPr>
        <sz val="10"/>
        <rFont val="Verdana"/>
        <family val="2"/>
      </rPr>
      <t>:</t>
    </r>
  </si>
  <si>
    <r>
      <t>L</t>
    </r>
    <r>
      <rPr>
        <sz val="10"/>
        <color indexed="9"/>
        <rFont val="Verdana"/>
        <family val="2"/>
      </rPr>
      <t xml:space="preserve"> (rand)</t>
    </r>
  </si>
  <si>
    <r>
      <t>C</t>
    </r>
    <r>
      <rPr>
        <sz val="10"/>
        <color indexed="9"/>
        <rFont val="Verdana"/>
        <family val="2"/>
      </rPr>
      <t xml:space="preserve"> (rand)</t>
    </r>
  </si>
  <si>
    <r>
      <t>R</t>
    </r>
    <r>
      <rPr>
        <sz val="10"/>
        <color indexed="9"/>
        <rFont val="Verdana"/>
        <family val="2"/>
      </rPr>
      <t xml:space="preserve"> (rand)</t>
    </r>
  </si>
  <si>
    <r>
      <t>P</t>
    </r>
    <r>
      <rPr>
        <sz val="10"/>
        <color indexed="9"/>
        <rFont val="Verdana"/>
        <family val="2"/>
      </rPr>
      <t xml:space="preserve"> (rand)</t>
    </r>
  </si>
  <si>
    <r>
      <t>H</t>
    </r>
    <r>
      <rPr>
        <sz val="10"/>
        <color indexed="9"/>
        <rFont val="Verdana"/>
        <family val="2"/>
      </rPr>
      <t xml:space="preserve"> (const)</t>
    </r>
  </si>
  <si>
    <t>Profit</t>
  </si>
  <si>
    <t>Bins</t>
  </si>
  <si>
    <t>Min:</t>
  </si>
  <si>
    <t>Max:</t>
  </si>
  <si>
    <t>Scaled</t>
  </si>
  <si>
    <t>)    =</t>
  </si>
  <si>
    <r>
      <t xml:space="preserve">Overhead per Month </t>
    </r>
    <r>
      <rPr>
        <b/>
        <sz val="10"/>
        <color indexed="9"/>
        <rFont val="Verdana"/>
        <family val="2"/>
      </rPr>
      <t>(H)</t>
    </r>
  </si>
  <si>
    <r>
      <t xml:space="preserve">Leads per Month </t>
    </r>
    <r>
      <rPr>
        <b/>
        <sz val="10"/>
        <color indexed="9"/>
        <rFont val="Verdana"/>
        <family val="2"/>
      </rPr>
      <t>(L)</t>
    </r>
  </si>
  <si>
    <t>Count</t>
  </si>
  <si>
    <t>Histogram Plot</t>
  </si>
  <si>
    <t>Summary Statistics</t>
  </si>
  <si>
    <t>Mean:</t>
  </si>
  <si>
    <t>Median:</t>
  </si>
  <si>
    <t>StDev:</t>
  </si>
  <si>
    <t>StErr:</t>
  </si>
  <si>
    <t>Kurtosis:</t>
  </si>
  <si>
    <t>Range:</t>
  </si>
  <si>
    <t>Q(.25):</t>
  </si>
  <si>
    <t>Q(.75):</t>
  </si>
  <si>
    <t>Total</t>
  </si>
  <si>
    <t>N:</t>
  </si>
  <si>
    <r>
      <t>Monte Carlo Simulation</t>
    </r>
    <r>
      <rPr>
        <b/>
        <sz val="8"/>
        <rFont val="Verdana"/>
        <family val="2"/>
      </rPr>
      <t xml:space="preserve"> (Summary Report)</t>
    </r>
  </si>
  <si>
    <r>
      <t>Sample Size (</t>
    </r>
    <r>
      <rPr>
        <b/>
        <i/>
        <sz val="10"/>
        <rFont val="Verdana"/>
        <family val="2"/>
      </rPr>
      <t>n</t>
    </r>
    <r>
      <rPr>
        <sz val="10"/>
        <rFont val="Verdana"/>
        <family val="2"/>
      </rPr>
      <t>):</t>
    </r>
  </si>
  <si>
    <t>MEAN:</t>
  </si>
  <si>
    <t>STDEV:</t>
  </si>
  <si>
    <t>Q(0.25):</t>
  </si>
  <si>
    <t>Q(0.75):</t>
  </si>
  <si>
    <t>Q(0.05):</t>
  </si>
  <si>
    <t>Q(0.95):</t>
  </si>
  <si>
    <t>Q(.05):</t>
  </si>
  <si>
    <t>Q(.95):</t>
  </si>
  <si>
    <t>Q(.025):</t>
  </si>
  <si>
    <t>Q(.975):</t>
  </si>
  <si>
    <t>Q(0.025):</t>
  </si>
  <si>
    <t>Q(0.975):</t>
  </si>
  <si>
    <t>95% Interval</t>
  </si>
  <si>
    <t>Skewness:</t>
  </si>
  <si>
    <r>
      <t>Prob(</t>
    </r>
    <r>
      <rPr>
        <i/>
        <sz val="12"/>
        <color indexed="16"/>
        <rFont val="Verdana"/>
        <family val="2"/>
      </rPr>
      <t>Profit</t>
    </r>
    <r>
      <rPr>
        <sz val="12"/>
        <color indexed="16"/>
        <rFont val="Verdana"/>
        <family val="2"/>
      </rPr>
      <t xml:space="preserve"> &gt; 0</t>
    </r>
    <r>
      <rPr>
        <b/>
        <sz val="12"/>
        <color indexed="16"/>
        <rFont val="Verdana"/>
        <family val="2"/>
      </rPr>
      <t>)</t>
    </r>
  </si>
  <si>
    <t>Pr(y &gt; 0):</t>
  </si>
  <si>
    <t>IQ Range:</t>
  </si>
  <si>
    <t>Pr( y &gt; 0 ):</t>
  </si>
  <si>
    <t>Spread</t>
  </si>
  <si>
    <t>Shape</t>
  </si>
  <si>
    <t>Probabilities</t>
  </si>
  <si>
    <t>Central Tendancy (Location)</t>
  </si>
  <si>
    <t xml:space="preserve">Pr( y &lt; </t>
  </si>
  <si>
    <t xml:space="preserve">Pr( y &gt; </t>
  </si>
  <si>
    <r>
      <t>Sample Size</t>
    </r>
    <r>
      <rPr>
        <sz val="10"/>
        <rFont val="Verdana"/>
        <family val="2"/>
      </rPr>
      <t xml:space="preserve"> (</t>
    </r>
    <r>
      <rPr>
        <i/>
        <sz val="10"/>
        <rFont val="Verdana"/>
        <family val="2"/>
      </rPr>
      <t>N</t>
    </r>
    <r>
      <rPr>
        <sz val="10"/>
        <rFont val="Verdana"/>
        <family val="2"/>
      </rPr>
      <t>):</t>
    </r>
  </si>
  <si>
    <r>
      <t xml:space="preserve">Alpha </t>
    </r>
    <r>
      <rPr>
        <sz val="10"/>
        <rFont val="Verdana"/>
        <family val="2"/>
      </rPr>
      <t>(</t>
    </r>
    <r>
      <rPr>
        <sz val="10"/>
        <rFont val="Symbol"/>
        <family val="1"/>
        <charset val="2"/>
      </rPr>
      <t>a</t>
    </r>
    <r>
      <rPr>
        <sz val="10"/>
        <rFont val="Verdana"/>
      </rPr>
      <t>):</t>
    </r>
  </si>
  <si>
    <r>
      <t>Alpha (</t>
    </r>
    <r>
      <rPr>
        <sz val="10"/>
        <rFont val="Symbol"/>
        <family val="1"/>
        <charset val="2"/>
      </rPr>
      <t>a</t>
    </r>
    <r>
      <rPr>
        <sz val="10"/>
        <rFont val="Verdana"/>
      </rPr>
      <t>):</t>
    </r>
  </si>
  <si>
    <r>
      <t>Q(</t>
    </r>
    <r>
      <rPr>
        <sz val="10"/>
        <rFont val="Symbol"/>
        <family val="1"/>
        <charset val="2"/>
      </rPr>
      <t>a</t>
    </r>
    <r>
      <rPr>
        <sz val="10"/>
        <rFont val="Verdana"/>
      </rPr>
      <t>/2):</t>
    </r>
  </si>
  <si>
    <r>
      <t>Q(1-</t>
    </r>
    <r>
      <rPr>
        <sz val="10"/>
        <rFont val="Symbol"/>
        <family val="1"/>
        <charset val="2"/>
      </rPr>
      <t>a</t>
    </r>
    <r>
      <rPr>
        <sz val="10"/>
        <rFont val="Verdana"/>
      </rPr>
      <t>/2):</t>
    </r>
  </si>
  <si>
    <t>% Interval:</t>
  </si>
  <si>
    <t>See MCsim Worksheet</t>
  </si>
  <si>
    <t>Quartiles</t>
  </si>
  <si>
    <t>Mean Standard Error:</t>
  </si>
  <si>
    <t>Confidence Interval for the Mean</t>
  </si>
  <si>
    <t>% Confidence:</t>
  </si>
  <si>
    <t>Lower Confidence Limit</t>
  </si>
  <si>
    <t>Upper Confidence Limit</t>
  </si>
  <si>
    <r>
      <t xml:space="preserve">Significance Level </t>
    </r>
    <r>
      <rPr>
        <sz val="10"/>
        <rFont val="Verdana"/>
        <family val="2"/>
      </rPr>
      <t>(</t>
    </r>
    <r>
      <rPr>
        <sz val="10"/>
        <rFont val="Symbol"/>
        <family val="1"/>
        <charset val="2"/>
      </rPr>
      <t>a</t>
    </r>
    <r>
      <rPr>
        <sz val="10"/>
        <rFont val="Verdana"/>
      </rPr>
      <t>):</t>
    </r>
  </si>
  <si>
    <t>90% Central Interval</t>
  </si>
  <si>
    <t>95% Central Interval</t>
  </si>
  <si>
    <t>Quantiles, Percentiles, Intervals</t>
  </si>
  <si>
    <t>90% Interval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</si>
</sst>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8" formatCode="&quot;$&quot;#,##0.00_);[Red]\(&quot;$&quot;#,##0.00\)"/>
    <numFmt numFmtId="44" formatCode="_(&quot;$&quot;* #,##0.00_);_(&quot;$&quot;* \(#,##0.00\);_(&quot;$&quot;* &quot;-&quot;??_);_(@_)"/>
    <numFmt numFmtId="43" formatCode="_(* #,##0.00_);_(* \(#,##0.00\);_(* &quot;-&quot;??_);_(@_)"/>
    <numFmt numFmtId="175" formatCode="&quot;$&quot;#,##0.00"/>
    <numFmt numFmtId="176" formatCode="0.0%"/>
    <numFmt numFmtId="177" formatCode="0.000%"/>
    <numFmt numFmtId="181" formatCode="0.0000%"/>
  </numFmts>
  <fonts count="28" x14ac:knownFonts="1">
    <font>
      <sz val="10"/>
      <name val="Verdana"/>
    </font>
    <font>
      <sz val="10"/>
      <name val="Verdana"/>
    </font>
    <font>
      <sz val="10"/>
      <name val="Century Gothic"/>
      <family val="2"/>
    </font>
    <font>
      <u/>
      <sz val="10"/>
      <color indexed="12"/>
      <name val="Verdana"/>
      <family val="2"/>
    </font>
    <font>
      <b/>
      <sz val="10"/>
      <color indexed="9"/>
      <name val="Verdana"/>
      <family val="2"/>
    </font>
    <font>
      <sz val="10"/>
      <name val="Verdana"/>
      <family val="2"/>
    </font>
    <font>
      <b/>
      <sz val="10"/>
      <name val="Verdana"/>
      <family val="2"/>
    </font>
    <font>
      <b/>
      <sz val="8"/>
      <color indexed="81"/>
      <name val="Tahoma"/>
      <family val="2"/>
    </font>
    <font>
      <sz val="8"/>
      <color indexed="81"/>
      <name val="Tahoma"/>
    </font>
    <font>
      <b/>
      <sz val="8"/>
      <name val="Verdana"/>
      <family val="2"/>
    </font>
    <font>
      <b/>
      <sz val="12"/>
      <color indexed="16"/>
      <name val="Verdana"/>
      <family val="2"/>
    </font>
    <font>
      <b/>
      <sz val="12"/>
      <name val="Verdana"/>
      <family val="2"/>
    </font>
    <font>
      <b/>
      <sz val="12"/>
      <color indexed="9"/>
      <name val="Verdana"/>
      <family val="2"/>
    </font>
    <font>
      <b/>
      <sz val="8"/>
      <color indexed="16"/>
      <name val="Verdana"/>
      <family val="2"/>
    </font>
    <font>
      <u/>
      <sz val="10"/>
      <name val="Verdana"/>
      <family val="2"/>
    </font>
    <font>
      <sz val="10"/>
      <color indexed="9"/>
      <name val="Verdana"/>
      <family val="2"/>
    </font>
    <font>
      <sz val="12"/>
      <color indexed="16"/>
      <name val="Verdana"/>
      <family val="2"/>
    </font>
    <font>
      <sz val="10"/>
      <color indexed="16"/>
      <name val="Verdana"/>
      <family val="2"/>
    </font>
    <font>
      <b/>
      <sz val="8"/>
      <color indexed="81"/>
      <name val="Tahoma"/>
    </font>
    <font>
      <i/>
      <sz val="8"/>
      <color indexed="81"/>
      <name val="Tahoma"/>
      <family val="2"/>
    </font>
    <font>
      <b/>
      <i/>
      <sz val="10"/>
      <name val="Verdana"/>
      <family val="2"/>
    </font>
    <font>
      <i/>
      <sz val="10"/>
      <name val="Verdana"/>
      <family val="2"/>
    </font>
    <font>
      <i/>
      <sz val="12"/>
      <color indexed="16"/>
      <name val="Verdana"/>
      <family val="2"/>
    </font>
    <font>
      <b/>
      <i/>
      <sz val="12"/>
      <color indexed="16"/>
      <name val="Verdana"/>
      <family val="2"/>
    </font>
    <font>
      <b/>
      <i/>
      <sz val="12"/>
      <color indexed="9"/>
      <name val="Verdana"/>
      <family val="2"/>
    </font>
    <font>
      <sz val="10"/>
      <name val="Symbol"/>
      <family val="1"/>
      <charset val="2"/>
    </font>
    <font>
      <sz val="18"/>
      <color indexed="16"/>
      <name val="Arial"/>
      <family val="2"/>
    </font>
    <font>
      <sz val="8"/>
      <name val="Tahoma"/>
      <family val="2"/>
    </font>
  </fonts>
  <fills count="8">
    <fill>
      <patternFill patternType="none"/>
    </fill>
    <fill>
      <patternFill patternType="gray125"/>
    </fill>
    <fill>
      <patternFill patternType="solid">
        <fgColor indexed="22"/>
        <bgColor indexed="64"/>
      </patternFill>
    </fill>
    <fill>
      <patternFill patternType="solid">
        <fgColor indexed="48"/>
        <bgColor indexed="64"/>
      </patternFill>
    </fill>
    <fill>
      <patternFill patternType="solid">
        <fgColor indexed="44"/>
        <bgColor indexed="64"/>
      </patternFill>
    </fill>
    <fill>
      <patternFill patternType="solid">
        <fgColor indexed="43"/>
        <bgColor indexed="64"/>
      </patternFill>
    </fill>
    <fill>
      <patternFill patternType="solid">
        <fgColor indexed="23"/>
        <bgColor indexed="64"/>
      </patternFill>
    </fill>
    <fill>
      <patternFill patternType="solid">
        <fgColor indexed="56"/>
        <bgColor indexed="64"/>
      </patternFill>
    </fill>
  </fills>
  <borders count="6">
    <border>
      <left/>
      <right/>
      <top/>
      <bottom/>
      <diagonal/>
    </border>
    <border>
      <left/>
      <right/>
      <top/>
      <bottom style="medium">
        <color indexed="16"/>
      </bottom>
      <diagonal/>
    </border>
    <border>
      <left/>
      <right/>
      <top/>
      <bottom style="thin">
        <color indexed="55"/>
      </bottom>
      <diagonal/>
    </border>
    <border>
      <left/>
      <right/>
      <top/>
      <bottom style="thin">
        <color indexed="64"/>
      </bottom>
      <diagonal/>
    </border>
    <border>
      <left/>
      <right/>
      <top style="thin">
        <color indexed="64"/>
      </top>
      <bottom style="thin">
        <color indexed="64"/>
      </bottom>
      <diagonal/>
    </border>
    <border>
      <left/>
      <right/>
      <top style="thin">
        <color indexed="40"/>
      </top>
      <bottom style="thin">
        <color indexed="40"/>
      </bottom>
      <diagonal/>
    </border>
  </borders>
  <cellStyleXfs count="7">
    <xf numFmtId="0" fontId="0" fillId="0" borderId="0"/>
    <xf numFmtId="0" fontId="2" fillId="0" borderId="0"/>
    <xf numFmtId="43" fontId="1" fillId="0" borderId="0" applyFont="0" applyFill="0" applyBorder="0" applyAlignment="0" applyProtection="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9" fontId="1" fillId="0" borderId="0" applyFont="0" applyFill="0" applyBorder="0" applyAlignment="0" applyProtection="0"/>
    <xf numFmtId="0" fontId="2" fillId="0" borderId="0" applyNumberFormat="0" applyFill="0" applyBorder="0" applyAlignment="0" applyProtection="0"/>
  </cellStyleXfs>
  <cellXfs count="82">
    <xf numFmtId="0" fontId="0" fillId="0" borderId="0" xfId="0"/>
    <xf numFmtId="0" fontId="5" fillId="0" borderId="0" xfId="0" applyFont="1"/>
    <xf numFmtId="0" fontId="5" fillId="0" borderId="0" xfId="0" applyFont="1" applyAlignment="1">
      <alignment horizontal="right"/>
    </xf>
    <xf numFmtId="44" fontId="5" fillId="0" borderId="0" xfId="3" applyFont="1"/>
    <xf numFmtId="0" fontId="5" fillId="2" borderId="1" xfId="0" applyFont="1" applyFill="1" applyBorder="1"/>
    <xf numFmtId="0" fontId="11" fillId="2" borderId="1" xfId="0" applyFont="1" applyFill="1" applyBorder="1" applyAlignment="1">
      <alignment vertical="center"/>
    </xf>
    <xf numFmtId="0" fontId="5" fillId="0" borderId="0" xfId="0" applyFont="1" applyAlignment="1">
      <alignment vertical="center"/>
    </xf>
    <xf numFmtId="0" fontId="5" fillId="0" borderId="0" xfId="0" applyFont="1" applyFill="1" applyBorder="1"/>
    <xf numFmtId="0" fontId="5" fillId="0" borderId="0" xfId="0" applyFont="1" applyFill="1" applyBorder="1" applyAlignment="1">
      <alignment vertical="center"/>
    </xf>
    <xf numFmtId="0" fontId="5" fillId="3" borderId="0" xfId="0" applyFont="1" applyFill="1" applyBorder="1" applyAlignment="1">
      <alignment vertical="center"/>
    </xf>
    <xf numFmtId="0" fontId="14" fillId="3" borderId="0" xfId="4" applyFont="1" applyFill="1" applyBorder="1" applyAlignment="1" applyProtection="1">
      <alignment vertical="center"/>
    </xf>
    <xf numFmtId="0" fontId="15" fillId="3" borderId="0" xfId="0" applyFont="1" applyFill="1" applyBorder="1" applyAlignment="1">
      <alignment horizontal="right" vertical="center"/>
    </xf>
    <xf numFmtId="0" fontId="4" fillId="3" borderId="0" xfId="0" applyFont="1" applyFill="1" applyBorder="1" applyAlignment="1">
      <alignment horizontal="right" vertical="center"/>
    </xf>
    <xf numFmtId="44" fontId="5" fillId="3" borderId="0" xfId="3" applyFont="1" applyFill="1" applyBorder="1" applyAlignment="1">
      <alignment vertical="center"/>
    </xf>
    <xf numFmtId="0" fontId="4" fillId="3" borderId="2" xfId="0" applyFont="1" applyFill="1" applyBorder="1" applyAlignment="1">
      <alignment horizontal="center" vertical="center"/>
    </xf>
    <xf numFmtId="0" fontId="15" fillId="3" borderId="0" xfId="0" applyFont="1" applyFill="1" applyBorder="1" applyAlignment="1">
      <alignment vertical="center"/>
    </xf>
    <xf numFmtId="0" fontId="10" fillId="2" borderId="3" xfId="0" applyFont="1" applyFill="1" applyBorder="1" applyAlignment="1">
      <alignment vertical="center"/>
    </xf>
    <xf numFmtId="0" fontId="16" fillId="2" borderId="3" xfId="0" applyFont="1" applyFill="1" applyBorder="1" applyAlignment="1">
      <alignment vertical="center"/>
    </xf>
    <xf numFmtId="0" fontId="17" fillId="2" borderId="3" xfId="0" applyFont="1" applyFill="1" applyBorder="1" applyAlignment="1">
      <alignment horizontal="right" vertical="center"/>
    </xf>
    <xf numFmtId="0" fontId="4" fillId="4" borderId="0" xfId="0" applyFont="1" applyFill="1" applyBorder="1" applyAlignment="1">
      <alignment horizontal="right" vertical="center"/>
    </xf>
    <xf numFmtId="0" fontId="5" fillId="4" borderId="0" xfId="0" applyFont="1" applyFill="1" applyBorder="1" applyAlignment="1">
      <alignment vertical="center"/>
    </xf>
    <xf numFmtId="0" fontId="5" fillId="4" borderId="0" xfId="0" applyFont="1" applyFill="1" applyBorder="1" applyAlignment="1">
      <alignment horizontal="right" vertical="center"/>
    </xf>
    <xf numFmtId="0" fontId="6" fillId="4" borderId="0" xfId="0" applyFont="1" applyFill="1" applyBorder="1" applyAlignment="1">
      <alignment horizontal="right" vertical="center"/>
    </xf>
    <xf numFmtId="44" fontId="5" fillId="4" borderId="0" xfId="3" applyFont="1" applyFill="1" applyBorder="1" applyAlignment="1">
      <alignment vertical="center"/>
    </xf>
    <xf numFmtId="0" fontId="6" fillId="4" borderId="3" xfId="0" applyFont="1" applyFill="1" applyBorder="1" applyAlignment="1">
      <alignment horizontal="center" vertical="center"/>
    </xf>
    <xf numFmtId="0" fontId="5" fillId="5" borderId="4" xfId="0" applyFont="1" applyFill="1" applyBorder="1" applyAlignment="1" applyProtection="1">
      <alignment horizontal="center" vertical="center"/>
      <protection locked="0"/>
    </xf>
    <xf numFmtId="176" fontId="5" fillId="5" borderId="4" xfId="5" applyNumberFormat="1" applyFont="1" applyFill="1" applyBorder="1" applyAlignment="1" applyProtection="1">
      <alignment horizontal="center" vertical="center"/>
      <protection locked="0"/>
    </xf>
    <xf numFmtId="175" fontId="5" fillId="5" borderId="4" xfId="0" applyNumberFormat="1" applyFont="1" applyFill="1" applyBorder="1" applyAlignment="1" applyProtection="1">
      <alignment horizontal="center" vertical="center"/>
      <protection locked="0"/>
    </xf>
    <xf numFmtId="8" fontId="5" fillId="5" borderId="4" xfId="0" applyNumberFormat="1" applyFont="1" applyFill="1" applyBorder="1" applyAlignment="1">
      <alignment horizontal="center" vertical="center"/>
    </xf>
    <xf numFmtId="0" fontId="5" fillId="5" borderId="4" xfId="0" applyFont="1" applyFill="1" applyBorder="1" applyAlignment="1">
      <alignment horizontal="center" vertical="center"/>
    </xf>
    <xf numFmtId="175" fontId="5" fillId="5" borderId="0" xfId="0" applyNumberFormat="1" applyFont="1" applyFill="1" applyBorder="1" applyAlignment="1" applyProtection="1">
      <alignment horizontal="center" vertical="center"/>
      <protection locked="0"/>
    </xf>
    <xf numFmtId="8" fontId="5" fillId="0" borderId="0" xfId="0" applyNumberFormat="1" applyFont="1" applyAlignment="1">
      <alignment vertical="center"/>
    </xf>
    <xf numFmtId="177" fontId="5" fillId="0" borderId="0" xfId="5" applyNumberFormat="1" applyFont="1" applyAlignment="1">
      <alignment vertical="center"/>
    </xf>
    <xf numFmtId="175" fontId="5" fillId="0" borderId="0" xfId="0" applyNumberFormat="1" applyFont="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8" fontId="0" fillId="0" borderId="0" xfId="0" applyNumberFormat="1"/>
    <xf numFmtId="0" fontId="6" fillId="0" borderId="0" xfId="0" applyFont="1" applyAlignment="1">
      <alignment horizontal="right"/>
    </xf>
    <xf numFmtId="0" fontId="6" fillId="0" borderId="3" xfId="0" applyFont="1" applyBorder="1" applyAlignment="1">
      <alignment horizontal="center"/>
    </xf>
    <xf numFmtId="181" fontId="0" fillId="0" borderId="0" xfId="5" applyNumberFormat="1" applyFont="1"/>
    <xf numFmtId="8" fontId="5" fillId="2" borderId="5" xfId="0" applyNumberFormat="1" applyFont="1" applyFill="1" applyBorder="1" applyAlignment="1" applyProtection="1">
      <alignment horizontal="center" vertical="center"/>
      <protection locked="0"/>
    </xf>
    <xf numFmtId="0" fontId="12" fillId="7" borderId="3" xfId="0" applyFont="1" applyFill="1" applyBorder="1" applyAlignment="1">
      <alignment vertical="center"/>
    </xf>
    <xf numFmtId="0" fontId="24" fillId="7" borderId="3" xfId="0" applyFont="1" applyFill="1" applyBorder="1" applyAlignment="1">
      <alignment vertical="center"/>
    </xf>
    <xf numFmtId="0" fontId="23" fillId="2" borderId="4" xfId="0" applyFont="1" applyFill="1" applyBorder="1" applyAlignment="1">
      <alignment vertical="center"/>
    </xf>
    <xf numFmtId="0" fontId="23" fillId="2" borderId="4" xfId="0" applyFont="1" applyFill="1" applyBorder="1" applyAlignment="1">
      <alignment horizontal="left" vertical="center" indent="2"/>
    </xf>
    <xf numFmtId="0" fontId="15" fillId="7" borderId="0" xfId="0" applyFont="1" applyFill="1"/>
    <xf numFmtId="0" fontId="21" fillId="2" borderId="1" xfId="0" applyFont="1" applyFill="1" applyBorder="1"/>
    <xf numFmtId="0" fontId="21" fillId="2" borderId="1" xfId="0" applyFont="1" applyFill="1" applyBorder="1" applyAlignment="1">
      <alignment horizontal="right"/>
    </xf>
    <xf numFmtId="9" fontId="5" fillId="5" borderId="4" xfId="5" applyFont="1" applyFill="1" applyBorder="1" applyAlignment="1" applyProtection="1">
      <alignment horizontal="center" vertical="center"/>
      <protection locked="0"/>
    </xf>
    <xf numFmtId="0" fontId="0" fillId="0" borderId="0" xfId="0" applyAlignment="1">
      <alignment horizontal="right"/>
    </xf>
    <xf numFmtId="0" fontId="21" fillId="0" borderId="0" xfId="0" applyFont="1" applyAlignment="1">
      <alignment horizontal="right"/>
    </xf>
    <xf numFmtId="0" fontId="0" fillId="0" borderId="0" xfId="0" applyNumberFormat="1" applyAlignment="1">
      <alignment horizontal="center"/>
    </xf>
    <xf numFmtId="0" fontId="26" fillId="2" borderId="0" xfId="0" applyFont="1" applyFill="1" applyBorder="1" applyAlignment="1">
      <alignment vertical="center"/>
    </xf>
    <xf numFmtId="0" fontId="10" fillId="2" borderId="0" xfId="0" applyFont="1" applyFill="1" applyBorder="1" applyAlignment="1">
      <alignment vertical="center"/>
    </xf>
    <xf numFmtId="0" fontId="5" fillId="2" borderId="0" xfId="0" applyFont="1" applyFill="1" applyBorder="1"/>
    <xf numFmtId="0" fontId="27" fillId="2" borderId="0" xfId="2" applyNumberFormat="1" applyFont="1" applyFill="1" applyBorder="1" applyAlignment="1">
      <alignment horizontal="right"/>
    </xf>
    <xf numFmtId="175" fontId="5" fillId="2" borderId="5" xfId="0" applyNumberFormat="1" applyFont="1" applyFill="1" applyBorder="1" applyAlignment="1" applyProtection="1">
      <alignment horizontal="center" vertical="center"/>
    </xf>
    <xf numFmtId="0" fontId="5" fillId="2" borderId="5" xfId="0" applyNumberFormat="1" applyFont="1" applyFill="1" applyBorder="1" applyAlignment="1" applyProtection="1">
      <alignment horizontal="center" vertical="center"/>
    </xf>
    <xf numFmtId="177" fontId="5" fillId="2" borderId="5" xfId="5" applyNumberFormat="1" applyFont="1" applyFill="1" applyBorder="1" applyAlignment="1" applyProtection="1">
      <alignment horizontal="center" vertical="center"/>
    </xf>
    <xf numFmtId="175" fontId="6" fillId="2" borderId="5" xfId="0" applyNumberFormat="1" applyFont="1" applyFill="1" applyBorder="1" applyAlignment="1" applyProtection="1">
      <alignment horizontal="center" vertical="center" wrapText="1"/>
    </xf>
    <xf numFmtId="176" fontId="5" fillId="2" borderId="5" xfId="5" applyNumberFormat="1" applyFont="1" applyFill="1" applyBorder="1" applyAlignment="1" applyProtection="1">
      <alignment horizontal="center" vertical="center"/>
    </xf>
    <xf numFmtId="0" fontId="12" fillId="7" borderId="3" xfId="0" applyFont="1" applyFill="1" applyBorder="1" applyAlignment="1" applyProtection="1">
      <alignment vertical="center"/>
    </xf>
    <xf numFmtId="0" fontId="24" fillId="7" borderId="3" xfId="0" applyFont="1" applyFill="1" applyBorder="1" applyAlignment="1" applyProtection="1">
      <alignment vertical="center"/>
    </xf>
    <xf numFmtId="0" fontId="4" fillId="4" borderId="0" xfId="0" applyFont="1" applyFill="1" applyBorder="1" applyAlignment="1" applyProtection="1">
      <alignment horizontal="right" vertical="center"/>
    </xf>
    <xf numFmtId="44" fontId="5" fillId="4" borderId="0" xfId="3" applyFont="1" applyFill="1" applyBorder="1" applyAlignment="1" applyProtection="1">
      <alignment vertical="center"/>
    </xf>
    <xf numFmtId="0" fontId="6" fillId="4" borderId="0" xfId="0" applyFont="1" applyFill="1" applyBorder="1" applyAlignment="1" applyProtection="1">
      <alignment horizontal="right" vertical="center"/>
    </xf>
    <xf numFmtId="0" fontId="23" fillId="2" borderId="4" xfId="0" applyFont="1" applyFill="1" applyBorder="1" applyAlignment="1" applyProtection="1">
      <alignment horizontal="left" vertical="center" indent="2"/>
    </xf>
    <xf numFmtId="0" fontId="23" fillId="2" borderId="4" xfId="0" applyFont="1" applyFill="1" applyBorder="1" applyAlignment="1" applyProtection="1">
      <alignment vertical="center"/>
    </xf>
    <xf numFmtId="8" fontId="5" fillId="2" borderId="5" xfId="0" applyNumberFormat="1" applyFont="1" applyFill="1" applyBorder="1" applyAlignment="1" applyProtection="1">
      <alignment horizontal="center" vertical="center"/>
    </xf>
    <xf numFmtId="0" fontId="5" fillId="4" borderId="0" xfId="0" applyFont="1" applyFill="1" applyBorder="1" applyAlignment="1" applyProtection="1">
      <alignment horizontal="right" vertical="center"/>
    </xf>
    <xf numFmtId="0" fontId="10" fillId="2" borderId="4" xfId="0" applyFont="1" applyFill="1" applyBorder="1" applyAlignment="1" applyProtection="1">
      <alignment vertical="center"/>
    </xf>
    <xf numFmtId="8" fontId="5" fillId="2" borderId="5" xfId="3" applyNumberFormat="1" applyFont="1" applyFill="1" applyBorder="1" applyAlignment="1" applyProtection="1">
      <alignment horizontal="center" vertical="center"/>
    </xf>
    <xf numFmtId="0" fontId="0" fillId="4" borderId="0" xfId="0" applyFill="1" applyProtection="1"/>
    <xf numFmtId="0" fontId="6" fillId="4" borderId="0" xfId="0" applyFont="1" applyFill="1" applyAlignment="1" applyProtection="1">
      <alignment horizontal="right"/>
    </xf>
    <xf numFmtId="0" fontId="0" fillId="4" borderId="0" xfId="0" applyFill="1" applyAlignment="1" applyProtection="1">
      <alignment horizontal="right"/>
    </xf>
    <xf numFmtId="9" fontId="5" fillId="2" borderId="5" xfId="5" applyFont="1" applyFill="1" applyBorder="1" applyAlignment="1" applyProtection="1">
      <alignment horizontal="center" vertical="center"/>
    </xf>
    <xf numFmtId="0" fontId="6" fillId="4" borderId="0" xfId="0" applyFont="1" applyFill="1" applyBorder="1" applyAlignment="1" applyProtection="1">
      <alignment horizontal="left" vertical="center"/>
    </xf>
    <xf numFmtId="10" fontId="5" fillId="2" borderId="5" xfId="5" applyNumberFormat="1" applyFont="1" applyFill="1" applyBorder="1" applyAlignment="1" applyProtection="1">
      <alignment horizontal="center" vertical="center"/>
    </xf>
    <xf numFmtId="0" fontId="5" fillId="2" borderId="5" xfId="5" applyNumberFormat="1" applyFont="1" applyFill="1" applyBorder="1" applyAlignment="1" applyProtection="1">
      <alignment horizontal="center" vertical="center"/>
    </xf>
    <xf numFmtId="9" fontId="6" fillId="4" borderId="0" xfId="0" applyNumberFormat="1" applyFont="1" applyFill="1" applyBorder="1" applyAlignment="1" applyProtection="1">
      <alignment horizontal="right" vertical="center"/>
    </xf>
    <xf numFmtId="0" fontId="3" fillId="2" borderId="0" xfId="4" applyFont="1" applyFill="1" applyBorder="1" applyAlignment="1" applyProtection="1">
      <alignment horizontal="left"/>
    </xf>
    <xf numFmtId="0" fontId="3" fillId="2" borderId="0" xfId="4" applyFill="1" applyBorder="1" applyAlignment="1" applyProtection="1">
      <alignment horizontal="left"/>
    </xf>
  </cellXfs>
  <cellStyles count="7">
    <cellStyle name="Century" xfId="1"/>
    <cellStyle name="Comma" xfId="2" builtinId="3"/>
    <cellStyle name="Currency" xfId="3" builtinId="4"/>
    <cellStyle name="Hyperlink" xfId="4" builtinId="8"/>
    <cellStyle name="Normal" xfId="0" builtinId="0"/>
    <cellStyle name="Percent" xfId="5" builtinId="5"/>
    <cellStyle name="Vertex42 Style" xfId="6"/>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EE5D8B"/>
      <rgbColor rgb="0053D4C9"/>
      <rgbColor rgb="00631F34"/>
      <rgbColor rgb="00008000"/>
      <rgbColor rgb="00002850"/>
      <rgbColor rgb="00819C00"/>
      <rgbColor rgb="007B007B"/>
      <rgbColor rgb="00007F74"/>
      <rgbColor rgb="00EEEEEE"/>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CCFFCC"/>
      <rgbColor rgb="00FFFFCC"/>
      <rgbColor rgb="00BBCCDD"/>
      <rgbColor rgb="00F9C7D7"/>
      <rgbColor rgb="00E6BBE6"/>
      <rgbColor rgb="00E8D9C4"/>
      <rgbColor rgb="003E70A1"/>
      <rgbColor rgb="0036ACA2"/>
      <rgbColor rgb="00AEC53D"/>
      <rgbColor rgb="00DBB887"/>
      <rgbColor rgb="00C6934C"/>
      <rgbColor rgb="00935600"/>
      <rgbColor rgb="00B782D9"/>
      <rgbColor rgb="00B2B2B2"/>
      <rgbColor rgb="00003366"/>
      <rgbColor rgb="0036AD36"/>
      <rgbColor rgb="001B571B"/>
      <rgbColor rgb="0058631F"/>
      <rgbColor rgb="00734300"/>
      <rgbColor rgb="00AA34AA"/>
      <rgbColor rgb="006100A1"/>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Verdana"/>
                <a:ea typeface="Verdana"/>
                <a:cs typeface="Verdana"/>
              </a:defRPr>
            </a:pPr>
            <a:r>
              <a:rPr lang="en-US"/>
              <a:t>Histogram of Monte Carlo Simulation Results</a:t>
            </a:r>
          </a:p>
        </c:rich>
      </c:tx>
      <c:layout>
        <c:manualLayout>
          <c:xMode val="edge"/>
          <c:yMode val="edge"/>
          <c:x val="0.22947392010065801"/>
          <c:y val="1.5822809259433808E-2"/>
        </c:manualLayout>
      </c:layout>
      <c:overlay val="0"/>
      <c:spPr>
        <a:noFill/>
        <a:ln w="25400">
          <a:noFill/>
        </a:ln>
      </c:spPr>
    </c:title>
    <c:autoTitleDeleted val="0"/>
    <c:plotArea>
      <c:layout>
        <c:manualLayout>
          <c:layoutTarget val="inner"/>
          <c:xMode val="edge"/>
          <c:yMode val="edge"/>
          <c:x val="0.11157906206729241"/>
          <c:y val="9.1772293704716096E-2"/>
          <c:w val="0.78736923043712015"/>
          <c:h val="0.7215201022301817"/>
        </c:manualLayout>
      </c:layout>
      <c:barChart>
        <c:barDir val="col"/>
        <c:grouping val="clustered"/>
        <c:varyColors val="0"/>
        <c:ser>
          <c:idx val="0"/>
          <c:order val="0"/>
          <c:tx>
            <c:v>BarChart</c:v>
          </c:tx>
          <c:spPr>
            <a:solidFill>
              <a:srgbClr val="9999FF"/>
            </a:solidFill>
            <a:ln w="3175">
              <a:solidFill>
                <a:srgbClr val="003366"/>
              </a:solidFill>
              <a:prstDash val="solid"/>
            </a:ln>
          </c:spPr>
          <c:invertIfNegative val="0"/>
          <c:cat>
            <c:numRef>
              <c:f>MCsim!$I$8:$I$48</c:f>
              <c:numCache>
                <c:formatCode>General</c:formatCode>
                <c:ptCount val="41"/>
                <c:pt idx="0">
                  <c:v>-2000</c:v>
                </c:pt>
                <c:pt idx="1">
                  <c:v>-1850</c:v>
                </c:pt>
                <c:pt idx="2">
                  <c:v>-1700</c:v>
                </c:pt>
                <c:pt idx="3">
                  <c:v>-1550</c:v>
                </c:pt>
                <c:pt idx="4">
                  <c:v>-1400</c:v>
                </c:pt>
                <c:pt idx="5">
                  <c:v>-1250</c:v>
                </c:pt>
                <c:pt idx="6">
                  <c:v>-1100</c:v>
                </c:pt>
                <c:pt idx="7">
                  <c:v>-950</c:v>
                </c:pt>
                <c:pt idx="8">
                  <c:v>-800</c:v>
                </c:pt>
                <c:pt idx="9">
                  <c:v>-650</c:v>
                </c:pt>
                <c:pt idx="10">
                  <c:v>-500</c:v>
                </c:pt>
                <c:pt idx="11">
                  <c:v>-350</c:v>
                </c:pt>
                <c:pt idx="12">
                  <c:v>-200</c:v>
                </c:pt>
                <c:pt idx="13">
                  <c:v>-50</c:v>
                </c:pt>
                <c:pt idx="14">
                  <c:v>100</c:v>
                </c:pt>
                <c:pt idx="15">
                  <c:v>250</c:v>
                </c:pt>
                <c:pt idx="16">
                  <c:v>400</c:v>
                </c:pt>
                <c:pt idx="17">
                  <c:v>550</c:v>
                </c:pt>
                <c:pt idx="18">
                  <c:v>700</c:v>
                </c:pt>
                <c:pt idx="19">
                  <c:v>850</c:v>
                </c:pt>
                <c:pt idx="20">
                  <c:v>1000</c:v>
                </c:pt>
                <c:pt idx="21">
                  <c:v>1150</c:v>
                </c:pt>
                <c:pt idx="22">
                  <c:v>1300</c:v>
                </c:pt>
                <c:pt idx="23">
                  <c:v>1450</c:v>
                </c:pt>
                <c:pt idx="24">
                  <c:v>1600</c:v>
                </c:pt>
                <c:pt idx="25">
                  <c:v>1750</c:v>
                </c:pt>
                <c:pt idx="26">
                  <c:v>1900</c:v>
                </c:pt>
                <c:pt idx="27">
                  <c:v>2050</c:v>
                </c:pt>
                <c:pt idx="28">
                  <c:v>2200</c:v>
                </c:pt>
                <c:pt idx="29">
                  <c:v>2350</c:v>
                </c:pt>
                <c:pt idx="30">
                  <c:v>2500</c:v>
                </c:pt>
                <c:pt idx="31">
                  <c:v>2650</c:v>
                </c:pt>
                <c:pt idx="32">
                  <c:v>2800</c:v>
                </c:pt>
                <c:pt idx="33">
                  <c:v>2950</c:v>
                </c:pt>
                <c:pt idx="34">
                  <c:v>3100</c:v>
                </c:pt>
                <c:pt idx="35">
                  <c:v>3250</c:v>
                </c:pt>
                <c:pt idx="36">
                  <c:v>3400</c:v>
                </c:pt>
                <c:pt idx="37">
                  <c:v>3550</c:v>
                </c:pt>
                <c:pt idx="38">
                  <c:v>3700</c:v>
                </c:pt>
                <c:pt idx="39">
                  <c:v>3850</c:v>
                </c:pt>
                <c:pt idx="40">
                  <c:v>4000</c:v>
                </c:pt>
              </c:numCache>
            </c:numRef>
          </c:cat>
          <c:val>
            <c:numRef>
              <c:f>MCsim!$J$8:$J$48</c:f>
              <c:numCache>
                <c:formatCode>General</c:formatCode>
                <c:ptCount val="41"/>
                <c:pt idx="0">
                  <c:v>0</c:v>
                </c:pt>
                <c:pt idx="1">
                  <c:v>0</c:v>
                </c:pt>
                <c:pt idx="2">
                  <c:v>0</c:v>
                </c:pt>
                <c:pt idx="3">
                  <c:v>0</c:v>
                </c:pt>
                <c:pt idx="4">
                  <c:v>0</c:v>
                </c:pt>
                <c:pt idx="5">
                  <c:v>2</c:v>
                </c:pt>
                <c:pt idx="6">
                  <c:v>24</c:v>
                </c:pt>
                <c:pt idx="7">
                  <c:v>53</c:v>
                </c:pt>
                <c:pt idx="8">
                  <c:v>98</c:v>
                </c:pt>
                <c:pt idx="9">
                  <c:v>154</c:v>
                </c:pt>
                <c:pt idx="10">
                  <c:v>176</c:v>
                </c:pt>
                <c:pt idx="11">
                  <c:v>240</c:v>
                </c:pt>
                <c:pt idx="12">
                  <c:v>235</c:v>
                </c:pt>
                <c:pt idx="13">
                  <c:v>232</c:v>
                </c:pt>
                <c:pt idx="14">
                  <c:v>257</c:v>
                </c:pt>
                <c:pt idx="15">
                  <c:v>271</c:v>
                </c:pt>
                <c:pt idx="16">
                  <c:v>258</c:v>
                </c:pt>
                <c:pt idx="17">
                  <c:v>250</c:v>
                </c:pt>
                <c:pt idx="18">
                  <c:v>264</c:v>
                </c:pt>
                <c:pt idx="19">
                  <c:v>272</c:v>
                </c:pt>
                <c:pt idx="20">
                  <c:v>264</c:v>
                </c:pt>
                <c:pt idx="21">
                  <c:v>258</c:v>
                </c:pt>
                <c:pt idx="22">
                  <c:v>249</c:v>
                </c:pt>
                <c:pt idx="23">
                  <c:v>246</c:v>
                </c:pt>
                <c:pt idx="24">
                  <c:v>230</c:v>
                </c:pt>
                <c:pt idx="25">
                  <c:v>216</c:v>
                </c:pt>
                <c:pt idx="26">
                  <c:v>208</c:v>
                </c:pt>
                <c:pt idx="27">
                  <c:v>150</c:v>
                </c:pt>
                <c:pt idx="28">
                  <c:v>124</c:v>
                </c:pt>
                <c:pt idx="29">
                  <c:v>97</c:v>
                </c:pt>
                <c:pt idx="30">
                  <c:v>77</c:v>
                </c:pt>
                <c:pt idx="31">
                  <c:v>38</c:v>
                </c:pt>
                <c:pt idx="32">
                  <c:v>24</c:v>
                </c:pt>
                <c:pt idx="33">
                  <c:v>20</c:v>
                </c:pt>
                <c:pt idx="34">
                  <c:v>9</c:v>
                </c:pt>
                <c:pt idx="35">
                  <c:v>3</c:v>
                </c:pt>
                <c:pt idx="36">
                  <c:v>1</c:v>
                </c:pt>
                <c:pt idx="37">
                  <c:v>0</c:v>
                </c:pt>
                <c:pt idx="38">
                  <c:v>0</c:v>
                </c:pt>
                <c:pt idx="39">
                  <c:v>0</c:v>
                </c:pt>
                <c:pt idx="40">
                  <c:v>0</c:v>
                </c:pt>
              </c:numCache>
            </c:numRef>
          </c:val>
          <c:extLst>
            <c:ext xmlns:c16="http://schemas.microsoft.com/office/drawing/2014/chart" uri="{C3380CC4-5D6E-409C-BE32-E72D297353CC}">
              <c16:uniqueId val="{00000000-EA7A-4C82-9D65-3B804D673527}"/>
            </c:ext>
          </c:extLst>
        </c:ser>
        <c:dLbls>
          <c:showLegendKey val="0"/>
          <c:showVal val="0"/>
          <c:showCatName val="0"/>
          <c:showSerName val="0"/>
          <c:showPercent val="0"/>
          <c:showBubbleSize val="0"/>
        </c:dLbls>
        <c:gapWidth val="0"/>
        <c:axId val="384270240"/>
        <c:axId val="1"/>
      </c:barChart>
      <c:lineChart>
        <c:grouping val="standard"/>
        <c:varyColors val="0"/>
        <c:ser>
          <c:idx val="1"/>
          <c:order val="1"/>
          <c:tx>
            <c:v>Cumulative</c:v>
          </c:tx>
          <c:spPr>
            <a:ln w="25400">
              <a:solidFill>
                <a:srgbClr val="008000"/>
              </a:solidFill>
              <a:prstDash val="solid"/>
            </a:ln>
          </c:spPr>
          <c:marker>
            <c:symbol val="none"/>
          </c:marker>
          <c:cat>
            <c:numRef>
              <c:f>MCsim!$I$8:$I$48</c:f>
              <c:numCache>
                <c:formatCode>General</c:formatCode>
                <c:ptCount val="41"/>
                <c:pt idx="0">
                  <c:v>-2000</c:v>
                </c:pt>
                <c:pt idx="1">
                  <c:v>-1850</c:v>
                </c:pt>
                <c:pt idx="2">
                  <c:v>-1700</c:v>
                </c:pt>
                <c:pt idx="3">
                  <c:v>-1550</c:v>
                </c:pt>
                <c:pt idx="4">
                  <c:v>-1400</c:v>
                </c:pt>
                <c:pt idx="5">
                  <c:v>-1250</c:v>
                </c:pt>
                <c:pt idx="6">
                  <c:v>-1100</c:v>
                </c:pt>
                <c:pt idx="7">
                  <c:v>-950</c:v>
                </c:pt>
                <c:pt idx="8">
                  <c:v>-800</c:v>
                </c:pt>
                <c:pt idx="9">
                  <c:v>-650</c:v>
                </c:pt>
                <c:pt idx="10">
                  <c:v>-500</c:v>
                </c:pt>
                <c:pt idx="11">
                  <c:v>-350</c:v>
                </c:pt>
                <c:pt idx="12">
                  <c:v>-200</c:v>
                </c:pt>
                <c:pt idx="13">
                  <c:v>-50</c:v>
                </c:pt>
                <c:pt idx="14">
                  <c:v>100</c:v>
                </c:pt>
                <c:pt idx="15">
                  <c:v>250</c:v>
                </c:pt>
                <c:pt idx="16">
                  <c:v>400</c:v>
                </c:pt>
                <c:pt idx="17">
                  <c:v>550</c:v>
                </c:pt>
                <c:pt idx="18">
                  <c:v>700</c:v>
                </c:pt>
                <c:pt idx="19">
                  <c:v>850</c:v>
                </c:pt>
                <c:pt idx="20">
                  <c:v>1000</c:v>
                </c:pt>
                <c:pt idx="21">
                  <c:v>1150</c:v>
                </c:pt>
                <c:pt idx="22">
                  <c:v>1300</c:v>
                </c:pt>
                <c:pt idx="23">
                  <c:v>1450</c:v>
                </c:pt>
                <c:pt idx="24">
                  <c:v>1600</c:v>
                </c:pt>
                <c:pt idx="25">
                  <c:v>1750</c:v>
                </c:pt>
                <c:pt idx="26">
                  <c:v>1900</c:v>
                </c:pt>
                <c:pt idx="27">
                  <c:v>2050</c:v>
                </c:pt>
                <c:pt idx="28">
                  <c:v>2200</c:v>
                </c:pt>
                <c:pt idx="29">
                  <c:v>2350</c:v>
                </c:pt>
                <c:pt idx="30">
                  <c:v>2500</c:v>
                </c:pt>
                <c:pt idx="31">
                  <c:v>2650</c:v>
                </c:pt>
                <c:pt idx="32">
                  <c:v>2800</c:v>
                </c:pt>
                <c:pt idx="33">
                  <c:v>2950</c:v>
                </c:pt>
                <c:pt idx="34">
                  <c:v>3100</c:v>
                </c:pt>
                <c:pt idx="35">
                  <c:v>3250</c:v>
                </c:pt>
                <c:pt idx="36">
                  <c:v>3400</c:v>
                </c:pt>
                <c:pt idx="37">
                  <c:v>3550</c:v>
                </c:pt>
                <c:pt idx="38">
                  <c:v>3700</c:v>
                </c:pt>
                <c:pt idx="39">
                  <c:v>3850</c:v>
                </c:pt>
                <c:pt idx="40">
                  <c:v>4000</c:v>
                </c:pt>
              </c:numCache>
            </c:numRef>
          </c:cat>
          <c:val>
            <c:numRef>
              <c:f>MCsim!$L$8:$L$48</c:f>
              <c:numCache>
                <c:formatCode>General</c:formatCode>
                <c:ptCount val="41"/>
                <c:pt idx="0">
                  <c:v>0</c:v>
                </c:pt>
                <c:pt idx="1">
                  <c:v>0</c:v>
                </c:pt>
                <c:pt idx="2">
                  <c:v>0</c:v>
                </c:pt>
                <c:pt idx="3">
                  <c:v>0</c:v>
                </c:pt>
                <c:pt idx="4">
                  <c:v>0</c:v>
                </c:pt>
                <c:pt idx="5">
                  <c:v>4.0000000000000002E-4</c:v>
                </c:pt>
                <c:pt idx="6">
                  <c:v>5.1999999999999998E-3</c:v>
                </c:pt>
                <c:pt idx="7">
                  <c:v>1.5800000000000002E-2</c:v>
                </c:pt>
                <c:pt idx="8">
                  <c:v>3.5400000000000001E-2</c:v>
                </c:pt>
                <c:pt idx="9">
                  <c:v>6.6199999999999995E-2</c:v>
                </c:pt>
                <c:pt idx="10">
                  <c:v>0.1014</c:v>
                </c:pt>
                <c:pt idx="11">
                  <c:v>0.14940000000000001</c:v>
                </c:pt>
                <c:pt idx="12">
                  <c:v>0.19639999999999999</c:v>
                </c:pt>
                <c:pt idx="13">
                  <c:v>0.24279999999999999</c:v>
                </c:pt>
                <c:pt idx="14">
                  <c:v>0.29420000000000002</c:v>
                </c:pt>
                <c:pt idx="15">
                  <c:v>0.34839999999999999</c:v>
                </c:pt>
                <c:pt idx="16">
                  <c:v>0.4</c:v>
                </c:pt>
                <c:pt idx="17">
                  <c:v>0.45</c:v>
                </c:pt>
                <c:pt idx="18">
                  <c:v>0.50280000000000002</c:v>
                </c:pt>
                <c:pt idx="19">
                  <c:v>0.55720000000000003</c:v>
                </c:pt>
                <c:pt idx="20">
                  <c:v>0.61</c:v>
                </c:pt>
                <c:pt idx="21">
                  <c:v>0.66159999999999997</c:v>
                </c:pt>
                <c:pt idx="22">
                  <c:v>0.71140000000000003</c:v>
                </c:pt>
                <c:pt idx="23">
                  <c:v>0.76060000000000005</c:v>
                </c:pt>
                <c:pt idx="24">
                  <c:v>0.80659999999999998</c:v>
                </c:pt>
                <c:pt idx="25">
                  <c:v>0.8498</c:v>
                </c:pt>
                <c:pt idx="26">
                  <c:v>0.89139999999999997</c:v>
                </c:pt>
                <c:pt idx="27">
                  <c:v>0.9214</c:v>
                </c:pt>
                <c:pt idx="28">
                  <c:v>0.94620000000000004</c:v>
                </c:pt>
                <c:pt idx="29">
                  <c:v>0.96560000000000001</c:v>
                </c:pt>
                <c:pt idx="30">
                  <c:v>0.98099999999999998</c:v>
                </c:pt>
                <c:pt idx="31">
                  <c:v>0.98860000000000003</c:v>
                </c:pt>
                <c:pt idx="32">
                  <c:v>0.99339999999999995</c:v>
                </c:pt>
                <c:pt idx="33">
                  <c:v>0.99739999999999995</c:v>
                </c:pt>
                <c:pt idx="34">
                  <c:v>0.99919999999999998</c:v>
                </c:pt>
                <c:pt idx="35">
                  <c:v>0.99980000000000002</c:v>
                </c:pt>
                <c:pt idx="36">
                  <c:v>1</c:v>
                </c:pt>
                <c:pt idx="37">
                  <c:v>1</c:v>
                </c:pt>
                <c:pt idx="38">
                  <c:v>1</c:v>
                </c:pt>
                <c:pt idx="39">
                  <c:v>1</c:v>
                </c:pt>
                <c:pt idx="40">
                  <c:v>1</c:v>
                </c:pt>
              </c:numCache>
            </c:numRef>
          </c:val>
          <c:smooth val="0"/>
          <c:extLst>
            <c:ext xmlns:c16="http://schemas.microsoft.com/office/drawing/2014/chart" uri="{C3380CC4-5D6E-409C-BE32-E72D297353CC}">
              <c16:uniqueId val="{00000001-EA7A-4C82-9D65-3B804D673527}"/>
            </c:ext>
          </c:extLst>
        </c:ser>
        <c:dLbls>
          <c:showLegendKey val="0"/>
          <c:showVal val="0"/>
          <c:showCatName val="0"/>
          <c:showSerName val="0"/>
          <c:showPercent val="0"/>
          <c:showBubbleSize val="0"/>
        </c:dLbls>
        <c:marker val="1"/>
        <c:smooth val="0"/>
        <c:axId val="3"/>
        <c:axId val="4"/>
      </c:lineChart>
      <c:catAx>
        <c:axId val="384270240"/>
        <c:scaling>
          <c:orientation val="minMax"/>
        </c:scaling>
        <c:delete val="0"/>
        <c:axPos val="b"/>
        <c:title>
          <c:tx>
            <c:rich>
              <a:bodyPr/>
              <a:lstStyle/>
              <a:p>
                <a:pPr>
                  <a:defRPr sz="800" b="1" i="0" u="none" strike="noStrike" baseline="0">
                    <a:solidFill>
                      <a:srgbClr val="000000"/>
                    </a:solidFill>
                    <a:latin typeface="Verdana"/>
                    <a:ea typeface="Verdana"/>
                    <a:cs typeface="Verdana"/>
                  </a:defRPr>
                </a:pPr>
                <a:r>
                  <a:rPr lang="en-US"/>
                  <a:t>Bins</a:t>
                </a:r>
              </a:p>
            </c:rich>
          </c:tx>
          <c:layout>
            <c:manualLayout>
              <c:xMode val="edge"/>
              <c:yMode val="edge"/>
              <c:x val="0.43578992165904779"/>
              <c:y val="0.930381184454707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Verdana"/>
                <a:ea typeface="Verdana"/>
                <a:cs typeface="Verdana"/>
              </a:defRPr>
            </a:pPr>
            <a:endParaRPr lang="en-US"/>
          </a:p>
        </c:txPr>
        <c:crossAx val="1"/>
        <c:crosses val="autoZero"/>
        <c:auto val="1"/>
        <c:lblAlgn val="ctr"/>
        <c:lblOffset val="100"/>
        <c:tickLblSkip val="2"/>
        <c:tickMarkSkip val="1"/>
        <c:noMultiLvlLbl val="0"/>
      </c:catAx>
      <c:valAx>
        <c:axId val="1"/>
        <c:scaling>
          <c:orientation val="minMax"/>
          <c:max val="350"/>
        </c:scaling>
        <c:delete val="0"/>
        <c:axPos val="l"/>
        <c:majorGridlines>
          <c:spPr>
            <a:ln w="3175">
              <a:solidFill>
                <a:srgbClr val="EEEEEE"/>
              </a:solidFill>
              <a:prstDash val="solid"/>
            </a:ln>
          </c:spPr>
        </c:majorGridlines>
        <c:title>
          <c:tx>
            <c:rich>
              <a:bodyPr/>
              <a:lstStyle/>
              <a:p>
                <a:pPr>
                  <a:defRPr sz="800" b="1" i="0" u="none" strike="noStrike" baseline="0">
                    <a:solidFill>
                      <a:srgbClr val="000000"/>
                    </a:solidFill>
                    <a:latin typeface="Verdana"/>
                    <a:ea typeface="Verdana"/>
                    <a:cs typeface="Verdana"/>
                  </a:defRPr>
                </a:pPr>
                <a:r>
                  <a:rPr lang="en-US"/>
                  <a:t>Count</a:t>
                </a:r>
              </a:p>
            </c:rich>
          </c:tx>
          <c:layout>
            <c:manualLayout>
              <c:xMode val="edge"/>
              <c:yMode val="edge"/>
              <c:x val="1.0526326610121926E-2"/>
              <c:y val="0.4050639170415055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Verdana"/>
                <a:ea typeface="Verdana"/>
                <a:cs typeface="Verdana"/>
              </a:defRPr>
            </a:pPr>
            <a:endParaRPr lang="en-US"/>
          </a:p>
        </c:txPr>
        <c:crossAx val="384270240"/>
        <c:crosses val="autoZero"/>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max val="1"/>
          <c:min val="0"/>
        </c:scaling>
        <c:delete val="0"/>
        <c:axPos val="r"/>
        <c:title>
          <c:tx>
            <c:rich>
              <a:bodyPr/>
              <a:lstStyle/>
              <a:p>
                <a:pPr>
                  <a:defRPr sz="800" b="1" i="0" u="none" strike="noStrike" baseline="0">
                    <a:solidFill>
                      <a:srgbClr val="008000"/>
                    </a:solidFill>
                    <a:latin typeface="Verdana"/>
                    <a:ea typeface="Verdana"/>
                    <a:cs typeface="Verdana"/>
                  </a:defRPr>
                </a:pPr>
                <a:r>
                  <a:rPr lang="en-US"/>
                  <a:t>Cumulative Probability</a:t>
                </a:r>
              </a:p>
            </c:rich>
          </c:tx>
          <c:layout>
            <c:manualLayout>
              <c:xMode val="edge"/>
              <c:yMode val="edge"/>
              <c:x val="0.95368519087704651"/>
              <c:y val="0.2373421388915071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8000"/>
                </a:solidFill>
                <a:latin typeface="Verdana"/>
                <a:ea typeface="Verdana"/>
                <a:cs typeface="Verdana"/>
              </a:defRPr>
            </a:pPr>
            <a:endParaRPr lang="en-US"/>
          </a:p>
        </c:txPr>
        <c:crossAx val="3"/>
        <c:crosses val="max"/>
        <c:crossBetween val="between"/>
      </c:valAx>
      <c:spPr>
        <a:noFill/>
        <a:ln w="12700">
          <a:solidFill>
            <a:srgbClr val="666666"/>
          </a:solidFill>
          <a:prstDash val="solid"/>
        </a:ln>
      </c:spPr>
    </c:plotArea>
    <c:plotVisOnly val="1"/>
    <c:dispBlanksAs val="gap"/>
    <c:showDLblsOverMax val="0"/>
  </c:chart>
  <c:spPr>
    <a:solidFill>
      <a:srgbClr val="FFFFFF"/>
    </a:solidFill>
    <a:ln w="6350">
      <a:noFill/>
    </a:ln>
  </c:spPr>
  <c:txPr>
    <a:bodyPr/>
    <a:lstStyle/>
    <a:p>
      <a:pPr>
        <a:defRPr sz="800" b="0" i="0" u="none" strike="noStrike" baseline="0">
          <a:solidFill>
            <a:srgbClr val="000000"/>
          </a:solidFill>
          <a:latin typeface="Verdana"/>
          <a:ea typeface="Verdana"/>
          <a:cs typeface="Verdana"/>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Verdana"/>
                <a:ea typeface="Verdana"/>
                <a:cs typeface="Verdana"/>
              </a:defRPr>
            </a:pPr>
            <a:r>
              <a:rPr lang="en-US"/>
              <a:t>Histogram of Monte Carlo Simulation Results</a:t>
            </a:r>
          </a:p>
        </c:rich>
      </c:tx>
      <c:layout>
        <c:manualLayout>
          <c:xMode val="edge"/>
          <c:yMode val="edge"/>
          <c:x val="0.22947392010065801"/>
          <c:y val="1.6339921427955945E-2"/>
        </c:manualLayout>
      </c:layout>
      <c:overlay val="0"/>
      <c:spPr>
        <a:noFill/>
        <a:ln w="25400">
          <a:noFill/>
        </a:ln>
      </c:spPr>
    </c:title>
    <c:autoTitleDeleted val="0"/>
    <c:plotArea>
      <c:layout>
        <c:manualLayout>
          <c:layoutTarget val="inner"/>
          <c:xMode val="edge"/>
          <c:yMode val="edge"/>
          <c:x val="0.10736853142324365"/>
          <c:y val="9.4771544282144488E-2"/>
          <c:w val="0.77473763850497379"/>
          <c:h val="0.71242057425887928"/>
        </c:manualLayout>
      </c:layout>
      <c:barChart>
        <c:barDir val="col"/>
        <c:grouping val="clustered"/>
        <c:varyColors val="0"/>
        <c:ser>
          <c:idx val="0"/>
          <c:order val="0"/>
          <c:tx>
            <c:v>BarChart</c:v>
          </c:tx>
          <c:spPr>
            <a:solidFill>
              <a:srgbClr val="9999FF"/>
            </a:solidFill>
            <a:ln w="12700">
              <a:solidFill>
                <a:srgbClr val="000000"/>
              </a:solidFill>
              <a:prstDash val="solid"/>
            </a:ln>
          </c:spPr>
          <c:invertIfNegative val="0"/>
          <c:cat>
            <c:numRef>
              <c:f>MCsim!$I$8:$I$48</c:f>
              <c:numCache>
                <c:formatCode>General</c:formatCode>
                <c:ptCount val="41"/>
                <c:pt idx="0">
                  <c:v>-2000</c:v>
                </c:pt>
                <c:pt idx="1">
                  <c:v>-1850</c:v>
                </c:pt>
                <c:pt idx="2">
                  <c:v>-1700</c:v>
                </c:pt>
                <c:pt idx="3">
                  <c:v>-1550</c:v>
                </c:pt>
                <c:pt idx="4">
                  <c:v>-1400</c:v>
                </c:pt>
                <c:pt idx="5">
                  <c:v>-1250</c:v>
                </c:pt>
                <c:pt idx="6">
                  <c:v>-1100</c:v>
                </c:pt>
                <c:pt idx="7">
                  <c:v>-950</c:v>
                </c:pt>
                <c:pt idx="8">
                  <c:v>-800</c:v>
                </c:pt>
                <c:pt idx="9">
                  <c:v>-650</c:v>
                </c:pt>
                <c:pt idx="10">
                  <c:v>-500</c:v>
                </c:pt>
                <c:pt idx="11">
                  <c:v>-350</c:v>
                </c:pt>
                <c:pt idx="12">
                  <c:v>-200</c:v>
                </c:pt>
                <c:pt idx="13">
                  <c:v>-50</c:v>
                </c:pt>
                <c:pt idx="14">
                  <c:v>100</c:v>
                </c:pt>
                <c:pt idx="15">
                  <c:v>250</c:v>
                </c:pt>
                <c:pt idx="16">
                  <c:v>400</c:v>
                </c:pt>
                <c:pt idx="17">
                  <c:v>550</c:v>
                </c:pt>
                <c:pt idx="18">
                  <c:v>700</c:v>
                </c:pt>
                <c:pt idx="19">
                  <c:v>850</c:v>
                </c:pt>
                <c:pt idx="20">
                  <c:v>1000</c:v>
                </c:pt>
                <c:pt idx="21">
                  <c:v>1150</c:v>
                </c:pt>
                <c:pt idx="22">
                  <c:v>1300</c:v>
                </c:pt>
                <c:pt idx="23">
                  <c:v>1450</c:v>
                </c:pt>
                <c:pt idx="24">
                  <c:v>1600</c:v>
                </c:pt>
                <c:pt idx="25">
                  <c:v>1750</c:v>
                </c:pt>
                <c:pt idx="26">
                  <c:v>1900</c:v>
                </c:pt>
                <c:pt idx="27">
                  <c:v>2050</c:v>
                </c:pt>
                <c:pt idx="28">
                  <c:v>2200</c:v>
                </c:pt>
                <c:pt idx="29">
                  <c:v>2350</c:v>
                </c:pt>
                <c:pt idx="30">
                  <c:v>2500</c:v>
                </c:pt>
                <c:pt idx="31">
                  <c:v>2650</c:v>
                </c:pt>
                <c:pt idx="32">
                  <c:v>2800</c:v>
                </c:pt>
                <c:pt idx="33">
                  <c:v>2950</c:v>
                </c:pt>
                <c:pt idx="34">
                  <c:v>3100</c:v>
                </c:pt>
                <c:pt idx="35">
                  <c:v>3250</c:v>
                </c:pt>
                <c:pt idx="36">
                  <c:v>3400</c:v>
                </c:pt>
                <c:pt idx="37">
                  <c:v>3550</c:v>
                </c:pt>
                <c:pt idx="38">
                  <c:v>3700</c:v>
                </c:pt>
                <c:pt idx="39">
                  <c:v>3850</c:v>
                </c:pt>
                <c:pt idx="40">
                  <c:v>4000</c:v>
                </c:pt>
              </c:numCache>
            </c:numRef>
          </c:cat>
          <c:val>
            <c:numRef>
              <c:f>MCsim!$J$8:$J$48</c:f>
              <c:numCache>
                <c:formatCode>General</c:formatCode>
                <c:ptCount val="41"/>
                <c:pt idx="0">
                  <c:v>0</c:v>
                </c:pt>
                <c:pt idx="1">
                  <c:v>0</c:v>
                </c:pt>
                <c:pt idx="2">
                  <c:v>0</c:v>
                </c:pt>
                <c:pt idx="3">
                  <c:v>0</c:v>
                </c:pt>
                <c:pt idx="4">
                  <c:v>0</c:v>
                </c:pt>
                <c:pt idx="5">
                  <c:v>2</c:v>
                </c:pt>
                <c:pt idx="6">
                  <c:v>24</c:v>
                </c:pt>
                <c:pt idx="7">
                  <c:v>53</c:v>
                </c:pt>
                <c:pt idx="8">
                  <c:v>98</c:v>
                </c:pt>
                <c:pt idx="9">
                  <c:v>154</c:v>
                </c:pt>
                <c:pt idx="10">
                  <c:v>176</c:v>
                </c:pt>
                <c:pt idx="11">
                  <c:v>240</c:v>
                </c:pt>
                <c:pt idx="12">
                  <c:v>235</c:v>
                </c:pt>
                <c:pt idx="13">
                  <c:v>232</c:v>
                </c:pt>
                <c:pt idx="14">
                  <c:v>257</c:v>
                </c:pt>
                <c:pt idx="15">
                  <c:v>271</c:v>
                </c:pt>
                <c:pt idx="16">
                  <c:v>258</c:v>
                </c:pt>
                <c:pt idx="17">
                  <c:v>250</c:v>
                </c:pt>
                <c:pt idx="18">
                  <c:v>264</c:v>
                </c:pt>
                <c:pt idx="19">
                  <c:v>272</c:v>
                </c:pt>
                <c:pt idx="20">
                  <c:v>264</c:v>
                </c:pt>
                <c:pt idx="21">
                  <c:v>258</c:v>
                </c:pt>
                <c:pt idx="22">
                  <c:v>249</c:v>
                </c:pt>
                <c:pt idx="23">
                  <c:v>246</c:v>
                </c:pt>
                <c:pt idx="24">
                  <c:v>230</c:v>
                </c:pt>
                <c:pt idx="25">
                  <c:v>216</c:v>
                </c:pt>
                <c:pt idx="26">
                  <c:v>208</c:v>
                </c:pt>
                <c:pt idx="27">
                  <c:v>150</c:v>
                </c:pt>
                <c:pt idx="28">
                  <c:v>124</c:v>
                </c:pt>
                <c:pt idx="29">
                  <c:v>97</c:v>
                </c:pt>
                <c:pt idx="30">
                  <c:v>77</c:v>
                </c:pt>
                <c:pt idx="31">
                  <c:v>38</c:v>
                </c:pt>
                <c:pt idx="32">
                  <c:v>24</c:v>
                </c:pt>
                <c:pt idx="33">
                  <c:v>20</c:v>
                </c:pt>
                <c:pt idx="34">
                  <c:v>9</c:v>
                </c:pt>
                <c:pt idx="35">
                  <c:v>3</c:v>
                </c:pt>
                <c:pt idx="36">
                  <c:v>1</c:v>
                </c:pt>
                <c:pt idx="37">
                  <c:v>0</c:v>
                </c:pt>
                <c:pt idx="38">
                  <c:v>0</c:v>
                </c:pt>
                <c:pt idx="39">
                  <c:v>0</c:v>
                </c:pt>
                <c:pt idx="40">
                  <c:v>0</c:v>
                </c:pt>
              </c:numCache>
            </c:numRef>
          </c:val>
          <c:extLst>
            <c:ext xmlns:c16="http://schemas.microsoft.com/office/drawing/2014/chart" uri="{C3380CC4-5D6E-409C-BE32-E72D297353CC}">
              <c16:uniqueId val="{00000000-6BE8-49A4-9631-400AD5D104F4}"/>
            </c:ext>
          </c:extLst>
        </c:ser>
        <c:dLbls>
          <c:showLegendKey val="0"/>
          <c:showVal val="0"/>
          <c:showCatName val="0"/>
          <c:showSerName val="0"/>
          <c:showPercent val="0"/>
          <c:showBubbleSize val="0"/>
        </c:dLbls>
        <c:gapWidth val="10"/>
        <c:axId val="383825392"/>
        <c:axId val="1"/>
      </c:barChart>
      <c:lineChart>
        <c:grouping val="standard"/>
        <c:varyColors val="0"/>
        <c:ser>
          <c:idx val="1"/>
          <c:order val="1"/>
          <c:tx>
            <c:v>Cumulative</c:v>
          </c:tx>
          <c:spPr>
            <a:ln w="25400">
              <a:solidFill>
                <a:srgbClr val="008000"/>
              </a:solidFill>
              <a:prstDash val="solid"/>
            </a:ln>
          </c:spPr>
          <c:marker>
            <c:symbol val="none"/>
          </c:marker>
          <c:cat>
            <c:numRef>
              <c:f>MCsim!$I$8:$I$48</c:f>
              <c:numCache>
                <c:formatCode>General</c:formatCode>
                <c:ptCount val="41"/>
                <c:pt idx="0">
                  <c:v>-2000</c:v>
                </c:pt>
                <c:pt idx="1">
                  <c:v>-1850</c:v>
                </c:pt>
                <c:pt idx="2">
                  <c:v>-1700</c:v>
                </c:pt>
                <c:pt idx="3">
                  <c:v>-1550</c:v>
                </c:pt>
                <c:pt idx="4">
                  <c:v>-1400</c:v>
                </c:pt>
                <c:pt idx="5">
                  <c:v>-1250</c:v>
                </c:pt>
                <c:pt idx="6">
                  <c:v>-1100</c:v>
                </c:pt>
                <c:pt idx="7">
                  <c:v>-950</c:v>
                </c:pt>
                <c:pt idx="8">
                  <c:v>-800</c:v>
                </c:pt>
                <c:pt idx="9">
                  <c:v>-650</c:v>
                </c:pt>
                <c:pt idx="10">
                  <c:v>-500</c:v>
                </c:pt>
                <c:pt idx="11">
                  <c:v>-350</c:v>
                </c:pt>
                <c:pt idx="12">
                  <c:v>-200</c:v>
                </c:pt>
                <c:pt idx="13">
                  <c:v>-50</c:v>
                </c:pt>
                <c:pt idx="14">
                  <c:v>100</c:v>
                </c:pt>
                <c:pt idx="15">
                  <c:v>250</c:v>
                </c:pt>
                <c:pt idx="16">
                  <c:v>400</c:v>
                </c:pt>
                <c:pt idx="17">
                  <c:v>550</c:v>
                </c:pt>
                <c:pt idx="18">
                  <c:v>700</c:v>
                </c:pt>
                <c:pt idx="19">
                  <c:v>850</c:v>
                </c:pt>
                <c:pt idx="20">
                  <c:v>1000</c:v>
                </c:pt>
                <c:pt idx="21">
                  <c:v>1150</c:v>
                </c:pt>
                <c:pt idx="22">
                  <c:v>1300</c:v>
                </c:pt>
                <c:pt idx="23">
                  <c:v>1450</c:v>
                </c:pt>
                <c:pt idx="24">
                  <c:v>1600</c:v>
                </c:pt>
                <c:pt idx="25">
                  <c:v>1750</c:v>
                </c:pt>
                <c:pt idx="26">
                  <c:v>1900</c:v>
                </c:pt>
                <c:pt idx="27">
                  <c:v>2050</c:v>
                </c:pt>
                <c:pt idx="28">
                  <c:v>2200</c:v>
                </c:pt>
                <c:pt idx="29">
                  <c:v>2350</c:v>
                </c:pt>
                <c:pt idx="30">
                  <c:v>2500</c:v>
                </c:pt>
                <c:pt idx="31">
                  <c:v>2650</c:v>
                </c:pt>
                <c:pt idx="32">
                  <c:v>2800</c:v>
                </c:pt>
                <c:pt idx="33">
                  <c:v>2950</c:v>
                </c:pt>
                <c:pt idx="34">
                  <c:v>3100</c:v>
                </c:pt>
                <c:pt idx="35">
                  <c:v>3250</c:v>
                </c:pt>
                <c:pt idx="36">
                  <c:v>3400</c:v>
                </c:pt>
                <c:pt idx="37">
                  <c:v>3550</c:v>
                </c:pt>
                <c:pt idx="38">
                  <c:v>3700</c:v>
                </c:pt>
                <c:pt idx="39">
                  <c:v>3850</c:v>
                </c:pt>
                <c:pt idx="40">
                  <c:v>4000</c:v>
                </c:pt>
              </c:numCache>
            </c:numRef>
          </c:cat>
          <c:val>
            <c:numRef>
              <c:f>MCsim!$L$8:$L$48</c:f>
              <c:numCache>
                <c:formatCode>General</c:formatCode>
                <c:ptCount val="41"/>
                <c:pt idx="0">
                  <c:v>0</c:v>
                </c:pt>
                <c:pt idx="1">
                  <c:v>0</c:v>
                </c:pt>
                <c:pt idx="2">
                  <c:v>0</c:v>
                </c:pt>
                <c:pt idx="3">
                  <c:v>0</c:v>
                </c:pt>
                <c:pt idx="4">
                  <c:v>0</c:v>
                </c:pt>
                <c:pt idx="5">
                  <c:v>4.0000000000000002E-4</c:v>
                </c:pt>
                <c:pt idx="6">
                  <c:v>5.1999999999999998E-3</c:v>
                </c:pt>
                <c:pt idx="7">
                  <c:v>1.5800000000000002E-2</c:v>
                </c:pt>
                <c:pt idx="8">
                  <c:v>3.5400000000000001E-2</c:v>
                </c:pt>
                <c:pt idx="9">
                  <c:v>6.6199999999999995E-2</c:v>
                </c:pt>
                <c:pt idx="10">
                  <c:v>0.1014</c:v>
                </c:pt>
                <c:pt idx="11">
                  <c:v>0.14940000000000001</c:v>
                </c:pt>
                <c:pt idx="12">
                  <c:v>0.19639999999999999</c:v>
                </c:pt>
                <c:pt idx="13">
                  <c:v>0.24279999999999999</c:v>
                </c:pt>
                <c:pt idx="14">
                  <c:v>0.29420000000000002</c:v>
                </c:pt>
                <c:pt idx="15">
                  <c:v>0.34839999999999999</c:v>
                </c:pt>
                <c:pt idx="16">
                  <c:v>0.4</c:v>
                </c:pt>
                <c:pt idx="17">
                  <c:v>0.45</c:v>
                </c:pt>
                <c:pt idx="18">
                  <c:v>0.50280000000000002</c:v>
                </c:pt>
                <c:pt idx="19">
                  <c:v>0.55720000000000003</c:v>
                </c:pt>
                <c:pt idx="20">
                  <c:v>0.61</c:v>
                </c:pt>
                <c:pt idx="21">
                  <c:v>0.66159999999999997</c:v>
                </c:pt>
                <c:pt idx="22">
                  <c:v>0.71140000000000003</c:v>
                </c:pt>
                <c:pt idx="23">
                  <c:v>0.76060000000000005</c:v>
                </c:pt>
                <c:pt idx="24">
                  <c:v>0.80659999999999998</c:v>
                </c:pt>
                <c:pt idx="25">
                  <c:v>0.8498</c:v>
                </c:pt>
                <c:pt idx="26">
                  <c:v>0.89139999999999997</c:v>
                </c:pt>
                <c:pt idx="27">
                  <c:v>0.9214</c:v>
                </c:pt>
                <c:pt idx="28">
                  <c:v>0.94620000000000004</c:v>
                </c:pt>
                <c:pt idx="29">
                  <c:v>0.96560000000000001</c:v>
                </c:pt>
                <c:pt idx="30">
                  <c:v>0.98099999999999998</c:v>
                </c:pt>
                <c:pt idx="31">
                  <c:v>0.98860000000000003</c:v>
                </c:pt>
                <c:pt idx="32">
                  <c:v>0.99339999999999995</c:v>
                </c:pt>
                <c:pt idx="33">
                  <c:v>0.99739999999999995</c:v>
                </c:pt>
                <c:pt idx="34">
                  <c:v>0.99919999999999998</c:v>
                </c:pt>
                <c:pt idx="35">
                  <c:v>0.99980000000000002</c:v>
                </c:pt>
                <c:pt idx="36">
                  <c:v>1</c:v>
                </c:pt>
                <c:pt idx="37">
                  <c:v>1</c:v>
                </c:pt>
                <c:pt idx="38">
                  <c:v>1</c:v>
                </c:pt>
                <c:pt idx="39">
                  <c:v>1</c:v>
                </c:pt>
                <c:pt idx="40">
                  <c:v>1</c:v>
                </c:pt>
              </c:numCache>
            </c:numRef>
          </c:val>
          <c:smooth val="0"/>
          <c:extLst>
            <c:ext xmlns:c16="http://schemas.microsoft.com/office/drawing/2014/chart" uri="{C3380CC4-5D6E-409C-BE32-E72D297353CC}">
              <c16:uniqueId val="{00000001-6BE8-49A4-9631-400AD5D104F4}"/>
            </c:ext>
          </c:extLst>
        </c:ser>
        <c:dLbls>
          <c:showLegendKey val="0"/>
          <c:showVal val="0"/>
          <c:showCatName val="0"/>
          <c:showSerName val="0"/>
          <c:showPercent val="0"/>
          <c:showBubbleSize val="0"/>
        </c:dLbls>
        <c:marker val="1"/>
        <c:smooth val="0"/>
        <c:axId val="3"/>
        <c:axId val="4"/>
      </c:lineChart>
      <c:catAx>
        <c:axId val="383825392"/>
        <c:scaling>
          <c:orientation val="minMax"/>
        </c:scaling>
        <c:delete val="0"/>
        <c:axPos val="b"/>
        <c:title>
          <c:tx>
            <c:rich>
              <a:bodyPr/>
              <a:lstStyle/>
              <a:p>
                <a:pPr>
                  <a:defRPr sz="800" b="1" i="0" u="none" strike="noStrike" baseline="0">
                    <a:solidFill>
                      <a:srgbClr val="000000"/>
                    </a:solidFill>
                    <a:latin typeface="Verdana"/>
                    <a:ea typeface="Verdana"/>
                    <a:cs typeface="Verdana"/>
                  </a:defRPr>
                </a:pPr>
                <a:r>
                  <a:rPr lang="en-US"/>
                  <a:t>Bins</a:t>
                </a:r>
              </a:p>
            </c:rich>
          </c:tx>
          <c:layout>
            <c:manualLayout>
              <c:xMode val="edge"/>
              <c:yMode val="edge"/>
              <c:x val="0.42526359504892586"/>
              <c:y val="0.928107537107897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Verdana"/>
                <a:ea typeface="Verdana"/>
                <a:cs typeface="Verdana"/>
              </a:defRPr>
            </a:pPr>
            <a:endParaRPr lang="en-US"/>
          </a:p>
        </c:txPr>
        <c:crossAx val="1"/>
        <c:crosses val="autoZero"/>
        <c:auto val="1"/>
        <c:lblAlgn val="ctr"/>
        <c:lblOffset val="100"/>
        <c:tickLblSkip val="2"/>
        <c:tickMarkSkip val="1"/>
        <c:noMultiLvlLbl val="0"/>
      </c:catAx>
      <c:valAx>
        <c:axId val="1"/>
        <c:scaling>
          <c:orientation val="minMax"/>
          <c:max val="350"/>
        </c:scaling>
        <c:delete val="0"/>
        <c:axPos val="l"/>
        <c:majorGridlines>
          <c:spPr>
            <a:ln w="3175">
              <a:solidFill>
                <a:srgbClr val="EEEEEE"/>
              </a:solidFill>
              <a:prstDash val="solid"/>
            </a:ln>
          </c:spPr>
        </c:majorGridlines>
        <c:title>
          <c:tx>
            <c:rich>
              <a:bodyPr/>
              <a:lstStyle/>
              <a:p>
                <a:pPr>
                  <a:defRPr sz="800" b="1" i="0" u="none" strike="noStrike" baseline="0">
                    <a:solidFill>
                      <a:srgbClr val="000000"/>
                    </a:solidFill>
                    <a:latin typeface="Verdana"/>
                    <a:ea typeface="Verdana"/>
                    <a:cs typeface="Verdana"/>
                  </a:defRPr>
                </a:pPr>
                <a:r>
                  <a:rPr lang="en-US"/>
                  <a:t>Count</a:t>
                </a:r>
              </a:p>
            </c:rich>
          </c:tx>
          <c:layout>
            <c:manualLayout>
              <c:xMode val="edge"/>
              <c:yMode val="edge"/>
              <c:x val="1.0526326610121926E-2"/>
              <c:y val="0.398694082842125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Verdana"/>
                <a:ea typeface="Verdana"/>
                <a:cs typeface="Verdana"/>
              </a:defRPr>
            </a:pPr>
            <a:endParaRPr lang="en-US"/>
          </a:p>
        </c:txPr>
        <c:crossAx val="383825392"/>
        <c:crosses val="autoZero"/>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max val="1"/>
          <c:min val="0"/>
        </c:scaling>
        <c:delete val="0"/>
        <c:axPos val="r"/>
        <c:title>
          <c:tx>
            <c:rich>
              <a:bodyPr/>
              <a:lstStyle/>
              <a:p>
                <a:pPr>
                  <a:defRPr sz="800" b="1" i="0" u="none" strike="noStrike" baseline="0">
                    <a:solidFill>
                      <a:srgbClr val="008000"/>
                    </a:solidFill>
                    <a:latin typeface="Verdana"/>
                    <a:ea typeface="Verdana"/>
                    <a:cs typeface="Verdana"/>
                  </a:defRPr>
                </a:pPr>
                <a:r>
                  <a:rPr lang="en-US"/>
                  <a:t>Cumulative Probability</a:t>
                </a:r>
              </a:p>
            </c:rich>
          </c:tx>
          <c:layout>
            <c:manualLayout>
              <c:xMode val="edge"/>
              <c:yMode val="edge"/>
              <c:x val="0.95368519087704651"/>
              <c:y val="0.215686962849018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8000"/>
                </a:solidFill>
                <a:latin typeface="Verdana"/>
                <a:ea typeface="Verdana"/>
                <a:cs typeface="Verdana"/>
              </a:defRPr>
            </a:pPr>
            <a:endParaRPr lang="en-US"/>
          </a:p>
        </c:txPr>
        <c:crossAx val="3"/>
        <c:crosses val="max"/>
        <c:crossBetween val="between"/>
      </c:valAx>
      <c:spPr>
        <a:noFill/>
        <a:ln w="12700">
          <a:solidFill>
            <a:srgbClr val="666666"/>
          </a:solidFill>
          <a:prstDash val="solid"/>
        </a:ln>
      </c:spPr>
    </c:plotArea>
    <c:plotVisOnly val="1"/>
    <c:dispBlanksAs val="gap"/>
    <c:showDLblsOverMax val="0"/>
  </c:chart>
  <c:spPr>
    <a:solidFill>
      <a:srgbClr val="FFFFFF"/>
    </a:solidFill>
    <a:ln w="6350">
      <a:noFill/>
    </a:ln>
  </c:spPr>
  <c:txPr>
    <a:bodyPr/>
    <a:lstStyle/>
    <a:p>
      <a:pPr>
        <a:defRPr sz="800" b="0" i="0" u="none" strike="noStrike" baseline="0">
          <a:solidFill>
            <a:srgbClr val="000000"/>
          </a:solidFill>
          <a:latin typeface="Verdana"/>
          <a:ea typeface="Verdana"/>
          <a:cs typeface="Verdana"/>
        </a:defRPr>
      </a:pPr>
      <a:endParaRPr lang="en-U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Verdana"/>
                <a:ea typeface="Verdana"/>
                <a:cs typeface="Verdana"/>
              </a:defRPr>
            </a:pPr>
            <a:r>
              <a:rPr lang="en-US"/>
              <a:t>Histogram of Monte Carlo Simulation Results</a:t>
            </a:r>
          </a:p>
        </c:rich>
      </c:tx>
      <c:layout>
        <c:manualLayout>
          <c:xMode val="edge"/>
          <c:yMode val="edge"/>
          <c:x val="0.22947392010065801"/>
          <c:y val="1.6286670854970695E-2"/>
        </c:manualLayout>
      </c:layout>
      <c:overlay val="0"/>
      <c:spPr>
        <a:noFill/>
        <a:ln w="25400">
          <a:noFill/>
        </a:ln>
      </c:spPr>
    </c:title>
    <c:autoTitleDeleted val="0"/>
    <c:plotArea>
      <c:layout>
        <c:manualLayout>
          <c:layoutTarget val="inner"/>
          <c:xMode val="edge"/>
          <c:yMode val="edge"/>
          <c:x val="0.17473702172802397"/>
          <c:y val="9.4462690958830031E-2"/>
          <c:w val="0.81263241430141275"/>
          <c:h val="0.71335618344771645"/>
        </c:manualLayout>
      </c:layout>
      <c:areaChart>
        <c:grouping val="stacked"/>
        <c:varyColors val="0"/>
        <c:ser>
          <c:idx val="0"/>
          <c:order val="0"/>
          <c:spPr>
            <a:solidFill>
              <a:srgbClr val="9999FF"/>
            </a:solidFill>
            <a:ln w="12700">
              <a:solidFill>
                <a:srgbClr val="000000"/>
              </a:solidFill>
              <a:prstDash val="solid"/>
            </a:ln>
          </c:spPr>
          <c:cat>
            <c:numRef>
              <c:f>MCsim!$I$8:$I$48</c:f>
              <c:numCache>
                <c:formatCode>General</c:formatCode>
                <c:ptCount val="41"/>
                <c:pt idx="0">
                  <c:v>-2000</c:v>
                </c:pt>
                <c:pt idx="1">
                  <c:v>-1850</c:v>
                </c:pt>
                <c:pt idx="2">
                  <c:v>-1700</c:v>
                </c:pt>
                <c:pt idx="3">
                  <c:v>-1550</c:v>
                </c:pt>
                <c:pt idx="4">
                  <c:v>-1400</c:v>
                </c:pt>
                <c:pt idx="5">
                  <c:v>-1250</c:v>
                </c:pt>
                <c:pt idx="6">
                  <c:v>-1100</c:v>
                </c:pt>
                <c:pt idx="7">
                  <c:v>-950</c:v>
                </c:pt>
                <c:pt idx="8">
                  <c:v>-800</c:v>
                </c:pt>
                <c:pt idx="9">
                  <c:v>-650</c:v>
                </c:pt>
                <c:pt idx="10">
                  <c:v>-500</c:v>
                </c:pt>
                <c:pt idx="11">
                  <c:v>-350</c:v>
                </c:pt>
                <c:pt idx="12">
                  <c:v>-200</c:v>
                </c:pt>
                <c:pt idx="13">
                  <c:v>-50</c:v>
                </c:pt>
                <c:pt idx="14">
                  <c:v>100</c:v>
                </c:pt>
                <c:pt idx="15">
                  <c:v>250</c:v>
                </c:pt>
                <c:pt idx="16">
                  <c:v>400</c:v>
                </c:pt>
                <c:pt idx="17">
                  <c:v>550</c:v>
                </c:pt>
                <c:pt idx="18">
                  <c:v>700</c:v>
                </c:pt>
                <c:pt idx="19">
                  <c:v>850</c:v>
                </c:pt>
                <c:pt idx="20">
                  <c:v>1000</c:v>
                </c:pt>
                <c:pt idx="21">
                  <c:v>1150</c:v>
                </c:pt>
                <c:pt idx="22">
                  <c:v>1300</c:v>
                </c:pt>
                <c:pt idx="23">
                  <c:v>1450</c:v>
                </c:pt>
                <c:pt idx="24">
                  <c:v>1600</c:v>
                </c:pt>
                <c:pt idx="25">
                  <c:v>1750</c:v>
                </c:pt>
                <c:pt idx="26">
                  <c:v>1900</c:v>
                </c:pt>
                <c:pt idx="27">
                  <c:v>2050</c:v>
                </c:pt>
                <c:pt idx="28">
                  <c:v>2200</c:v>
                </c:pt>
                <c:pt idx="29">
                  <c:v>2350</c:v>
                </c:pt>
                <c:pt idx="30">
                  <c:v>2500</c:v>
                </c:pt>
                <c:pt idx="31">
                  <c:v>2650</c:v>
                </c:pt>
                <c:pt idx="32">
                  <c:v>2800</c:v>
                </c:pt>
                <c:pt idx="33">
                  <c:v>2950</c:v>
                </c:pt>
                <c:pt idx="34">
                  <c:v>3100</c:v>
                </c:pt>
                <c:pt idx="35">
                  <c:v>3250</c:v>
                </c:pt>
                <c:pt idx="36">
                  <c:v>3400</c:v>
                </c:pt>
                <c:pt idx="37">
                  <c:v>3550</c:v>
                </c:pt>
                <c:pt idx="38">
                  <c:v>3700</c:v>
                </c:pt>
                <c:pt idx="39">
                  <c:v>3850</c:v>
                </c:pt>
                <c:pt idx="40">
                  <c:v>4000</c:v>
                </c:pt>
              </c:numCache>
            </c:numRef>
          </c:cat>
          <c:val>
            <c:numRef>
              <c:f>MCsim!$K$8:$K$48</c:f>
              <c:numCache>
                <c:formatCode>General</c:formatCode>
                <c:ptCount val="41"/>
                <c:pt idx="0">
                  <c:v>0</c:v>
                </c:pt>
                <c:pt idx="1">
                  <c:v>0</c:v>
                </c:pt>
                <c:pt idx="2">
                  <c:v>0</c:v>
                </c:pt>
                <c:pt idx="3">
                  <c:v>0</c:v>
                </c:pt>
                <c:pt idx="4">
                  <c:v>0</c:v>
                </c:pt>
                <c:pt idx="5">
                  <c:v>2.6666666666666668E-6</c:v>
                </c:pt>
                <c:pt idx="6">
                  <c:v>3.1999999999999999E-5</c:v>
                </c:pt>
                <c:pt idx="7">
                  <c:v>7.0666666666666672E-5</c:v>
                </c:pt>
                <c:pt idx="8">
                  <c:v>1.3066666666666665E-4</c:v>
                </c:pt>
                <c:pt idx="9">
                  <c:v>2.0533333333333333E-4</c:v>
                </c:pt>
                <c:pt idx="10">
                  <c:v>2.3466666666666669E-4</c:v>
                </c:pt>
                <c:pt idx="11">
                  <c:v>3.2000000000000003E-4</c:v>
                </c:pt>
                <c:pt idx="12">
                  <c:v>3.1333333333333332E-4</c:v>
                </c:pt>
                <c:pt idx="13">
                  <c:v>3.0933333333333334E-4</c:v>
                </c:pt>
                <c:pt idx="14">
                  <c:v>3.4266666666666668E-4</c:v>
                </c:pt>
                <c:pt idx="15">
                  <c:v>3.613333333333333E-4</c:v>
                </c:pt>
                <c:pt idx="16">
                  <c:v>3.4400000000000001E-4</c:v>
                </c:pt>
                <c:pt idx="17">
                  <c:v>3.3333333333333338E-4</c:v>
                </c:pt>
                <c:pt idx="18">
                  <c:v>3.5199999999999999E-4</c:v>
                </c:pt>
                <c:pt idx="19">
                  <c:v>3.6266666666666663E-4</c:v>
                </c:pt>
                <c:pt idx="20">
                  <c:v>3.5199999999999999E-4</c:v>
                </c:pt>
                <c:pt idx="21">
                  <c:v>3.4400000000000001E-4</c:v>
                </c:pt>
                <c:pt idx="22">
                  <c:v>3.3199999999999999E-4</c:v>
                </c:pt>
                <c:pt idx="23">
                  <c:v>3.28E-4</c:v>
                </c:pt>
                <c:pt idx="24">
                  <c:v>3.0666666666666668E-4</c:v>
                </c:pt>
                <c:pt idx="25">
                  <c:v>2.8800000000000001E-4</c:v>
                </c:pt>
                <c:pt idx="26">
                  <c:v>2.7733333333333332E-4</c:v>
                </c:pt>
                <c:pt idx="27">
                  <c:v>1.9999999999999998E-4</c:v>
                </c:pt>
                <c:pt idx="28">
                  <c:v>1.6533333333333333E-4</c:v>
                </c:pt>
                <c:pt idx="29">
                  <c:v>1.2933333333333332E-4</c:v>
                </c:pt>
                <c:pt idx="30">
                  <c:v>1.0266666666666666E-4</c:v>
                </c:pt>
                <c:pt idx="31">
                  <c:v>5.0666666666666667E-5</c:v>
                </c:pt>
                <c:pt idx="32">
                  <c:v>3.1999999999999999E-5</c:v>
                </c:pt>
                <c:pt idx="33">
                  <c:v>2.6666666666666667E-5</c:v>
                </c:pt>
                <c:pt idx="34">
                  <c:v>1.2E-5</c:v>
                </c:pt>
                <c:pt idx="35">
                  <c:v>3.9999999999999998E-6</c:v>
                </c:pt>
                <c:pt idx="36">
                  <c:v>1.3333333333333334E-6</c:v>
                </c:pt>
                <c:pt idx="37">
                  <c:v>0</c:v>
                </c:pt>
                <c:pt idx="38">
                  <c:v>0</c:v>
                </c:pt>
                <c:pt idx="39">
                  <c:v>0</c:v>
                </c:pt>
                <c:pt idx="40">
                  <c:v>0</c:v>
                </c:pt>
              </c:numCache>
            </c:numRef>
          </c:val>
          <c:extLst>
            <c:ext xmlns:c16="http://schemas.microsoft.com/office/drawing/2014/chart" uri="{C3380CC4-5D6E-409C-BE32-E72D297353CC}">
              <c16:uniqueId val="{00000000-00BC-4377-A897-61F57EF4664D}"/>
            </c:ext>
          </c:extLst>
        </c:ser>
        <c:dLbls>
          <c:showLegendKey val="0"/>
          <c:showVal val="0"/>
          <c:showCatName val="0"/>
          <c:showSerName val="0"/>
          <c:showPercent val="0"/>
          <c:showBubbleSize val="0"/>
        </c:dLbls>
        <c:axId val="383956176"/>
        <c:axId val="1"/>
      </c:areaChart>
      <c:barChart>
        <c:barDir val="col"/>
        <c:grouping val="clustered"/>
        <c:varyColors val="0"/>
        <c:ser>
          <c:idx val="1"/>
          <c:order val="1"/>
          <c:spPr>
            <a:solidFill>
              <a:srgbClr val="993366"/>
            </a:solidFill>
            <a:ln w="12700">
              <a:solidFill>
                <a:srgbClr val="000000"/>
              </a:solidFill>
              <a:prstDash val="solid"/>
            </a:ln>
          </c:spPr>
          <c:invertIfNegative val="0"/>
          <c:cat>
            <c:numRef>
              <c:f>MCsim!$I$8:$I$48</c:f>
              <c:numCache>
                <c:formatCode>General</c:formatCode>
                <c:ptCount val="41"/>
                <c:pt idx="0">
                  <c:v>-2000</c:v>
                </c:pt>
                <c:pt idx="1">
                  <c:v>-1850</c:v>
                </c:pt>
                <c:pt idx="2">
                  <c:v>-1700</c:v>
                </c:pt>
                <c:pt idx="3">
                  <c:v>-1550</c:v>
                </c:pt>
                <c:pt idx="4">
                  <c:v>-1400</c:v>
                </c:pt>
                <c:pt idx="5">
                  <c:v>-1250</c:v>
                </c:pt>
                <c:pt idx="6">
                  <c:v>-1100</c:v>
                </c:pt>
                <c:pt idx="7">
                  <c:v>-950</c:v>
                </c:pt>
                <c:pt idx="8">
                  <c:v>-800</c:v>
                </c:pt>
                <c:pt idx="9">
                  <c:v>-650</c:v>
                </c:pt>
                <c:pt idx="10">
                  <c:v>-500</c:v>
                </c:pt>
                <c:pt idx="11">
                  <c:v>-350</c:v>
                </c:pt>
                <c:pt idx="12">
                  <c:v>-200</c:v>
                </c:pt>
                <c:pt idx="13">
                  <c:v>-50</c:v>
                </c:pt>
                <c:pt idx="14">
                  <c:v>100</c:v>
                </c:pt>
                <c:pt idx="15">
                  <c:v>250</c:v>
                </c:pt>
                <c:pt idx="16">
                  <c:v>400</c:v>
                </c:pt>
                <c:pt idx="17">
                  <c:v>550</c:v>
                </c:pt>
                <c:pt idx="18">
                  <c:v>700</c:v>
                </c:pt>
                <c:pt idx="19">
                  <c:v>850</c:v>
                </c:pt>
                <c:pt idx="20">
                  <c:v>1000</c:v>
                </c:pt>
                <c:pt idx="21">
                  <c:v>1150</c:v>
                </c:pt>
                <c:pt idx="22">
                  <c:v>1300</c:v>
                </c:pt>
                <c:pt idx="23">
                  <c:v>1450</c:v>
                </c:pt>
                <c:pt idx="24">
                  <c:v>1600</c:v>
                </c:pt>
                <c:pt idx="25">
                  <c:v>1750</c:v>
                </c:pt>
                <c:pt idx="26">
                  <c:v>1900</c:v>
                </c:pt>
                <c:pt idx="27">
                  <c:v>2050</c:v>
                </c:pt>
                <c:pt idx="28">
                  <c:v>2200</c:v>
                </c:pt>
                <c:pt idx="29">
                  <c:v>2350</c:v>
                </c:pt>
                <c:pt idx="30">
                  <c:v>2500</c:v>
                </c:pt>
                <c:pt idx="31">
                  <c:v>2650</c:v>
                </c:pt>
                <c:pt idx="32">
                  <c:v>2800</c:v>
                </c:pt>
                <c:pt idx="33">
                  <c:v>2950</c:v>
                </c:pt>
                <c:pt idx="34">
                  <c:v>3100</c:v>
                </c:pt>
                <c:pt idx="35">
                  <c:v>3250</c:v>
                </c:pt>
                <c:pt idx="36">
                  <c:v>3400</c:v>
                </c:pt>
                <c:pt idx="37">
                  <c:v>3550</c:v>
                </c:pt>
                <c:pt idx="38">
                  <c:v>3700</c:v>
                </c:pt>
                <c:pt idx="39">
                  <c:v>3850</c:v>
                </c:pt>
                <c:pt idx="40">
                  <c:v>4000</c:v>
                </c:pt>
              </c:numCache>
            </c:numRef>
          </c:cat>
          <c:val>
            <c:numRef>
              <c:f>MCsim!$K$8:$K$48</c:f>
              <c:numCache>
                <c:formatCode>General</c:formatCode>
                <c:ptCount val="41"/>
                <c:pt idx="0">
                  <c:v>0</c:v>
                </c:pt>
                <c:pt idx="1">
                  <c:v>0</c:v>
                </c:pt>
                <c:pt idx="2">
                  <c:v>0</c:v>
                </c:pt>
                <c:pt idx="3">
                  <c:v>0</c:v>
                </c:pt>
                <c:pt idx="4">
                  <c:v>0</c:v>
                </c:pt>
                <c:pt idx="5">
                  <c:v>2.6666666666666668E-6</c:v>
                </c:pt>
                <c:pt idx="6">
                  <c:v>3.1999999999999999E-5</c:v>
                </c:pt>
                <c:pt idx="7">
                  <c:v>7.0666666666666672E-5</c:v>
                </c:pt>
                <c:pt idx="8">
                  <c:v>1.3066666666666665E-4</c:v>
                </c:pt>
                <c:pt idx="9">
                  <c:v>2.0533333333333333E-4</c:v>
                </c:pt>
                <c:pt idx="10">
                  <c:v>2.3466666666666669E-4</c:v>
                </c:pt>
                <c:pt idx="11">
                  <c:v>3.2000000000000003E-4</c:v>
                </c:pt>
                <c:pt idx="12">
                  <c:v>3.1333333333333332E-4</c:v>
                </c:pt>
                <c:pt idx="13">
                  <c:v>3.0933333333333334E-4</c:v>
                </c:pt>
                <c:pt idx="14">
                  <c:v>3.4266666666666668E-4</c:v>
                </c:pt>
                <c:pt idx="15">
                  <c:v>3.613333333333333E-4</c:v>
                </c:pt>
                <c:pt idx="16">
                  <c:v>3.4400000000000001E-4</c:v>
                </c:pt>
                <c:pt idx="17">
                  <c:v>3.3333333333333338E-4</c:v>
                </c:pt>
                <c:pt idx="18">
                  <c:v>3.5199999999999999E-4</c:v>
                </c:pt>
                <c:pt idx="19">
                  <c:v>3.6266666666666663E-4</c:v>
                </c:pt>
                <c:pt idx="20">
                  <c:v>3.5199999999999999E-4</c:v>
                </c:pt>
                <c:pt idx="21">
                  <c:v>3.4400000000000001E-4</c:v>
                </c:pt>
                <c:pt idx="22">
                  <c:v>3.3199999999999999E-4</c:v>
                </c:pt>
                <c:pt idx="23">
                  <c:v>3.28E-4</c:v>
                </c:pt>
                <c:pt idx="24">
                  <c:v>3.0666666666666668E-4</c:v>
                </c:pt>
                <c:pt idx="25">
                  <c:v>2.8800000000000001E-4</c:v>
                </c:pt>
                <c:pt idx="26">
                  <c:v>2.7733333333333332E-4</c:v>
                </c:pt>
                <c:pt idx="27">
                  <c:v>1.9999999999999998E-4</c:v>
                </c:pt>
                <c:pt idx="28">
                  <c:v>1.6533333333333333E-4</c:v>
                </c:pt>
                <c:pt idx="29">
                  <c:v>1.2933333333333332E-4</c:v>
                </c:pt>
                <c:pt idx="30">
                  <c:v>1.0266666666666666E-4</c:v>
                </c:pt>
                <c:pt idx="31">
                  <c:v>5.0666666666666667E-5</c:v>
                </c:pt>
                <c:pt idx="32">
                  <c:v>3.1999999999999999E-5</c:v>
                </c:pt>
                <c:pt idx="33">
                  <c:v>2.6666666666666667E-5</c:v>
                </c:pt>
                <c:pt idx="34">
                  <c:v>1.2E-5</c:v>
                </c:pt>
                <c:pt idx="35">
                  <c:v>3.9999999999999998E-6</c:v>
                </c:pt>
                <c:pt idx="36">
                  <c:v>1.3333333333333334E-6</c:v>
                </c:pt>
                <c:pt idx="37">
                  <c:v>0</c:v>
                </c:pt>
                <c:pt idx="38">
                  <c:v>0</c:v>
                </c:pt>
                <c:pt idx="39">
                  <c:v>0</c:v>
                </c:pt>
                <c:pt idx="40">
                  <c:v>0</c:v>
                </c:pt>
              </c:numCache>
            </c:numRef>
          </c:val>
          <c:extLst>
            <c:ext xmlns:c16="http://schemas.microsoft.com/office/drawing/2014/chart" uri="{C3380CC4-5D6E-409C-BE32-E72D297353CC}">
              <c16:uniqueId val="{00000001-00BC-4377-A897-61F57EF4664D}"/>
            </c:ext>
          </c:extLst>
        </c:ser>
        <c:dLbls>
          <c:showLegendKey val="0"/>
          <c:showVal val="0"/>
          <c:showCatName val="0"/>
          <c:showSerName val="0"/>
          <c:showPercent val="0"/>
          <c:showBubbleSize val="0"/>
        </c:dLbls>
        <c:gapWidth val="100"/>
        <c:axId val="383956176"/>
        <c:axId val="1"/>
      </c:barChart>
      <c:catAx>
        <c:axId val="383956176"/>
        <c:scaling>
          <c:orientation val="minMax"/>
        </c:scaling>
        <c:delete val="0"/>
        <c:axPos val="b"/>
        <c:title>
          <c:tx>
            <c:rich>
              <a:bodyPr/>
              <a:lstStyle/>
              <a:p>
                <a:pPr>
                  <a:defRPr sz="800" b="1" i="0" u="none" strike="noStrike" baseline="0">
                    <a:solidFill>
                      <a:srgbClr val="000000"/>
                    </a:solidFill>
                    <a:latin typeface="Verdana"/>
                    <a:ea typeface="Verdana"/>
                    <a:cs typeface="Verdana"/>
                  </a:defRPr>
                </a:pPr>
                <a:r>
                  <a:rPr lang="en-US"/>
                  <a:t>Bins</a:t>
                </a:r>
              </a:p>
            </c:rich>
          </c:tx>
          <c:layout>
            <c:manualLayout>
              <c:xMode val="edge"/>
              <c:yMode val="edge"/>
              <c:x val="0.50947420792990128"/>
              <c:y val="0.928340238733329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Verdana"/>
                <a:ea typeface="Verdana"/>
                <a:cs typeface="Verdana"/>
              </a:defRPr>
            </a:pPr>
            <a:endParaRPr lang="en-US"/>
          </a:p>
        </c:txPr>
        <c:crossAx val="1"/>
        <c:crosses val="autoZero"/>
        <c:auto val="1"/>
        <c:lblAlgn val="ctr"/>
        <c:lblOffset val="100"/>
        <c:tickLblSkip val="2"/>
        <c:tickMarkSkip val="1"/>
        <c:noMultiLvlLbl val="0"/>
      </c:catAx>
      <c:valAx>
        <c:axId val="1"/>
        <c:scaling>
          <c:orientation val="minMax"/>
        </c:scaling>
        <c:delete val="0"/>
        <c:axPos val="l"/>
        <c:majorGridlines>
          <c:spPr>
            <a:ln w="3175">
              <a:solidFill>
                <a:srgbClr val="EEEEEE"/>
              </a:solidFill>
              <a:prstDash val="solid"/>
            </a:ln>
          </c:spPr>
        </c:majorGridlines>
        <c:title>
          <c:tx>
            <c:rich>
              <a:bodyPr/>
              <a:lstStyle/>
              <a:p>
                <a:pPr>
                  <a:defRPr sz="800" b="1" i="0" u="none" strike="noStrike" baseline="0">
                    <a:solidFill>
                      <a:srgbClr val="000000"/>
                    </a:solidFill>
                    <a:latin typeface="Verdana"/>
                    <a:ea typeface="Verdana"/>
                    <a:cs typeface="Verdana"/>
                  </a:defRPr>
                </a:pPr>
                <a:r>
                  <a:rPr lang="en-US"/>
                  <a:t>Frequency</a:t>
                </a:r>
              </a:p>
            </c:rich>
          </c:tx>
          <c:layout>
            <c:manualLayout>
              <c:xMode val="edge"/>
              <c:yMode val="edge"/>
              <c:x val="1.0526326610121926E-2"/>
              <c:y val="0.351792090467367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Verdana"/>
                <a:ea typeface="Verdana"/>
                <a:cs typeface="Verdana"/>
              </a:defRPr>
            </a:pPr>
            <a:endParaRPr lang="en-US"/>
          </a:p>
        </c:txPr>
        <c:crossAx val="383956176"/>
        <c:crosses val="autoZero"/>
        <c:crossBetween val="midCat"/>
      </c:valAx>
      <c:spPr>
        <a:noFill/>
        <a:ln w="12700">
          <a:solidFill>
            <a:srgbClr val="666666"/>
          </a:solidFill>
          <a:prstDash val="solid"/>
        </a:ln>
      </c:spPr>
    </c:plotArea>
    <c:plotVisOnly val="1"/>
    <c:dispBlanksAs val="gap"/>
    <c:showDLblsOverMax val="0"/>
  </c:chart>
  <c:spPr>
    <a:solidFill>
      <a:srgbClr val="FFFFFF"/>
    </a:solidFill>
    <a:ln w="6350">
      <a:noFill/>
    </a:ln>
  </c:spPr>
  <c:txPr>
    <a:bodyPr/>
    <a:lstStyle/>
    <a:p>
      <a:pPr>
        <a:defRPr sz="800" b="0" i="0" u="none" strike="noStrike" baseline="0">
          <a:solidFill>
            <a:srgbClr val="000000"/>
          </a:solidFill>
          <a:latin typeface="Verdana"/>
          <a:ea typeface="Verdana"/>
          <a:cs typeface="Verdana"/>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Verdana"/>
                <a:ea typeface="Verdana"/>
                <a:cs typeface="Verdana"/>
              </a:defRPr>
            </a:pPr>
            <a:r>
              <a:rPr lang="en-US"/>
              <a:t>Histogram of Monte Carlo Simulation Results</a:t>
            </a:r>
          </a:p>
        </c:rich>
      </c:tx>
      <c:layout>
        <c:manualLayout>
          <c:xMode val="edge"/>
          <c:yMode val="edge"/>
          <c:x val="0.2085201793721973"/>
          <c:y val="1.8050573334861052E-2"/>
        </c:manualLayout>
      </c:layout>
      <c:overlay val="0"/>
      <c:spPr>
        <a:noFill/>
        <a:ln w="25400">
          <a:noFill/>
        </a:ln>
      </c:spPr>
    </c:title>
    <c:autoTitleDeleted val="0"/>
    <c:plotArea>
      <c:layout>
        <c:manualLayout>
          <c:layoutTarget val="inner"/>
          <c:xMode val="edge"/>
          <c:yMode val="edge"/>
          <c:x val="0.1031390134529148"/>
          <c:y val="9.3862981341277463E-2"/>
          <c:w val="0.8340807174887892"/>
          <c:h val="0.75451396539719195"/>
        </c:manualLayout>
      </c:layout>
      <c:scatterChart>
        <c:scatterStyle val="smoothMarker"/>
        <c:varyColors val="0"/>
        <c:ser>
          <c:idx val="0"/>
          <c:order val="0"/>
          <c:tx>
            <c:v>Frequency</c:v>
          </c:tx>
          <c:spPr>
            <a:ln w="12700">
              <a:solidFill>
                <a:srgbClr val="000080"/>
              </a:solidFill>
              <a:prstDash val="solid"/>
            </a:ln>
          </c:spPr>
          <c:marker>
            <c:symbol val="none"/>
          </c:marker>
          <c:errBars>
            <c:errDir val="y"/>
            <c:errBarType val="minus"/>
            <c:errValType val="percentage"/>
            <c:noEndCap val="1"/>
            <c:val val="100"/>
            <c:spPr>
              <a:ln w="38100">
                <a:solidFill>
                  <a:srgbClr val="3E70A1"/>
                </a:solidFill>
                <a:prstDash val="solid"/>
              </a:ln>
            </c:spPr>
          </c:errBars>
          <c:xVal>
            <c:numRef>
              <c:f>MCsim!$I$8:$I$48</c:f>
              <c:numCache>
                <c:formatCode>General</c:formatCode>
                <c:ptCount val="41"/>
                <c:pt idx="0">
                  <c:v>-2000</c:v>
                </c:pt>
                <c:pt idx="1">
                  <c:v>-1850</c:v>
                </c:pt>
                <c:pt idx="2">
                  <c:v>-1700</c:v>
                </c:pt>
                <c:pt idx="3">
                  <c:v>-1550</c:v>
                </c:pt>
                <c:pt idx="4">
                  <c:v>-1400</c:v>
                </c:pt>
                <c:pt idx="5">
                  <c:v>-1250</c:v>
                </c:pt>
                <c:pt idx="6">
                  <c:v>-1100</c:v>
                </c:pt>
                <c:pt idx="7">
                  <c:v>-950</c:v>
                </c:pt>
                <c:pt idx="8">
                  <c:v>-800</c:v>
                </c:pt>
                <c:pt idx="9">
                  <c:v>-650</c:v>
                </c:pt>
                <c:pt idx="10">
                  <c:v>-500</c:v>
                </c:pt>
                <c:pt idx="11">
                  <c:v>-350</c:v>
                </c:pt>
                <c:pt idx="12">
                  <c:v>-200</c:v>
                </c:pt>
                <c:pt idx="13">
                  <c:v>-50</c:v>
                </c:pt>
                <c:pt idx="14">
                  <c:v>100</c:v>
                </c:pt>
                <c:pt idx="15">
                  <c:v>250</c:v>
                </c:pt>
                <c:pt idx="16">
                  <c:v>400</c:v>
                </c:pt>
                <c:pt idx="17">
                  <c:v>550</c:v>
                </c:pt>
                <c:pt idx="18">
                  <c:v>700</c:v>
                </c:pt>
                <c:pt idx="19">
                  <c:v>850</c:v>
                </c:pt>
                <c:pt idx="20">
                  <c:v>1000</c:v>
                </c:pt>
                <c:pt idx="21">
                  <c:v>1150</c:v>
                </c:pt>
                <c:pt idx="22">
                  <c:v>1300</c:v>
                </c:pt>
                <c:pt idx="23">
                  <c:v>1450</c:v>
                </c:pt>
                <c:pt idx="24">
                  <c:v>1600</c:v>
                </c:pt>
                <c:pt idx="25">
                  <c:v>1750</c:v>
                </c:pt>
                <c:pt idx="26">
                  <c:v>1900</c:v>
                </c:pt>
                <c:pt idx="27">
                  <c:v>2050</c:v>
                </c:pt>
                <c:pt idx="28">
                  <c:v>2200</c:v>
                </c:pt>
                <c:pt idx="29">
                  <c:v>2350</c:v>
                </c:pt>
                <c:pt idx="30">
                  <c:v>2500</c:v>
                </c:pt>
                <c:pt idx="31">
                  <c:v>2650</c:v>
                </c:pt>
                <c:pt idx="32">
                  <c:v>2800</c:v>
                </c:pt>
                <c:pt idx="33">
                  <c:v>2950</c:v>
                </c:pt>
                <c:pt idx="34">
                  <c:v>3100</c:v>
                </c:pt>
                <c:pt idx="35">
                  <c:v>3250</c:v>
                </c:pt>
                <c:pt idx="36">
                  <c:v>3400</c:v>
                </c:pt>
                <c:pt idx="37">
                  <c:v>3550</c:v>
                </c:pt>
                <c:pt idx="38">
                  <c:v>3700</c:v>
                </c:pt>
                <c:pt idx="39">
                  <c:v>3850</c:v>
                </c:pt>
                <c:pt idx="40">
                  <c:v>4000</c:v>
                </c:pt>
              </c:numCache>
            </c:numRef>
          </c:xVal>
          <c:yVal>
            <c:numRef>
              <c:f>MCsim!$K$8:$K$48</c:f>
              <c:numCache>
                <c:formatCode>General</c:formatCode>
                <c:ptCount val="41"/>
                <c:pt idx="0">
                  <c:v>0</c:v>
                </c:pt>
                <c:pt idx="1">
                  <c:v>0</c:v>
                </c:pt>
                <c:pt idx="2">
                  <c:v>0</c:v>
                </c:pt>
                <c:pt idx="3">
                  <c:v>0</c:v>
                </c:pt>
                <c:pt idx="4">
                  <c:v>0</c:v>
                </c:pt>
                <c:pt idx="5">
                  <c:v>2.6666666666666668E-6</c:v>
                </c:pt>
                <c:pt idx="6">
                  <c:v>3.1999999999999999E-5</c:v>
                </c:pt>
                <c:pt idx="7">
                  <c:v>7.0666666666666672E-5</c:v>
                </c:pt>
                <c:pt idx="8">
                  <c:v>1.3066666666666665E-4</c:v>
                </c:pt>
                <c:pt idx="9">
                  <c:v>2.0533333333333333E-4</c:v>
                </c:pt>
                <c:pt idx="10">
                  <c:v>2.3466666666666669E-4</c:v>
                </c:pt>
                <c:pt idx="11">
                  <c:v>3.2000000000000003E-4</c:v>
                </c:pt>
                <c:pt idx="12">
                  <c:v>3.1333333333333332E-4</c:v>
                </c:pt>
                <c:pt idx="13">
                  <c:v>3.0933333333333334E-4</c:v>
                </c:pt>
                <c:pt idx="14">
                  <c:v>3.4266666666666668E-4</c:v>
                </c:pt>
                <c:pt idx="15">
                  <c:v>3.613333333333333E-4</c:v>
                </c:pt>
                <c:pt idx="16">
                  <c:v>3.4400000000000001E-4</c:v>
                </c:pt>
                <c:pt idx="17">
                  <c:v>3.3333333333333338E-4</c:v>
                </c:pt>
                <c:pt idx="18">
                  <c:v>3.5199999999999999E-4</c:v>
                </c:pt>
                <c:pt idx="19">
                  <c:v>3.6266666666666663E-4</c:v>
                </c:pt>
                <c:pt idx="20">
                  <c:v>3.5199999999999999E-4</c:v>
                </c:pt>
                <c:pt idx="21">
                  <c:v>3.4400000000000001E-4</c:v>
                </c:pt>
                <c:pt idx="22">
                  <c:v>3.3199999999999999E-4</c:v>
                </c:pt>
                <c:pt idx="23">
                  <c:v>3.28E-4</c:v>
                </c:pt>
                <c:pt idx="24">
                  <c:v>3.0666666666666668E-4</c:v>
                </c:pt>
                <c:pt idx="25">
                  <c:v>2.8800000000000001E-4</c:v>
                </c:pt>
                <c:pt idx="26">
                  <c:v>2.7733333333333332E-4</c:v>
                </c:pt>
                <c:pt idx="27">
                  <c:v>1.9999999999999998E-4</c:v>
                </c:pt>
                <c:pt idx="28">
                  <c:v>1.6533333333333333E-4</c:v>
                </c:pt>
                <c:pt idx="29">
                  <c:v>1.2933333333333332E-4</c:v>
                </c:pt>
                <c:pt idx="30">
                  <c:v>1.0266666666666666E-4</c:v>
                </c:pt>
                <c:pt idx="31">
                  <c:v>5.0666666666666667E-5</c:v>
                </c:pt>
                <c:pt idx="32">
                  <c:v>3.1999999999999999E-5</c:v>
                </c:pt>
                <c:pt idx="33">
                  <c:v>2.6666666666666667E-5</c:v>
                </c:pt>
                <c:pt idx="34">
                  <c:v>1.2E-5</c:v>
                </c:pt>
                <c:pt idx="35">
                  <c:v>3.9999999999999998E-6</c:v>
                </c:pt>
                <c:pt idx="36">
                  <c:v>1.3333333333333334E-6</c:v>
                </c:pt>
                <c:pt idx="37">
                  <c:v>0</c:v>
                </c:pt>
                <c:pt idx="38">
                  <c:v>0</c:v>
                </c:pt>
                <c:pt idx="39">
                  <c:v>0</c:v>
                </c:pt>
                <c:pt idx="40">
                  <c:v>0</c:v>
                </c:pt>
              </c:numCache>
            </c:numRef>
          </c:yVal>
          <c:smooth val="0"/>
          <c:extLst>
            <c:ext xmlns:c16="http://schemas.microsoft.com/office/drawing/2014/chart" uri="{C3380CC4-5D6E-409C-BE32-E72D297353CC}">
              <c16:uniqueId val="{00000000-25B8-4B41-8615-CB0C8BF97E47}"/>
            </c:ext>
          </c:extLst>
        </c:ser>
        <c:dLbls>
          <c:showLegendKey val="0"/>
          <c:showVal val="0"/>
          <c:showCatName val="0"/>
          <c:showSerName val="0"/>
          <c:showPercent val="0"/>
          <c:showBubbleSize val="0"/>
        </c:dLbls>
        <c:axId val="384026544"/>
        <c:axId val="1"/>
      </c:scatterChart>
      <c:valAx>
        <c:axId val="384026544"/>
        <c:scaling>
          <c:orientation val="minMax"/>
          <c:max val="4000"/>
          <c:min val="-2000"/>
        </c:scaling>
        <c:delete val="0"/>
        <c:axPos val="b"/>
        <c:title>
          <c:tx>
            <c:rich>
              <a:bodyPr/>
              <a:lstStyle/>
              <a:p>
                <a:pPr>
                  <a:defRPr sz="800" b="1" i="0" u="none" strike="noStrike" baseline="0">
                    <a:solidFill>
                      <a:srgbClr val="000000"/>
                    </a:solidFill>
                    <a:latin typeface="Verdana"/>
                    <a:ea typeface="Verdana"/>
                    <a:cs typeface="Verdana"/>
                  </a:defRPr>
                </a:pPr>
                <a:r>
                  <a:rPr lang="en-US"/>
                  <a:t>Profit</a:t>
                </a:r>
              </a:p>
            </c:rich>
          </c:tx>
          <c:layout>
            <c:manualLayout>
              <c:xMode val="edge"/>
              <c:yMode val="edge"/>
              <c:x val="0.39461883408071746"/>
              <c:y val="0.9205792400779135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Verdana"/>
                <a:ea typeface="Verdana"/>
                <a:cs typeface="Verdana"/>
              </a:defRPr>
            </a:pPr>
            <a:endParaRPr lang="en-US"/>
          </a:p>
        </c:txPr>
        <c:crossAx val="1"/>
        <c:crossesAt val="0"/>
        <c:crossBetween val="midCat"/>
      </c:valAx>
      <c:valAx>
        <c:axId val="1"/>
        <c:scaling>
          <c:orientation val="minMax"/>
        </c:scaling>
        <c:delete val="0"/>
        <c:axPos val="l"/>
        <c:majorGridlines>
          <c:spPr>
            <a:ln w="3175">
              <a:solidFill>
                <a:srgbClr val="EEEEEE"/>
              </a:solidFill>
              <a:prstDash val="solid"/>
            </a:ln>
          </c:spPr>
        </c:majorGridlines>
        <c:title>
          <c:tx>
            <c:rich>
              <a:bodyPr/>
              <a:lstStyle/>
              <a:p>
                <a:pPr>
                  <a:defRPr sz="800" b="1" i="0" u="none" strike="noStrike" baseline="0">
                    <a:solidFill>
                      <a:srgbClr val="000000"/>
                    </a:solidFill>
                    <a:latin typeface="Verdana"/>
                    <a:ea typeface="Verdana"/>
                    <a:cs typeface="Verdana"/>
                  </a:defRPr>
                </a:pPr>
                <a:r>
                  <a:rPr lang="en-US"/>
                  <a:t>Frequency</a:t>
                </a:r>
              </a:p>
            </c:rich>
          </c:tx>
          <c:layout>
            <c:manualLayout>
              <c:xMode val="edge"/>
              <c:yMode val="edge"/>
              <c:x val="1.1210762331838564E-2"/>
              <c:y val="0.3610114666972210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350" b="0" i="0" u="none" strike="noStrike" baseline="0">
                <a:solidFill>
                  <a:srgbClr val="000000"/>
                </a:solidFill>
                <a:latin typeface="Verdana"/>
                <a:ea typeface="Verdana"/>
                <a:cs typeface="Verdana"/>
              </a:defRPr>
            </a:pPr>
            <a:endParaRPr lang="en-US"/>
          </a:p>
        </c:txPr>
        <c:crossAx val="384026544"/>
        <c:crossesAt val="-2000"/>
        <c:crossBetween val="midCat"/>
      </c:valAx>
      <c:spPr>
        <a:noFill/>
        <a:ln w="12700">
          <a:solidFill>
            <a:srgbClr val="666666"/>
          </a:solidFill>
          <a:prstDash val="solid"/>
        </a:ln>
      </c:spPr>
    </c:plotArea>
    <c:plotVisOnly val="1"/>
    <c:dispBlanksAs val="gap"/>
    <c:showDLblsOverMax val="0"/>
  </c:chart>
  <c:spPr>
    <a:solidFill>
      <a:srgbClr val="FFFFFF"/>
    </a:solidFill>
    <a:ln w="6350">
      <a:noFill/>
    </a:ln>
  </c:spPr>
  <c:txPr>
    <a:bodyPr/>
    <a:lstStyle/>
    <a:p>
      <a:pPr>
        <a:defRPr sz="800" b="0" i="0" u="none" strike="noStrike" baseline="0">
          <a:solidFill>
            <a:srgbClr val="000000"/>
          </a:solidFill>
          <a:latin typeface="Verdana"/>
          <a:ea typeface="Verdana"/>
          <a:cs typeface="Verdana"/>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342900</xdr:colOff>
      <xdr:row>23</xdr:row>
      <xdr:rowOff>180975</xdr:rowOff>
    </xdr:from>
    <xdr:to>
      <xdr:col>6</xdr:col>
      <xdr:colOff>676275</xdr:colOff>
      <xdr:row>26</xdr:row>
      <xdr:rowOff>66675</xdr:rowOff>
    </xdr:to>
    <xdr:sp macro="" textlink="">
      <xdr:nvSpPr>
        <xdr:cNvPr id="1082" name="AutoShape 58">
          <a:extLst>
            <a:ext uri="{FF2B5EF4-FFF2-40B4-BE49-F238E27FC236}">
              <a16:creationId xmlns:a16="http://schemas.microsoft.com/office/drawing/2014/main" id="{EE9B8B44-D01F-4809-9070-D166E40361D6}"/>
            </a:ext>
          </a:extLst>
        </xdr:cNvPr>
        <xdr:cNvSpPr>
          <a:spLocks noChangeArrowheads="1"/>
        </xdr:cNvSpPr>
      </xdr:nvSpPr>
      <xdr:spPr bwMode="auto">
        <a:xfrm>
          <a:off x="4114800" y="4467225"/>
          <a:ext cx="1190625" cy="447675"/>
        </a:xfrm>
        <a:prstGeom prst="wedgeRoundRectCallout">
          <a:avLst>
            <a:gd name="adj1" fmla="val 75602"/>
            <a:gd name="adj2" fmla="val 47870"/>
            <a:gd name="adj3" fmla="val 16667"/>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2850" mc:Ignorable="a14" a14:legacySpreadsheetColorIndex="18"/>
          </a:solidFill>
          <a:miter lim="800000"/>
          <a:headEnd/>
          <a:tailEnd/>
        </a:ln>
        <a:effectLst>
          <a:outerShdw dist="53882" dir="8100000" algn="ctr" rotWithShape="0">
            <a:srgbClr xmlns:mc="http://schemas.openxmlformats.org/markup-compatibility/2006" xmlns:a14="http://schemas.microsoft.com/office/drawing/2010/main" val="799FC4" mc:Ignorable="a14" a14:legacySpreadsheetColorIndex="40"/>
          </a:outerShdw>
        </a:effectLst>
      </xdr:spPr>
      <xdr:txBody>
        <a:bodyPr vertOverflow="clip" wrap="square" lIns="0" tIns="45720" rIns="0" bIns="45720" anchor="t" upright="1"/>
        <a:lstStyle/>
        <a:p>
          <a:pPr algn="l" rtl="0">
            <a:defRPr sz="1000"/>
          </a:pPr>
          <a:r>
            <a:rPr lang="en-US" sz="800" b="1" i="0" u="none" strike="noStrike" baseline="0">
              <a:solidFill>
                <a:srgbClr val="000000"/>
              </a:solidFill>
              <a:latin typeface="Verdana"/>
              <a:ea typeface="Verdana"/>
              <a:cs typeface="Verdana"/>
            </a:rPr>
            <a:t>Press F9 to Re-Calculate</a:t>
          </a:r>
        </a:p>
      </xdr:txBody>
    </xdr:sp>
    <xdr:clientData/>
  </xdr:twoCellAnchor>
  <xdr:twoCellAnchor editAs="oneCell">
    <xdr:from>
      <xdr:col>10</xdr:col>
      <xdr:colOff>133350</xdr:colOff>
      <xdr:row>2</xdr:row>
      <xdr:rowOff>0</xdr:rowOff>
    </xdr:from>
    <xdr:to>
      <xdr:col>14</xdr:col>
      <xdr:colOff>200025</xdr:colOff>
      <xdr:row>9</xdr:row>
      <xdr:rowOff>38100</xdr:rowOff>
    </xdr:to>
    <xdr:sp macro="" textlink="">
      <xdr:nvSpPr>
        <xdr:cNvPr id="1096" name="Rectangle 72">
          <a:extLst>
            <a:ext uri="{FF2B5EF4-FFF2-40B4-BE49-F238E27FC236}">
              <a16:creationId xmlns:a16="http://schemas.microsoft.com/office/drawing/2014/main" id="{B5AA2029-4E36-4B8D-A3F9-C8158C68A80C}"/>
            </a:ext>
          </a:extLst>
        </xdr:cNvPr>
        <xdr:cNvSpPr>
          <a:spLocks noChangeArrowheads="1"/>
        </xdr:cNvSpPr>
      </xdr:nvSpPr>
      <xdr:spPr bwMode="auto">
        <a:xfrm>
          <a:off x="6848475" y="495300"/>
          <a:ext cx="2809875" cy="1238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2850" mc:Ignorable="a14" a14:legacySpreadsheetColorIndex="18"/>
          </a:solidFill>
          <a:miter lim="800000"/>
          <a:headEnd/>
          <a:tailEnd/>
        </a:ln>
        <a:effectLst>
          <a:outerShdw dist="53882" dir="8100000" algn="ctr" rotWithShape="0">
            <a:srgbClr xmlns:mc="http://schemas.openxmlformats.org/markup-compatibility/2006" xmlns:a14="http://schemas.microsoft.com/office/drawing/2010/main" val="799FC4" mc:Ignorable="a14" a14:legacySpreadsheetColorIndex="40"/>
          </a:outerShdw>
        </a:effectLst>
      </xdr:spPr>
      <xdr:txBody>
        <a:bodyPr vertOverflow="clip" wrap="square" lIns="91440" tIns="91440" rIns="91440" bIns="91440" anchor="t" upright="1"/>
        <a:lstStyle/>
        <a:p>
          <a:pPr algn="l" rtl="0">
            <a:defRPr sz="1000"/>
          </a:pPr>
          <a:r>
            <a:rPr lang="en-US" sz="800" b="1" i="0" u="none" strike="noStrike" baseline="0">
              <a:solidFill>
                <a:srgbClr val="000000"/>
              </a:solidFill>
              <a:latin typeface="Verdana"/>
              <a:ea typeface="Verdana"/>
              <a:cs typeface="Verdana"/>
            </a:rPr>
            <a:t>INSTRUCTIONS:</a:t>
          </a:r>
          <a:r>
            <a:rPr lang="en-US" sz="800" b="0" i="0" u="none" strike="noStrike" baseline="0">
              <a:solidFill>
                <a:srgbClr val="000000"/>
              </a:solidFill>
              <a:latin typeface="Verdana"/>
              <a:ea typeface="Verdana"/>
              <a:cs typeface="Verdana"/>
            </a:rPr>
            <a:t> </a:t>
          </a:r>
        </a:p>
        <a:p>
          <a:pPr algn="l" rtl="0">
            <a:defRPr sz="1000"/>
          </a:pPr>
          <a:endParaRPr lang="en-US" sz="800" b="0" i="0" u="none" strike="noStrike" baseline="0">
            <a:solidFill>
              <a:srgbClr val="000000"/>
            </a:solidFill>
            <a:latin typeface="Verdana"/>
            <a:ea typeface="Verdana"/>
            <a:cs typeface="Verdana"/>
          </a:endParaRPr>
        </a:p>
        <a:p>
          <a:pPr algn="l" rtl="0">
            <a:defRPr sz="1000"/>
          </a:pPr>
          <a:r>
            <a:rPr lang="en-US" sz="800" b="0" i="0" u="none" strike="noStrike" baseline="0">
              <a:solidFill>
                <a:srgbClr val="000000"/>
              </a:solidFill>
              <a:latin typeface="Verdana"/>
              <a:ea typeface="Verdana"/>
              <a:cs typeface="Verdana"/>
            </a:rPr>
            <a:t>Fill in the </a:t>
          </a:r>
          <a:r>
            <a:rPr lang="en-US" sz="800" b="1" i="0" u="none" strike="noStrike" baseline="0">
              <a:solidFill>
                <a:srgbClr val="000000"/>
              </a:solidFill>
              <a:latin typeface="Verdana"/>
              <a:ea typeface="Verdana"/>
              <a:cs typeface="Verdana"/>
            </a:rPr>
            <a:t>yellow</a:t>
          </a:r>
          <a:r>
            <a:rPr lang="en-US" sz="800" b="0" i="0" u="none" strike="noStrike" baseline="0">
              <a:solidFill>
                <a:srgbClr val="000000"/>
              </a:solidFill>
              <a:latin typeface="Verdana"/>
              <a:ea typeface="Verdana"/>
              <a:cs typeface="Verdana"/>
            </a:rPr>
            <a:t> input fields</a:t>
          </a:r>
        </a:p>
        <a:p>
          <a:pPr algn="l" rtl="0">
            <a:defRPr sz="1000"/>
          </a:pPr>
          <a:r>
            <a:rPr lang="en-US" sz="800" b="0" i="0" u="none" strike="noStrike" baseline="0">
              <a:solidFill>
                <a:srgbClr val="000000"/>
              </a:solidFill>
              <a:latin typeface="Verdana"/>
              <a:ea typeface="Verdana"/>
              <a:cs typeface="Verdana"/>
            </a:rPr>
            <a:t>      - read the comments if needed</a:t>
          </a:r>
        </a:p>
        <a:p>
          <a:pPr algn="l" rtl="0">
            <a:defRPr sz="1000"/>
          </a:pPr>
          <a:r>
            <a:rPr lang="en-US" sz="800" b="0" i="0" u="none" strike="noStrike" baseline="0">
              <a:solidFill>
                <a:srgbClr val="000000"/>
              </a:solidFill>
              <a:latin typeface="Verdana"/>
              <a:ea typeface="Verdana"/>
              <a:cs typeface="Verdana"/>
            </a:rPr>
            <a:t>      - include your uncertainty (max and min)</a:t>
          </a:r>
        </a:p>
        <a:p>
          <a:pPr algn="l" rtl="0">
            <a:defRPr sz="1000"/>
          </a:pPr>
          <a:r>
            <a:rPr lang="en-US" sz="800" b="0" i="0" u="none" strike="noStrike" baseline="0">
              <a:solidFill>
                <a:srgbClr val="000000"/>
              </a:solidFill>
              <a:latin typeface="Verdana"/>
              <a:ea typeface="Verdana"/>
              <a:cs typeface="Verdana"/>
            </a:rPr>
            <a:t>Press F9 to re-calculate the stochastic model</a:t>
          </a:r>
        </a:p>
        <a:p>
          <a:pPr algn="l" rtl="0">
            <a:defRPr sz="1000"/>
          </a:pPr>
          <a:endParaRPr lang="en-US" sz="800" b="0" i="0" u="none" strike="noStrike" baseline="0">
            <a:solidFill>
              <a:srgbClr val="000000"/>
            </a:solidFill>
            <a:latin typeface="Verdana"/>
            <a:ea typeface="Verdana"/>
            <a:cs typeface="Verdana"/>
          </a:endParaRPr>
        </a:p>
      </xdr:txBody>
    </xdr:sp>
    <xdr:clientData/>
  </xdr:twoCellAnchor>
  <xdr:twoCellAnchor>
    <xdr:from>
      <xdr:col>0</xdr:col>
      <xdr:colOff>0</xdr:colOff>
      <xdr:row>43</xdr:row>
      <xdr:rowOff>152400</xdr:rowOff>
    </xdr:from>
    <xdr:to>
      <xdr:col>5</xdr:col>
      <xdr:colOff>752475</xdr:colOff>
      <xdr:row>62</xdr:row>
      <xdr:rowOff>0</xdr:rowOff>
    </xdr:to>
    <xdr:graphicFrame macro="">
      <xdr:nvGraphicFramePr>
        <xdr:cNvPr id="1133" name="Chart 109">
          <a:extLst>
            <a:ext uri="{FF2B5EF4-FFF2-40B4-BE49-F238E27FC236}">
              <a16:creationId xmlns:a16="http://schemas.microsoft.com/office/drawing/2014/main" id="{F829BCBA-D21D-43D9-98AB-D39BB8D332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28575</xdr:colOff>
      <xdr:row>8</xdr:row>
      <xdr:rowOff>133350</xdr:rowOff>
    </xdr:from>
    <xdr:to>
      <xdr:col>7</xdr:col>
      <xdr:colOff>9525</xdr:colOff>
      <xdr:row>26</xdr:row>
      <xdr:rowOff>47625</xdr:rowOff>
    </xdr:to>
    <xdr:graphicFrame macro="">
      <xdr:nvGraphicFramePr>
        <xdr:cNvPr id="8193" name="Chart 1">
          <a:extLst>
            <a:ext uri="{FF2B5EF4-FFF2-40B4-BE49-F238E27FC236}">
              <a16:creationId xmlns:a16="http://schemas.microsoft.com/office/drawing/2014/main" id="{50D52796-7F4F-4A51-991C-E8B63FDE35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0</xdr:colOff>
      <xdr:row>67</xdr:row>
      <xdr:rowOff>0</xdr:rowOff>
    </xdr:from>
    <xdr:to>
      <xdr:col>14</xdr:col>
      <xdr:colOff>657225</xdr:colOff>
      <xdr:row>85</xdr:row>
      <xdr:rowOff>9525</xdr:rowOff>
    </xdr:to>
    <xdr:graphicFrame macro="">
      <xdr:nvGraphicFramePr>
        <xdr:cNvPr id="8194" name="Chart 2">
          <a:extLst>
            <a:ext uri="{FF2B5EF4-FFF2-40B4-BE49-F238E27FC236}">
              <a16:creationId xmlns:a16="http://schemas.microsoft.com/office/drawing/2014/main" id="{D9AD62D4-ED20-4F63-91DD-A4AC0A4774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8</xdr:col>
      <xdr:colOff>0</xdr:colOff>
      <xdr:row>49</xdr:row>
      <xdr:rowOff>0</xdr:rowOff>
    </xdr:from>
    <xdr:to>
      <xdr:col>14</xdr:col>
      <xdr:colOff>381000</xdr:colOff>
      <xdr:row>65</xdr:row>
      <xdr:rowOff>47625</xdr:rowOff>
    </xdr:to>
    <xdr:graphicFrame macro="">
      <xdr:nvGraphicFramePr>
        <xdr:cNvPr id="8196" name="Chart 4">
          <a:extLst>
            <a:ext uri="{FF2B5EF4-FFF2-40B4-BE49-F238E27FC236}">
              <a16:creationId xmlns:a16="http://schemas.microsoft.com/office/drawing/2014/main" id="{AE655A7D-9C57-4038-9B5D-66D98DC40C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447675</xdr:colOff>
      <xdr:row>10</xdr:row>
      <xdr:rowOff>19050</xdr:rowOff>
    </xdr:from>
    <xdr:to>
      <xdr:col>6</xdr:col>
      <xdr:colOff>514350</xdr:colOff>
      <xdr:row>23</xdr:row>
      <xdr:rowOff>133350</xdr:rowOff>
    </xdr:to>
    <xdr:grpSp>
      <xdr:nvGrpSpPr>
        <xdr:cNvPr id="8218" name="Group 26">
          <a:extLst>
            <a:ext uri="{FF2B5EF4-FFF2-40B4-BE49-F238E27FC236}">
              <a16:creationId xmlns:a16="http://schemas.microsoft.com/office/drawing/2014/main" id="{1FDFB1C7-28DA-44DC-893A-679DDAA1E48B}"/>
            </a:ext>
          </a:extLst>
        </xdr:cNvPr>
        <xdr:cNvGrpSpPr>
          <a:grpSpLocks/>
        </xdr:cNvGrpSpPr>
      </xdr:nvGrpSpPr>
      <xdr:grpSpPr bwMode="auto">
        <a:xfrm>
          <a:off x="1135592" y="1733550"/>
          <a:ext cx="3114675" cy="2241550"/>
          <a:chOff x="143" y="173"/>
          <a:chExt cx="326" cy="239"/>
        </a:xfrm>
      </xdr:grpSpPr>
      <xdr:sp macro="" textlink="">
        <xdr:nvSpPr>
          <xdr:cNvPr id="8197" name="Line 5">
            <a:extLst>
              <a:ext uri="{FF2B5EF4-FFF2-40B4-BE49-F238E27FC236}">
                <a16:creationId xmlns:a16="http://schemas.microsoft.com/office/drawing/2014/main" id="{3A1D33CE-6AEA-4938-B97F-92C3443C684E}"/>
              </a:ext>
            </a:extLst>
          </xdr:cNvPr>
          <xdr:cNvSpPr>
            <a:spLocks noChangeShapeType="1"/>
          </xdr:cNvSpPr>
        </xdr:nvSpPr>
        <xdr:spPr bwMode="auto">
          <a:xfrm flipH="1">
            <a:off x="324" y="189"/>
            <a:ext cx="145" cy="0"/>
          </a:xfrm>
          <a:prstGeom prst="line">
            <a:avLst/>
          </a:prstGeom>
          <a:noFill/>
          <a:ln w="2857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sp macro="" textlink="">
        <xdr:nvSpPr>
          <xdr:cNvPr id="8198" name="Line 6">
            <a:extLst>
              <a:ext uri="{FF2B5EF4-FFF2-40B4-BE49-F238E27FC236}">
                <a16:creationId xmlns:a16="http://schemas.microsoft.com/office/drawing/2014/main" id="{829BC285-A3BD-4DA5-9CF2-415831C8279A}"/>
              </a:ext>
            </a:extLst>
          </xdr:cNvPr>
          <xdr:cNvSpPr>
            <a:spLocks noChangeShapeType="1"/>
          </xdr:cNvSpPr>
        </xdr:nvSpPr>
        <xdr:spPr bwMode="auto">
          <a:xfrm>
            <a:off x="343" y="173"/>
            <a:ext cx="0" cy="239"/>
          </a:xfrm>
          <a:prstGeom prst="line">
            <a:avLst/>
          </a:prstGeom>
          <a:noFill/>
          <a:ln w="2857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sp macro="" textlink="">
        <xdr:nvSpPr>
          <xdr:cNvPr id="8199" name="Line 7">
            <a:extLst>
              <a:ext uri="{FF2B5EF4-FFF2-40B4-BE49-F238E27FC236}">
                <a16:creationId xmlns:a16="http://schemas.microsoft.com/office/drawing/2014/main" id="{FAB93045-398A-4188-9257-A074537526C6}"/>
              </a:ext>
            </a:extLst>
          </xdr:cNvPr>
          <xdr:cNvSpPr>
            <a:spLocks noChangeShapeType="1"/>
          </xdr:cNvSpPr>
        </xdr:nvSpPr>
        <xdr:spPr bwMode="auto">
          <a:xfrm>
            <a:off x="163" y="176"/>
            <a:ext cx="0" cy="227"/>
          </a:xfrm>
          <a:prstGeom prst="line">
            <a:avLst/>
          </a:prstGeom>
          <a:noFill/>
          <a:ln w="2857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sp macro="" textlink="">
        <xdr:nvSpPr>
          <xdr:cNvPr id="8200" name="Line 8">
            <a:extLst>
              <a:ext uri="{FF2B5EF4-FFF2-40B4-BE49-F238E27FC236}">
                <a16:creationId xmlns:a16="http://schemas.microsoft.com/office/drawing/2014/main" id="{2F9EE75B-919B-4F0D-A376-49DEAAA1AB81}"/>
              </a:ext>
            </a:extLst>
          </xdr:cNvPr>
          <xdr:cNvSpPr>
            <a:spLocks noChangeShapeType="1"/>
          </xdr:cNvSpPr>
        </xdr:nvSpPr>
        <xdr:spPr bwMode="auto">
          <a:xfrm flipH="1">
            <a:off x="143" y="383"/>
            <a:ext cx="320" cy="0"/>
          </a:xfrm>
          <a:prstGeom prst="line">
            <a:avLst/>
          </a:prstGeom>
          <a:noFill/>
          <a:ln w="2857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61"/>
  <sheetViews>
    <sheetView showGridLines="0" topLeftCell="A37" workbookViewId="0">
      <selection activeCell="I18" sqref="I18"/>
    </sheetView>
  </sheetViews>
  <sheetFormatPr defaultRowHeight="12.75" x14ac:dyDescent="0.2"/>
  <cols>
    <col min="1" max="1" width="7.875" style="1" customWidth="1"/>
    <col min="2" max="2" width="22.125" style="1" customWidth="1"/>
    <col min="3" max="3" width="2.375" style="1" customWidth="1"/>
    <col min="4" max="4" width="14.5" style="1" customWidth="1"/>
    <col min="5" max="5" width="2.625" style="1" customWidth="1"/>
    <col min="6" max="6" width="11.25" style="1" customWidth="1"/>
    <col min="7" max="7" width="10.25" style="1" customWidth="1"/>
    <col min="8" max="8" width="2.625" style="1" customWidth="1"/>
    <col min="9" max="9" width="12.125" style="1" customWidth="1"/>
    <col min="10" max="10" width="2.375" style="1" customWidth="1"/>
    <col min="11" max="17" width="9" style="1"/>
    <col min="18" max="18" width="9.125" style="1" bestFit="1" customWidth="1"/>
    <col min="19" max="16384" width="9" style="1"/>
  </cols>
  <sheetData>
    <row r="1" spans="1:10" s="6" customFormat="1" ht="23.25" x14ac:dyDescent="0.2">
      <c r="A1" s="52" t="s">
        <v>3</v>
      </c>
      <c r="B1" s="53"/>
      <c r="C1" s="53"/>
      <c r="D1" s="53"/>
      <c r="E1" s="53"/>
      <c r="F1" s="53"/>
      <c r="G1" s="53"/>
      <c r="H1" s="53"/>
      <c r="I1" s="53"/>
      <c r="J1" s="53"/>
    </row>
    <row r="2" spans="1:10" ht="15.75" customHeight="1" x14ac:dyDescent="0.2">
      <c r="A2" s="80"/>
      <c r="B2" s="81"/>
      <c r="C2" s="81"/>
      <c r="D2" s="81"/>
      <c r="E2" s="81"/>
      <c r="F2" s="81"/>
      <c r="G2" s="54"/>
      <c r="H2" s="54"/>
      <c r="I2" s="54"/>
      <c r="J2" s="55"/>
    </row>
    <row r="6" spans="1:10" ht="15.75" thickBot="1" x14ac:dyDescent="0.25">
      <c r="A6" s="5" t="s">
        <v>12</v>
      </c>
      <c r="B6" s="5"/>
      <c r="C6" s="4"/>
      <c r="D6" s="4"/>
      <c r="E6" s="4"/>
      <c r="F6" s="4"/>
      <c r="G6" s="4"/>
      <c r="H6" s="4"/>
      <c r="I6" s="4"/>
      <c r="J6" s="4"/>
    </row>
    <row r="8" spans="1:10" x14ac:dyDescent="0.2">
      <c r="B8" s="2"/>
      <c r="D8" s="3"/>
    </row>
    <row r="9" spans="1:10" s="6" customFormat="1" ht="15" x14ac:dyDescent="0.2">
      <c r="A9" s="8"/>
      <c r="B9" s="16" t="s">
        <v>10</v>
      </c>
      <c r="C9" s="17"/>
      <c r="D9" s="17"/>
      <c r="E9" s="17"/>
      <c r="F9" s="17"/>
      <c r="G9" s="17"/>
      <c r="H9" s="17"/>
      <c r="I9" s="17"/>
      <c r="J9" s="17"/>
    </row>
    <row r="10" spans="1:10" s="6" customFormat="1" x14ac:dyDescent="0.2">
      <c r="A10" s="8"/>
      <c r="B10" s="11"/>
      <c r="C10" s="9"/>
      <c r="D10" s="13"/>
      <c r="E10" s="9"/>
      <c r="F10" s="9"/>
      <c r="G10" s="9"/>
      <c r="H10" s="9"/>
      <c r="I10" s="9"/>
      <c r="J10" s="9"/>
    </row>
    <row r="11" spans="1:10" s="6" customFormat="1" x14ac:dyDescent="0.2">
      <c r="A11" s="8"/>
      <c r="B11" s="15"/>
      <c r="C11" s="9"/>
      <c r="D11" s="14" t="s">
        <v>7</v>
      </c>
      <c r="E11" s="15"/>
      <c r="F11" s="14" t="s">
        <v>1</v>
      </c>
      <c r="G11" s="14" t="s">
        <v>0</v>
      </c>
      <c r="H11" s="9"/>
      <c r="I11" s="14" t="s">
        <v>8</v>
      </c>
      <c r="J11" s="9"/>
    </row>
    <row r="12" spans="1:10" s="6" customFormat="1" x14ac:dyDescent="0.2">
      <c r="A12" s="8"/>
      <c r="B12" s="12"/>
      <c r="C12" s="9"/>
      <c r="D12" s="9"/>
      <c r="E12" s="9"/>
      <c r="F12" s="9"/>
      <c r="G12" s="9"/>
      <c r="H12" s="9"/>
      <c r="I12" s="9"/>
      <c r="J12" s="9"/>
    </row>
    <row r="13" spans="1:10" s="6" customFormat="1" ht="15.95" customHeight="1" x14ac:dyDescent="0.2">
      <c r="A13" s="8"/>
      <c r="B13" s="11" t="s">
        <v>27</v>
      </c>
      <c r="C13" s="9"/>
      <c r="D13" s="25">
        <v>1500</v>
      </c>
      <c r="E13" s="9"/>
      <c r="F13" s="25">
        <f>D13*0.8</f>
        <v>1200</v>
      </c>
      <c r="G13" s="29">
        <f>1.2*D13</f>
        <v>1800</v>
      </c>
      <c r="H13" s="9"/>
      <c r="I13" s="57">
        <f ca="1">F13+RAND()*(G13-F13)</f>
        <v>1546.8090127522296</v>
      </c>
      <c r="J13" s="9"/>
    </row>
    <row r="14" spans="1:10" s="6" customFormat="1" ht="15.95" customHeight="1" x14ac:dyDescent="0.2">
      <c r="A14" s="8"/>
      <c r="B14" s="11" t="s">
        <v>4</v>
      </c>
      <c r="C14" s="9"/>
      <c r="D14" s="27">
        <v>0.5</v>
      </c>
      <c r="E14" s="10"/>
      <c r="F14" s="27">
        <v>0.2</v>
      </c>
      <c r="G14" s="28">
        <v>0.8</v>
      </c>
      <c r="H14" s="9"/>
      <c r="I14" s="56">
        <f ca="1">F14+RAND()*(G14-F14)</f>
        <v>0.26878956735768578</v>
      </c>
      <c r="J14" s="9"/>
    </row>
    <row r="15" spans="1:10" s="6" customFormat="1" ht="15.95" customHeight="1" x14ac:dyDescent="0.2">
      <c r="A15" s="8"/>
      <c r="B15" s="11" t="s">
        <v>6</v>
      </c>
      <c r="C15" s="9"/>
      <c r="D15" s="26">
        <v>0.03</v>
      </c>
      <c r="E15" s="9"/>
      <c r="F15" s="26">
        <v>0.01</v>
      </c>
      <c r="G15" s="26">
        <v>0.05</v>
      </c>
      <c r="H15" s="9"/>
      <c r="I15" s="58">
        <f ca="1">F15+RAND()*(G15-F15)</f>
        <v>1.0088518633865862E-2</v>
      </c>
      <c r="J15" s="9"/>
    </row>
    <row r="16" spans="1:10" s="6" customFormat="1" ht="15.95" customHeight="1" x14ac:dyDescent="0.2">
      <c r="A16" s="8"/>
      <c r="B16" s="11" t="s">
        <v>5</v>
      </c>
      <c r="C16" s="9"/>
      <c r="D16" s="27">
        <v>50</v>
      </c>
      <c r="E16" s="9"/>
      <c r="F16" s="27">
        <v>47</v>
      </c>
      <c r="G16" s="27">
        <v>53</v>
      </c>
      <c r="H16" s="9"/>
      <c r="I16" s="56">
        <f ca="1">F16+RAND()*(G16-F16)</f>
        <v>47.325901094093062</v>
      </c>
      <c r="J16" s="9"/>
    </row>
    <row r="17" spans="1:10" s="6" customFormat="1" ht="15.95" customHeight="1" x14ac:dyDescent="0.2">
      <c r="A17" s="8"/>
      <c r="B17" s="11" t="s">
        <v>26</v>
      </c>
      <c r="C17" s="9"/>
      <c r="D17" s="30">
        <v>800</v>
      </c>
      <c r="E17" s="9"/>
      <c r="F17" s="9"/>
      <c r="G17" s="9"/>
      <c r="H17" s="9"/>
      <c r="I17" s="9"/>
      <c r="J17" s="9"/>
    </row>
    <row r="18" spans="1:10" s="6" customFormat="1" ht="14.1" customHeight="1" x14ac:dyDescent="0.2">
      <c r="A18" s="8"/>
      <c r="B18" s="15"/>
      <c r="C18" s="9"/>
      <c r="D18" s="9"/>
      <c r="E18" s="9"/>
      <c r="F18" s="9"/>
      <c r="G18" s="9"/>
      <c r="H18" s="9"/>
      <c r="I18" s="9"/>
      <c r="J18" s="9"/>
    </row>
    <row r="19" spans="1:10" ht="20.25" customHeight="1" x14ac:dyDescent="0.2">
      <c r="A19" s="7"/>
      <c r="B19" s="7"/>
      <c r="C19" s="7"/>
      <c r="D19" s="7"/>
      <c r="E19" s="7"/>
      <c r="F19" s="7"/>
      <c r="G19" s="7"/>
      <c r="H19" s="7"/>
    </row>
    <row r="20" spans="1:10" s="6" customFormat="1" ht="15" x14ac:dyDescent="0.2">
      <c r="A20" s="8"/>
      <c r="B20" s="16" t="s">
        <v>11</v>
      </c>
      <c r="C20" s="17"/>
      <c r="D20" s="17"/>
      <c r="E20" s="17"/>
      <c r="F20" s="17"/>
      <c r="G20" s="17"/>
      <c r="H20" s="18"/>
      <c r="I20" s="18"/>
      <c r="J20" s="18"/>
    </row>
    <row r="21" spans="1:10" s="6" customFormat="1" x14ac:dyDescent="0.2">
      <c r="A21" s="8"/>
      <c r="B21" s="19"/>
      <c r="C21" s="20"/>
      <c r="D21" s="23"/>
      <c r="E21" s="20"/>
      <c r="F21" s="20"/>
      <c r="G21" s="20"/>
      <c r="H21" s="20"/>
      <c r="I21" s="20"/>
      <c r="J21" s="20"/>
    </row>
    <row r="22" spans="1:10" s="6" customFormat="1" x14ac:dyDescent="0.2">
      <c r="A22" s="8"/>
      <c r="B22" s="19"/>
      <c r="C22" s="20"/>
      <c r="D22" s="24" t="s">
        <v>9</v>
      </c>
      <c r="E22" s="20"/>
      <c r="F22" s="20"/>
      <c r="G22" s="20"/>
      <c r="H22" s="20"/>
      <c r="I22" s="24" t="s">
        <v>8</v>
      </c>
      <c r="J22" s="20"/>
    </row>
    <row r="23" spans="1:10" s="6" customFormat="1" x14ac:dyDescent="0.2">
      <c r="A23" s="8"/>
      <c r="B23" s="19"/>
      <c r="C23" s="20"/>
      <c r="D23" s="20"/>
      <c r="E23" s="20"/>
      <c r="F23" s="20"/>
      <c r="G23" s="20"/>
      <c r="H23" s="20"/>
      <c r="I23" s="20"/>
      <c r="J23" s="20"/>
    </row>
    <row r="24" spans="1:10" s="6" customFormat="1" ht="15.95" customHeight="1" x14ac:dyDescent="0.2">
      <c r="A24" s="8"/>
      <c r="B24" s="21" t="s">
        <v>14</v>
      </c>
      <c r="C24" s="20"/>
      <c r="D24" s="56">
        <f>D13*D15*D16</f>
        <v>2250</v>
      </c>
      <c r="E24" s="20"/>
      <c r="F24" s="20"/>
      <c r="G24" s="20"/>
      <c r="H24" s="20"/>
      <c r="I24" s="56">
        <f ca="1">I13*I15*I16</f>
        <v>738.52123310146624</v>
      </c>
      <c r="J24" s="20"/>
    </row>
    <row r="25" spans="1:10" s="6" customFormat="1" ht="15.95" customHeight="1" x14ac:dyDescent="0.2">
      <c r="A25" s="8"/>
      <c r="B25" s="21" t="s">
        <v>13</v>
      </c>
      <c r="C25" s="20"/>
      <c r="D25" s="56">
        <f>D17+D13*D14</f>
        <v>1550</v>
      </c>
      <c r="E25" s="20"/>
      <c r="F25" s="20"/>
      <c r="G25" s="20"/>
      <c r="H25" s="20"/>
      <c r="I25" s="56">
        <f ca="1">D17+I13*I14</f>
        <v>1215.7661253226408</v>
      </c>
      <c r="J25" s="20"/>
    </row>
    <row r="26" spans="1:10" s="6" customFormat="1" x14ac:dyDescent="0.2">
      <c r="A26" s="8"/>
      <c r="B26" s="22"/>
      <c r="C26" s="20"/>
      <c r="D26" s="20"/>
      <c r="E26" s="20"/>
      <c r="F26" s="20"/>
      <c r="G26" s="20"/>
      <c r="H26" s="20"/>
      <c r="I26" s="20"/>
      <c r="J26" s="20"/>
    </row>
    <row r="27" spans="1:10" s="6" customFormat="1" ht="15.95" customHeight="1" x14ac:dyDescent="0.2">
      <c r="A27" s="8"/>
      <c r="B27" s="21" t="s">
        <v>2</v>
      </c>
      <c r="C27" s="20"/>
      <c r="D27" s="59">
        <f>D24-D25</f>
        <v>700</v>
      </c>
      <c r="E27" s="20"/>
      <c r="F27" s="20"/>
      <c r="G27" s="20"/>
      <c r="H27" s="20"/>
      <c r="I27" s="59">
        <f ca="1">I24-I25</f>
        <v>-477.24489222117461</v>
      </c>
      <c r="J27" s="20"/>
    </row>
    <row r="28" spans="1:10" s="6" customFormat="1" x14ac:dyDescent="0.2">
      <c r="A28" s="8"/>
      <c r="B28" s="19"/>
      <c r="C28" s="20"/>
      <c r="D28" s="20"/>
      <c r="E28" s="20"/>
      <c r="F28" s="20"/>
      <c r="G28" s="20"/>
      <c r="H28" s="20"/>
      <c r="I28" s="20"/>
      <c r="J28" s="20"/>
    </row>
    <row r="29" spans="1:10" x14ac:dyDescent="0.2">
      <c r="A29" s="7"/>
      <c r="B29" s="7"/>
      <c r="C29" s="7"/>
      <c r="D29" s="7"/>
      <c r="E29" s="7"/>
      <c r="F29" s="7"/>
      <c r="G29" s="7"/>
      <c r="H29" s="7"/>
    </row>
    <row r="33" spans="1:10" ht="15.75" thickBot="1" x14ac:dyDescent="0.25">
      <c r="A33" s="5" t="s">
        <v>41</v>
      </c>
      <c r="B33" s="5"/>
      <c r="C33" s="4"/>
      <c r="D33" s="4"/>
      <c r="E33" s="4"/>
      <c r="F33" s="46"/>
      <c r="G33" s="4"/>
      <c r="H33" s="4"/>
      <c r="I33" s="47" t="s">
        <v>73</v>
      </c>
      <c r="J33" s="4"/>
    </row>
    <row r="36" spans="1:10" ht="15" x14ac:dyDescent="0.2">
      <c r="B36" s="16" t="s">
        <v>30</v>
      </c>
      <c r="C36" s="17"/>
      <c r="D36" s="17"/>
      <c r="E36" s="17"/>
      <c r="G36" s="16" t="s">
        <v>74</v>
      </c>
      <c r="H36" s="17"/>
      <c r="I36" s="17"/>
      <c r="J36" s="17"/>
    </row>
    <row r="37" spans="1:10" x14ac:dyDescent="0.2">
      <c r="B37" s="19"/>
      <c r="C37" s="20"/>
      <c r="D37" s="23"/>
      <c r="E37" s="20"/>
      <c r="G37" s="19"/>
      <c r="H37" s="20"/>
      <c r="I37" s="23"/>
      <c r="J37" s="20"/>
    </row>
    <row r="38" spans="1:10" x14ac:dyDescent="0.2">
      <c r="B38" s="21" t="s">
        <v>42</v>
      </c>
      <c r="C38" s="20"/>
      <c r="D38" s="57">
        <f ca="1">MCsim!J5</f>
        <v>5000</v>
      </c>
      <c r="E38" s="20"/>
      <c r="G38" s="22" t="s">
        <v>22</v>
      </c>
      <c r="H38" s="20"/>
      <c r="I38" s="56">
        <f ca="1">MCsim!O14</f>
        <v>-1297.6410961351148</v>
      </c>
      <c r="J38" s="20"/>
    </row>
    <row r="39" spans="1:10" x14ac:dyDescent="0.2">
      <c r="B39" s="20"/>
      <c r="C39" s="20"/>
      <c r="D39" s="20"/>
      <c r="E39" s="20"/>
      <c r="G39" s="22" t="s">
        <v>45</v>
      </c>
      <c r="H39" s="20"/>
      <c r="I39" s="56">
        <f ca="1">MCsim!$Q$14</f>
        <v>-30.542314530941724</v>
      </c>
      <c r="J39" s="20"/>
    </row>
    <row r="40" spans="1:10" x14ac:dyDescent="0.2">
      <c r="B40" s="22" t="s">
        <v>43</v>
      </c>
      <c r="C40" s="20"/>
      <c r="D40" s="56">
        <f ca="1">MCsim!O7</f>
        <v>708.21659894887659</v>
      </c>
      <c r="E40" s="20"/>
      <c r="G40" s="22" t="s">
        <v>32</v>
      </c>
      <c r="H40" s="20"/>
      <c r="I40" s="56">
        <f ca="1">MCsim!Q7</f>
        <v>694.08989484790243</v>
      </c>
      <c r="J40" s="20"/>
    </row>
    <row r="41" spans="1:10" x14ac:dyDescent="0.2">
      <c r="B41" s="22" t="s">
        <v>44</v>
      </c>
      <c r="C41" s="20"/>
      <c r="D41" s="56">
        <f ca="1">MCsim!O12</f>
        <v>920.44756950060901</v>
      </c>
      <c r="E41" s="20"/>
      <c r="G41" s="22" t="s">
        <v>46</v>
      </c>
      <c r="H41" s="20"/>
      <c r="I41" s="56">
        <f ca="1">MCsim!$Q$13</f>
        <v>1417.2474580446678</v>
      </c>
      <c r="J41" s="20"/>
    </row>
    <row r="42" spans="1:10" x14ac:dyDescent="0.2">
      <c r="B42" s="21" t="s">
        <v>75</v>
      </c>
      <c r="C42" s="20"/>
      <c r="D42" s="56">
        <f ca="1">MCsim!O8</f>
        <v>13.017094362411132</v>
      </c>
      <c r="E42" s="20"/>
      <c r="G42" s="22" t="s">
        <v>23</v>
      </c>
      <c r="H42" s="20"/>
      <c r="I42" s="56">
        <f ca="1">MCsim!O13</f>
        <v>3266.8896765239133</v>
      </c>
      <c r="J42" s="20"/>
    </row>
    <row r="43" spans="1:10" x14ac:dyDescent="0.2">
      <c r="B43" s="20"/>
      <c r="C43" s="20"/>
      <c r="D43" s="20"/>
      <c r="E43" s="20"/>
      <c r="G43" s="20"/>
      <c r="H43" s="20"/>
      <c r="I43" s="20"/>
      <c r="J43" s="20"/>
    </row>
    <row r="46" spans="1:10" ht="15" x14ac:dyDescent="0.2">
      <c r="G46" s="16" t="s">
        <v>81</v>
      </c>
      <c r="H46" s="17"/>
      <c r="I46" s="17"/>
      <c r="J46" s="17"/>
    </row>
    <row r="47" spans="1:10" x14ac:dyDescent="0.2">
      <c r="G47" s="19"/>
      <c r="H47" s="20"/>
      <c r="I47" s="23"/>
      <c r="J47" s="20"/>
    </row>
    <row r="48" spans="1:10" x14ac:dyDescent="0.2">
      <c r="G48" s="22" t="s">
        <v>47</v>
      </c>
      <c r="H48" s="20"/>
      <c r="I48" s="56">
        <f ca="1">MCsim!O25</f>
        <v>-722.70531345174572</v>
      </c>
      <c r="J48" s="20"/>
    </row>
    <row r="49" spans="7:10" x14ac:dyDescent="0.2">
      <c r="G49" s="22" t="s">
        <v>48</v>
      </c>
      <c r="H49" s="20"/>
      <c r="I49" s="56">
        <f ca="1">MCsim!O26</f>
        <v>2226.9059803531682</v>
      </c>
      <c r="J49" s="20"/>
    </row>
    <row r="50" spans="7:10" x14ac:dyDescent="0.2">
      <c r="G50" s="20"/>
      <c r="H50" s="20"/>
      <c r="I50" s="20"/>
      <c r="J50" s="20"/>
    </row>
    <row r="52" spans="7:10" ht="15" x14ac:dyDescent="0.2">
      <c r="G52" s="16" t="s">
        <v>82</v>
      </c>
      <c r="H52" s="17"/>
      <c r="I52" s="17"/>
      <c r="J52" s="17"/>
    </row>
    <row r="53" spans="7:10" x14ac:dyDescent="0.2">
      <c r="G53" s="19"/>
      <c r="H53" s="20"/>
      <c r="I53" s="23"/>
      <c r="J53" s="20"/>
    </row>
    <row r="54" spans="7:10" x14ac:dyDescent="0.2">
      <c r="G54" s="22" t="s">
        <v>53</v>
      </c>
      <c r="H54" s="20"/>
      <c r="I54" s="56">
        <f ca="1">MCsim!Q25</f>
        <v>-855.28604216479994</v>
      </c>
      <c r="J54" s="20"/>
    </row>
    <row r="55" spans="7:10" x14ac:dyDescent="0.2">
      <c r="G55" s="22" t="s">
        <v>54</v>
      </c>
      <c r="H55" s="20"/>
      <c r="I55" s="56">
        <f ca="1">MCsim!Q26</f>
        <v>2439.4775896132255</v>
      </c>
      <c r="J55" s="20"/>
    </row>
    <row r="56" spans="7:10" x14ac:dyDescent="0.2">
      <c r="G56" s="20"/>
      <c r="H56" s="20"/>
      <c r="I56" s="20"/>
      <c r="J56" s="20"/>
    </row>
    <row r="58" spans="7:10" ht="15" x14ac:dyDescent="0.2">
      <c r="G58" s="16" t="s">
        <v>57</v>
      </c>
      <c r="H58" s="17"/>
      <c r="I58" s="17"/>
      <c r="J58" s="17"/>
    </row>
    <row r="59" spans="7:10" x14ac:dyDescent="0.2">
      <c r="G59" s="19"/>
      <c r="H59" s="20"/>
      <c r="I59" s="23"/>
      <c r="J59" s="20"/>
    </row>
    <row r="60" spans="7:10" x14ac:dyDescent="0.2">
      <c r="G60" s="22" t="s">
        <v>58</v>
      </c>
      <c r="H60" s="20"/>
      <c r="I60" s="60">
        <f ca="1">MCsim!P33</f>
        <v>0.73799999999999999</v>
      </c>
      <c r="J60" s="20"/>
    </row>
    <row r="61" spans="7:10" x14ac:dyDescent="0.2">
      <c r="G61" s="20"/>
      <c r="H61" s="20"/>
      <c r="I61" s="20"/>
      <c r="J61" s="20"/>
    </row>
  </sheetData>
  <mergeCells count="1">
    <mergeCell ref="A2:F2"/>
  </mergeCells>
  <phoneticPr fontId="0" type="noConversion"/>
  <pageMargins left="0.75" right="0.75" top="0.5" bottom="0.75" header="0.5" footer="0.5"/>
  <pageSetup scale="7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5001"/>
  <sheetViews>
    <sheetView tabSelected="1" topLeftCell="D1" zoomScale="90" workbookViewId="0"/>
  </sheetViews>
  <sheetFormatPr defaultRowHeight="12.75" x14ac:dyDescent="0.2"/>
  <cols>
    <col min="5" max="5" width="9.125" bestFit="1" customWidth="1"/>
    <col min="6" max="6" width="3.75" customWidth="1"/>
    <col min="7" max="7" width="10.75" bestFit="1" customWidth="1"/>
    <col min="8" max="8" width="3.625" customWidth="1"/>
    <col min="13" max="13" width="3.625" customWidth="1"/>
    <col min="14" max="14" width="11.125" customWidth="1"/>
    <col min="15" max="15" width="11.5" bestFit="1" customWidth="1"/>
    <col min="16" max="17" width="11" customWidth="1"/>
    <col min="18" max="18" width="3.75" customWidth="1"/>
    <col min="19" max="19" width="9.125" bestFit="1" customWidth="1"/>
    <col min="20" max="20" width="27.375" customWidth="1"/>
  </cols>
  <sheetData>
    <row r="1" spans="1:22" ht="15" x14ac:dyDescent="0.2">
      <c r="A1" s="34" t="s">
        <v>15</v>
      </c>
      <c r="B1" s="34" t="s">
        <v>16</v>
      </c>
      <c r="C1" s="34" t="s">
        <v>17</v>
      </c>
      <c r="D1" s="34" t="s">
        <v>18</v>
      </c>
      <c r="E1" s="35" t="s">
        <v>19</v>
      </c>
      <c r="G1" s="34" t="s">
        <v>20</v>
      </c>
      <c r="I1" s="41" t="s">
        <v>29</v>
      </c>
      <c r="J1" s="42"/>
      <c r="K1" s="42"/>
      <c r="L1" s="45"/>
      <c r="N1" s="61" t="s">
        <v>30</v>
      </c>
      <c r="O1" s="62"/>
      <c r="P1" s="62"/>
      <c r="Q1" s="62"/>
      <c r="R1" s="62"/>
    </row>
    <row r="2" spans="1:22" x14ac:dyDescent="0.2">
      <c r="A2" s="6">
        <f ca="1">Model!$F$13+RAND()*(Model!$G$13-Model!$F$13)</f>
        <v>1446.3787289602103</v>
      </c>
      <c r="B2" s="31">
        <f ca="1">Model!$F$14+RAND()*(Model!$G$14-Model!$F$14)</f>
        <v>0.7412084973368438</v>
      </c>
      <c r="C2" s="32">
        <f ca="1">Model!$F$15+RAND()*(Model!$G$15-Model!$F$15)</f>
        <v>2.62156278276858E-2</v>
      </c>
      <c r="D2" s="33">
        <f ca="1">Model!$F$16+RAND()*(Model!$G$16-Model!$F$16)</f>
        <v>50.674902015214542</v>
      </c>
      <c r="E2" s="33">
        <f>Model!$D$17</f>
        <v>800</v>
      </c>
      <c r="G2" s="36">
        <f ca="1">A2*C2*D2-(E2+A2*B2)</f>
        <v>49.408868540245749</v>
      </c>
      <c r="N2" s="63"/>
      <c r="O2" s="64"/>
      <c r="P2" s="63"/>
      <c r="Q2" s="64"/>
      <c r="R2" s="64"/>
    </row>
    <row r="3" spans="1:22" ht="15" x14ac:dyDescent="0.2">
      <c r="A3" s="6">
        <f ca="1">Model!$F$13+RAND()*(Model!$G$13-Model!$F$13)</f>
        <v>1219.2963657951129</v>
      </c>
      <c r="B3" s="31">
        <f ca="1">Model!$F$14+RAND()*(Model!$G$14-Model!$F$14)</f>
        <v>0.38317496779961524</v>
      </c>
      <c r="C3" s="32">
        <f ca="1">Model!$F$15+RAND()*(Model!$G$15-Model!$F$15)</f>
        <v>3.8654812344959273E-2</v>
      </c>
      <c r="D3" s="33">
        <f ca="1">Model!$F$16+RAND()*(Model!$G$16-Model!$F$16)</f>
        <v>50.986268119048489</v>
      </c>
      <c r="E3" s="33">
        <f>Model!$D$17</f>
        <v>800</v>
      </c>
      <c r="G3" s="36">
        <f t="shared" ref="G3:G66" ca="1" si="0">A3*C3*D3-(E3+A3*B3)</f>
        <v>1135.8642306341458</v>
      </c>
      <c r="I3" s="37" t="s">
        <v>22</v>
      </c>
      <c r="J3" s="25">
        <v>-2000</v>
      </c>
      <c r="N3" s="63"/>
      <c r="O3" s="65" t="s">
        <v>67</v>
      </c>
      <c r="P3" s="57">
        <f ca="1">J5</f>
        <v>5000</v>
      </c>
      <c r="Q3" s="64"/>
      <c r="R3" s="64"/>
      <c r="T3" s="44" t="s">
        <v>76</v>
      </c>
      <c r="U3" s="43"/>
      <c r="V3" s="43"/>
    </row>
    <row r="4" spans="1:22" x14ac:dyDescent="0.2">
      <c r="A4" s="6">
        <f ca="1">Model!$F$13+RAND()*(Model!$G$13-Model!$F$13)</f>
        <v>1709.3018371528017</v>
      </c>
      <c r="B4" s="31">
        <f ca="1">Model!$F$14+RAND()*(Model!$G$14-Model!$F$14)</f>
        <v>0.51205241799331769</v>
      </c>
      <c r="C4" s="32">
        <f ca="1">Model!$F$15+RAND()*(Model!$G$15-Model!$F$15)</f>
        <v>1.0789547037284524E-2</v>
      </c>
      <c r="D4" s="33">
        <f ca="1">Model!$F$16+RAND()*(Model!$G$16-Model!$F$16)</f>
        <v>51.566031479374502</v>
      </c>
      <c r="E4" s="33">
        <f>Model!$D$17</f>
        <v>800</v>
      </c>
      <c r="G4" s="36">
        <f t="shared" ca="1" si="0"/>
        <v>-724.24082962025795</v>
      </c>
      <c r="I4" s="37" t="s">
        <v>23</v>
      </c>
      <c r="J4" s="25">
        <v>4000</v>
      </c>
      <c r="N4" s="63"/>
      <c r="O4" s="64"/>
      <c r="P4" s="63"/>
      <c r="Q4" s="64"/>
      <c r="R4" s="64"/>
    </row>
    <row r="5" spans="1:22" ht="15" x14ac:dyDescent="0.2">
      <c r="A5" s="6">
        <f ca="1">Model!$F$13+RAND()*(Model!$G$13-Model!$F$13)</f>
        <v>1576.9000025554665</v>
      </c>
      <c r="B5" s="31">
        <f ca="1">Model!$F$14+RAND()*(Model!$G$14-Model!$F$14)</f>
        <v>0.72404030170666278</v>
      </c>
      <c r="C5" s="32">
        <f ca="1">Model!$F$15+RAND()*(Model!$G$15-Model!$F$15)</f>
        <v>1.806565788094406E-2</v>
      </c>
      <c r="D5" s="33">
        <f ca="1">Model!$F$16+RAND()*(Model!$G$16-Model!$F$16)</f>
        <v>49.278946133590097</v>
      </c>
      <c r="E5" s="33">
        <f>Model!$D$17</f>
        <v>800</v>
      </c>
      <c r="G5" s="36">
        <f t="shared" ca="1" si="0"/>
        <v>-537.89354783838598</v>
      </c>
      <c r="I5" s="37" t="s">
        <v>40</v>
      </c>
      <c r="J5" s="25">
        <f ca="1">COUNT(G:G)</f>
        <v>5000</v>
      </c>
      <c r="N5" s="66" t="s">
        <v>64</v>
      </c>
      <c r="O5" s="67"/>
      <c r="P5" s="67"/>
      <c r="Q5" s="67"/>
      <c r="R5" s="67"/>
      <c r="T5" s="49" t="s">
        <v>77</v>
      </c>
      <c r="U5" s="48">
        <v>0.95</v>
      </c>
    </row>
    <row r="6" spans="1:22" x14ac:dyDescent="0.2">
      <c r="A6" s="6">
        <f ca="1">Model!$F$13+RAND()*(Model!$G$13-Model!$F$13)</f>
        <v>1370.2456961108498</v>
      </c>
      <c r="B6" s="31">
        <f ca="1">Model!$F$14+RAND()*(Model!$G$14-Model!$F$14)</f>
        <v>0.61516773117302781</v>
      </c>
      <c r="C6" s="32">
        <f ca="1">Model!$F$15+RAND()*(Model!$G$15-Model!$F$15)</f>
        <v>1.8603581183055704E-2</v>
      </c>
      <c r="D6" s="33">
        <f ca="1">Model!$F$16+RAND()*(Model!$G$16-Model!$F$16)</f>
        <v>51.255172033194079</v>
      </c>
      <c r="E6" s="33">
        <f>Model!$D$17</f>
        <v>800</v>
      </c>
      <c r="G6" s="36">
        <f t="shared" ca="1" si="0"/>
        <v>-336.3608945337005</v>
      </c>
      <c r="N6" s="63"/>
      <c r="O6" s="64"/>
      <c r="P6" s="63"/>
      <c r="Q6" s="64"/>
      <c r="R6" s="64"/>
      <c r="T6" s="49" t="s">
        <v>80</v>
      </c>
      <c r="U6" s="51">
        <f>1-U5</f>
        <v>5.0000000000000044E-2</v>
      </c>
    </row>
    <row r="7" spans="1:22" x14ac:dyDescent="0.2">
      <c r="A7" s="6">
        <f ca="1">Model!$F$13+RAND()*(Model!$G$13-Model!$F$13)</f>
        <v>1321.1818351122658</v>
      </c>
      <c r="B7" s="31">
        <f ca="1">Model!$F$14+RAND()*(Model!$G$14-Model!$F$14)</f>
        <v>0.27705981476587072</v>
      </c>
      <c r="C7" s="32">
        <f ca="1">Model!$F$15+RAND()*(Model!$G$15-Model!$F$15)</f>
        <v>4.9158100732262566E-2</v>
      </c>
      <c r="D7" s="33">
        <f ca="1">Model!$F$16+RAND()*(Model!$G$16-Model!$F$16)</f>
        <v>48.821308465280374</v>
      </c>
      <c r="E7" s="33">
        <f>Model!$D$17</f>
        <v>800</v>
      </c>
      <c r="G7" s="36">
        <f t="shared" ca="1" si="0"/>
        <v>2004.740861026838</v>
      </c>
      <c r="I7" s="38" t="s">
        <v>21</v>
      </c>
      <c r="J7" s="38" t="s">
        <v>28</v>
      </c>
      <c r="K7" s="38" t="s">
        <v>24</v>
      </c>
      <c r="L7" s="38" t="s">
        <v>39</v>
      </c>
      <c r="N7" s="65" t="s">
        <v>31</v>
      </c>
      <c r="O7" s="68">
        <f ca="1">AVERAGE(G:G)</f>
        <v>708.21659894887659</v>
      </c>
      <c r="P7" s="65" t="s">
        <v>32</v>
      </c>
      <c r="Q7" s="68">
        <f ca="1">QUARTILE(G:G,2)</f>
        <v>694.08989484790243</v>
      </c>
      <c r="R7" s="64"/>
    </row>
    <row r="8" spans="1:22" x14ac:dyDescent="0.2">
      <c r="A8" s="6">
        <f ca="1">Model!$F$13+RAND()*(Model!$G$13-Model!$F$13)</f>
        <v>1635.6792761612237</v>
      </c>
      <c r="B8" s="31">
        <f ca="1">Model!$F$14+RAND()*(Model!$G$14-Model!$F$14)</f>
        <v>0.67166090354655417</v>
      </c>
      <c r="C8" s="32">
        <f ca="1">Model!$F$15+RAND()*(Model!$G$15-Model!$F$15)</f>
        <v>3.5917955177142628E-2</v>
      </c>
      <c r="D8" s="33">
        <f ca="1">Model!$F$16+RAND()*(Model!$G$16-Model!$F$16)</f>
        <v>50.857639944379542</v>
      </c>
      <c r="E8" s="33">
        <f>Model!$D$17</f>
        <v>800</v>
      </c>
      <c r="G8" s="36">
        <f t="shared" ca="1" si="0"/>
        <v>1089.277491094628</v>
      </c>
      <c r="I8">
        <f>J3</f>
        <v>-2000</v>
      </c>
      <c r="J8">
        <f t="array" aca="1" ref="J8:J48" ca="1">FREQUENCY(G:G,I8:I48)</f>
        <v>0</v>
      </c>
      <c r="K8">
        <f t="shared" ref="K8:K48" ca="1" si="1">(J8/$J$5)/($I$9-$I$8)</f>
        <v>0</v>
      </c>
      <c r="L8">
        <f ca="1">SUM($J$8:J8)/$J$5</f>
        <v>0</v>
      </c>
      <c r="N8" s="69" t="s">
        <v>34</v>
      </c>
      <c r="O8" s="68">
        <f ca="1">O12/SQRT(P3)</f>
        <v>13.017094362411132</v>
      </c>
      <c r="P8" s="64"/>
      <c r="Q8" s="64"/>
      <c r="R8" s="64"/>
      <c r="T8" s="50" t="s">
        <v>79</v>
      </c>
      <c r="U8" s="40">
        <f ca="1">O7+NORMSINV((1-U5)/2)*O8</f>
        <v>682.70356281519139</v>
      </c>
    </row>
    <row r="9" spans="1:22" x14ac:dyDescent="0.2">
      <c r="A9" s="6">
        <f ca="1">Model!$F$13+RAND()*(Model!$G$13-Model!$F$13)</f>
        <v>1474.9529400245988</v>
      </c>
      <c r="B9" s="31">
        <f ca="1">Model!$F$14+RAND()*(Model!$G$14-Model!$F$14)</f>
        <v>0.34913521053793095</v>
      </c>
      <c r="C9" s="32">
        <f ca="1">Model!$F$15+RAND()*(Model!$G$15-Model!$F$15)</f>
        <v>3.2764529327197298E-2</v>
      </c>
      <c r="D9" s="33">
        <f ca="1">Model!$F$16+RAND()*(Model!$G$16-Model!$F$16)</f>
        <v>47.849339277940231</v>
      </c>
      <c r="E9" s="33">
        <f>Model!$D$17</f>
        <v>800</v>
      </c>
      <c r="G9" s="36">
        <f t="shared" ca="1" si="0"/>
        <v>997.41580904026114</v>
      </c>
      <c r="I9">
        <f t="shared" ref="I9:I48" si="2">($J$4-$J$3)/40+I8</f>
        <v>-1850</v>
      </c>
      <c r="J9">
        <f ca="1"/>
        <v>0</v>
      </c>
      <c r="K9">
        <f t="shared" ca="1" si="1"/>
        <v>0</v>
      </c>
      <c r="L9">
        <f ca="1">SUM($J$8:J9)/$J$5</f>
        <v>0</v>
      </c>
      <c r="N9" s="64"/>
      <c r="O9" s="64"/>
      <c r="P9" s="64"/>
      <c r="Q9" s="64"/>
      <c r="R9" s="64"/>
      <c r="T9" s="50" t="s">
        <v>78</v>
      </c>
      <c r="U9" s="40">
        <f ca="1">O7-NORMSINV((1-U5)/2)*O8</f>
        <v>733.7296350825618</v>
      </c>
    </row>
    <row r="10" spans="1:22" ht="15" x14ac:dyDescent="0.2">
      <c r="A10" s="6">
        <f ca="1">Model!$F$13+RAND()*(Model!$G$13-Model!$F$13)</f>
        <v>1403.9561660979675</v>
      </c>
      <c r="B10" s="31">
        <f ca="1">Model!$F$14+RAND()*(Model!$G$14-Model!$F$14)</f>
        <v>0.45107752453846961</v>
      </c>
      <c r="C10" s="32">
        <f ca="1">Model!$F$15+RAND()*(Model!$G$15-Model!$F$15)</f>
        <v>4.4925411789848414E-2</v>
      </c>
      <c r="D10" s="33">
        <f ca="1">Model!$F$16+RAND()*(Model!$G$16-Model!$F$16)</f>
        <v>51.678510626176916</v>
      </c>
      <c r="E10" s="33">
        <f>Model!$D$17</f>
        <v>800</v>
      </c>
      <c r="G10" s="36">
        <f t="shared" ca="1" si="0"/>
        <v>1826.2415920899075</v>
      </c>
      <c r="I10">
        <f t="shared" si="2"/>
        <v>-1700</v>
      </c>
      <c r="J10">
        <f ca="1"/>
        <v>0</v>
      </c>
      <c r="K10">
        <f t="shared" ca="1" si="1"/>
        <v>0</v>
      </c>
      <c r="L10">
        <f ca="1">SUM($J$8:J10)/$J$5</f>
        <v>0</v>
      </c>
      <c r="N10" s="66" t="s">
        <v>61</v>
      </c>
      <c r="O10" s="67"/>
      <c r="P10" s="70"/>
      <c r="Q10" s="70"/>
      <c r="R10" s="70"/>
    </row>
    <row r="11" spans="1:22" x14ac:dyDescent="0.2">
      <c r="A11" s="6">
        <f ca="1">Model!$F$13+RAND()*(Model!$G$13-Model!$F$13)</f>
        <v>1217.7538780328264</v>
      </c>
      <c r="B11" s="31">
        <f ca="1">Model!$F$14+RAND()*(Model!$G$14-Model!$F$14)</f>
        <v>0.71464520882702209</v>
      </c>
      <c r="C11" s="32">
        <f ca="1">Model!$F$15+RAND()*(Model!$G$15-Model!$F$15)</f>
        <v>2.973380203597796E-2</v>
      </c>
      <c r="D11" s="33">
        <f ca="1">Model!$F$16+RAND()*(Model!$G$16-Model!$F$16)</f>
        <v>49.147962131313292</v>
      </c>
      <c r="E11" s="33">
        <f>Model!$D$17</f>
        <v>800</v>
      </c>
      <c r="G11" s="36">
        <f t="shared" ca="1" si="0"/>
        <v>109.30968953263482</v>
      </c>
      <c r="I11">
        <f t="shared" si="2"/>
        <v>-1550</v>
      </c>
      <c r="J11">
        <f ca="1"/>
        <v>0</v>
      </c>
      <c r="K11">
        <f t="shared" ca="1" si="1"/>
        <v>0</v>
      </c>
      <c r="L11">
        <f ca="1">SUM($J$8:J11)/$J$5</f>
        <v>0</v>
      </c>
      <c r="N11" s="63"/>
      <c r="O11" s="64"/>
      <c r="P11" s="64"/>
      <c r="Q11" s="64"/>
      <c r="R11" s="64"/>
    </row>
    <row r="12" spans="1:22" x14ac:dyDescent="0.2">
      <c r="A12" s="6">
        <f ca="1">Model!$F$13+RAND()*(Model!$G$13-Model!$F$13)</f>
        <v>1521.8437850094567</v>
      </c>
      <c r="B12" s="31">
        <f ca="1">Model!$F$14+RAND()*(Model!$G$14-Model!$F$14)</f>
        <v>0.21652676211991401</v>
      </c>
      <c r="C12" s="32">
        <f ca="1">Model!$F$15+RAND()*(Model!$G$15-Model!$F$15)</f>
        <v>1.0501999719993065E-2</v>
      </c>
      <c r="D12" s="33">
        <f ca="1">Model!$F$16+RAND()*(Model!$G$16-Model!$F$16)</f>
        <v>49.788757214409706</v>
      </c>
      <c r="E12" s="33">
        <f>Model!$D$17</f>
        <v>800</v>
      </c>
      <c r="G12" s="36">
        <f t="shared" ca="1" si="0"/>
        <v>-333.77592434928783</v>
      </c>
      <c r="I12">
        <f t="shared" si="2"/>
        <v>-1400</v>
      </c>
      <c r="J12">
        <f ca="1"/>
        <v>0</v>
      </c>
      <c r="K12">
        <f t="shared" ca="1" si="1"/>
        <v>0</v>
      </c>
      <c r="L12">
        <f ca="1">SUM($J$8:J12)/$J$5</f>
        <v>0</v>
      </c>
      <c r="N12" s="65" t="s">
        <v>33</v>
      </c>
      <c r="O12" s="68">
        <f ca="1">STDEV(G:G)</f>
        <v>920.44756950060901</v>
      </c>
      <c r="P12" s="69"/>
      <c r="Q12" s="64"/>
      <c r="R12" s="69"/>
    </row>
    <row r="13" spans="1:22" x14ac:dyDescent="0.2">
      <c r="A13" s="6">
        <f ca="1">Model!$F$13+RAND()*(Model!$G$13-Model!$F$13)</f>
        <v>1784.0608418304912</v>
      </c>
      <c r="B13" s="31">
        <f ca="1">Model!$F$14+RAND()*(Model!$G$14-Model!$F$14)</f>
        <v>0.55265774471502871</v>
      </c>
      <c r="C13" s="32">
        <f ca="1">Model!$F$15+RAND()*(Model!$G$15-Model!$F$15)</f>
        <v>4.2301778765583956E-2</v>
      </c>
      <c r="D13" s="33">
        <f ca="1">Model!$F$16+RAND()*(Model!$G$16-Model!$F$16)</f>
        <v>52.475665546027557</v>
      </c>
      <c r="E13" s="33">
        <f>Model!$D$17</f>
        <v>800</v>
      </c>
      <c r="G13" s="36">
        <f t="shared" ca="1" si="0"/>
        <v>2174.3081824629649</v>
      </c>
      <c r="I13">
        <f t="shared" si="2"/>
        <v>-1250</v>
      </c>
      <c r="J13">
        <f ca="1"/>
        <v>2</v>
      </c>
      <c r="K13">
        <f t="shared" ca="1" si="1"/>
        <v>2.6666666666666668E-6</v>
      </c>
      <c r="L13">
        <f ca="1">SUM($J$8:J13)/$J$5</f>
        <v>4.0000000000000002E-4</v>
      </c>
      <c r="N13" s="69" t="s">
        <v>23</v>
      </c>
      <c r="O13" s="68">
        <f ca="1">MAX(G:G)</f>
        <v>3266.8896765239133</v>
      </c>
      <c r="P13" s="69" t="s">
        <v>38</v>
      </c>
      <c r="Q13" s="68">
        <f ca="1">QUARTILE(G:G,3)</f>
        <v>1417.2474580446678</v>
      </c>
      <c r="R13" s="69"/>
    </row>
    <row r="14" spans="1:22" x14ac:dyDescent="0.2">
      <c r="A14" s="6">
        <f ca="1">Model!$F$13+RAND()*(Model!$G$13-Model!$F$13)</f>
        <v>1303.1522131331301</v>
      </c>
      <c r="B14" s="31">
        <f ca="1">Model!$F$14+RAND()*(Model!$G$14-Model!$F$14)</f>
        <v>0.39192796054743761</v>
      </c>
      <c r="C14" s="32">
        <f ca="1">Model!$F$15+RAND()*(Model!$G$15-Model!$F$15)</f>
        <v>2.7950830168907093E-2</v>
      </c>
      <c r="D14" s="33">
        <f ca="1">Model!$F$16+RAND()*(Model!$G$16-Model!$F$16)</f>
        <v>52.413266191857062</v>
      </c>
      <c r="E14" s="33">
        <f>Model!$D$17</f>
        <v>800</v>
      </c>
      <c r="G14" s="36">
        <f t="shared" ca="1" si="0"/>
        <v>598.36877760655693</v>
      </c>
      <c r="I14">
        <f t="shared" si="2"/>
        <v>-1100</v>
      </c>
      <c r="J14">
        <f ca="1"/>
        <v>24</v>
      </c>
      <c r="K14">
        <f t="shared" ca="1" si="1"/>
        <v>3.1999999999999999E-5</v>
      </c>
      <c r="L14">
        <f ca="1">SUM($J$8:J14)/$J$5</f>
        <v>5.1999999999999998E-3</v>
      </c>
      <c r="N14" s="69" t="s">
        <v>22</v>
      </c>
      <c r="O14" s="71">
        <f ca="1">MIN(G:G)</f>
        <v>-1297.6410961351148</v>
      </c>
      <c r="P14" s="69" t="s">
        <v>37</v>
      </c>
      <c r="Q14" s="68">
        <f ca="1">QUARTILE(G:G,1)</f>
        <v>-30.542314530941724</v>
      </c>
      <c r="R14" s="69"/>
    </row>
    <row r="15" spans="1:22" x14ac:dyDescent="0.2">
      <c r="A15" s="6">
        <f ca="1">Model!$F$13+RAND()*(Model!$G$13-Model!$F$13)</f>
        <v>1238.1496805556405</v>
      </c>
      <c r="B15" s="31">
        <f ca="1">Model!$F$14+RAND()*(Model!$G$14-Model!$F$14)</f>
        <v>0.7184422260102723</v>
      </c>
      <c r="C15" s="32">
        <f ca="1">Model!$F$15+RAND()*(Model!$G$15-Model!$F$15)</f>
        <v>4.4283840105003393E-2</v>
      </c>
      <c r="D15" s="33">
        <f ca="1">Model!$F$16+RAND()*(Model!$G$16-Model!$F$16)</f>
        <v>49.658788056324148</v>
      </c>
      <c r="E15" s="33">
        <f>Model!$D$17</f>
        <v>800</v>
      </c>
      <c r="G15" s="36">
        <f t="shared" ca="1" si="0"/>
        <v>1033.2534528149299</v>
      </c>
      <c r="I15">
        <f t="shared" si="2"/>
        <v>-950</v>
      </c>
      <c r="J15">
        <f ca="1"/>
        <v>53</v>
      </c>
      <c r="K15">
        <f t="shared" ca="1" si="1"/>
        <v>7.0666666666666672E-5</v>
      </c>
      <c r="L15">
        <f ca="1">SUM($J$8:J15)/$J$5</f>
        <v>1.5800000000000002E-2</v>
      </c>
      <c r="N15" s="65" t="s">
        <v>36</v>
      </c>
      <c r="O15" s="68">
        <f ca="1">O13-O14</f>
        <v>4564.5307726590281</v>
      </c>
      <c r="P15" s="65" t="s">
        <v>59</v>
      </c>
      <c r="Q15" s="68">
        <f ca="1">Q13-Q14</f>
        <v>1447.7897725756095</v>
      </c>
      <c r="R15" s="69"/>
    </row>
    <row r="16" spans="1:22" x14ac:dyDescent="0.2">
      <c r="A16" s="6">
        <f ca="1">Model!$F$13+RAND()*(Model!$G$13-Model!$F$13)</f>
        <v>1283.5736146217348</v>
      </c>
      <c r="B16" s="31">
        <f ca="1">Model!$F$14+RAND()*(Model!$G$14-Model!$F$14)</f>
        <v>0.75238428158253234</v>
      </c>
      <c r="C16" s="32">
        <f ca="1">Model!$F$15+RAND()*(Model!$G$15-Model!$F$15)</f>
        <v>2.2558795725018017E-2</v>
      </c>
      <c r="D16" s="33">
        <f ca="1">Model!$F$16+RAND()*(Model!$G$16-Model!$F$16)</f>
        <v>48.470335333820245</v>
      </c>
      <c r="E16" s="33">
        <f>Model!$D$17</f>
        <v>800</v>
      </c>
      <c r="G16" s="36">
        <f t="shared" ca="1" si="0"/>
        <v>-362.2396422020804</v>
      </c>
      <c r="I16">
        <f t="shared" si="2"/>
        <v>-800</v>
      </c>
      <c r="J16">
        <f ca="1"/>
        <v>98</v>
      </c>
      <c r="K16">
        <f t="shared" ca="1" si="1"/>
        <v>1.3066666666666665E-4</v>
      </c>
      <c r="L16">
        <f ca="1">SUM($J$8:J16)/$J$5</f>
        <v>3.5400000000000001E-2</v>
      </c>
      <c r="N16" s="69"/>
      <c r="O16" s="69"/>
      <c r="P16" s="69"/>
      <c r="Q16" s="69"/>
      <c r="R16" s="69"/>
    </row>
    <row r="17" spans="1:19" ht="15" x14ac:dyDescent="0.2">
      <c r="A17" s="6">
        <f ca="1">Model!$F$13+RAND()*(Model!$G$13-Model!$F$13)</f>
        <v>1599.2339031026372</v>
      </c>
      <c r="B17" s="31">
        <f ca="1">Model!$F$14+RAND()*(Model!$G$14-Model!$F$14)</f>
        <v>0.55779910927783372</v>
      </c>
      <c r="C17" s="32">
        <f ca="1">Model!$F$15+RAND()*(Model!$G$15-Model!$F$15)</f>
        <v>1.5855346890838878E-2</v>
      </c>
      <c r="D17" s="33">
        <f ca="1">Model!$F$16+RAND()*(Model!$G$16-Model!$F$16)</f>
        <v>49.553748396130004</v>
      </c>
      <c r="E17" s="33">
        <f>Model!$D$17</f>
        <v>800</v>
      </c>
      <c r="G17" s="36">
        <f t="shared" ca="1" si="0"/>
        <v>-435.546169882698</v>
      </c>
      <c r="I17">
        <f t="shared" si="2"/>
        <v>-650</v>
      </c>
      <c r="J17">
        <f ca="1"/>
        <v>154</v>
      </c>
      <c r="K17">
        <f t="shared" ca="1" si="1"/>
        <v>2.0533333333333333E-4</v>
      </c>
      <c r="L17">
        <f ca="1">SUM($J$8:J17)/$J$5</f>
        <v>6.6199999999999995E-2</v>
      </c>
      <c r="N17" s="66" t="s">
        <v>62</v>
      </c>
      <c r="O17" s="67"/>
      <c r="P17" s="70"/>
      <c r="Q17" s="70"/>
      <c r="R17" s="70"/>
    </row>
    <row r="18" spans="1:19" x14ac:dyDescent="0.2">
      <c r="A18" s="6">
        <f ca="1">Model!$F$13+RAND()*(Model!$G$13-Model!$F$13)</f>
        <v>1565.0498156894487</v>
      </c>
      <c r="B18" s="31">
        <f ca="1">Model!$F$14+RAND()*(Model!$G$14-Model!$F$14)</f>
        <v>0.37804954877711705</v>
      </c>
      <c r="C18" s="32">
        <f ca="1">Model!$F$15+RAND()*(Model!$G$15-Model!$F$15)</f>
        <v>1.7800536260200665E-2</v>
      </c>
      <c r="D18" s="33">
        <f ca="1">Model!$F$16+RAND()*(Model!$G$16-Model!$F$16)</f>
        <v>51.255872137791407</v>
      </c>
      <c r="E18" s="33">
        <f>Model!$D$17</f>
        <v>800</v>
      </c>
      <c r="G18" s="36">
        <f t="shared" ca="1" si="0"/>
        <v>36.256920794139432</v>
      </c>
      <c r="I18">
        <f t="shared" si="2"/>
        <v>-500</v>
      </c>
      <c r="J18">
        <f ca="1"/>
        <v>176</v>
      </c>
      <c r="K18">
        <f t="shared" ca="1" si="1"/>
        <v>2.3466666666666669E-4</v>
      </c>
      <c r="L18">
        <f ca="1">SUM($J$8:J18)/$J$5</f>
        <v>0.1014</v>
      </c>
      <c r="N18" s="63"/>
      <c r="O18" s="64"/>
      <c r="P18" s="64"/>
      <c r="Q18" s="64"/>
      <c r="R18" s="64"/>
    </row>
    <row r="19" spans="1:19" x14ac:dyDescent="0.2">
      <c r="A19" s="6">
        <f ca="1">Model!$F$13+RAND()*(Model!$G$13-Model!$F$13)</f>
        <v>1711.1406847004851</v>
      </c>
      <c r="B19" s="31">
        <f ca="1">Model!$F$14+RAND()*(Model!$G$14-Model!$F$14)</f>
        <v>0.21963346031087436</v>
      </c>
      <c r="C19" s="32">
        <f ca="1">Model!$F$15+RAND()*(Model!$G$15-Model!$F$15)</f>
        <v>4.8539512803615396E-2</v>
      </c>
      <c r="D19" s="33">
        <f ca="1">Model!$F$16+RAND()*(Model!$G$16-Model!$F$16)</f>
        <v>47.231254735665374</v>
      </c>
      <c r="E19" s="33">
        <f>Model!$D$17</f>
        <v>800</v>
      </c>
      <c r="G19" s="36">
        <f t="shared" ca="1" si="0"/>
        <v>2747.1067443529455</v>
      </c>
      <c r="I19">
        <f t="shared" si="2"/>
        <v>-350</v>
      </c>
      <c r="J19">
        <f ca="1"/>
        <v>240</v>
      </c>
      <c r="K19">
        <f t="shared" ca="1" si="1"/>
        <v>3.2000000000000003E-4</v>
      </c>
      <c r="L19">
        <f ca="1">SUM($J$8:J19)/$J$5</f>
        <v>0.14940000000000001</v>
      </c>
      <c r="N19" s="65" t="s">
        <v>56</v>
      </c>
      <c r="O19" s="57">
        <f ca="1">SKEW(G:G)</f>
        <v>0.12052963545749915</v>
      </c>
      <c r="P19" s="64"/>
      <c r="Q19" s="64"/>
      <c r="R19" s="64"/>
      <c r="S19" s="39"/>
    </row>
    <row r="20" spans="1:19" x14ac:dyDescent="0.2">
      <c r="A20" s="6">
        <f ca="1">Model!$F$13+RAND()*(Model!$G$13-Model!$F$13)</f>
        <v>1292.407094988871</v>
      </c>
      <c r="B20" s="31">
        <f ca="1">Model!$F$14+RAND()*(Model!$G$14-Model!$F$14)</f>
        <v>0.26530102611381928</v>
      </c>
      <c r="C20" s="32">
        <f ca="1">Model!$F$15+RAND()*(Model!$G$15-Model!$F$15)</f>
        <v>2.122272425383866E-2</v>
      </c>
      <c r="D20" s="33">
        <f ca="1">Model!$F$16+RAND()*(Model!$G$16-Model!$F$16)</f>
        <v>49.620207359607768</v>
      </c>
      <c r="E20" s="33">
        <f>Model!$D$17</f>
        <v>800</v>
      </c>
      <c r="G20" s="36">
        <f t="shared" ca="1" si="0"/>
        <v>218.12593734523944</v>
      </c>
      <c r="I20">
        <f t="shared" si="2"/>
        <v>-200</v>
      </c>
      <c r="J20">
        <f ca="1"/>
        <v>235</v>
      </c>
      <c r="K20">
        <f t="shared" ca="1" si="1"/>
        <v>3.1333333333333332E-4</v>
      </c>
      <c r="L20">
        <f ca="1">SUM($J$8:J20)/$J$5</f>
        <v>0.19639999999999999</v>
      </c>
      <c r="N20" s="65" t="s">
        <v>35</v>
      </c>
      <c r="O20" s="57">
        <f ca="1">KURT(G:G)</f>
        <v>-0.8047688289636814</v>
      </c>
      <c r="P20" s="64"/>
      <c r="Q20" s="64"/>
      <c r="R20" s="64"/>
      <c r="S20" s="39"/>
    </row>
    <row r="21" spans="1:19" x14ac:dyDescent="0.2">
      <c r="A21" s="6">
        <f ca="1">Model!$F$13+RAND()*(Model!$G$13-Model!$F$13)</f>
        <v>1662.9912372827575</v>
      </c>
      <c r="B21" s="31">
        <f ca="1">Model!$F$14+RAND()*(Model!$G$14-Model!$F$14)</f>
        <v>0.66139157921749314</v>
      </c>
      <c r="C21" s="32">
        <f ca="1">Model!$F$15+RAND()*(Model!$G$15-Model!$F$15)</f>
        <v>1.7179400150787765E-2</v>
      </c>
      <c r="D21" s="33">
        <f ca="1">Model!$F$16+RAND()*(Model!$G$16-Model!$F$16)</f>
        <v>50.81108750836276</v>
      </c>
      <c r="E21" s="33">
        <f>Model!$D$17</f>
        <v>800</v>
      </c>
      <c r="G21" s="36">
        <f t="shared" ca="1" si="0"/>
        <v>-448.25669034031421</v>
      </c>
      <c r="I21">
        <f t="shared" si="2"/>
        <v>-50</v>
      </c>
      <c r="J21">
        <f ca="1"/>
        <v>232</v>
      </c>
      <c r="K21">
        <f t="shared" ca="1" si="1"/>
        <v>3.0933333333333334E-4</v>
      </c>
      <c r="L21">
        <f ca="1">SUM($J$8:J21)/$J$5</f>
        <v>0.24279999999999999</v>
      </c>
      <c r="N21" s="69"/>
      <c r="O21" s="69"/>
      <c r="P21" s="64"/>
      <c r="Q21" s="64"/>
      <c r="R21" s="64"/>
    </row>
    <row r="22" spans="1:19" ht="15" x14ac:dyDescent="0.2">
      <c r="A22" s="6">
        <f ca="1">Model!$F$13+RAND()*(Model!$G$13-Model!$F$13)</f>
        <v>1706.0287151080083</v>
      </c>
      <c r="B22" s="31">
        <f ca="1">Model!$F$14+RAND()*(Model!$G$14-Model!$F$14)</f>
        <v>0.62884156306004457</v>
      </c>
      <c r="C22" s="32">
        <f ca="1">Model!$F$15+RAND()*(Model!$G$15-Model!$F$15)</f>
        <v>1.0321420015793085E-2</v>
      </c>
      <c r="D22" s="33">
        <f ca="1">Model!$F$16+RAND()*(Model!$G$16-Model!$F$16)</f>
        <v>48.431612362613336</v>
      </c>
      <c r="E22" s="33">
        <f>Model!$D$17</f>
        <v>800</v>
      </c>
      <c r="G22" s="36">
        <f t="shared" ca="1" si="0"/>
        <v>-1020.0069890574676</v>
      </c>
      <c r="I22">
        <f t="shared" si="2"/>
        <v>100</v>
      </c>
      <c r="J22">
        <f ca="1"/>
        <v>257</v>
      </c>
      <c r="K22">
        <f t="shared" ca="1" si="1"/>
        <v>3.4266666666666668E-4</v>
      </c>
      <c r="L22">
        <f ca="1">SUM($J$8:J22)/$J$5</f>
        <v>0.29420000000000002</v>
      </c>
      <c r="N22" s="66" t="s">
        <v>83</v>
      </c>
      <c r="O22" s="67"/>
      <c r="P22" s="70"/>
      <c r="Q22" s="70"/>
      <c r="R22" s="70"/>
    </row>
    <row r="23" spans="1:19" x14ac:dyDescent="0.2">
      <c r="A23" s="6">
        <f ca="1">Model!$F$13+RAND()*(Model!$G$13-Model!$F$13)</f>
        <v>1633.1694285295102</v>
      </c>
      <c r="B23" s="31">
        <f ca="1">Model!$F$14+RAND()*(Model!$G$14-Model!$F$14)</f>
        <v>0.74154931037398808</v>
      </c>
      <c r="C23" s="32">
        <f ca="1">Model!$F$15+RAND()*(Model!$G$15-Model!$F$15)</f>
        <v>2.0991858976713202E-2</v>
      </c>
      <c r="D23" s="33">
        <f ca="1">Model!$F$16+RAND()*(Model!$G$16-Model!$F$16)</f>
        <v>49.459991907594514</v>
      </c>
      <c r="E23" s="33">
        <f>Model!$D$17</f>
        <v>800</v>
      </c>
      <c r="G23" s="36">
        <f t="shared" ca="1" si="0"/>
        <v>-315.42578610299643</v>
      </c>
      <c r="I23">
        <f t="shared" si="2"/>
        <v>250</v>
      </c>
      <c r="J23">
        <f ca="1"/>
        <v>271</v>
      </c>
      <c r="K23">
        <f t="shared" ca="1" si="1"/>
        <v>3.613333333333333E-4</v>
      </c>
      <c r="L23">
        <f ca="1">SUM($J$8:J23)/$J$5</f>
        <v>0.34839999999999999</v>
      </c>
      <c r="N23" s="72"/>
      <c r="O23" s="72"/>
      <c r="P23" s="72"/>
      <c r="Q23" s="72"/>
      <c r="R23" s="72"/>
    </row>
    <row r="24" spans="1:19" x14ac:dyDescent="0.2">
      <c r="A24" s="6">
        <f ca="1">Model!$F$13+RAND()*(Model!$G$13-Model!$F$13)</f>
        <v>1525.6558236821634</v>
      </c>
      <c r="B24" s="31">
        <f ca="1">Model!$F$14+RAND()*(Model!$G$14-Model!$F$14)</f>
        <v>0.59545085918727481</v>
      </c>
      <c r="C24" s="32">
        <f ca="1">Model!$F$15+RAND()*(Model!$G$15-Model!$F$15)</f>
        <v>1.4421110193159427E-2</v>
      </c>
      <c r="D24" s="33">
        <f ca="1">Model!$F$16+RAND()*(Model!$G$16-Model!$F$16)</f>
        <v>50.392043191324774</v>
      </c>
      <c r="E24" s="33">
        <f>Model!$D$17</f>
        <v>800</v>
      </c>
      <c r="G24" s="36">
        <f t="shared" ca="1" si="0"/>
        <v>-599.74493615331494</v>
      </c>
      <c r="I24">
        <f t="shared" si="2"/>
        <v>400</v>
      </c>
      <c r="J24">
        <f ca="1"/>
        <v>258</v>
      </c>
      <c r="K24">
        <f t="shared" ca="1" si="1"/>
        <v>3.4400000000000001E-4</v>
      </c>
      <c r="L24">
        <f ca="1">SUM($J$8:J24)/$J$5</f>
        <v>0.4</v>
      </c>
      <c r="N24" s="72"/>
      <c r="O24" s="73" t="s">
        <v>84</v>
      </c>
      <c r="P24" s="72"/>
      <c r="Q24" s="73" t="s">
        <v>55</v>
      </c>
      <c r="R24" s="72"/>
    </row>
    <row r="25" spans="1:19" x14ac:dyDescent="0.2">
      <c r="A25" s="6">
        <f ca="1">Model!$F$13+RAND()*(Model!$G$13-Model!$F$13)</f>
        <v>1534.0756166012625</v>
      </c>
      <c r="B25" s="31">
        <f ca="1">Model!$F$14+RAND()*(Model!$G$14-Model!$F$14)</f>
        <v>0.26932972229811664</v>
      </c>
      <c r="C25" s="32">
        <f ca="1">Model!$F$15+RAND()*(Model!$G$15-Model!$F$15)</f>
        <v>2.500446854110205E-2</v>
      </c>
      <c r="D25" s="33">
        <f ca="1">Model!$F$16+RAND()*(Model!$G$16-Model!$F$16)</f>
        <v>51.093811115140227</v>
      </c>
      <c r="E25" s="33">
        <f>Model!$D$17</f>
        <v>800</v>
      </c>
      <c r="G25" s="36">
        <f t="shared" ca="1" si="0"/>
        <v>746.72233713061178</v>
      </c>
      <c r="I25">
        <f t="shared" si="2"/>
        <v>550</v>
      </c>
      <c r="J25">
        <f ca="1"/>
        <v>250</v>
      </c>
      <c r="K25">
        <f t="shared" ca="1" si="1"/>
        <v>3.3333333333333338E-4</v>
      </c>
      <c r="L25">
        <f ca="1">SUM($J$8:J25)/$J$5</f>
        <v>0.45</v>
      </c>
      <c r="N25" s="69" t="s">
        <v>49</v>
      </c>
      <c r="O25" s="68">
        <f ca="1">PERCENTILE(G:G,0.05)</f>
        <v>-722.70531345174572</v>
      </c>
      <c r="P25" s="69" t="s">
        <v>51</v>
      </c>
      <c r="Q25" s="68">
        <f ca="1">PERCENTILE(G:G,0.025)</f>
        <v>-855.28604216479994</v>
      </c>
      <c r="R25" s="72"/>
    </row>
    <row r="26" spans="1:19" x14ac:dyDescent="0.2">
      <c r="A26" s="6">
        <f ca="1">Model!$F$13+RAND()*(Model!$G$13-Model!$F$13)</f>
        <v>1501.6875455122863</v>
      </c>
      <c r="B26" s="31">
        <f ca="1">Model!$F$14+RAND()*(Model!$G$14-Model!$F$14)</f>
        <v>0.63864880836853355</v>
      </c>
      <c r="C26" s="32">
        <f ca="1">Model!$F$15+RAND()*(Model!$G$15-Model!$F$15)</f>
        <v>4.5738608905987396E-2</v>
      </c>
      <c r="D26" s="33">
        <f ca="1">Model!$F$16+RAND()*(Model!$G$16-Model!$F$16)</f>
        <v>48.420060666965597</v>
      </c>
      <c r="E26" s="33">
        <f>Model!$D$17</f>
        <v>800</v>
      </c>
      <c r="G26" s="36">
        <f t="shared" ca="1" si="0"/>
        <v>1566.6857156299775</v>
      </c>
      <c r="I26">
        <f t="shared" si="2"/>
        <v>700</v>
      </c>
      <c r="J26">
        <f ca="1"/>
        <v>264</v>
      </c>
      <c r="K26">
        <f t="shared" ca="1" si="1"/>
        <v>3.5199999999999999E-4</v>
      </c>
      <c r="L26">
        <f ca="1">SUM($J$8:J26)/$J$5</f>
        <v>0.50280000000000002</v>
      </c>
      <c r="N26" s="69" t="s">
        <v>50</v>
      </c>
      <c r="O26" s="68">
        <f ca="1">PERCENTILE(G:G,0.95)</f>
        <v>2226.9059803531682</v>
      </c>
      <c r="P26" s="69" t="s">
        <v>52</v>
      </c>
      <c r="Q26" s="68">
        <f ca="1">PERCENTILE(G:G,0.975)</f>
        <v>2439.4775896132255</v>
      </c>
      <c r="R26" s="72"/>
    </row>
    <row r="27" spans="1:19" x14ac:dyDescent="0.2">
      <c r="A27" s="6">
        <f ca="1">Model!$F$13+RAND()*(Model!$G$13-Model!$F$13)</f>
        <v>1522.0795729962388</v>
      </c>
      <c r="B27" s="31">
        <f ca="1">Model!$F$14+RAND()*(Model!$G$14-Model!$F$14)</f>
        <v>0.64405186616631993</v>
      </c>
      <c r="C27" s="32">
        <f ca="1">Model!$F$15+RAND()*(Model!$G$15-Model!$F$15)</f>
        <v>1.8479783659918307E-2</v>
      </c>
      <c r="D27" s="33">
        <f ca="1">Model!$F$16+RAND()*(Model!$G$16-Model!$F$16)</f>
        <v>50.450581265428795</v>
      </c>
      <c r="E27" s="33">
        <f>Model!$D$17</f>
        <v>800</v>
      </c>
      <c r="G27" s="36">
        <f t="shared" ca="1" si="0"/>
        <v>-361.23931312401669</v>
      </c>
      <c r="I27">
        <f t="shared" si="2"/>
        <v>850</v>
      </c>
      <c r="J27">
        <f ca="1"/>
        <v>272</v>
      </c>
      <c r="K27">
        <f t="shared" ca="1" si="1"/>
        <v>3.6266666666666663E-4</v>
      </c>
      <c r="L27">
        <f ca="1">SUM($J$8:J27)/$J$5</f>
        <v>0.55720000000000003</v>
      </c>
      <c r="N27" s="72"/>
      <c r="O27" s="72"/>
      <c r="P27" s="72"/>
      <c r="Q27" s="72"/>
      <c r="R27" s="72"/>
    </row>
    <row r="28" spans="1:19" x14ac:dyDescent="0.2">
      <c r="A28" s="6">
        <f ca="1">Model!$F$13+RAND()*(Model!$G$13-Model!$F$13)</f>
        <v>1739.8223325681765</v>
      </c>
      <c r="B28" s="31">
        <f ca="1">Model!$F$14+RAND()*(Model!$G$14-Model!$F$14)</f>
        <v>0.41777820951713712</v>
      </c>
      <c r="C28" s="32">
        <f ca="1">Model!$F$15+RAND()*(Model!$G$15-Model!$F$15)</f>
        <v>2.9362982654382516E-2</v>
      </c>
      <c r="D28" s="33">
        <f ca="1">Model!$F$16+RAND()*(Model!$G$16-Model!$F$16)</f>
        <v>51.54099072428604</v>
      </c>
      <c r="E28" s="33">
        <f>Model!$D$17</f>
        <v>800</v>
      </c>
      <c r="G28" s="36">
        <f t="shared" ca="1" si="0"/>
        <v>1106.1824165557391</v>
      </c>
      <c r="I28">
        <f t="shared" si="2"/>
        <v>1000</v>
      </c>
      <c r="J28">
        <f ca="1"/>
        <v>264</v>
      </c>
      <c r="K28">
        <f t="shared" ca="1" si="1"/>
        <v>3.5199999999999999E-4</v>
      </c>
      <c r="L28">
        <f ca="1">SUM($J$8:J28)/$J$5</f>
        <v>0.61</v>
      </c>
      <c r="N28" s="65" t="s">
        <v>68</v>
      </c>
      <c r="O28" s="25">
        <v>0.05</v>
      </c>
      <c r="P28" s="74" t="s">
        <v>70</v>
      </c>
      <c r="Q28" s="68">
        <f ca="1">PERCENTILE(G:G,O28/2)</f>
        <v>-855.28604216479994</v>
      </c>
      <c r="R28" s="72"/>
    </row>
    <row r="29" spans="1:19" x14ac:dyDescent="0.2">
      <c r="A29" s="6">
        <f ca="1">Model!$F$13+RAND()*(Model!$G$13-Model!$F$13)</f>
        <v>1220.5616425617961</v>
      </c>
      <c r="B29" s="31">
        <f ca="1">Model!$F$14+RAND()*(Model!$G$14-Model!$F$14)</f>
        <v>0.64881958143850982</v>
      </c>
      <c r="C29" s="32">
        <f ca="1">Model!$F$15+RAND()*(Model!$G$15-Model!$F$15)</f>
        <v>1.1815851596080425E-2</v>
      </c>
      <c r="D29" s="33">
        <f ca="1">Model!$F$16+RAND()*(Model!$G$16-Model!$F$16)</f>
        <v>51.786281266468336</v>
      </c>
      <c r="E29" s="33">
        <f>Model!$D$17</f>
        <v>800</v>
      </c>
      <c r="G29" s="36">
        <f t="shared" ca="1" si="0"/>
        <v>-845.06382824485968</v>
      </c>
      <c r="I29">
        <f t="shared" si="2"/>
        <v>1150</v>
      </c>
      <c r="J29">
        <f ca="1"/>
        <v>258</v>
      </c>
      <c r="K29">
        <f t="shared" ca="1" si="1"/>
        <v>3.4400000000000001E-4</v>
      </c>
      <c r="L29">
        <f ca="1">SUM($J$8:J29)/$J$5</f>
        <v>0.66159999999999997</v>
      </c>
      <c r="N29" s="74" t="s">
        <v>72</v>
      </c>
      <c r="O29" s="75">
        <f>1-O28</f>
        <v>0.95</v>
      </c>
      <c r="P29" s="74" t="s">
        <v>71</v>
      </c>
      <c r="Q29" s="68">
        <f ca="1">PERCENTILE(G:G,1-O28/2)</f>
        <v>2439.4775896132255</v>
      </c>
      <c r="R29" s="72"/>
    </row>
    <row r="30" spans="1:19" x14ac:dyDescent="0.2">
      <c r="A30" s="6">
        <f ca="1">Model!$F$13+RAND()*(Model!$G$13-Model!$F$13)</f>
        <v>1503.6290983677611</v>
      </c>
      <c r="B30" s="31">
        <f ca="1">Model!$F$14+RAND()*(Model!$G$14-Model!$F$14)</f>
        <v>0.49087885085453975</v>
      </c>
      <c r="C30" s="32">
        <f ca="1">Model!$F$15+RAND()*(Model!$G$15-Model!$F$15)</f>
        <v>2.9488147193292999E-2</v>
      </c>
      <c r="D30" s="33">
        <f ca="1">Model!$F$16+RAND()*(Model!$G$16-Model!$F$16)</f>
        <v>51.71186859511873</v>
      </c>
      <c r="E30" s="33">
        <f>Model!$D$17</f>
        <v>800</v>
      </c>
      <c r="G30" s="36">
        <f t="shared" ca="1" si="0"/>
        <v>754.7650308637285</v>
      </c>
      <c r="I30">
        <f t="shared" si="2"/>
        <v>1300</v>
      </c>
      <c r="J30">
        <f ca="1"/>
        <v>249</v>
      </c>
      <c r="K30">
        <f t="shared" ca="1" si="1"/>
        <v>3.3199999999999999E-4</v>
      </c>
      <c r="L30">
        <f ca="1">SUM($J$8:J30)/$J$5</f>
        <v>0.71140000000000003</v>
      </c>
      <c r="N30" s="65"/>
      <c r="O30" s="64"/>
      <c r="P30" s="64"/>
      <c r="Q30" s="64"/>
      <c r="R30" s="64"/>
    </row>
    <row r="31" spans="1:19" ht="15" x14ac:dyDescent="0.2">
      <c r="A31" s="6">
        <f ca="1">Model!$F$13+RAND()*(Model!$G$13-Model!$F$13)</f>
        <v>1487.5850361152559</v>
      </c>
      <c r="B31" s="31">
        <f ca="1">Model!$F$14+RAND()*(Model!$G$14-Model!$F$14)</f>
        <v>0.29117489380242129</v>
      </c>
      <c r="C31" s="32">
        <f ca="1">Model!$F$15+RAND()*(Model!$G$15-Model!$F$15)</f>
        <v>3.3591146391983455E-2</v>
      </c>
      <c r="D31" s="33">
        <f ca="1">Model!$F$16+RAND()*(Model!$G$16-Model!$F$16)</f>
        <v>48.309907893495883</v>
      </c>
      <c r="E31" s="33">
        <f>Model!$D$17</f>
        <v>800</v>
      </c>
      <c r="G31" s="36">
        <f t="shared" ca="1" si="0"/>
        <v>1180.8835479329364</v>
      </c>
      <c r="I31">
        <f t="shared" si="2"/>
        <v>1450</v>
      </c>
      <c r="J31">
        <f ca="1"/>
        <v>246</v>
      </c>
      <c r="K31">
        <f t="shared" ca="1" si="1"/>
        <v>3.28E-4</v>
      </c>
      <c r="L31">
        <f ca="1">SUM($J$8:J31)/$J$5</f>
        <v>0.76060000000000005</v>
      </c>
      <c r="N31" s="66" t="s">
        <v>63</v>
      </c>
      <c r="O31" s="67"/>
      <c r="P31" s="70"/>
      <c r="Q31" s="70"/>
      <c r="R31" s="70"/>
    </row>
    <row r="32" spans="1:19" x14ac:dyDescent="0.2">
      <c r="A32" s="6">
        <f ca="1">Model!$F$13+RAND()*(Model!$G$13-Model!$F$13)</f>
        <v>1692.7617571211199</v>
      </c>
      <c r="B32" s="31">
        <f ca="1">Model!$F$14+RAND()*(Model!$G$14-Model!$F$14)</f>
        <v>0.27173069245035708</v>
      </c>
      <c r="C32" s="32">
        <f ca="1">Model!$F$15+RAND()*(Model!$G$15-Model!$F$15)</f>
        <v>3.5454676172272881E-2</v>
      </c>
      <c r="D32" s="33">
        <f ca="1">Model!$F$16+RAND()*(Model!$G$16-Model!$F$16)</f>
        <v>49.168106695910751</v>
      </c>
      <c r="E32" s="33">
        <f>Model!$D$17</f>
        <v>800</v>
      </c>
      <c r="G32" s="36">
        <f t="shared" ca="1" si="0"/>
        <v>1690.9134976703908</v>
      </c>
      <c r="I32">
        <f t="shared" si="2"/>
        <v>1600</v>
      </c>
      <c r="J32">
        <f ca="1"/>
        <v>230</v>
      </c>
      <c r="K32">
        <f t="shared" ca="1" si="1"/>
        <v>3.0666666666666668E-4</v>
      </c>
      <c r="L32">
        <f ca="1">SUM($J$8:J32)/$J$5</f>
        <v>0.80659999999999998</v>
      </c>
      <c r="N32" s="65"/>
      <c r="O32" s="64"/>
      <c r="P32" s="64"/>
      <c r="Q32" s="64"/>
      <c r="R32" s="64"/>
    </row>
    <row r="33" spans="1:18" x14ac:dyDescent="0.2">
      <c r="A33" s="6">
        <f ca="1">Model!$F$13+RAND()*(Model!$G$13-Model!$F$13)</f>
        <v>1570.7995054597145</v>
      </c>
      <c r="B33" s="31">
        <f ca="1">Model!$F$14+RAND()*(Model!$G$14-Model!$F$14)</f>
        <v>0.36245706901472385</v>
      </c>
      <c r="C33" s="32">
        <f ca="1">Model!$F$15+RAND()*(Model!$G$15-Model!$F$15)</f>
        <v>3.2630050095081076E-2</v>
      </c>
      <c r="D33" s="33">
        <f ca="1">Model!$F$16+RAND()*(Model!$G$16-Model!$F$16)</f>
        <v>48.427123640995909</v>
      </c>
      <c r="E33" s="33">
        <f>Model!$D$17</f>
        <v>800</v>
      </c>
      <c r="G33" s="36">
        <f t="shared" ca="1" si="0"/>
        <v>1112.7977458304001</v>
      </c>
      <c r="I33">
        <f t="shared" si="2"/>
        <v>1750</v>
      </c>
      <c r="J33">
        <f ca="1"/>
        <v>216</v>
      </c>
      <c r="K33">
        <f t="shared" ca="1" si="1"/>
        <v>2.8800000000000001E-4</v>
      </c>
      <c r="L33">
        <f ca="1">SUM($J$8:J33)/$J$5</f>
        <v>0.8498</v>
      </c>
      <c r="N33" s="65"/>
      <c r="O33" s="65" t="s">
        <v>60</v>
      </c>
      <c r="P33" s="75">
        <f ca="1">1-PERCENTRANK(G:G,0)</f>
        <v>0.73799999999999999</v>
      </c>
      <c r="Q33" s="64"/>
      <c r="R33" s="64"/>
    </row>
    <row r="34" spans="1:18" x14ac:dyDescent="0.2">
      <c r="A34" s="6">
        <f ca="1">Model!$F$13+RAND()*(Model!$G$13-Model!$F$13)</f>
        <v>1461.0210592463141</v>
      </c>
      <c r="B34" s="31">
        <f ca="1">Model!$F$14+RAND()*(Model!$G$14-Model!$F$14)</f>
        <v>0.39578685431546268</v>
      </c>
      <c r="C34" s="32">
        <f ca="1">Model!$F$15+RAND()*(Model!$G$15-Model!$F$15)</f>
        <v>1.3132634404951356E-2</v>
      </c>
      <c r="D34" s="33">
        <f ca="1">Model!$F$16+RAND()*(Model!$G$16-Model!$F$16)</f>
        <v>51.259153717475883</v>
      </c>
      <c r="E34" s="33">
        <f>Model!$D$17</f>
        <v>800</v>
      </c>
      <c r="G34" s="36">
        <f t="shared" ca="1" si="0"/>
        <v>-394.74070550605086</v>
      </c>
      <c r="I34">
        <f t="shared" si="2"/>
        <v>1900</v>
      </c>
      <c r="J34">
        <f ca="1"/>
        <v>208</v>
      </c>
      <c r="K34">
        <f t="shared" ca="1" si="1"/>
        <v>2.7733333333333332E-4</v>
      </c>
      <c r="L34">
        <f ca="1">SUM($J$8:J34)/$J$5</f>
        <v>0.89139999999999997</v>
      </c>
      <c r="N34" s="65"/>
      <c r="O34" s="63"/>
      <c r="P34" s="65"/>
      <c r="Q34" s="63"/>
      <c r="R34" s="63"/>
    </row>
    <row r="35" spans="1:18" x14ac:dyDescent="0.2">
      <c r="A35" s="6">
        <f ca="1">Model!$F$13+RAND()*(Model!$G$13-Model!$F$13)</f>
        <v>1529.8242491437336</v>
      </c>
      <c r="B35" s="31">
        <f ca="1">Model!$F$14+RAND()*(Model!$G$14-Model!$F$14)</f>
        <v>0.30237482094560642</v>
      </c>
      <c r="C35" s="32">
        <f ca="1">Model!$F$15+RAND()*(Model!$G$15-Model!$F$15)</f>
        <v>1.5628029839261898E-2</v>
      </c>
      <c r="D35" s="33">
        <f ca="1">Model!$F$16+RAND()*(Model!$G$16-Model!$F$16)</f>
        <v>51.986040851220565</v>
      </c>
      <c r="E35" s="33">
        <f>Model!$D$17</f>
        <v>800</v>
      </c>
      <c r="G35" s="36">
        <f t="shared" ca="1" si="0"/>
        <v>-19.690841931501154</v>
      </c>
      <c r="I35">
        <f t="shared" si="2"/>
        <v>2050</v>
      </c>
      <c r="J35">
        <f ca="1"/>
        <v>150</v>
      </c>
      <c r="K35">
        <f t="shared" ca="1" si="1"/>
        <v>1.9999999999999998E-4</v>
      </c>
      <c r="L35">
        <f ca="1">SUM($J$8:J35)/$J$5</f>
        <v>0.9214</v>
      </c>
      <c r="N35" s="65" t="s">
        <v>65</v>
      </c>
      <c r="O35" s="25">
        <v>-700</v>
      </c>
      <c r="P35" s="76" t="s">
        <v>25</v>
      </c>
      <c r="Q35" s="77">
        <f ca="1">PERCENTRANK(G:G,O35,4)</f>
        <v>5.3999999999999999E-2</v>
      </c>
      <c r="R35" s="63"/>
    </row>
    <row r="36" spans="1:18" x14ac:dyDescent="0.2">
      <c r="A36" s="6">
        <f ca="1">Model!$F$13+RAND()*(Model!$G$13-Model!$F$13)</f>
        <v>1227.0369895087795</v>
      </c>
      <c r="B36" s="31">
        <f ca="1">Model!$F$14+RAND()*(Model!$G$14-Model!$F$14)</f>
        <v>0.47055482270634746</v>
      </c>
      <c r="C36" s="32">
        <f ca="1">Model!$F$15+RAND()*(Model!$G$15-Model!$F$15)</f>
        <v>1.7467958694926795E-2</v>
      </c>
      <c r="D36" s="33">
        <f ca="1">Model!$F$16+RAND()*(Model!$G$16-Model!$F$16)</f>
        <v>50.134869079220103</v>
      </c>
      <c r="E36" s="33">
        <f>Model!$D$17</f>
        <v>800</v>
      </c>
      <c r="G36" s="36">
        <f t="shared" ca="1" si="0"/>
        <v>-302.80583944629484</v>
      </c>
      <c r="I36">
        <f t="shared" si="2"/>
        <v>2200</v>
      </c>
      <c r="J36">
        <f ca="1"/>
        <v>124</v>
      </c>
      <c r="K36">
        <f t="shared" ca="1" si="1"/>
        <v>1.6533333333333333E-4</v>
      </c>
      <c r="L36">
        <f ca="1">SUM($J$8:J36)/$J$5</f>
        <v>0.94620000000000004</v>
      </c>
      <c r="N36" s="65" t="s">
        <v>66</v>
      </c>
      <c r="O36" s="25">
        <v>2000</v>
      </c>
      <c r="P36" s="76" t="s">
        <v>25</v>
      </c>
      <c r="Q36" s="77">
        <f ca="1">1-PERCENTRANK(G:G,O36,4)</f>
        <v>8.6300000000000043E-2</v>
      </c>
      <c r="R36" s="63"/>
    </row>
    <row r="37" spans="1:18" x14ac:dyDescent="0.2">
      <c r="A37" s="6">
        <f ca="1">Model!$F$13+RAND()*(Model!$G$13-Model!$F$13)</f>
        <v>1744.2456975919304</v>
      </c>
      <c r="B37" s="31">
        <f ca="1">Model!$F$14+RAND()*(Model!$G$14-Model!$F$14)</f>
        <v>0.49853838537084749</v>
      </c>
      <c r="C37" s="32">
        <f ca="1">Model!$F$15+RAND()*(Model!$G$15-Model!$F$15)</f>
        <v>3.7839880670751141E-2</v>
      </c>
      <c r="D37" s="33">
        <f ca="1">Model!$F$16+RAND()*(Model!$G$16-Model!$F$16)</f>
        <v>49.839686207145014</v>
      </c>
      <c r="E37" s="33">
        <f>Model!$D$17</f>
        <v>800</v>
      </c>
      <c r="G37" s="36">
        <f t="shared" ca="1" si="0"/>
        <v>1619.947980279373</v>
      </c>
      <c r="I37">
        <f t="shared" si="2"/>
        <v>2350</v>
      </c>
      <c r="J37">
        <f ca="1"/>
        <v>97</v>
      </c>
      <c r="K37">
        <f t="shared" ca="1" si="1"/>
        <v>1.2933333333333332E-4</v>
      </c>
      <c r="L37">
        <f ca="1">SUM($J$8:J37)/$J$5</f>
        <v>0.96560000000000001</v>
      </c>
      <c r="N37" s="65"/>
      <c r="O37" s="65"/>
      <c r="P37" s="69" t="str">
        <f>"Pr( "&amp;O35&amp;" &lt; y &lt; "&amp;O36&amp;" ) = "</f>
        <v xml:space="preserve">Pr( -700 &lt; y &lt; 2000 ) = </v>
      </c>
      <c r="Q37" s="77">
        <f ca="1">1-(Q36+Q35)</f>
        <v>0.85969999999999991</v>
      </c>
      <c r="R37" s="63"/>
    </row>
    <row r="38" spans="1:18" x14ac:dyDescent="0.2">
      <c r="A38" s="6">
        <f ca="1">Model!$F$13+RAND()*(Model!$G$13-Model!$F$13)</f>
        <v>1636.1243391347623</v>
      </c>
      <c r="B38" s="31">
        <f ca="1">Model!$F$14+RAND()*(Model!$G$14-Model!$F$14)</f>
        <v>0.25985483212596766</v>
      </c>
      <c r="C38" s="32">
        <f ca="1">Model!$F$15+RAND()*(Model!$G$15-Model!$F$15)</f>
        <v>3.4017091153850813E-2</v>
      </c>
      <c r="D38" s="33">
        <f ca="1">Model!$F$16+RAND()*(Model!$G$16-Model!$F$16)</f>
        <v>48.866492174263712</v>
      </c>
      <c r="E38" s="33">
        <f>Model!$D$17</f>
        <v>800</v>
      </c>
      <c r="G38" s="36">
        <f t="shared" ca="1" si="0"/>
        <v>1494.5679958823484</v>
      </c>
      <c r="I38">
        <f t="shared" si="2"/>
        <v>2500</v>
      </c>
      <c r="J38">
        <f ca="1"/>
        <v>77</v>
      </c>
      <c r="K38">
        <f t="shared" ca="1" si="1"/>
        <v>1.0266666666666666E-4</v>
      </c>
      <c r="L38">
        <f ca="1">SUM($J$8:J38)/$J$5</f>
        <v>0.98099999999999998</v>
      </c>
      <c r="N38" s="65"/>
      <c r="O38" s="65"/>
      <c r="P38" s="69" t="s">
        <v>69</v>
      </c>
      <c r="Q38" s="78">
        <f ca="1">1-Q37</f>
        <v>0.14030000000000009</v>
      </c>
      <c r="R38" s="63"/>
    </row>
    <row r="39" spans="1:18" x14ac:dyDescent="0.2">
      <c r="A39" s="6">
        <f ca="1">Model!$F$13+RAND()*(Model!$G$13-Model!$F$13)</f>
        <v>1580.4935160402786</v>
      </c>
      <c r="B39" s="31">
        <f ca="1">Model!$F$14+RAND()*(Model!$G$14-Model!$F$14)</f>
        <v>0.41816461323836918</v>
      </c>
      <c r="C39" s="32">
        <f ca="1">Model!$F$15+RAND()*(Model!$G$15-Model!$F$15)</f>
        <v>3.6951130675113956E-2</v>
      </c>
      <c r="D39" s="33">
        <f ca="1">Model!$F$16+RAND()*(Model!$G$16-Model!$F$16)</f>
        <v>48.713397561856546</v>
      </c>
      <c r="E39" s="33">
        <f>Model!$D$17</f>
        <v>800</v>
      </c>
      <c r="G39" s="36">
        <f t="shared" ca="1" si="0"/>
        <v>1384.0057643935693</v>
      </c>
      <c r="I39">
        <f t="shared" si="2"/>
        <v>2650</v>
      </c>
      <c r="J39">
        <f ca="1"/>
        <v>38</v>
      </c>
      <c r="K39">
        <f t="shared" ca="1" si="1"/>
        <v>5.0666666666666667E-5</v>
      </c>
      <c r="L39">
        <f ca="1">SUM($J$8:J39)/$J$5</f>
        <v>0.98860000000000003</v>
      </c>
      <c r="N39" s="65"/>
      <c r="O39" s="65"/>
      <c r="P39" s="65"/>
      <c r="Q39" s="79"/>
      <c r="R39" s="63"/>
    </row>
    <row r="40" spans="1:18" x14ac:dyDescent="0.2">
      <c r="A40" s="6">
        <f ca="1">Model!$F$13+RAND()*(Model!$G$13-Model!$F$13)</f>
        <v>1684.7287141023953</v>
      </c>
      <c r="B40" s="31">
        <f ca="1">Model!$F$14+RAND()*(Model!$G$14-Model!$F$14)</f>
        <v>0.57986667209023279</v>
      </c>
      <c r="C40" s="32">
        <f ca="1">Model!$F$15+RAND()*(Model!$G$15-Model!$F$15)</f>
        <v>1.7584204916753235E-2</v>
      </c>
      <c r="D40" s="33">
        <f ca="1">Model!$F$16+RAND()*(Model!$G$16-Model!$F$16)</f>
        <v>52.657378544768683</v>
      </c>
      <c r="E40" s="33">
        <f>Model!$D$17</f>
        <v>800</v>
      </c>
      <c r="G40" s="36">
        <f t="shared" ca="1" si="0"/>
        <v>-216.96346979263012</v>
      </c>
      <c r="I40">
        <f t="shared" si="2"/>
        <v>2800</v>
      </c>
      <c r="J40">
        <f ca="1"/>
        <v>24</v>
      </c>
      <c r="K40">
        <f t="shared" ca="1" si="1"/>
        <v>3.1999999999999999E-5</v>
      </c>
      <c r="L40">
        <f ca="1">SUM($J$8:J40)/$J$5</f>
        <v>0.99339999999999995</v>
      </c>
    </row>
    <row r="41" spans="1:18" x14ac:dyDescent="0.2">
      <c r="A41" s="6">
        <f ca="1">Model!$F$13+RAND()*(Model!$G$13-Model!$F$13)</f>
        <v>1296.095222913475</v>
      </c>
      <c r="B41" s="31">
        <f ca="1">Model!$F$14+RAND()*(Model!$G$14-Model!$F$14)</f>
        <v>0.51013034233029597</v>
      </c>
      <c r="C41" s="32">
        <f ca="1">Model!$F$15+RAND()*(Model!$G$15-Model!$F$15)</f>
        <v>4.0871242409131966E-2</v>
      </c>
      <c r="D41" s="33">
        <f ca="1">Model!$F$16+RAND()*(Model!$G$16-Model!$F$16)</f>
        <v>47.543802742608847</v>
      </c>
      <c r="E41" s="33">
        <f>Model!$D$17</f>
        <v>800</v>
      </c>
      <c r="G41" s="36">
        <f t="shared" ca="1" si="0"/>
        <v>1057.3614108403553</v>
      </c>
      <c r="I41">
        <f t="shared" si="2"/>
        <v>2950</v>
      </c>
      <c r="J41">
        <f ca="1"/>
        <v>20</v>
      </c>
      <c r="K41">
        <f t="shared" ca="1" si="1"/>
        <v>2.6666666666666667E-5</v>
      </c>
      <c r="L41">
        <f ca="1">SUM($J$8:J41)/$J$5</f>
        <v>0.99739999999999995</v>
      </c>
    </row>
    <row r="42" spans="1:18" x14ac:dyDescent="0.2">
      <c r="A42" s="6">
        <f ca="1">Model!$F$13+RAND()*(Model!$G$13-Model!$F$13)</f>
        <v>1771.279592371076</v>
      </c>
      <c r="B42" s="31">
        <f ca="1">Model!$F$14+RAND()*(Model!$G$14-Model!$F$14)</f>
        <v>0.52301101781130455</v>
      </c>
      <c r="C42" s="32">
        <f ca="1">Model!$F$15+RAND()*(Model!$G$15-Model!$F$15)</f>
        <v>3.2824461907820561E-2</v>
      </c>
      <c r="D42" s="33">
        <f ca="1">Model!$F$16+RAND()*(Model!$G$16-Model!$F$16)</f>
        <v>49.357163483846122</v>
      </c>
      <c r="E42" s="33">
        <f>Model!$D$17</f>
        <v>800</v>
      </c>
      <c r="G42" s="36">
        <f t="shared" ca="1" si="0"/>
        <v>1143.2908825395189</v>
      </c>
      <c r="I42">
        <f t="shared" si="2"/>
        <v>3100</v>
      </c>
      <c r="J42">
        <f ca="1"/>
        <v>9</v>
      </c>
      <c r="K42">
        <f t="shared" ca="1" si="1"/>
        <v>1.2E-5</v>
      </c>
      <c r="L42">
        <f ca="1">SUM($J$8:J42)/$J$5</f>
        <v>0.99919999999999998</v>
      </c>
    </row>
    <row r="43" spans="1:18" x14ac:dyDescent="0.2">
      <c r="A43" s="6">
        <f ca="1">Model!$F$13+RAND()*(Model!$G$13-Model!$F$13)</f>
        <v>1610.6709774203748</v>
      </c>
      <c r="B43" s="31">
        <f ca="1">Model!$F$14+RAND()*(Model!$G$14-Model!$F$14)</f>
        <v>0.7013569039454719</v>
      </c>
      <c r="C43" s="32">
        <f ca="1">Model!$F$15+RAND()*(Model!$G$15-Model!$F$15)</f>
        <v>1.7533143618358792E-2</v>
      </c>
      <c r="D43" s="33">
        <f ca="1">Model!$F$16+RAND()*(Model!$G$16-Model!$F$16)</f>
        <v>52.322005574351614</v>
      </c>
      <c r="E43" s="33">
        <f>Model!$D$17</f>
        <v>800</v>
      </c>
      <c r="G43" s="36">
        <f t="shared" ca="1" si="0"/>
        <v>-452.07520255500731</v>
      </c>
      <c r="I43">
        <f t="shared" si="2"/>
        <v>3250</v>
      </c>
      <c r="J43">
        <f ca="1"/>
        <v>3</v>
      </c>
      <c r="K43">
        <f t="shared" ca="1" si="1"/>
        <v>3.9999999999999998E-6</v>
      </c>
      <c r="L43">
        <f ca="1">SUM($J$8:J43)/$J$5</f>
        <v>0.99980000000000002</v>
      </c>
    </row>
    <row r="44" spans="1:18" x14ac:dyDescent="0.2">
      <c r="A44" s="6">
        <f ca="1">Model!$F$13+RAND()*(Model!$G$13-Model!$F$13)</f>
        <v>1491.2111734958974</v>
      </c>
      <c r="B44" s="31">
        <f ca="1">Model!$F$14+RAND()*(Model!$G$14-Model!$F$14)</f>
        <v>0.26474033026994476</v>
      </c>
      <c r="C44" s="32">
        <f ca="1">Model!$F$15+RAND()*(Model!$G$15-Model!$F$15)</f>
        <v>1.2701674369021454E-2</v>
      </c>
      <c r="D44" s="33">
        <f ca="1">Model!$F$16+RAND()*(Model!$G$16-Model!$F$16)</f>
        <v>50.926243040564039</v>
      </c>
      <c r="E44" s="33">
        <f>Model!$D$17</f>
        <v>800</v>
      </c>
      <c r="G44" s="36">
        <f t="shared" ca="1" si="0"/>
        <v>-230.19594439777768</v>
      </c>
      <c r="I44">
        <f t="shared" si="2"/>
        <v>3400</v>
      </c>
      <c r="J44">
        <f ca="1"/>
        <v>1</v>
      </c>
      <c r="K44">
        <f t="shared" ca="1" si="1"/>
        <v>1.3333333333333334E-6</v>
      </c>
      <c r="L44">
        <f ca="1">SUM($J$8:J44)/$J$5</f>
        <v>1</v>
      </c>
    </row>
    <row r="45" spans="1:18" x14ac:dyDescent="0.2">
      <c r="A45" s="6">
        <f ca="1">Model!$F$13+RAND()*(Model!$G$13-Model!$F$13)</f>
        <v>1216.1713855475218</v>
      </c>
      <c r="B45" s="31">
        <f ca="1">Model!$F$14+RAND()*(Model!$G$14-Model!$F$14)</f>
        <v>0.73677223510806766</v>
      </c>
      <c r="C45" s="32">
        <f ca="1">Model!$F$15+RAND()*(Model!$G$15-Model!$F$15)</f>
        <v>1.1066038233730913E-2</v>
      </c>
      <c r="D45" s="33">
        <f ca="1">Model!$F$16+RAND()*(Model!$G$16-Model!$F$16)</f>
        <v>49.11598490525131</v>
      </c>
      <c r="E45" s="33">
        <f>Model!$D$17</f>
        <v>800</v>
      </c>
      <c r="G45" s="36">
        <f t="shared" ca="1" si="0"/>
        <v>-1035.0286085518314</v>
      </c>
      <c r="I45">
        <f t="shared" si="2"/>
        <v>3550</v>
      </c>
      <c r="J45">
        <f ca="1"/>
        <v>0</v>
      </c>
      <c r="K45">
        <f t="shared" ca="1" si="1"/>
        <v>0</v>
      </c>
      <c r="L45">
        <f ca="1">SUM($J$8:J45)/$J$5</f>
        <v>1</v>
      </c>
    </row>
    <row r="46" spans="1:18" x14ac:dyDescent="0.2">
      <c r="A46" s="6">
        <f ca="1">Model!$F$13+RAND()*(Model!$G$13-Model!$F$13)</f>
        <v>1723.5243074967548</v>
      </c>
      <c r="B46" s="31">
        <f ca="1">Model!$F$14+RAND()*(Model!$G$14-Model!$F$14)</f>
        <v>0.35854507995268037</v>
      </c>
      <c r="C46" s="32">
        <f ca="1">Model!$F$15+RAND()*(Model!$G$15-Model!$F$15)</f>
        <v>3.0871632302006818E-2</v>
      </c>
      <c r="D46" s="33">
        <f ca="1">Model!$F$16+RAND()*(Model!$G$16-Model!$F$16)</f>
        <v>51.4631684381404</v>
      </c>
      <c r="E46" s="33">
        <f>Model!$D$17</f>
        <v>800</v>
      </c>
      <c r="G46" s="36">
        <f t="shared" ca="1" si="0"/>
        <v>1320.291552562348</v>
      </c>
      <c r="I46">
        <f t="shared" si="2"/>
        <v>3700</v>
      </c>
      <c r="J46">
        <f ca="1"/>
        <v>0</v>
      </c>
      <c r="K46">
        <f t="shared" ca="1" si="1"/>
        <v>0</v>
      </c>
      <c r="L46">
        <f ca="1">SUM($J$8:J46)/$J$5</f>
        <v>1</v>
      </c>
    </row>
    <row r="47" spans="1:18" x14ac:dyDescent="0.2">
      <c r="A47" s="6">
        <f ca="1">Model!$F$13+RAND()*(Model!$G$13-Model!$F$13)</f>
        <v>1306.5004852314687</v>
      </c>
      <c r="B47" s="31">
        <f ca="1">Model!$F$14+RAND()*(Model!$G$14-Model!$F$14)</f>
        <v>0.29032755119627734</v>
      </c>
      <c r="C47" s="32">
        <f ca="1">Model!$F$15+RAND()*(Model!$G$15-Model!$F$15)</f>
        <v>4.2079412412568296E-2</v>
      </c>
      <c r="D47" s="33">
        <f ca="1">Model!$F$16+RAND()*(Model!$G$16-Model!$F$16)</f>
        <v>49.276776398856363</v>
      </c>
      <c r="E47" s="33">
        <f>Model!$D$17</f>
        <v>800</v>
      </c>
      <c r="G47" s="36">
        <f t="shared" ca="1" si="0"/>
        <v>1529.7650506929165</v>
      </c>
      <c r="I47">
        <f t="shared" si="2"/>
        <v>3850</v>
      </c>
      <c r="J47">
        <f ca="1"/>
        <v>0</v>
      </c>
      <c r="K47">
        <f t="shared" ca="1" si="1"/>
        <v>0</v>
      </c>
      <c r="L47">
        <f ca="1">SUM($J$8:J47)/$J$5</f>
        <v>1</v>
      </c>
    </row>
    <row r="48" spans="1:18" x14ac:dyDescent="0.2">
      <c r="A48" s="6">
        <f ca="1">Model!$F$13+RAND()*(Model!$G$13-Model!$F$13)</f>
        <v>1377.4066317287516</v>
      </c>
      <c r="B48" s="31">
        <f ca="1">Model!$F$14+RAND()*(Model!$G$14-Model!$F$14)</f>
        <v>0.40076617620353072</v>
      </c>
      <c r="C48" s="32">
        <f ca="1">Model!$F$15+RAND()*(Model!$G$15-Model!$F$15)</f>
        <v>4.6069543414237961E-2</v>
      </c>
      <c r="D48" s="33">
        <f ca="1">Model!$F$16+RAND()*(Model!$G$16-Model!$F$16)</f>
        <v>52.101170201183351</v>
      </c>
      <c r="E48" s="33">
        <f>Model!$D$17</f>
        <v>800</v>
      </c>
      <c r="G48" s="36">
        <f t="shared" ca="1" si="0"/>
        <v>1954.1396376650507</v>
      </c>
      <c r="I48">
        <f t="shared" si="2"/>
        <v>4000</v>
      </c>
      <c r="J48">
        <f ca="1"/>
        <v>0</v>
      </c>
      <c r="K48">
        <f t="shared" ca="1" si="1"/>
        <v>0</v>
      </c>
      <c r="L48">
        <f ca="1">SUM($J$8:J48)/$J$5</f>
        <v>1</v>
      </c>
    </row>
    <row r="49" spans="1:7" x14ac:dyDescent="0.2">
      <c r="A49" s="6">
        <f ca="1">Model!$F$13+RAND()*(Model!$G$13-Model!$F$13)</f>
        <v>1513.8297830854681</v>
      </c>
      <c r="B49" s="31">
        <f ca="1">Model!$F$14+RAND()*(Model!$G$14-Model!$F$14)</f>
        <v>0.71901675881982152</v>
      </c>
      <c r="C49" s="32">
        <f ca="1">Model!$F$15+RAND()*(Model!$G$15-Model!$F$15)</f>
        <v>2.5512530808405844E-2</v>
      </c>
      <c r="D49" s="33">
        <f ca="1">Model!$F$16+RAND()*(Model!$G$16-Model!$F$16)</f>
        <v>48.364077189477364</v>
      </c>
      <c r="E49" s="33">
        <f>Model!$D$17</f>
        <v>800</v>
      </c>
      <c r="G49" s="36">
        <f t="shared" ca="1" si="0"/>
        <v>-20.569538883861924</v>
      </c>
    </row>
    <row r="50" spans="1:7" x14ac:dyDescent="0.2">
      <c r="A50" s="6">
        <f ca="1">Model!$F$13+RAND()*(Model!$G$13-Model!$F$13)</f>
        <v>1702.9211783032263</v>
      </c>
      <c r="B50" s="31">
        <f ca="1">Model!$F$14+RAND()*(Model!$G$14-Model!$F$14)</f>
        <v>0.796814398023036</v>
      </c>
      <c r="C50" s="32">
        <f ca="1">Model!$F$15+RAND()*(Model!$G$15-Model!$F$15)</f>
        <v>3.3262858988363446E-2</v>
      </c>
      <c r="D50" s="33">
        <f ca="1">Model!$F$16+RAND()*(Model!$G$16-Model!$F$16)</f>
        <v>48.12861329051745</v>
      </c>
      <c r="E50" s="33">
        <f>Model!$D$17</f>
        <v>800</v>
      </c>
      <c r="G50" s="36">
        <f t="shared" ca="1" si="0"/>
        <v>569.28635819862075</v>
      </c>
    </row>
    <row r="51" spans="1:7" x14ac:dyDescent="0.2">
      <c r="A51" s="6">
        <f ca="1">Model!$F$13+RAND()*(Model!$G$13-Model!$F$13)</f>
        <v>1676.4047014711489</v>
      </c>
      <c r="B51" s="31">
        <f ca="1">Model!$F$14+RAND()*(Model!$G$14-Model!$F$14)</f>
        <v>0.32488924192498314</v>
      </c>
      <c r="C51" s="32">
        <f ca="1">Model!$F$15+RAND()*(Model!$G$15-Model!$F$15)</f>
        <v>3.4454388037014373E-2</v>
      </c>
      <c r="D51" s="33">
        <f ca="1">Model!$F$16+RAND()*(Model!$G$16-Model!$F$16)</f>
        <v>48.585791650108661</v>
      </c>
      <c r="E51" s="33">
        <f>Model!$D$17</f>
        <v>800</v>
      </c>
      <c r="G51" s="36">
        <f t="shared" ca="1" si="0"/>
        <v>1461.6450874710508</v>
      </c>
    </row>
    <row r="52" spans="1:7" x14ac:dyDescent="0.2">
      <c r="A52" s="6">
        <f ca="1">Model!$F$13+RAND()*(Model!$G$13-Model!$F$13)</f>
        <v>1296.3419610219939</v>
      </c>
      <c r="B52" s="31">
        <f ca="1">Model!$F$14+RAND()*(Model!$G$14-Model!$F$14)</f>
        <v>0.26661276498199526</v>
      </c>
      <c r="C52" s="32">
        <f ca="1">Model!$F$15+RAND()*(Model!$G$15-Model!$F$15)</f>
        <v>4.2941248897119179E-2</v>
      </c>
      <c r="D52" s="33">
        <f ca="1">Model!$F$16+RAND()*(Model!$G$16-Model!$F$16)</f>
        <v>49.652772245255605</v>
      </c>
      <c r="E52" s="33">
        <f>Model!$D$17</f>
        <v>800</v>
      </c>
      <c r="G52" s="36">
        <f t="shared" ca="1" si="0"/>
        <v>1618.3768569387707</v>
      </c>
    </row>
    <row r="53" spans="1:7" x14ac:dyDescent="0.2">
      <c r="A53" s="6">
        <f ca="1">Model!$F$13+RAND()*(Model!$G$13-Model!$F$13)</f>
        <v>1463.2143591915033</v>
      </c>
      <c r="B53" s="31">
        <f ca="1">Model!$F$14+RAND()*(Model!$G$14-Model!$F$14)</f>
        <v>0.29789355252758765</v>
      </c>
      <c r="C53" s="32">
        <f ca="1">Model!$F$15+RAND()*(Model!$G$15-Model!$F$15)</f>
        <v>2.2688405014947531E-2</v>
      </c>
      <c r="D53" s="33">
        <f ca="1">Model!$F$16+RAND()*(Model!$G$16-Model!$F$16)</f>
        <v>51.37906154735024</v>
      </c>
      <c r="E53" s="33">
        <f>Model!$D$17</f>
        <v>800</v>
      </c>
      <c r="G53" s="36">
        <f t="shared" ca="1" si="0"/>
        <v>469.79996193811394</v>
      </c>
    </row>
    <row r="54" spans="1:7" x14ac:dyDescent="0.2">
      <c r="A54" s="6">
        <f ca="1">Model!$F$13+RAND()*(Model!$G$13-Model!$F$13)</f>
        <v>1542.5547577264911</v>
      </c>
      <c r="B54" s="31">
        <f ca="1">Model!$F$14+RAND()*(Model!$G$14-Model!$F$14)</f>
        <v>0.29325606523094905</v>
      </c>
      <c r="C54" s="32">
        <f ca="1">Model!$F$15+RAND()*(Model!$G$15-Model!$F$15)</f>
        <v>3.8381822070254791E-2</v>
      </c>
      <c r="D54" s="33">
        <f ca="1">Model!$F$16+RAND()*(Model!$G$16-Model!$F$16)</f>
        <v>47.669013468529918</v>
      </c>
      <c r="E54" s="33">
        <f>Model!$D$17</f>
        <v>800</v>
      </c>
      <c r="G54" s="36">
        <f t="shared" ca="1" si="0"/>
        <v>1569.9310399062717</v>
      </c>
    </row>
    <row r="55" spans="1:7" x14ac:dyDescent="0.2">
      <c r="A55" s="6">
        <f ca="1">Model!$F$13+RAND()*(Model!$G$13-Model!$F$13)</f>
        <v>1308.1100584486942</v>
      </c>
      <c r="B55" s="31">
        <f ca="1">Model!$F$14+RAND()*(Model!$G$14-Model!$F$14)</f>
        <v>0.7001451594928938</v>
      </c>
      <c r="C55" s="32">
        <f ca="1">Model!$F$15+RAND()*(Model!$G$15-Model!$F$15)</f>
        <v>2.9629882410616343E-2</v>
      </c>
      <c r="D55" s="33">
        <f ca="1">Model!$F$16+RAND()*(Model!$G$16-Model!$F$16)</f>
        <v>49.305518730473942</v>
      </c>
      <c r="E55" s="33">
        <f>Model!$D$17</f>
        <v>800</v>
      </c>
      <c r="G55" s="36">
        <f t="shared" ca="1" si="0"/>
        <v>195.17293333062185</v>
      </c>
    </row>
    <row r="56" spans="1:7" x14ac:dyDescent="0.2">
      <c r="A56" s="6">
        <f ca="1">Model!$F$13+RAND()*(Model!$G$13-Model!$F$13)</f>
        <v>1294.0816608450318</v>
      </c>
      <c r="B56" s="31">
        <f ca="1">Model!$F$14+RAND()*(Model!$G$14-Model!$F$14)</f>
        <v>0.28342860001327835</v>
      </c>
      <c r="C56" s="32">
        <f ca="1">Model!$F$15+RAND()*(Model!$G$15-Model!$F$15)</f>
        <v>2.664802871069806E-2</v>
      </c>
      <c r="D56" s="33">
        <f ca="1">Model!$F$16+RAND()*(Model!$G$16-Model!$F$16)</f>
        <v>49.327567110657469</v>
      </c>
      <c r="E56" s="33">
        <f>Model!$D$17</f>
        <v>800</v>
      </c>
      <c r="G56" s="36">
        <f t="shared" ca="1" si="0"/>
        <v>534.26784573363534</v>
      </c>
    </row>
    <row r="57" spans="1:7" x14ac:dyDescent="0.2">
      <c r="A57" s="6">
        <f ca="1">Model!$F$13+RAND()*(Model!$G$13-Model!$F$13)</f>
        <v>1317.2409570870543</v>
      </c>
      <c r="B57" s="31">
        <f ca="1">Model!$F$14+RAND()*(Model!$G$14-Model!$F$14)</f>
        <v>0.45833792557888714</v>
      </c>
      <c r="C57" s="32">
        <f ca="1">Model!$F$15+RAND()*(Model!$G$15-Model!$F$15)</f>
        <v>4.5967563816765651E-2</v>
      </c>
      <c r="D57" s="33">
        <f ca="1">Model!$F$16+RAND()*(Model!$G$16-Model!$F$16)</f>
        <v>50.372481028796052</v>
      </c>
      <c r="E57" s="33">
        <f>Model!$D$17</f>
        <v>800</v>
      </c>
      <c r="G57" s="36">
        <f t="shared" ca="1" si="0"/>
        <v>1646.3302596402837</v>
      </c>
    </row>
    <row r="58" spans="1:7" x14ac:dyDescent="0.2">
      <c r="A58" s="6">
        <f ca="1">Model!$F$13+RAND()*(Model!$G$13-Model!$F$13)</f>
        <v>1278.3749849396661</v>
      </c>
      <c r="B58" s="31">
        <f ca="1">Model!$F$14+RAND()*(Model!$G$14-Model!$F$14)</f>
        <v>0.21084414546709149</v>
      </c>
      <c r="C58" s="32">
        <f ca="1">Model!$F$15+RAND()*(Model!$G$15-Model!$F$15)</f>
        <v>1.6237236624122877E-2</v>
      </c>
      <c r="D58" s="33">
        <f ca="1">Model!$F$16+RAND()*(Model!$G$16-Model!$F$16)</f>
        <v>51.346594037308826</v>
      </c>
      <c r="E58" s="33">
        <f>Model!$D$17</f>
        <v>800</v>
      </c>
      <c r="G58" s="36">
        <f t="shared" ca="1" si="0"/>
        <v>-3.7223994378100542</v>
      </c>
    </row>
    <row r="59" spans="1:7" x14ac:dyDescent="0.2">
      <c r="A59" s="6">
        <f ca="1">Model!$F$13+RAND()*(Model!$G$13-Model!$F$13)</f>
        <v>1413.7720516974407</v>
      </c>
      <c r="B59" s="31">
        <f ca="1">Model!$F$14+RAND()*(Model!$G$14-Model!$F$14)</f>
        <v>0.62764438492744601</v>
      </c>
      <c r="C59" s="32">
        <f ca="1">Model!$F$15+RAND()*(Model!$G$15-Model!$F$15)</f>
        <v>2.1319636280584586E-2</v>
      </c>
      <c r="D59" s="33">
        <f ca="1">Model!$F$16+RAND()*(Model!$G$16-Model!$F$16)</f>
        <v>49.932988039956413</v>
      </c>
      <c r="E59" s="33">
        <f>Model!$D$17</f>
        <v>800</v>
      </c>
      <c r="G59" s="36">
        <f t="shared" ca="1" si="0"/>
        <v>-182.31060810896247</v>
      </c>
    </row>
    <row r="60" spans="1:7" x14ac:dyDescent="0.2">
      <c r="A60" s="6">
        <f ca="1">Model!$F$13+RAND()*(Model!$G$13-Model!$F$13)</f>
        <v>1644.4155883752053</v>
      </c>
      <c r="B60" s="31">
        <f ca="1">Model!$F$14+RAND()*(Model!$G$14-Model!$F$14)</f>
        <v>0.33694309677235224</v>
      </c>
      <c r="C60" s="32">
        <f ca="1">Model!$F$15+RAND()*(Model!$G$15-Model!$F$15)</f>
        <v>3.9806942763273429E-2</v>
      </c>
      <c r="D60" s="33">
        <f ca="1">Model!$F$16+RAND()*(Model!$G$16-Model!$F$16)</f>
        <v>52.806115016128828</v>
      </c>
      <c r="E60" s="33">
        <f>Model!$D$17</f>
        <v>800</v>
      </c>
      <c r="G60" s="36">
        <f t="shared" ca="1" si="0"/>
        <v>2102.569303523901</v>
      </c>
    </row>
    <row r="61" spans="1:7" x14ac:dyDescent="0.2">
      <c r="A61" s="6">
        <f ca="1">Model!$F$13+RAND()*(Model!$G$13-Model!$F$13)</f>
        <v>1632.3199217115612</v>
      </c>
      <c r="B61" s="31">
        <f ca="1">Model!$F$14+RAND()*(Model!$G$14-Model!$F$14)</f>
        <v>0.60653572628078045</v>
      </c>
      <c r="C61" s="32">
        <f ca="1">Model!$F$15+RAND()*(Model!$G$15-Model!$F$15)</f>
        <v>1.0260485425443E-2</v>
      </c>
      <c r="D61" s="33">
        <f ca="1">Model!$F$16+RAND()*(Model!$G$16-Model!$F$16)</f>
        <v>49.278843968301665</v>
      </c>
      <c r="E61" s="33">
        <f>Model!$D$17</f>
        <v>800</v>
      </c>
      <c r="G61" s="36">
        <f t="shared" ca="1" si="0"/>
        <v>-964.71881682586286</v>
      </c>
    </row>
    <row r="62" spans="1:7" x14ac:dyDescent="0.2">
      <c r="A62" s="6">
        <f ca="1">Model!$F$13+RAND()*(Model!$G$13-Model!$F$13)</f>
        <v>1551.1628534847548</v>
      </c>
      <c r="B62" s="31">
        <f ca="1">Model!$F$14+RAND()*(Model!$G$14-Model!$F$14)</f>
        <v>0.26967072645594969</v>
      </c>
      <c r="C62" s="32">
        <f ca="1">Model!$F$15+RAND()*(Model!$G$15-Model!$F$15)</f>
        <v>4.9105538324903823E-2</v>
      </c>
      <c r="D62" s="33">
        <f ca="1">Model!$F$16+RAND()*(Model!$G$16-Model!$F$16)</f>
        <v>52.663096376022054</v>
      </c>
      <c r="E62" s="33">
        <f>Model!$D$17</f>
        <v>800</v>
      </c>
      <c r="G62" s="36">
        <f t="shared" ca="1" si="0"/>
        <v>2793.0810143229783</v>
      </c>
    </row>
    <row r="63" spans="1:7" x14ac:dyDescent="0.2">
      <c r="A63" s="6">
        <f ca="1">Model!$F$13+RAND()*(Model!$G$13-Model!$F$13)</f>
        <v>1496.3399056828366</v>
      </c>
      <c r="B63" s="31">
        <f ca="1">Model!$F$14+RAND()*(Model!$G$14-Model!$F$14)</f>
        <v>0.47593645167184745</v>
      </c>
      <c r="C63" s="32">
        <f ca="1">Model!$F$15+RAND()*(Model!$G$15-Model!$F$15)</f>
        <v>2.3941675253332587E-2</v>
      </c>
      <c r="D63" s="33">
        <f ca="1">Model!$F$16+RAND()*(Model!$G$16-Model!$F$16)</f>
        <v>49.831264242925357</v>
      </c>
      <c r="E63" s="33">
        <f>Model!$D$17</f>
        <v>800</v>
      </c>
      <c r="G63" s="36">
        <f t="shared" ca="1" si="0"/>
        <v>273.03656037824794</v>
      </c>
    </row>
    <row r="64" spans="1:7" x14ac:dyDescent="0.2">
      <c r="A64" s="6">
        <f ca="1">Model!$F$13+RAND()*(Model!$G$13-Model!$F$13)</f>
        <v>1666.2973029670952</v>
      </c>
      <c r="B64" s="31">
        <f ca="1">Model!$F$14+RAND()*(Model!$G$14-Model!$F$14)</f>
        <v>0.38191954606298251</v>
      </c>
      <c r="C64" s="32">
        <f ca="1">Model!$F$15+RAND()*(Model!$G$15-Model!$F$15)</f>
        <v>1.4411932333334935E-2</v>
      </c>
      <c r="D64" s="33">
        <f ca="1">Model!$F$16+RAND()*(Model!$G$16-Model!$F$16)</f>
        <v>50.599917953842599</v>
      </c>
      <c r="E64" s="33">
        <f>Model!$D$17</f>
        <v>800</v>
      </c>
      <c r="G64" s="36">
        <f t="shared" ca="1" si="0"/>
        <v>-221.25654259229918</v>
      </c>
    </row>
    <row r="65" spans="1:7" x14ac:dyDescent="0.2">
      <c r="A65" s="6">
        <f ca="1">Model!$F$13+RAND()*(Model!$G$13-Model!$F$13)</f>
        <v>1753.5878571465778</v>
      </c>
      <c r="B65" s="31">
        <f ca="1">Model!$F$14+RAND()*(Model!$G$14-Model!$F$14)</f>
        <v>0.43891332617582013</v>
      </c>
      <c r="C65" s="32">
        <f ca="1">Model!$F$15+RAND()*(Model!$G$15-Model!$F$15)</f>
        <v>1.0754025267032787E-2</v>
      </c>
      <c r="D65" s="33">
        <f ca="1">Model!$F$16+RAND()*(Model!$G$16-Model!$F$16)</f>
        <v>51.255911699558489</v>
      </c>
      <c r="E65" s="33">
        <f>Model!$D$17</f>
        <v>800</v>
      </c>
      <c r="G65" s="36">
        <f t="shared" ca="1" si="0"/>
        <v>-603.08252919357631</v>
      </c>
    </row>
    <row r="66" spans="1:7" x14ac:dyDescent="0.2">
      <c r="A66" s="6">
        <f ca="1">Model!$F$13+RAND()*(Model!$G$13-Model!$F$13)</f>
        <v>1762.9479148138564</v>
      </c>
      <c r="B66" s="31">
        <f ca="1">Model!$F$14+RAND()*(Model!$G$14-Model!$F$14)</f>
        <v>0.23516889356349865</v>
      </c>
      <c r="C66" s="32">
        <f ca="1">Model!$F$15+RAND()*(Model!$G$15-Model!$F$15)</f>
        <v>4.6729690450321826E-2</v>
      </c>
      <c r="D66" s="33">
        <f ca="1">Model!$F$16+RAND()*(Model!$G$16-Model!$F$16)</f>
        <v>51.066605280693025</v>
      </c>
      <c r="E66" s="33">
        <f>Model!$D$17</f>
        <v>800</v>
      </c>
      <c r="G66" s="36">
        <f t="shared" ca="1" si="0"/>
        <v>2992.3790936897358</v>
      </c>
    </row>
    <row r="67" spans="1:7" x14ac:dyDescent="0.2">
      <c r="A67" s="6">
        <f ca="1">Model!$F$13+RAND()*(Model!$G$13-Model!$F$13)</f>
        <v>1443.1293773841148</v>
      </c>
      <c r="B67" s="31">
        <f ca="1">Model!$F$14+RAND()*(Model!$G$14-Model!$F$14)</f>
        <v>0.66907926072240476</v>
      </c>
      <c r="C67" s="32">
        <f ca="1">Model!$F$15+RAND()*(Model!$G$15-Model!$F$15)</f>
        <v>2.9902422509677833E-2</v>
      </c>
      <c r="D67" s="33">
        <f ca="1">Model!$F$16+RAND()*(Model!$G$16-Model!$F$16)</f>
        <v>50.042724267403273</v>
      </c>
      <c r="E67" s="33">
        <f>Model!$D$17</f>
        <v>800</v>
      </c>
      <c r="G67" s="36">
        <f t="shared" ref="G67:G130" ca="1" si="3">A67*C67*D67-(E67+A67*B67)</f>
        <v>393.92896504824262</v>
      </c>
    </row>
    <row r="68" spans="1:7" x14ac:dyDescent="0.2">
      <c r="A68" s="6">
        <f ca="1">Model!$F$13+RAND()*(Model!$G$13-Model!$F$13)</f>
        <v>1471.8555816937305</v>
      </c>
      <c r="B68" s="31">
        <f ca="1">Model!$F$14+RAND()*(Model!$G$14-Model!$F$14)</f>
        <v>0.79151171912088025</v>
      </c>
      <c r="C68" s="32">
        <f ca="1">Model!$F$15+RAND()*(Model!$G$15-Model!$F$15)</f>
        <v>1.0777004379669086E-2</v>
      </c>
      <c r="D68" s="33">
        <f ca="1">Model!$F$16+RAND()*(Model!$G$16-Model!$F$16)</f>
        <v>52.3986390116373</v>
      </c>
      <c r="E68" s="33">
        <f>Model!$D$17</f>
        <v>800</v>
      </c>
      <c r="G68" s="36">
        <f t="shared" ca="1" si="3"/>
        <v>-1133.833561797522</v>
      </c>
    </row>
    <row r="69" spans="1:7" x14ac:dyDescent="0.2">
      <c r="A69" s="6">
        <f ca="1">Model!$F$13+RAND()*(Model!$G$13-Model!$F$13)</f>
        <v>1712.791719096952</v>
      </c>
      <c r="B69" s="31">
        <f ca="1">Model!$F$14+RAND()*(Model!$G$14-Model!$F$14)</f>
        <v>0.58129307564814636</v>
      </c>
      <c r="C69" s="32">
        <f ca="1">Model!$F$15+RAND()*(Model!$G$15-Model!$F$15)</f>
        <v>4.0924964269510491E-2</v>
      </c>
      <c r="D69" s="33">
        <f ca="1">Model!$F$16+RAND()*(Model!$G$16-Model!$F$16)</f>
        <v>48.104939017211841</v>
      </c>
      <c r="E69" s="33">
        <f>Model!$D$17</f>
        <v>800</v>
      </c>
      <c r="G69" s="36">
        <f t="shared" ca="1" si="3"/>
        <v>1576.3269481531427</v>
      </c>
    </row>
    <row r="70" spans="1:7" x14ac:dyDescent="0.2">
      <c r="A70" s="6">
        <f ca="1">Model!$F$13+RAND()*(Model!$G$13-Model!$F$13)</f>
        <v>1674.647041858924</v>
      </c>
      <c r="B70" s="31">
        <f ca="1">Model!$F$14+RAND()*(Model!$G$14-Model!$F$14)</f>
        <v>0.64480695897533535</v>
      </c>
      <c r="C70" s="32">
        <f ca="1">Model!$F$15+RAND()*(Model!$G$15-Model!$F$15)</f>
        <v>2.1053248702805036E-2</v>
      </c>
      <c r="D70" s="33">
        <f ca="1">Model!$F$16+RAND()*(Model!$G$16-Model!$F$16)</f>
        <v>49.725596961453135</v>
      </c>
      <c r="E70" s="33">
        <f>Model!$D$17</f>
        <v>800</v>
      </c>
      <c r="G70" s="36">
        <f t="shared" ca="1" si="3"/>
        <v>-126.66059558934217</v>
      </c>
    </row>
    <row r="71" spans="1:7" x14ac:dyDescent="0.2">
      <c r="A71" s="6">
        <f ca="1">Model!$F$13+RAND()*(Model!$G$13-Model!$F$13)</f>
        <v>1484.4841568770676</v>
      </c>
      <c r="B71" s="31">
        <f ca="1">Model!$F$14+RAND()*(Model!$G$14-Model!$F$14)</f>
        <v>0.5731898077276546</v>
      </c>
      <c r="C71" s="32">
        <f ca="1">Model!$F$15+RAND()*(Model!$G$15-Model!$F$15)</f>
        <v>2.8492423844930281E-2</v>
      </c>
      <c r="D71" s="33">
        <f ca="1">Model!$F$16+RAND()*(Model!$G$16-Model!$F$16)</f>
        <v>48.201699072997805</v>
      </c>
      <c r="E71" s="33">
        <f>Model!$D$17</f>
        <v>800</v>
      </c>
      <c r="G71" s="36">
        <f t="shared" ca="1" si="3"/>
        <v>387.87447269531231</v>
      </c>
    </row>
    <row r="72" spans="1:7" x14ac:dyDescent="0.2">
      <c r="A72" s="6">
        <f ca="1">Model!$F$13+RAND()*(Model!$G$13-Model!$F$13)</f>
        <v>1226.7758682831586</v>
      </c>
      <c r="B72" s="31">
        <f ca="1">Model!$F$14+RAND()*(Model!$G$14-Model!$F$14)</f>
        <v>0.38230384390667116</v>
      </c>
      <c r="C72" s="32">
        <f ca="1">Model!$F$15+RAND()*(Model!$G$15-Model!$F$15)</f>
        <v>2.4975624630118376E-2</v>
      </c>
      <c r="D72" s="33">
        <f ca="1">Model!$F$16+RAND()*(Model!$G$16-Model!$F$16)</f>
        <v>51.549632917277179</v>
      </c>
      <c r="E72" s="33">
        <f>Model!$D$17</f>
        <v>800</v>
      </c>
      <c r="G72" s="36">
        <f t="shared" ca="1" si="3"/>
        <v>310.45351735792451</v>
      </c>
    </row>
    <row r="73" spans="1:7" x14ac:dyDescent="0.2">
      <c r="A73" s="6">
        <f ca="1">Model!$F$13+RAND()*(Model!$G$13-Model!$F$13)</f>
        <v>1624.5615035131618</v>
      </c>
      <c r="B73" s="31">
        <f ca="1">Model!$F$14+RAND()*(Model!$G$14-Model!$F$14)</f>
        <v>0.4906980642334261</v>
      </c>
      <c r="C73" s="32">
        <f ca="1">Model!$F$15+RAND()*(Model!$G$15-Model!$F$15)</f>
        <v>3.0713744680242495E-2</v>
      </c>
      <c r="D73" s="33">
        <f ca="1">Model!$F$16+RAND()*(Model!$G$16-Model!$F$16)</f>
        <v>51.645490114159401</v>
      </c>
      <c r="E73" s="33">
        <f>Model!$D$17</f>
        <v>800</v>
      </c>
      <c r="G73" s="36">
        <f t="shared" ca="1" si="3"/>
        <v>979.75315583037627</v>
      </c>
    </row>
    <row r="74" spans="1:7" x14ac:dyDescent="0.2">
      <c r="A74" s="6">
        <f ca="1">Model!$F$13+RAND()*(Model!$G$13-Model!$F$13)</f>
        <v>1230.493615220895</v>
      </c>
      <c r="B74" s="31">
        <f ca="1">Model!$F$14+RAND()*(Model!$G$14-Model!$F$14)</f>
        <v>0.21178955173601186</v>
      </c>
      <c r="C74" s="32">
        <f ca="1">Model!$F$15+RAND()*(Model!$G$15-Model!$F$15)</f>
        <v>4.975446218378566E-2</v>
      </c>
      <c r="D74" s="33">
        <f ca="1">Model!$F$16+RAND()*(Model!$G$16-Model!$F$16)</f>
        <v>52.119705907685756</v>
      </c>
      <c r="E74" s="33">
        <f>Model!$D$17</f>
        <v>800</v>
      </c>
      <c r="G74" s="36">
        <f t="shared" ca="1" si="3"/>
        <v>2130.2955078896925</v>
      </c>
    </row>
    <row r="75" spans="1:7" x14ac:dyDescent="0.2">
      <c r="A75" s="6">
        <f ca="1">Model!$F$13+RAND()*(Model!$G$13-Model!$F$13)</f>
        <v>1383.4850403323164</v>
      </c>
      <c r="B75" s="31">
        <f ca="1">Model!$F$14+RAND()*(Model!$G$14-Model!$F$14)</f>
        <v>0.5976297324169727</v>
      </c>
      <c r="C75" s="32">
        <f ca="1">Model!$F$15+RAND()*(Model!$G$15-Model!$F$15)</f>
        <v>1.6685976100140953E-2</v>
      </c>
      <c r="D75" s="33">
        <f ca="1">Model!$F$16+RAND()*(Model!$G$16-Model!$F$16)</f>
        <v>49.230548450444502</v>
      </c>
      <c r="E75" s="33">
        <f>Model!$D$17</f>
        <v>800</v>
      </c>
      <c r="G75" s="36">
        <f t="shared" ca="1" si="3"/>
        <v>-490.33451239918304</v>
      </c>
    </row>
    <row r="76" spans="1:7" x14ac:dyDescent="0.2">
      <c r="A76" s="6">
        <f ca="1">Model!$F$13+RAND()*(Model!$G$13-Model!$F$13)</f>
        <v>1594.52790582475</v>
      </c>
      <c r="B76" s="31">
        <f ca="1">Model!$F$14+RAND()*(Model!$G$14-Model!$F$14)</f>
        <v>0.30567000874054828</v>
      </c>
      <c r="C76" s="32">
        <f ca="1">Model!$F$15+RAND()*(Model!$G$15-Model!$F$15)</f>
        <v>4.4966683759182606E-2</v>
      </c>
      <c r="D76" s="33">
        <f ca="1">Model!$F$16+RAND()*(Model!$G$16-Model!$F$16)</f>
        <v>52.456145877635542</v>
      </c>
      <c r="E76" s="33">
        <f>Model!$D$17</f>
        <v>800</v>
      </c>
      <c r="G76" s="36">
        <f t="shared" ca="1" si="3"/>
        <v>2473.7394573330689</v>
      </c>
    </row>
    <row r="77" spans="1:7" x14ac:dyDescent="0.2">
      <c r="A77" s="6">
        <f ca="1">Model!$F$13+RAND()*(Model!$G$13-Model!$F$13)</f>
        <v>1315.7018601881082</v>
      </c>
      <c r="B77" s="31">
        <f ca="1">Model!$F$14+RAND()*(Model!$G$14-Model!$F$14)</f>
        <v>0.65121707051930855</v>
      </c>
      <c r="C77" s="32">
        <f ca="1">Model!$F$15+RAND()*(Model!$G$15-Model!$F$15)</f>
        <v>1.3643773126257881E-2</v>
      </c>
      <c r="D77" s="33">
        <f ca="1">Model!$F$16+RAND()*(Model!$G$16-Model!$F$16)</f>
        <v>52.144718200245883</v>
      </c>
      <c r="E77" s="33">
        <f>Model!$D$17</f>
        <v>800</v>
      </c>
      <c r="G77" s="36">
        <f t="shared" ca="1" si="3"/>
        <v>-720.75049525626571</v>
      </c>
    </row>
    <row r="78" spans="1:7" x14ac:dyDescent="0.2">
      <c r="A78" s="6">
        <f ca="1">Model!$F$13+RAND()*(Model!$G$13-Model!$F$13)</f>
        <v>1621.2096924128325</v>
      </c>
      <c r="B78" s="31">
        <f ca="1">Model!$F$14+RAND()*(Model!$G$14-Model!$F$14)</f>
        <v>0.70270638084096326</v>
      </c>
      <c r="C78" s="32">
        <f ca="1">Model!$F$15+RAND()*(Model!$G$15-Model!$F$15)</f>
        <v>2.5497761160352739E-2</v>
      </c>
      <c r="D78" s="33">
        <f ca="1">Model!$F$16+RAND()*(Model!$G$16-Model!$F$16)</f>
        <v>47.417455224523373</v>
      </c>
      <c r="E78" s="33">
        <f>Model!$D$17</f>
        <v>800</v>
      </c>
      <c r="G78" s="36">
        <f t="shared" ca="1" si="3"/>
        <v>20.871265700198819</v>
      </c>
    </row>
    <row r="79" spans="1:7" x14ac:dyDescent="0.2">
      <c r="A79" s="6">
        <f ca="1">Model!$F$13+RAND()*(Model!$G$13-Model!$F$13)</f>
        <v>1537.8340705101061</v>
      </c>
      <c r="B79" s="31">
        <f ca="1">Model!$F$14+RAND()*(Model!$G$14-Model!$F$14)</f>
        <v>0.54775169266894019</v>
      </c>
      <c r="C79" s="32">
        <f ca="1">Model!$F$15+RAND()*(Model!$G$15-Model!$F$15)</f>
        <v>1.9274555408169747E-2</v>
      </c>
      <c r="D79" s="33">
        <f ca="1">Model!$F$16+RAND()*(Model!$G$16-Model!$F$16)</f>
        <v>51.861491138745222</v>
      </c>
      <c r="E79" s="33">
        <f>Model!$D$17</f>
        <v>800</v>
      </c>
      <c r="G79" s="36">
        <f t="shared" ca="1" si="3"/>
        <v>-105.12122970886844</v>
      </c>
    </row>
    <row r="80" spans="1:7" x14ac:dyDescent="0.2">
      <c r="A80" s="6">
        <f ca="1">Model!$F$13+RAND()*(Model!$G$13-Model!$F$13)</f>
        <v>1497.6427732563616</v>
      </c>
      <c r="B80" s="31">
        <f ca="1">Model!$F$14+RAND()*(Model!$G$14-Model!$F$14)</f>
        <v>0.33160975556067601</v>
      </c>
      <c r="C80" s="32">
        <f ca="1">Model!$F$15+RAND()*(Model!$G$15-Model!$F$15)</f>
        <v>1.2733881173503497E-2</v>
      </c>
      <c r="D80" s="33">
        <f ca="1">Model!$F$16+RAND()*(Model!$G$16-Model!$F$16)</f>
        <v>50.726833521116923</v>
      </c>
      <c r="E80" s="33">
        <f>Model!$D$17</f>
        <v>800</v>
      </c>
      <c r="G80" s="36">
        <f t="shared" ca="1" si="3"/>
        <v>-329.23139777434551</v>
      </c>
    </row>
    <row r="81" spans="1:7" x14ac:dyDescent="0.2">
      <c r="A81" s="6">
        <f ca="1">Model!$F$13+RAND()*(Model!$G$13-Model!$F$13)</f>
        <v>1287.1001362304469</v>
      </c>
      <c r="B81" s="31">
        <f ca="1">Model!$F$14+RAND()*(Model!$G$14-Model!$F$14)</f>
        <v>0.367665670648466</v>
      </c>
      <c r="C81" s="32">
        <f ca="1">Model!$F$15+RAND()*(Model!$G$15-Model!$F$15)</f>
        <v>1.5403723585889538E-2</v>
      </c>
      <c r="D81" s="33">
        <f ca="1">Model!$F$16+RAND()*(Model!$G$16-Model!$F$16)</f>
        <v>48.186215990202996</v>
      </c>
      <c r="E81" s="33">
        <f>Model!$D$17</f>
        <v>800</v>
      </c>
      <c r="G81" s="36">
        <f t="shared" ca="1" si="3"/>
        <v>-317.87612462800678</v>
      </c>
    </row>
    <row r="82" spans="1:7" x14ac:dyDescent="0.2">
      <c r="A82" s="6">
        <f ca="1">Model!$F$13+RAND()*(Model!$G$13-Model!$F$13)</f>
        <v>1365.0992925387868</v>
      </c>
      <c r="B82" s="31">
        <f ca="1">Model!$F$14+RAND()*(Model!$G$14-Model!$F$14)</f>
        <v>0.72754706533862445</v>
      </c>
      <c r="C82" s="32">
        <f ca="1">Model!$F$15+RAND()*(Model!$G$15-Model!$F$15)</f>
        <v>1.3671032589894674E-2</v>
      </c>
      <c r="D82" s="33">
        <f ca="1">Model!$F$16+RAND()*(Model!$G$16-Model!$F$16)</f>
        <v>48.737340444807145</v>
      </c>
      <c r="E82" s="33">
        <f>Model!$D$17</f>
        <v>800</v>
      </c>
      <c r="G82" s="36">
        <f t="shared" ca="1" si="3"/>
        <v>-883.6222911223897</v>
      </c>
    </row>
    <row r="83" spans="1:7" x14ac:dyDescent="0.2">
      <c r="A83" s="6">
        <f ca="1">Model!$F$13+RAND()*(Model!$G$13-Model!$F$13)</f>
        <v>1215.0643973107701</v>
      </c>
      <c r="B83" s="31">
        <f ca="1">Model!$F$14+RAND()*(Model!$G$14-Model!$F$14)</f>
        <v>0.27491687245043411</v>
      </c>
      <c r="C83" s="32">
        <f ca="1">Model!$F$15+RAND()*(Model!$G$15-Model!$F$15)</f>
        <v>1.0470161819149544E-2</v>
      </c>
      <c r="D83" s="33">
        <f ca="1">Model!$F$16+RAND()*(Model!$G$16-Model!$F$16)</f>
        <v>51.822524263162485</v>
      </c>
      <c r="E83" s="33">
        <f>Model!$D$17</f>
        <v>800</v>
      </c>
      <c r="G83" s="36">
        <f t="shared" ca="1" si="3"/>
        <v>-474.75965146563885</v>
      </c>
    </row>
    <row r="84" spans="1:7" x14ac:dyDescent="0.2">
      <c r="A84" s="6">
        <f ca="1">Model!$F$13+RAND()*(Model!$G$13-Model!$F$13)</f>
        <v>1405.4209955341175</v>
      </c>
      <c r="B84" s="31">
        <f ca="1">Model!$F$14+RAND()*(Model!$G$14-Model!$F$14)</f>
        <v>0.5054211090843117</v>
      </c>
      <c r="C84" s="32">
        <f ca="1">Model!$F$15+RAND()*(Model!$G$15-Model!$F$15)</f>
        <v>2.3237444062055322E-2</v>
      </c>
      <c r="D84" s="33">
        <f ca="1">Model!$F$16+RAND()*(Model!$G$16-Model!$F$16)</f>
        <v>51.306036277007593</v>
      </c>
      <c r="E84" s="33">
        <f>Model!$D$17</f>
        <v>800</v>
      </c>
      <c r="G84" s="36">
        <f t="shared" ca="1" si="3"/>
        <v>165.24319447177777</v>
      </c>
    </row>
    <row r="85" spans="1:7" x14ac:dyDescent="0.2">
      <c r="A85" s="6">
        <f ca="1">Model!$F$13+RAND()*(Model!$G$13-Model!$F$13)</f>
        <v>1203.0584861382551</v>
      </c>
      <c r="B85" s="31">
        <f ca="1">Model!$F$14+RAND()*(Model!$G$14-Model!$F$14)</f>
        <v>0.67949905758839479</v>
      </c>
      <c r="C85" s="32">
        <f ca="1">Model!$F$15+RAND()*(Model!$G$15-Model!$F$15)</f>
        <v>1.5655892690494069E-2</v>
      </c>
      <c r="D85" s="33">
        <f ca="1">Model!$F$16+RAND()*(Model!$G$16-Model!$F$16)</f>
        <v>48.861894817140296</v>
      </c>
      <c r="E85" s="33">
        <f>Model!$D$17</f>
        <v>800</v>
      </c>
      <c r="G85" s="36">
        <f t="shared" ca="1" si="3"/>
        <v>-697.16553898917152</v>
      </c>
    </row>
    <row r="86" spans="1:7" x14ac:dyDescent="0.2">
      <c r="A86" s="6">
        <f ca="1">Model!$F$13+RAND()*(Model!$G$13-Model!$F$13)</f>
        <v>1680.4877448413667</v>
      </c>
      <c r="B86" s="31">
        <f ca="1">Model!$F$14+RAND()*(Model!$G$14-Model!$F$14)</f>
        <v>0.59822250751084027</v>
      </c>
      <c r="C86" s="32">
        <f ca="1">Model!$F$15+RAND()*(Model!$G$15-Model!$F$15)</f>
        <v>2.9020064296658044E-2</v>
      </c>
      <c r="D86" s="33">
        <f ca="1">Model!$F$16+RAND()*(Model!$G$16-Model!$F$16)</f>
        <v>49.81786433538381</v>
      </c>
      <c r="E86" s="33">
        <f>Model!$D$17</f>
        <v>800</v>
      </c>
      <c r="G86" s="36">
        <f t="shared" ca="1" si="3"/>
        <v>624.20516066082405</v>
      </c>
    </row>
    <row r="87" spans="1:7" x14ac:dyDescent="0.2">
      <c r="A87" s="6">
        <f ca="1">Model!$F$13+RAND()*(Model!$G$13-Model!$F$13)</f>
        <v>1788.1400278823253</v>
      </c>
      <c r="B87" s="31">
        <f ca="1">Model!$F$14+RAND()*(Model!$G$14-Model!$F$14)</f>
        <v>0.37283861598177903</v>
      </c>
      <c r="C87" s="32">
        <f ca="1">Model!$F$15+RAND()*(Model!$G$15-Model!$F$15)</f>
        <v>2.245263864850261E-2</v>
      </c>
      <c r="D87" s="33">
        <f ca="1">Model!$F$16+RAND()*(Model!$G$16-Model!$F$16)</f>
        <v>51.361440748362838</v>
      </c>
      <c r="E87" s="33">
        <f>Model!$D$17</f>
        <v>800</v>
      </c>
      <c r="G87" s="36">
        <f t="shared" ca="1" si="3"/>
        <v>595.39519378433988</v>
      </c>
    </row>
    <row r="88" spans="1:7" x14ac:dyDescent="0.2">
      <c r="A88" s="6">
        <f ca="1">Model!$F$13+RAND()*(Model!$G$13-Model!$F$13)</f>
        <v>1491.5443868161794</v>
      </c>
      <c r="B88" s="31">
        <f ca="1">Model!$F$14+RAND()*(Model!$G$14-Model!$F$14)</f>
        <v>0.73476244094211451</v>
      </c>
      <c r="C88" s="32">
        <f ca="1">Model!$F$15+RAND()*(Model!$G$15-Model!$F$15)</f>
        <v>1.7312582600273942E-2</v>
      </c>
      <c r="D88" s="33">
        <f ca="1">Model!$F$16+RAND()*(Model!$G$16-Model!$F$16)</f>
        <v>52.807980986273485</v>
      </c>
      <c r="E88" s="33">
        <f>Model!$D$17</f>
        <v>800</v>
      </c>
      <c r="G88" s="36">
        <f t="shared" ca="1" si="3"/>
        <v>-532.29747647610407</v>
      </c>
    </row>
    <row r="89" spans="1:7" x14ac:dyDescent="0.2">
      <c r="A89" s="6">
        <f ca="1">Model!$F$13+RAND()*(Model!$G$13-Model!$F$13)</f>
        <v>1575.0338466628757</v>
      </c>
      <c r="B89" s="31">
        <f ca="1">Model!$F$14+RAND()*(Model!$G$14-Model!$F$14)</f>
        <v>0.60486497597608213</v>
      </c>
      <c r="C89" s="32">
        <f ca="1">Model!$F$15+RAND()*(Model!$G$15-Model!$F$15)</f>
        <v>1.0754495245901179E-2</v>
      </c>
      <c r="D89" s="33">
        <f ca="1">Model!$F$16+RAND()*(Model!$G$16-Model!$F$16)</f>
        <v>48.138209621445654</v>
      </c>
      <c r="E89" s="33">
        <f>Model!$D$17</f>
        <v>800</v>
      </c>
      <c r="G89" s="36">
        <f t="shared" ca="1" si="3"/>
        <v>-937.28440656418331</v>
      </c>
    </row>
    <row r="90" spans="1:7" x14ac:dyDescent="0.2">
      <c r="A90" s="6">
        <f ca="1">Model!$F$13+RAND()*(Model!$G$13-Model!$F$13)</f>
        <v>1575.4057071545035</v>
      </c>
      <c r="B90" s="31">
        <f ca="1">Model!$F$14+RAND()*(Model!$G$14-Model!$F$14)</f>
        <v>0.48564854457942686</v>
      </c>
      <c r="C90" s="32">
        <f ca="1">Model!$F$15+RAND()*(Model!$G$15-Model!$F$15)</f>
        <v>2.5186338867759575E-2</v>
      </c>
      <c r="D90" s="33">
        <f ca="1">Model!$F$16+RAND()*(Model!$G$16-Model!$F$16)</f>
        <v>49.608674597053259</v>
      </c>
      <c r="E90" s="33">
        <f>Model!$D$17</f>
        <v>800</v>
      </c>
      <c r="G90" s="36">
        <f t="shared" ca="1" si="3"/>
        <v>403.31432688164023</v>
      </c>
    </row>
    <row r="91" spans="1:7" x14ac:dyDescent="0.2">
      <c r="A91" s="6">
        <f ca="1">Model!$F$13+RAND()*(Model!$G$13-Model!$F$13)</f>
        <v>1272.1115202485298</v>
      </c>
      <c r="B91" s="31">
        <f ca="1">Model!$F$14+RAND()*(Model!$G$14-Model!$F$14)</f>
        <v>0.49755750356824208</v>
      </c>
      <c r="C91" s="32">
        <f ca="1">Model!$F$15+RAND()*(Model!$G$15-Model!$F$15)</f>
        <v>1.5336183877806704E-2</v>
      </c>
      <c r="D91" s="33">
        <f ca="1">Model!$F$16+RAND()*(Model!$G$16-Model!$F$16)</f>
        <v>52.985804298105762</v>
      </c>
      <c r="E91" s="33">
        <f>Model!$D$17</f>
        <v>800</v>
      </c>
      <c r="G91" s="36">
        <f t="shared" ca="1" si="3"/>
        <v>-399.23076305272639</v>
      </c>
    </row>
    <row r="92" spans="1:7" x14ac:dyDescent="0.2">
      <c r="A92" s="6">
        <f ca="1">Model!$F$13+RAND()*(Model!$G$13-Model!$F$13)</f>
        <v>1731.6344722185768</v>
      </c>
      <c r="B92" s="31">
        <f ca="1">Model!$F$14+RAND()*(Model!$G$14-Model!$F$14)</f>
        <v>0.67335179163910319</v>
      </c>
      <c r="C92" s="32">
        <f ca="1">Model!$F$15+RAND()*(Model!$G$15-Model!$F$15)</f>
        <v>1.424689230046563E-2</v>
      </c>
      <c r="D92" s="33">
        <f ca="1">Model!$F$16+RAND()*(Model!$G$16-Model!$F$16)</f>
        <v>47.45699279120381</v>
      </c>
      <c r="E92" s="33">
        <f>Model!$D$17</f>
        <v>800</v>
      </c>
      <c r="G92" s="36">
        <f t="shared" ca="1" si="3"/>
        <v>-795.2157128991289</v>
      </c>
    </row>
    <row r="93" spans="1:7" x14ac:dyDescent="0.2">
      <c r="A93" s="6">
        <f ca="1">Model!$F$13+RAND()*(Model!$G$13-Model!$F$13)</f>
        <v>1295.3227244405275</v>
      </c>
      <c r="B93" s="31">
        <f ca="1">Model!$F$14+RAND()*(Model!$G$14-Model!$F$14)</f>
        <v>0.41127894647396368</v>
      </c>
      <c r="C93" s="32">
        <f ca="1">Model!$F$15+RAND()*(Model!$G$15-Model!$F$15)</f>
        <v>2.8608033314414139E-2</v>
      </c>
      <c r="D93" s="33">
        <f ca="1">Model!$F$16+RAND()*(Model!$G$16-Model!$F$16)</f>
        <v>47.013547162164933</v>
      </c>
      <c r="E93" s="33">
        <f>Model!$D$17</f>
        <v>800</v>
      </c>
      <c r="G93" s="36">
        <f t="shared" ca="1" si="3"/>
        <v>409.42492252528109</v>
      </c>
    </row>
    <row r="94" spans="1:7" x14ac:dyDescent="0.2">
      <c r="A94" s="6">
        <f ca="1">Model!$F$13+RAND()*(Model!$G$13-Model!$F$13)</f>
        <v>1239.2609347179</v>
      </c>
      <c r="B94" s="31">
        <f ca="1">Model!$F$14+RAND()*(Model!$G$14-Model!$F$14)</f>
        <v>0.60296795884523702</v>
      </c>
      <c r="C94" s="32">
        <f ca="1">Model!$F$15+RAND()*(Model!$G$15-Model!$F$15)</f>
        <v>2.8117979926855399E-2</v>
      </c>
      <c r="D94" s="33">
        <f ca="1">Model!$F$16+RAND()*(Model!$G$16-Model!$F$16)</f>
        <v>48.00656925562177</v>
      </c>
      <c r="E94" s="33">
        <f>Model!$D$17</f>
        <v>800</v>
      </c>
      <c r="G94" s="36">
        <f t="shared" ca="1" si="3"/>
        <v>125.57894895944446</v>
      </c>
    </row>
    <row r="95" spans="1:7" x14ac:dyDescent="0.2">
      <c r="A95" s="6">
        <f ca="1">Model!$F$13+RAND()*(Model!$G$13-Model!$F$13)</f>
        <v>1503.4604981818582</v>
      </c>
      <c r="B95" s="31">
        <f ca="1">Model!$F$14+RAND()*(Model!$G$14-Model!$F$14)</f>
        <v>0.4403484433615335</v>
      </c>
      <c r="C95" s="32">
        <f ca="1">Model!$F$15+RAND()*(Model!$G$15-Model!$F$15)</f>
        <v>2.1263946284458941E-2</v>
      </c>
      <c r="D95" s="33">
        <f ca="1">Model!$F$16+RAND()*(Model!$G$16-Model!$F$16)</f>
        <v>49.983739567413032</v>
      </c>
      <c r="E95" s="33">
        <f>Model!$D$17</f>
        <v>800</v>
      </c>
      <c r="G95" s="36">
        <f t="shared" ca="1" si="3"/>
        <v>135.9088357244807</v>
      </c>
    </row>
    <row r="96" spans="1:7" x14ac:dyDescent="0.2">
      <c r="A96" s="6">
        <f ca="1">Model!$F$13+RAND()*(Model!$G$13-Model!$F$13)</f>
        <v>1693.8249500502011</v>
      </c>
      <c r="B96" s="31">
        <f ca="1">Model!$F$14+RAND()*(Model!$G$14-Model!$F$14)</f>
        <v>0.67615699383596795</v>
      </c>
      <c r="C96" s="32">
        <f ca="1">Model!$F$15+RAND()*(Model!$G$15-Model!$F$15)</f>
        <v>1.0693062837032103E-2</v>
      </c>
      <c r="D96" s="33">
        <f ca="1">Model!$F$16+RAND()*(Model!$G$16-Model!$F$16)</f>
        <v>52.506497578873763</v>
      </c>
      <c r="E96" s="33">
        <f>Model!$D$17</f>
        <v>800</v>
      </c>
      <c r="G96" s="36">
        <f t="shared" ca="1" si="3"/>
        <v>-994.2846281585737</v>
      </c>
    </row>
    <row r="97" spans="1:7" x14ac:dyDescent="0.2">
      <c r="A97" s="6">
        <f ca="1">Model!$F$13+RAND()*(Model!$G$13-Model!$F$13)</f>
        <v>1687.9819192398311</v>
      </c>
      <c r="B97" s="31">
        <f ca="1">Model!$F$14+RAND()*(Model!$G$14-Model!$F$14)</f>
        <v>0.29069804853176195</v>
      </c>
      <c r="C97" s="32">
        <f ca="1">Model!$F$15+RAND()*(Model!$G$15-Model!$F$15)</f>
        <v>3.9696085937545735E-2</v>
      </c>
      <c r="D97" s="33">
        <f ca="1">Model!$F$16+RAND()*(Model!$G$16-Model!$F$16)</f>
        <v>48.808607175142015</v>
      </c>
      <c r="E97" s="33">
        <f>Model!$D$17</f>
        <v>800</v>
      </c>
      <c r="G97" s="36">
        <f t="shared" ca="1" si="3"/>
        <v>1979.7899208332224</v>
      </c>
    </row>
    <row r="98" spans="1:7" x14ac:dyDescent="0.2">
      <c r="A98" s="6">
        <f ca="1">Model!$F$13+RAND()*(Model!$G$13-Model!$F$13)</f>
        <v>1399.3358658447148</v>
      </c>
      <c r="B98" s="31">
        <f ca="1">Model!$F$14+RAND()*(Model!$G$14-Model!$F$14)</f>
        <v>0.42891570319668515</v>
      </c>
      <c r="C98" s="32">
        <f ca="1">Model!$F$15+RAND()*(Model!$G$15-Model!$F$15)</f>
        <v>1.4374008817639243E-2</v>
      </c>
      <c r="D98" s="33">
        <f ca="1">Model!$F$16+RAND()*(Model!$G$16-Model!$F$16)</f>
        <v>52.556878865632868</v>
      </c>
      <c r="E98" s="33">
        <f>Model!$D$17</f>
        <v>800</v>
      </c>
      <c r="G98" s="36">
        <f t="shared" ca="1" si="3"/>
        <v>-343.06459273478094</v>
      </c>
    </row>
    <row r="99" spans="1:7" x14ac:dyDescent="0.2">
      <c r="A99" s="6">
        <f ca="1">Model!$F$13+RAND()*(Model!$G$13-Model!$F$13)</f>
        <v>1428.6145801492603</v>
      </c>
      <c r="B99" s="31">
        <f ca="1">Model!$F$14+RAND()*(Model!$G$14-Model!$F$14)</f>
        <v>0.63500053096420928</v>
      </c>
      <c r="C99" s="32">
        <f ca="1">Model!$F$15+RAND()*(Model!$G$15-Model!$F$15)</f>
        <v>4.6937170039446467E-2</v>
      </c>
      <c r="D99" s="33">
        <f ca="1">Model!$F$16+RAND()*(Model!$G$16-Model!$F$16)</f>
        <v>48.466804022326187</v>
      </c>
      <c r="E99" s="33">
        <f>Model!$D$17</f>
        <v>800</v>
      </c>
      <c r="G99" s="36">
        <f t="shared" ca="1" si="3"/>
        <v>1542.7766078749801</v>
      </c>
    </row>
    <row r="100" spans="1:7" x14ac:dyDescent="0.2">
      <c r="A100" s="6">
        <f ca="1">Model!$F$13+RAND()*(Model!$G$13-Model!$F$13)</f>
        <v>1680.9294969014884</v>
      </c>
      <c r="B100" s="31">
        <f ca="1">Model!$F$14+RAND()*(Model!$G$14-Model!$F$14)</f>
        <v>0.3014853118950348</v>
      </c>
      <c r="C100" s="32">
        <f ca="1">Model!$F$15+RAND()*(Model!$G$15-Model!$F$15)</f>
        <v>4.4645103878818815E-2</v>
      </c>
      <c r="D100" s="33">
        <f ca="1">Model!$F$16+RAND()*(Model!$G$16-Model!$F$16)</f>
        <v>51.450261084906479</v>
      </c>
      <c r="E100" s="33">
        <f>Model!$D$17</f>
        <v>800</v>
      </c>
      <c r="G100" s="36">
        <f t="shared" ca="1" si="3"/>
        <v>2554.3232840508927</v>
      </c>
    </row>
    <row r="101" spans="1:7" x14ac:dyDescent="0.2">
      <c r="A101" s="6">
        <f ca="1">Model!$F$13+RAND()*(Model!$G$13-Model!$F$13)</f>
        <v>1509.0444653866871</v>
      </c>
      <c r="B101" s="31">
        <f ca="1">Model!$F$14+RAND()*(Model!$G$14-Model!$F$14)</f>
        <v>0.26270305516512388</v>
      </c>
      <c r="C101" s="32">
        <f ca="1">Model!$F$15+RAND()*(Model!$G$15-Model!$F$15)</f>
        <v>1.7425116667543768E-2</v>
      </c>
      <c r="D101" s="33">
        <f ca="1">Model!$F$16+RAND()*(Model!$G$16-Model!$F$16)</f>
        <v>52.175207595949828</v>
      </c>
      <c r="E101" s="33">
        <f>Model!$D$17</f>
        <v>800</v>
      </c>
      <c r="G101" s="36">
        <f t="shared" ca="1" si="3"/>
        <v>175.53088565765393</v>
      </c>
    </row>
    <row r="102" spans="1:7" x14ac:dyDescent="0.2">
      <c r="A102" s="6">
        <f ca="1">Model!$F$13+RAND()*(Model!$G$13-Model!$F$13)</f>
        <v>1586.4536024749323</v>
      </c>
      <c r="B102" s="31">
        <f ca="1">Model!$F$14+RAND()*(Model!$G$14-Model!$F$14)</f>
        <v>0.59933645450459938</v>
      </c>
      <c r="C102" s="32">
        <f ca="1">Model!$F$15+RAND()*(Model!$G$15-Model!$F$15)</f>
        <v>3.2639683717316612E-2</v>
      </c>
      <c r="D102" s="33">
        <f ca="1">Model!$F$16+RAND()*(Model!$G$16-Model!$F$16)</f>
        <v>49.407274991394281</v>
      </c>
      <c r="E102" s="33">
        <f>Model!$D$17</f>
        <v>800</v>
      </c>
      <c r="G102" s="36">
        <f t="shared" ca="1" si="3"/>
        <v>807.55561604605646</v>
      </c>
    </row>
    <row r="103" spans="1:7" x14ac:dyDescent="0.2">
      <c r="A103" s="6">
        <f ca="1">Model!$F$13+RAND()*(Model!$G$13-Model!$F$13)</f>
        <v>1625.8401516793779</v>
      </c>
      <c r="B103" s="31">
        <f ca="1">Model!$F$14+RAND()*(Model!$G$14-Model!$F$14)</f>
        <v>0.29077424877963048</v>
      </c>
      <c r="C103" s="32">
        <f ca="1">Model!$F$15+RAND()*(Model!$G$15-Model!$F$15)</f>
        <v>4.6119668480838386E-2</v>
      </c>
      <c r="D103" s="33">
        <f ca="1">Model!$F$16+RAND()*(Model!$G$16-Model!$F$16)</f>
        <v>48.873076762206161</v>
      </c>
      <c r="E103" s="33">
        <f>Model!$D$17</f>
        <v>800</v>
      </c>
      <c r="G103" s="36">
        <f t="shared" ca="1" si="3"/>
        <v>2391.9076707349741</v>
      </c>
    </row>
    <row r="104" spans="1:7" x14ac:dyDescent="0.2">
      <c r="A104" s="6">
        <f ca="1">Model!$F$13+RAND()*(Model!$G$13-Model!$F$13)</f>
        <v>1358.7647376666941</v>
      </c>
      <c r="B104" s="31">
        <f ca="1">Model!$F$14+RAND()*(Model!$G$14-Model!$F$14)</f>
        <v>0.70925608972815701</v>
      </c>
      <c r="C104" s="32">
        <f ca="1">Model!$F$15+RAND()*(Model!$G$15-Model!$F$15)</f>
        <v>1.9402828119333249E-2</v>
      </c>
      <c r="D104" s="33">
        <f ca="1">Model!$F$16+RAND()*(Model!$G$16-Model!$F$16)</f>
        <v>47.517639124171176</v>
      </c>
      <c r="E104" s="33">
        <f>Model!$D$17</f>
        <v>800</v>
      </c>
      <c r="G104" s="36">
        <f t="shared" ca="1" si="3"/>
        <v>-510.96289263967924</v>
      </c>
    </row>
    <row r="105" spans="1:7" x14ac:dyDescent="0.2">
      <c r="A105" s="6">
        <f ca="1">Model!$F$13+RAND()*(Model!$G$13-Model!$F$13)</f>
        <v>1736.5727323493134</v>
      </c>
      <c r="B105" s="31">
        <f ca="1">Model!$F$14+RAND()*(Model!$G$14-Model!$F$14)</f>
        <v>0.33323814148097114</v>
      </c>
      <c r="C105" s="32">
        <f ca="1">Model!$F$15+RAND()*(Model!$G$15-Model!$F$15)</f>
        <v>1.6593078911224159E-2</v>
      </c>
      <c r="D105" s="33">
        <f ca="1">Model!$F$16+RAND()*(Model!$G$16-Model!$F$16)</f>
        <v>48.38317559872668</v>
      </c>
      <c r="E105" s="33">
        <f>Model!$D$17</f>
        <v>800</v>
      </c>
      <c r="G105" s="36">
        <f t="shared" ca="1" si="3"/>
        <v>15.473211250593749</v>
      </c>
    </row>
    <row r="106" spans="1:7" x14ac:dyDescent="0.2">
      <c r="A106" s="6">
        <f ca="1">Model!$F$13+RAND()*(Model!$G$13-Model!$F$13)</f>
        <v>1242.9518341936741</v>
      </c>
      <c r="B106" s="31">
        <f ca="1">Model!$F$14+RAND()*(Model!$G$14-Model!$F$14)</f>
        <v>0.76676543547343101</v>
      </c>
      <c r="C106" s="32">
        <f ca="1">Model!$F$15+RAND()*(Model!$G$15-Model!$F$15)</f>
        <v>4.2917337000870609E-2</v>
      </c>
      <c r="D106" s="33">
        <f ca="1">Model!$F$16+RAND()*(Model!$G$16-Model!$F$16)</f>
        <v>50.257766868736461</v>
      </c>
      <c r="E106" s="33">
        <f>Model!$D$17</f>
        <v>800</v>
      </c>
      <c r="G106" s="36">
        <f t="shared" ca="1" si="3"/>
        <v>927.90699573020652</v>
      </c>
    </row>
    <row r="107" spans="1:7" x14ac:dyDescent="0.2">
      <c r="A107" s="6">
        <f ca="1">Model!$F$13+RAND()*(Model!$G$13-Model!$F$13)</f>
        <v>1429.6812044371286</v>
      </c>
      <c r="B107" s="31">
        <f ca="1">Model!$F$14+RAND()*(Model!$G$14-Model!$F$14)</f>
        <v>0.45366043134145156</v>
      </c>
      <c r="C107" s="32">
        <f ca="1">Model!$F$15+RAND()*(Model!$G$15-Model!$F$15)</f>
        <v>3.8152283049656947E-2</v>
      </c>
      <c r="D107" s="33">
        <f ca="1">Model!$F$16+RAND()*(Model!$G$16-Model!$F$16)</f>
        <v>47.588569548001907</v>
      </c>
      <c r="E107" s="33">
        <f>Model!$D$17</f>
        <v>800</v>
      </c>
      <c r="G107" s="36">
        <f t="shared" ca="1" si="3"/>
        <v>1147.1573815942049</v>
      </c>
    </row>
    <row r="108" spans="1:7" x14ac:dyDescent="0.2">
      <c r="A108" s="6">
        <f ca="1">Model!$F$13+RAND()*(Model!$G$13-Model!$F$13)</f>
        <v>1457.1217389499116</v>
      </c>
      <c r="B108" s="31">
        <f ca="1">Model!$F$14+RAND()*(Model!$G$14-Model!$F$14)</f>
        <v>0.69909772481331578</v>
      </c>
      <c r="C108" s="32">
        <f ca="1">Model!$F$15+RAND()*(Model!$G$15-Model!$F$15)</f>
        <v>1.218914845336303E-2</v>
      </c>
      <c r="D108" s="33">
        <f ca="1">Model!$F$16+RAND()*(Model!$G$16-Model!$F$16)</f>
        <v>49.226295183722421</v>
      </c>
      <c r="E108" s="33">
        <f>Model!$D$17</f>
        <v>800</v>
      </c>
      <c r="G108" s="36">
        <f t="shared" ca="1" si="3"/>
        <v>-944.35866081164738</v>
      </c>
    </row>
    <row r="109" spans="1:7" x14ac:dyDescent="0.2">
      <c r="A109" s="6">
        <f ca="1">Model!$F$13+RAND()*(Model!$G$13-Model!$F$13)</f>
        <v>1660.4258795546225</v>
      </c>
      <c r="B109" s="31">
        <f ca="1">Model!$F$14+RAND()*(Model!$G$14-Model!$F$14)</f>
        <v>0.60815788354813627</v>
      </c>
      <c r="C109" s="32">
        <f ca="1">Model!$F$15+RAND()*(Model!$G$15-Model!$F$15)</f>
        <v>4.3861478320743663E-2</v>
      </c>
      <c r="D109" s="33">
        <f ca="1">Model!$F$16+RAND()*(Model!$G$16-Model!$F$16)</f>
        <v>50.405777701383684</v>
      </c>
      <c r="E109" s="33">
        <f>Model!$D$17</f>
        <v>800</v>
      </c>
      <c r="G109" s="36">
        <f t="shared" ca="1" si="3"/>
        <v>1861.1878734291447</v>
      </c>
    </row>
    <row r="110" spans="1:7" x14ac:dyDescent="0.2">
      <c r="A110" s="6">
        <f ca="1">Model!$F$13+RAND()*(Model!$G$13-Model!$F$13)</f>
        <v>1261.0330121179911</v>
      </c>
      <c r="B110" s="31">
        <f ca="1">Model!$F$14+RAND()*(Model!$G$14-Model!$F$14)</f>
        <v>0.66465918877938845</v>
      </c>
      <c r="C110" s="32">
        <f ca="1">Model!$F$15+RAND()*(Model!$G$15-Model!$F$15)</f>
        <v>4.0081283343306184E-2</v>
      </c>
      <c r="D110" s="33">
        <f ca="1">Model!$F$16+RAND()*(Model!$G$16-Model!$F$16)</f>
        <v>52.638039227272266</v>
      </c>
      <c r="E110" s="33">
        <f>Model!$D$17</f>
        <v>800</v>
      </c>
      <c r="G110" s="36">
        <f t="shared" ca="1" si="3"/>
        <v>1022.3704780580133</v>
      </c>
    </row>
    <row r="111" spans="1:7" x14ac:dyDescent="0.2">
      <c r="A111" s="6">
        <f ca="1">Model!$F$13+RAND()*(Model!$G$13-Model!$F$13)</f>
        <v>1375.1749819617139</v>
      </c>
      <c r="B111" s="31">
        <f ca="1">Model!$F$14+RAND()*(Model!$G$14-Model!$F$14)</f>
        <v>0.35165204990502741</v>
      </c>
      <c r="C111" s="32">
        <f ca="1">Model!$F$15+RAND()*(Model!$G$15-Model!$F$15)</f>
        <v>4.1949918169137297E-2</v>
      </c>
      <c r="D111" s="33">
        <f ca="1">Model!$F$16+RAND()*(Model!$G$16-Model!$F$16)</f>
        <v>49.920413458425557</v>
      </c>
      <c r="E111" s="33">
        <f>Model!$D$17</f>
        <v>800</v>
      </c>
      <c r="G111" s="36">
        <f t="shared" ca="1" si="3"/>
        <v>1596.2495702423396</v>
      </c>
    </row>
    <row r="112" spans="1:7" x14ac:dyDescent="0.2">
      <c r="A112" s="6">
        <f ca="1">Model!$F$13+RAND()*(Model!$G$13-Model!$F$13)</f>
        <v>1714.446071326397</v>
      </c>
      <c r="B112" s="31">
        <f ca="1">Model!$F$14+RAND()*(Model!$G$14-Model!$F$14)</f>
        <v>0.33802122674412749</v>
      </c>
      <c r="C112" s="32">
        <f ca="1">Model!$F$15+RAND()*(Model!$G$15-Model!$F$15)</f>
        <v>3.1435873029886867E-2</v>
      </c>
      <c r="D112" s="33">
        <f ca="1">Model!$F$16+RAND()*(Model!$G$16-Model!$F$16)</f>
        <v>48.4939632862352</v>
      </c>
      <c r="E112" s="33">
        <f>Model!$D$17</f>
        <v>800</v>
      </c>
      <c r="G112" s="36">
        <f t="shared" ca="1" si="3"/>
        <v>1234.068273655198</v>
      </c>
    </row>
    <row r="113" spans="1:7" x14ac:dyDescent="0.2">
      <c r="A113" s="6">
        <f ca="1">Model!$F$13+RAND()*(Model!$G$13-Model!$F$13)</f>
        <v>1354.8429719131886</v>
      </c>
      <c r="B113" s="31">
        <f ca="1">Model!$F$14+RAND()*(Model!$G$14-Model!$F$14)</f>
        <v>0.27893033641010628</v>
      </c>
      <c r="C113" s="32">
        <f ca="1">Model!$F$15+RAND()*(Model!$G$15-Model!$F$15)</f>
        <v>4.2778022033602661E-2</v>
      </c>
      <c r="D113" s="33">
        <f ca="1">Model!$F$16+RAND()*(Model!$G$16-Model!$F$16)</f>
        <v>47.114563754769875</v>
      </c>
      <c r="E113" s="33">
        <f>Model!$D$17</f>
        <v>800</v>
      </c>
      <c r="G113" s="36">
        <f t="shared" ca="1" si="3"/>
        <v>1552.7356408803769</v>
      </c>
    </row>
    <row r="114" spans="1:7" x14ac:dyDescent="0.2">
      <c r="A114" s="6">
        <f ca="1">Model!$F$13+RAND()*(Model!$G$13-Model!$F$13)</f>
        <v>1647.2048982567326</v>
      </c>
      <c r="B114" s="31">
        <f ca="1">Model!$F$14+RAND()*(Model!$G$14-Model!$F$14)</f>
        <v>0.27124079799537082</v>
      </c>
      <c r="C114" s="32">
        <f ca="1">Model!$F$15+RAND()*(Model!$G$15-Model!$F$15)</f>
        <v>2.8979755892120755E-2</v>
      </c>
      <c r="D114" s="33">
        <f ca="1">Model!$F$16+RAND()*(Model!$G$16-Model!$F$16)</f>
        <v>47.297429731392015</v>
      </c>
      <c r="E114" s="33">
        <f>Model!$D$17</f>
        <v>800</v>
      </c>
      <c r="G114" s="36">
        <f t="shared" ca="1" si="3"/>
        <v>1010.9818196101132</v>
      </c>
    </row>
    <row r="115" spans="1:7" x14ac:dyDescent="0.2">
      <c r="A115" s="6">
        <f ca="1">Model!$F$13+RAND()*(Model!$G$13-Model!$F$13)</f>
        <v>1554.2481765254336</v>
      </c>
      <c r="B115" s="31">
        <f ca="1">Model!$F$14+RAND()*(Model!$G$14-Model!$F$14)</f>
        <v>0.21203596853785137</v>
      </c>
      <c r="C115" s="32">
        <f ca="1">Model!$F$15+RAND()*(Model!$G$15-Model!$F$15)</f>
        <v>3.7186224569377375E-2</v>
      </c>
      <c r="D115" s="33">
        <f ca="1">Model!$F$16+RAND()*(Model!$G$16-Model!$F$16)</f>
        <v>50.015339346453075</v>
      </c>
      <c r="E115" s="33">
        <f>Model!$D$17</f>
        <v>800</v>
      </c>
      <c r="G115" s="36">
        <f t="shared" ca="1" si="3"/>
        <v>1761.1611313877593</v>
      </c>
    </row>
    <row r="116" spans="1:7" x14ac:dyDescent="0.2">
      <c r="A116" s="6">
        <f ca="1">Model!$F$13+RAND()*(Model!$G$13-Model!$F$13)</f>
        <v>1341.2862248024867</v>
      </c>
      <c r="B116" s="31">
        <f ca="1">Model!$F$14+RAND()*(Model!$G$14-Model!$F$14)</f>
        <v>0.76677500514967289</v>
      </c>
      <c r="C116" s="32">
        <f ca="1">Model!$F$15+RAND()*(Model!$G$15-Model!$F$15)</f>
        <v>3.2598107369735396E-2</v>
      </c>
      <c r="D116" s="33">
        <f ca="1">Model!$F$16+RAND()*(Model!$G$16-Model!$F$16)</f>
        <v>50.218031678294771</v>
      </c>
      <c r="E116" s="33">
        <f>Model!$D$17</f>
        <v>800</v>
      </c>
      <c r="G116" s="36">
        <f t="shared" ca="1" si="3"/>
        <v>367.23795117191048</v>
      </c>
    </row>
    <row r="117" spans="1:7" x14ac:dyDescent="0.2">
      <c r="A117" s="6">
        <f ca="1">Model!$F$13+RAND()*(Model!$G$13-Model!$F$13)</f>
        <v>1721.7263796132377</v>
      </c>
      <c r="B117" s="31">
        <f ca="1">Model!$F$14+RAND()*(Model!$G$14-Model!$F$14)</f>
        <v>0.27319693015542929</v>
      </c>
      <c r="C117" s="32">
        <f ca="1">Model!$F$15+RAND()*(Model!$G$15-Model!$F$15)</f>
        <v>2.1288231142316177E-2</v>
      </c>
      <c r="D117" s="33">
        <f ca="1">Model!$F$16+RAND()*(Model!$G$16-Model!$F$16)</f>
        <v>47.864440907402397</v>
      </c>
      <c r="E117" s="33">
        <f>Model!$D$17</f>
        <v>800</v>
      </c>
      <c r="G117" s="36">
        <f t="shared" ca="1" si="3"/>
        <v>483.98149602797412</v>
      </c>
    </row>
    <row r="118" spans="1:7" x14ac:dyDescent="0.2">
      <c r="A118" s="6">
        <f ca="1">Model!$F$13+RAND()*(Model!$G$13-Model!$F$13)</f>
        <v>1730.6304060881153</v>
      </c>
      <c r="B118" s="31">
        <f ca="1">Model!$F$14+RAND()*(Model!$G$14-Model!$F$14)</f>
        <v>0.23026786927718282</v>
      </c>
      <c r="C118" s="32">
        <f ca="1">Model!$F$15+RAND()*(Model!$G$15-Model!$F$15)</f>
        <v>3.4142552281389155E-2</v>
      </c>
      <c r="D118" s="33">
        <f ca="1">Model!$F$16+RAND()*(Model!$G$16-Model!$F$16)</f>
        <v>47.848516319413228</v>
      </c>
      <c r="E118" s="33">
        <f>Model!$D$17</f>
        <v>800</v>
      </c>
      <c r="G118" s="36">
        <f t="shared" ca="1" si="3"/>
        <v>1628.7712128329304</v>
      </c>
    </row>
    <row r="119" spans="1:7" x14ac:dyDescent="0.2">
      <c r="A119" s="6">
        <f ca="1">Model!$F$13+RAND()*(Model!$G$13-Model!$F$13)</f>
        <v>1761.4377361548072</v>
      </c>
      <c r="B119" s="31">
        <f ca="1">Model!$F$14+RAND()*(Model!$G$14-Model!$F$14)</f>
        <v>0.7529055335172119</v>
      </c>
      <c r="C119" s="32">
        <f ca="1">Model!$F$15+RAND()*(Model!$G$15-Model!$F$15)</f>
        <v>4.669380590875187E-2</v>
      </c>
      <c r="D119" s="33">
        <f ca="1">Model!$F$16+RAND()*(Model!$G$16-Model!$F$16)</f>
        <v>49.197058223244994</v>
      </c>
      <c r="E119" s="33">
        <f>Model!$D$17</f>
        <v>800</v>
      </c>
      <c r="G119" s="36">
        <f t="shared" ca="1" si="3"/>
        <v>1920.1748287669479</v>
      </c>
    </row>
    <row r="120" spans="1:7" x14ac:dyDescent="0.2">
      <c r="A120" s="6">
        <f ca="1">Model!$F$13+RAND()*(Model!$G$13-Model!$F$13)</f>
        <v>1338.8606931624906</v>
      </c>
      <c r="B120" s="31">
        <f ca="1">Model!$F$14+RAND()*(Model!$G$14-Model!$F$14)</f>
        <v>0.54700791294547368</v>
      </c>
      <c r="C120" s="32">
        <f ca="1">Model!$F$15+RAND()*(Model!$G$15-Model!$F$15)</f>
        <v>2.1634889711872912E-2</v>
      </c>
      <c r="D120" s="33">
        <f ca="1">Model!$F$16+RAND()*(Model!$G$16-Model!$F$16)</f>
        <v>48.021556529271059</v>
      </c>
      <c r="E120" s="33">
        <f>Model!$D$17</f>
        <v>800</v>
      </c>
      <c r="G120" s="36">
        <f t="shared" ca="1" si="3"/>
        <v>-141.3700199006089</v>
      </c>
    </row>
    <row r="121" spans="1:7" x14ac:dyDescent="0.2">
      <c r="A121" s="6">
        <f ca="1">Model!$F$13+RAND()*(Model!$G$13-Model!$F$13)</f>
        <v>1778.3439355699938</v>
      </c>
      <c r="B121" s="31">
        <f ca="1">Model!$F$14+RAND()*(Model!$G$14-Model!$F$14)</f>
        <v>0.43666636337515297</v>
      </c>
      <c r="C121" s="32">
        <f ca="1">Model!$F$15+RAND()*(Model!$G$15-Model!$F$15)</f>
        <v>1.0011547389127866E-2</v>
      </c>
      <c r="D121" s="33">
        <f ca="1">Model!$F$16+RAND()*(Model!$G$16-Model!$F$16)</f>
        <v>51.307861392416164</v>
      </c>
      <c r="E121" s="33">
        <f>Model!$D$17</f>
        <v>800</v>
      </c>
      <c r="G121" s="36">
        <f t="shared" ca="1" si="3"/>
        <v>-663.05911892780273</v>
      </c>
    </row>
    <row r="122" spans="1:7" x14ac:dyDescent="0.2">
      <c r="A122" s="6">
        <f ca="1">Model!$F$13+RAND()*(Model!$G$13-Model!$F$13)</f>
        <v>1412.1291913534203</v>
      </c>
      <c r="B122" s="31">
        <f ca="1">Model!$F$14+RAND()*(Model!$G$14-Model!$F$14)</f>
        <v>0.2879763209175164</v>
      </c>
      <c r="C122" s="32">
        <f ca="1">Model!$F$15+RAND()*(Model!$G$15-Model!$F$15)</f>
        <v>2.7269827761607711E-2</v>
      </c>
      <c r="D122" s="33">
        <f ca="1">Model!$F$16+RAND()*(Model!$G$16-Model!$F$16)</f>
        <v>52.95696496286125</v>
      </c>
      <c r="E122" s="33">
        <f>Model!$D$17</f>
        <v>800</v>
      </c>
      <c r="G122" s="36">
        <f t="shared" ca="1" si="3"/>
        <v>832.6345659763183</v>
      </c>
    </row>
    <row r="123" spans="1:7" x14ac:dyDescent="0.2">
      <c r="A123" s="6">
        <f ca="1">Model!$F$13+RAND()*(Model!$G$13-Model!$F$13)</f>
        <v>1451.7868349133946</v>
      </c>
      <c r="B123" s="31">
        <f ca="1">Model!$F$14+RAND()*(Model!$G$14-Model!$F$14)</f>
        <v>0.36771966491519814</v>
      </c>
      <c r="C123" s="32">
        <f ca="1">Model!$F$15+RAND()*(Model!$G$15-Model!$F$15)</f>
        <v>4.6157236006667705E-2</v>
      </c>
      <c r="D123" s="33">
        <f ca="1">Model!$F$16+RAND()*(Model!$G$16-Model!$F$16)</f>
        <v>49.648716916370681</v>
      </c>
      <c r="E123" s="33">
        <f>Model!$D$17</f>
        <v>800</v>
      </c>
      <c r="G123" s="36">
        <f t="shared" ca="1" si="3"/>
        <v>1993.1331663772869</v>
      </c>
    </row>
    <row r="124" spans="1:7" x14ac:dyDescent="0.2">
      <c r="A124" s="6">
        <f ca="1">Model!$F$13+RAND()*(Model!$G$13-Model!$F$13)</f>
        <v>1683.9918817960377</v>
      </c>
      <c r="B124" s="31">
        <f ca="1">Model!$F$14+RAND()*(Model!$G$14-Model!$F$14)</f>
        <v>0.43466569060158894</v>
      </c>
      <c r="C124" s="32">
        <f ca="1">Model!$F$15+RAND()*(Model!$G$15-Model!$F$15)</f>
        <v>3.7151939424016581E-2</v>
      </c>
      <c r="D124" s="33">
        <f ca="1">Model!$F$16+RAND()*(Model!$G$16-Model!$F$16)</f>
        <v>47.035600077115987</v>
      </c>
      <c r="E124" s="33">
        <f>Model!$D$17</f>
        <v>800</v>
      </c>
      <c r="G124" s="36">
        <f t="shared" ca="1" si="3"/>
        <v>1410.7412994503807</v>
      </c>
    </row>
    <row r="125" spans="1:7" x14ac:dyDescent="0.2">
      <c r="A125" s="6">
        <f ca="1">Model!$F$13+RAND()*(Model!$G$13-Model!$F$13)</f>
        <v>1568.6645953625925</v>
      </c>
      <c r="B125" s="31">
        <f ca="1">Model!$F$14+RAND()*(Model!$G$14-Model!$F$14)</f>
        <v>0.50327348161384022</v>
      </c>
      <c r="C125" s="32">
        <f ca="1">Model!$F$15+RAND()*(Model!$G$15-Model!$F$15)</f>
        <v>1.6083514863373012E-2</v>
      </c>
      <c r="D125" s="33">
        <f ca="1">Model!$F$16+RAND()*(Model!$G$16-Model!$F$16)</f>
        <v>47.309359941305686</v>
      </c>
      <c r="E125" s="33">
        <f>Model!$D$17</f>
        <v>800</v>
      </c>
      <c r="G125" s="36">
        <f t="shared" ca="1" si="3"/>
        <v>-395.86915658666908</v>
      </c>
    </row>
    <row r="126" spans="1:7" x14ac:dyDescent="0.2">
      <c r="A126" s="6">
        <f ca="1">Model!$F$13+RAND()*(Model!$G$13-Model!$F$13)</f>
        <v>1460.3753638481835</v>
      </c>
      <c r="B126" s="31">
        <f ca="1">Model!$F$14+RAND()*(Model!$G$14-Model!$F$14)</f>
        <v>0.30080265919702998</v>
      </c>
      <c r="C126" s="32">
        <f ca="1">Model!$F$15+RAND()*(Model!$G$15-Model!$F$15)</f>
        <v>2.5762927129609148E-2</v>
      </c>
      <c r="D126" s="33">
        <f ca="1">Model!$F$16+RAND()*(Model!$G$16-Model!$F$16)</f>
        <v>51.965347148600486</v>
      </c>
      <c r="E126" s="33">
        <f>Model!$D$17</f>
        <v>800</v>
      </c>
      <c r="G126" s="36">
        <f t="shared" ca="1" si="3"/>
        <v>715.83573624273868</v>
      </c>
    </row>
    <row r="127" spans="1:7" x14ac:dyDescent="0.2">
      <c r="A127" s="6">
        <f ca="1">Model!$F$13+RAND()*(Model!$G$13-Model!$F$13)</f>
        <v>1413.8580947107264</v>
      </c>
      <c r="B127" s="31">
        <f ca="1">Model!$F$14+RAND()*(Model!$G$14-Model!$F$14)</f>
        <v>0.72767908167899709</v>
      </c>
      <c r="C127" s="32">
        <f ca="1">Model!$F$15+RAND()*(Model!$G$15-Model!$F$15)</f>
        <v>3.0047916323418668E-2</v>
      </c>
      <c r="D127" s="33">
        <f ca="1">Model!$F$16+RAND()*(Model!$G$16-Model!$F$16)</f>
        <v>47.916806741693257</v>
      </c>
      <c r="E127" s="33">
        <f>Model!$D$17</f>
        <v>800</v>
      </c>
      <c r="G127" s="36">
        <f t="shared" ca="1" si="3"/>
        <v>206.83820678887059</v>
      </c>
    </row>
    <row r="128" spans="1:7" x14ac:dyDescent="0.2">
      <c r="A128" s="6">
        <f ca="1">Model!$F$13+RAND()*(Model!$G$13-Model!$F$13)</f>
        <v>1210.6531553876353</v>
      </c>
      <c r="B128" s="31">
        <f ca="1">Model!$F$14+RAND()*(Model!$G$14-Model!$F$14)</f>
        <v>0.46201225815969638</v>
      </c>
      <c r="C128" s="32">
        <f ca="1">Model!$F$15+RAND()*(Model!$G$15-Model!$F$15)</f>
        <v>3.4345006499976738E-2</v>
      </c>
      <c r="D128" s="33">
        <f ca="1">Model!$F$16+RAND()*(Model!$G$16-Model!$F$16)</f>
        <v>51.506074629459818</v>
      </c>
      <c r="E128" s="33">
        <f>Model!$D$17</f>
        <v>800</v>
      </c>
      <c r="G128" s="36">
        <f t="shared" ca="1" si="3"/>
        <v>782.28034454570206</v>
      </c>
    </row>
    <row r="129" spans="1:7" x14ac:dyDescent="0.2">
      <c r="A129" s="6">
        <f ca="1">Model!$F$13+RAND()*(Model!$G$13-Model!$F$13)</f>
        <v>1557.0221473852566</v>
      </c>
      <c r="B129" s="31">
        <f ca="1">Model!$F$14+RAND()*(Model!$G$14-Model!$F$14)</f>
        <v>0.73756794447738394</v>
      </c>
      <c r="C129" s="32">
        <f ca="1">Model!$F$15+RAND()*(Model!$G$15-Model!$F$15)</f>
        <v>2.7165508690290135E-2</v>
      </c>
      <c r="D129" s="33">
        <f ca="1">Model!$F$16+RAND()*(Model!$G$16-Model!$F$16)</f>
        <v>50.346301223221431</v>
      </c>
      <c r="E129" s="33">
        <f>Model!$D$17</f>
        <v>800</v>
      </c>
      <c r="G129" s="36">
        <f t="shared" ca="1" si="3"/>
        <v>181.10291530609425</v>
      </c>
    </row>
    <row r="130" spans="1:7" x14ac:dyDescent="0.2">
      <c r="A130" s="6">
        <f ca="1">Model!$F$13+RAND()*(Model!$G$13-Model!$F$13)</f>
        <v>1294.3351234157917</v>
      </c>
      <c r="B130" s="31">
        <f ca="1">Model!$F$14+RAND()*(Model!$G$14-Model!$F$14)</f>
        <v>0.47609216515786423</v>
      </c>
      <c r="C130" s="32">
        <f ca="1">Model!$F$15+RAND()*(Model!$G$15-Model!$F$15)</f>
        <v>4.9981718641539538E-2</v>
      </c>
      <c r="D130" s="33">
        <f ca="1">Model!$F$16+RAND()*(Model!$G$16-Model!$F$16)</f>
        <v>47.373931164115163</v>
      </c>
      <c r="E130" s="33">
        <f>Model!$D$17</f>
        <v>800</v>
      </c>
      <c r="G130" s="36">
        <f t="shared" ca="1" si="3"/>
        <v>1648.5433690124144</v>
      </c>
    </row>
    <row r="131" spans="1:7" x14ac:dyDescent="0.2">
      <c r="A131" s="6">
        <f ca="1">Model!$F$13+RAND()*(Model!$G$13-Model!$F$13)</f>
        <v>1390.2489917506814</v>
      </c>
      <c r="B131" s="31">
        <f ca="1">Model!$F$14+RAND()*(Model!$G$14-Model!$F$14)</f>
        <v>0.32676118370234264</v>
      </c>
      <c r="C131" s="32">
        <f ca="1">Model!$F$15+RAND()*(Model!$G$15-Model!$F$15)</f>
        <v>3.4358836901945584E-2</v>
      </c>
      <c r="D131" s="33">
        <f ca="1">Model!$F$16+RAND()*(Model!$G$16-Model!$F$16)</f>
        <v>51.868328227501898</v>
      </c>
      <c r="E131" s="33">
        <f>Model!$D$17</f>
        <v>800</v>
      </c>
      <c r="G131" s="36">
        <f t="shared" ref="G131:G194" ca="1" si="4">A131*C131*D131-(E131+A131*B131)</f>
        <v>1223.3325784592043</v>
      </c>
    </row>
    <row r="132" spans="1:7" x14ac:dyDescent="0.2">
      <c r="A132" s="6">
        <f ca="1">Model!$F$13+RAND()*(Model!$G$13-Model!$F$13)</f>
        <v>1767.0206612345642</v>
      </c>
      <c r="B132" s="31">
        <f ca="1">Model!$F$14+RAND()*(Model!$G$14-Model!$F$14)</f>
        <v>0.54054332674877048</v>
      </c>
      <c r="C132" s="32">
        <f ca="1">Model!$F$15+RAND()*(Model!$G$15-Model!$F$15)</f>
        <v>4.8296742875513055E-2</v>
      </c>
      <c r="D132" s="33">
        <f ca="1">Model!$F$16+RAND()*(Model!$G$16-Model!$F$16)</f>
        <v>49.484543125322254</v>
      </c>
      <c r="E132" s="33">
        <f>Model!$D$17</f>
        <v>800</v>
      </c>
      <c r="G132" s="36">
        <f t="shared" ca="1" si="4"/>
        <v>2467.9261182086757</v>
      </c>
    </row>
    <row r="133" spans="1:7" x14ac:dyDescent="0.2">
      <c r="A133" s="6">
        <f ca="1">Model!$F$13+RAND()*(Model!$G$13-Model!$F$13)</f>
        <v>1756.1530392937896</v>
      </c>
      <c r="B133" s="31">
        <f ca="1">Model!$F$14+RAND()*(Model!$G$14-Model!$F$14)</f>
        <v>0.77966215226041635</v>
      </c>
      <c r="C133" s="32">
        <f ca="1">Model!$F$15+RAND()*(Model!$G$15-Model!$F$15)</f>
        <v>4.8156314684484766E-2</v>
      </c>
      <c r="D133" s="33">
        <f ca="1">Model!$F$16+RAND()*(Model!$G$16-Model!$F$16)</f>
        <v>50.284841984886427</v>
      </c>
      <c r="E133" s="33">
        <f>Model!$D$17</f>
        <v>800</v>
      </c>
      <c r="G133" s="36">
        <f t="shared" ca="1" si="4"/>
        <v>2083.3759077294453</v>
      </c>
    </row>
    <row r="134" spans="1:7" x14ac:dyDescent="0.2">
      <c r="A134" s="6">
        <f ca="1">Model!$F$13+RAND()*(Model!$G$13-Model!$F$13)</f>
        <v>1537.4434754927547</v>
      </c>
      <c r="B134" s="31">
        <f ca="1">Model!$F$14+RAND()*(Model!$G$14-Model!$F$14)</f>
        <v>0.79015753957559554</v>
      </c>
      <c r="C134" s="32">
        <f ca="1">Model!$F$15+RAND()*(Model!$G$15-Model!$F$15)</f>
        <v>3.7437517083720832E-2</v>
      </c>
      <c r="D134" s="33">
        <f ca="1">Model!$F$16+RAND()*(Model!$G$16-Model!$F$16)</f>
        <v>52.720361292952326</v>
      </c>
      <c r="E134" s="33">
        <f>Model!$D$17</f>
        <v>800</v>
      </c>
      <c r="G134" s="36">
        <f t="shared" ca="1" si="4"/>
        <v>1019.6595009935027</v>
      </c>
    </row>
    <row r="135" spans="1:7" x14ac:dyDescent="0.2">
      <c r="A135" s="6">
        <f ca="1">Model!$F$13+RAND()*(Model!$G$13-Model!$F$13)</f>
        <v>1383.4977984182074</v>
      </c>
      <c r="B135" s="31">
        <f ca="1">Model!$F$14+RAND()*(Model!$G$14-Model!$F$14)</f>
        <v>0.56602852836993756</v>
      </c>
      <c r="C135" s="32">
        <f ca="1">Model!$F$15+RAND()*(Model!$G$15-Model!$F$15)</f>
        <v>3.1597650023710608E-2</v>
      </c>
      <c r="D135" s="33">
        <f ca="1">Model!$F$16+RAND()*(Model!$G$16-Model!$F$16)</f>
        <v>50.037476804746618</v>
      </c>
      <c r="E135" s="33">
        <f>Model!$D$17</f>
        <v>800</v>
      </c>
      <c r="G135" s="36">
        <f t="shared" ca="1" si="4"/>
        <v>604.30304829255942</v>
      </c>
    </row>
    <row r="136" spans="1:7" x14ac:dyDescent="0.2">
      <c r="A136" s="6">
        <f ca="1">Model!$F$13+RAND()*(Model!$G$13-Model!$F$13)</f>
        <v>1611.520147349032</v>
      </c>
      <c r="B136" s="31">
        <f ca="1">Model!$F$14+RAND()*(Model!$G$14-Model!$F$14)</f>
        <v>0.52039266794971817</v>
      </c>
      <c r="C136" s="32">
        <f ca="1">Model!$F$15+RAND()*(Model!$G$15-Model!$F$15)</f>
        <v>4.7764560739680662E-2</v>
      </c>
      <c r="D136" s="33">
        <f ca="1">Model!$F$16+RAND()*(Model!$G$16-Model!$F$16)</f>
        <v>52.9894848054549</v>
      </c>
      <c r="E136" s="33">
        <f>Model!$D$17</f>
        <v>800</v>
      </c>
      <c r="G136" s="36">
        <f t="shared" ca="1" si="4"/>
        <v>2440.1655931400282</v>
      </c>
    </row>
    <row r="137" spans="1:7" x14ac:dyDescent="0.2">
      <c r="A137" s="6">
        <f ca="1">Model!$F$13+RAND()*(Model!$G$13-Model!$F$13)</f>
        <v>1744.3344480606017</v>
      </c>
      <c r="B137" s="31">
        <f ca="1">Model!$F$14+RAND()*(Model!$G$14-Model!$F$14)</f>
        <v>0.2833545093713648</v>
      </c>
      <c r="C137" s="32">
        <f ca="1">Model!$F$15+RAND()*(Model!$G$15-Model!$F$15)</f>
        <v>1.6483262220845504E-2</v>
      </c>
      <c r="D137" s="33">
        <f ca="1">Model!$F$16+RAND()*(Model!$G$16-Model!$F$16)</f>
        <v>50.417809968900542</v>
      </c>
      <c r="E137" s="33">
        <f>Model!$D$17</f>
        <v>800</v>
      </c>
      <c r="G137" s="36">
        <f t="shared" ca="1" si="4"/>
        <v>155.36408050791397</v>
      </c>
    </row>
    <row r="138" spans="1:7" x14ac:dyDescent="0.2">
      <c r="A138" s="6">
        <f ca="1">Model!$F$13+RAND()*(Model!$G$13-Model!$F$13)</f>
        <v>1327.0258687220464</v>
      </c>
      <c r="B138" s="31">
        <f ca="1">Model!$F$14+RAND()*(Model!$G$14-Model!$F$14)</f>
        <v>0.31032568774955538</v>
      </c>
      <c r="C138" s="32">
        <f ca="1">Model!$F$15+RAND()*(Model!$G$15-Model!$F$15)</f>
        <v>1.1648435174311059E-2</v>
      </c>
      <c r="D138" s="33">
        <f ca="1">Model!$F$16+RAND()*(Model!$G$16-Model!$F$16)</f>
        <v>48.340212751889908</v>
      </c>
      <c r="E138" s="33">
        <f>Model!$D$17</f>
        <v>800</v>
      </c>
      <c r="G138" s="36">
        <f t="shared" ca="1" si="4"/>
        <v>-464.5780925583822</v>
      </c>
    </row>
    <row r="139" spans="1:7" x14ac:dyDescent="0.2">
      <c r="A139" s="6">
        <f ca="1">Model!$F$13+RAND()*(Model!$G$13-Model!$F$13)</f>
        <v>1355.4546375705791</v>
      </c>
      <c r="B139" s="31">
        <f ca="1">Model!$F$14+RAND()*(Model!$G$14-Model!$F$14)</f>
        <v>0.26838845919365711</v>
      </c>
      <c r="C139" s="32">
        <f ca="1">Model!$F$15+RAND()*(Model!$G$15-Model!$F$15)</f>
        <v>2.9867851830237803E-2</v>
      </c>
      <c r="D139" s="33">
        <f ca="1">Model!$F$16+RAND()*(Model!$G$16-Model!$F$16)</f>
        <v>51.833210144807893</v>
      </c>
      <c r="E139" s="33">
        <f>Model!$D$17</f>
        <v>800</v>
      </c>
      <c r="G139" s="36">
        <f t="shared" ca="1" si="4"/>
        <v>934.65416180796819</v>
      </c>
    </row>
    <row r="140" spans="1:7" x14ac:dyDescent="0.2">
      <c r="A140" s="6">
        <f ca="1">Model!$F$13+RAND()*(Model!$G$13-Model!$F$13)</f>
        <v>1606.8585988938537</v>
      </c>
      <c r="B140" s="31">
        <f ca="1">Model!$F$14+RAND()*(Model!$G$14-Model!$F$14)</f>
        <v>0.30914229216707356</v>
      </c>
      <c r="C140" s="32">
        <f ca="1">Model!$F$15+RAND()*(Model!$G$15-Model!$F$15)</f>
        <v>3.883472673212443E-2</v>
      </c>
      <c r="D140" s="33">
        <f ca="1">Model!$F$16+RAND()*(Model!$G$16-Model!$F$16)</f>
        <v>50.105275731652839</v>
      </c>
      <c r="E140" s="33">
        <f>Model!$D$17</f>
        <v>800</v>
      </c>
      <c r="G140" s="36">
        <f t="shared" ca="1" si="4"/>
        <v>1829.9171860244346</v>
      </c>
    </row>
    <row r="141" spans="1:7" x14ac:dyDescent="0.2">
      <c r="A141" s="6">
        <f ca="1">Model!$F$13+RAND()*(Model!$G$13-Model!$F$13)</f>
        <v>1487.7086600632981</v>
      </c>
      <c r="B141" s="31">
        <f ca="1">Model!$F$14+RAND()*(Model!$G$14-Model!$F$14)</f>
        <v>0.64955210931712115</v>
      </c>
      <c r="C141" s="32">
        <f ca="1">Model!$F$15+RAND()*(Model!$G$15-Model!$F$15)</f>
        <v>4.3465274299109874E-2</v>
      </c>
      <c r="D141" s="33">
        <f ca="1">Model!$F$16+RAND()*(Model!$G$16-Model!$F$16)</f>
        <v>48.666158539641046</v>
      </c>
      <c r="E141" s="33">
        <f>Model!$D$17</f>
        <v>800</v>
      </c>
      <c r="G141" s="36">
        <f t="shared" ca="1" si="4"/>
        <v>1380.5878738089878</v>
      </c>
    </row>
    <row r="142" spans="1:7" x14ac:dyDescent="0.2">
      <c r="A142" s="6">
        <f ca="1">Model!$F$13+RAND()*(Model!$G$13-Model!$F$13)</f>
        <v>1333.2004809314853</v>
      </c>
      <c r="B142" s="31">
        <f ca="1">Model!$F$14+RAND()*(Model!$G$14-Model!$F$14)</f>
        <v>0.62737065697326955</v>
      </c>
      <c r="C142" s="32">
        <f ca="1">Model!$F$15+RAND()*(Model!$G$15-Model!$F$15)</f>
        <v>1.5107091003688865E-2</v>
      </c>
      <c r="D142" s="33">
        <f ca="1">Model!$F$16+RAND()*(Model!$G$16-Model!$F$16)</f>
        <v>52.563149391232493</v>
      </c>
      <c r="E142" s="33">
        <f>Model!$D$17</f>
        <v>800</v>
      </c>
      <c r="G142" s="36">
        <f t="shared" ca="1" si="4"/>
        <v>-577.7479814818289</v>
      </c>
    </row>
    <row r="143" spans="1:7" x14ac:dyDescent="0.2">
      <c r="A143" s="6">
        <f ca="1">Model!$F$13+RAND()*(Model!$G$13-Model!$F$13)</f>
        <v>1555.4880190847859</v>
      </c>
      <c r="B143" s="31">
        <f ca="1">Model!$F$14+RAND()*(Model!$G$14-Model!$F$14)</f>
        <v>0.57666437324031972</v>
      </c>
      <c r="C143" s="32">
        <f ca="1">Model!$F$15+RAND()*(Model!$G$15-Model!$F$15)</f>
        <v>2.2068495055713934E-2</v>
      </c>
      <c r="D143" s="33">
        <f ca="1">Model!$F$16+RAND()*(Model!$G$16-Model!$F$16)</f>
        <v>50.303067327367629</v>
      </c>
      <c r="E143" s="33">
        <f>Model!$D$17</f>
        <v>800</v>
      </c>
      <c r="G143" s="36">
        <f t="shared" ca="1" si="4"/>
        <v>29.7729362132593</v>
      </c>
    </row>
    <row r="144" spans="1:7" x14ac:dyDescent="0.2">
      <c r="A144" s="6">
        <f ca="1">Model!$F$13+RAND()*(Model!$G$13-Model!$F$13)</f>
        <v>1749.8351752911249</v>
      </c>
      <c r="B144" s="31">
        <f ca="1">Model!$F$14+RAND()*(Model!$G$14-Model!$F$14)</f>
        <v>0.53652420264869005</v>
      </c>
      <c r="C144" s="32">
        <f ca="1">Model!$F$15+RAND()*(Model!$G$15-Model!$F$15)</f>
        <v>3.3974023735828501E-2</v>
      </c>
      <c r="D144" s="33">
        <f ca="1">Model!$F$16+RAND()*(Model!$G$16-Model!$F$16)</f>
        <v>47.711543490084253</v>
      </c>
      <c r="E144" s="33">
        <f>Model!$D$17</f>
        <v>800</v>
      </c>
      <c r="G144" s="36">
        <f t="shared" ca="1" si="4"/>
        <v>1097.5718489446654</v>
      </c>
    </row>
    <row r="145" spans="1:7" x14ac:dyDescent="0.2">
      <c r="A145" s="6">
        <f ca="1">Model!$F$13+RAND()*(Model!$G$13-Model!$F$13)</f>
        <v>1415.7597934555879</v>
      </c>
      <c r="B145" s="31">
        <f ca="1">Model!$F$14+RAND()*(Model!$G$14-Model!$F$14)</f>
        <v>0.59460481575292012</v>
      </c>
      <c r="C145" s="32">
        <f ca="1">Model!$F$15+RAND()*(Model!$G$15-Model!$F$15)</f>
        <v>2.745801129208162E-2</v>
      </c>
      <c r="D145" s="33">
        <f ca="1">Model!$F$16+RAND()*(Model!$G$16-Model!$F$16)</f>
        <v>47.354167645636778</v>
      </c>
      <c r="E145" s="33">
        <f>Model!$D$17</f>
        <v>800</v>
      </c>
      <c r="G145" s="36">
        <f t="shared" ca="1" si="4"/>
        <v>199.02587823401313</v>
      </c>
    </row>
    <row r="146" spans="1:7" x14ac:dyDescent="0.2">
      <c r="A146" s="6">
        <f ca="1">Model!$F$13+RAND()*(Model!$G$13-Model!$F$13)</f>
        <v>1505.5654369687409</v>
      </c>
      <c r="B146" s="31">
        <f ca="1">Model!$F$14+RAND()*(Model!$G$14-Model!$F$14)</f>
        <v>0.42483734205726165</v>
      </c>
      <c r="C146" s="32">
        <f ca="1">Model!$F$15+RAND()*(Model!$G$15-Model!$F$15)</f>
        <v>3.6112439640863095E-2</v>
      </c>
      <c r="D146" s="33">
        <f ca="1">Model!$F$16+RAND()*(Model!$G$16-Model!$F$16)</f>
        <v>51.583956046742344</v>
      </c>
      <c r="E146" s="33">
        <f>Model!$D$17</f>
        <v>800</v>
      </c>
      <c r="G146" s="36">
        <f t="shared" ca="1" si="4"/>
        <v>1364.9807514304073</v>
      </c>
    </row>
    <row r="147" spans="1:7" x14ac:dyDescent="0.2">
      <c r="A147" s="6">
        <f ca="1">Model!$F$13+RAND()*(Model!$G$13-Model!$F$13)</f>
        <v>1490.6656121276885</v>
      </c>
      <c r="B147" s="31">
        <f ca="1">Model!$F$14+RAND()*(Model!$G$14-Model!$F$14)</f>
        <v>0.47658155117284834</v>
      </c>
      <c r="C147" s="32">
        <f ca="1">Model!$F$15+RAND()*(Model!$G$15-Model!$F$15)</f>
        <v>2.8468026519342507E-2</v>
      </c>
      <c r="D147" s="33">
        <f ca="1">Model!$F$16+RAND()*(Model!$G$16-Model!$F$16)</f>
        <v>52.164806661044523</v>
      </c>
      <c r="E147" s="33">
        <f>Model!$D$17</f>
        <v>800</v>
      </c>
      <c r="G147" s="36">
        <f t="shared" ca="1" si="4"/>
        <v>703.25808178115108</v>
      </c>
    </row>
    <row r="148" spans="1:7" x14ac:dyDescent="0.2">
      <c r="A148" s="6">
        <f ca="1">Model!$F$13+RAND()*(Model!$G$13-Model!$F$13)</f>
        <v>1277.5383962303508</v>
      </c>
      <c r="B148" s="31">
        <f ca="1">Model!$F$14+RAND()*(Model!$G$14-Model!$F$14)</f>
        <v>0.42636353142174743</v>
      </c>
      <c r="C148" s="32">
        <f ca="1">Model!$F$15+RAND()*(Model!$G$15-Model!$F$15)</f>
        <v>2.4167474098245129E-2</v>
      </c>
      <c r="D148" s="33">
        <f ca="1">Model!$F$16+RAND()*(Model!$G$16-Model!$F$16)</f>
        <v>50.95218861879848</v>
      </c>
      <c r="E148" s="33">
        <f>Model!$D$17</f>
        <v>800</v>
      </c>
      <c r="G148" s="36">
        <f t="shared" ca="1" si="4"/>
        <v>228.44672850650727</v>
      </c>
    </row>
    <row r="149" spans="1:7" x14ac:dyDescent="0.2">
      <c r="A149" s="6">
        <f ca="1">Model!$F$13+RAND()*(Model!$G$13-Model!$F$13)</f>
        <v>1780.8528423577782</v>
      </c>
      <c r="B149" s="31">
        <f ca="1">Model!$F$14+RAND()*(Model!$G$14-Model!$F$14)</f>
        <v>0.78661719740503644</v>
      </c>
      <c r="C149" s="32">
        <f ca="1">Model!$F$15+RAND()*(Model!$G$15-Model!$F$15)</f>
        <v>2.7887946089988222E-2</v>
      </c>
      <c r="D149" s="33">
        <f ca="1">Model!$F$16+RAND()*(Model!$G$16-Model!$F$16)</f>
        <v>52.701436125978603</v>
      </c>
      <c r="E149" s="33">
        <f>Model!$D$17</f>
        <v>800</v>
      </c>
      <c r="G149" s="36">
        <f t="shared" ca="1" si="4"/>
        <v>416.53194124633637</v>
      </c>
    </row>
    <row r="150" spans="1:7" x14ac:dyDescent="0.2">
      <c r="A150" s="6">
        <f ca="1">Model!$F$13+RAND()*(Model!$G$13-Model!$F$13)</f>
        <v>1494.6502014941429</v>
      </c>
      <c r="B150" s="31">
        <f ca="1">Model!$F$14+RAND()*(Model!$G$14-Model!$F$14)</f>
        <v>0.22437119104958042</v>
      </c>
      <c r="C150" s="32">
        <f ca="1">Model!$F$15+RAND()*(Model!$G$15-Model!$F$15)</f>
        <v>4.1965097966060343E-2</v>
      </c>
      <c r="D150" s="33">
        <f ca="1">Model!$F$16+RAND()*(Model!$G$16-Model!$F$16)</f>
        <v>47.263171730084601</v>
      </c>
      <c r="E150" s="33">
        <f>Model!$D$17</f>
        <v>800</v>
      </c>
      <c r="G150" s="36">
        <f t="shared" ca="1" si="4"/>
        <v>1829.1381920617371</v>
      </c>
    </row>
    <row r="151" spans="1:7" x14ac:dyDescent="0.2">
      <c r="A151" s="6">
        <f ca="1">Model!$F$13+RAND()*(Model!$G$13-Model!$F$13)</f>
        <v>1463.1894676816592</v>
      </c>
      <c r="B151" s="31">
        <f ca="1">Model!$F$14+RAND()*(Model!$G$14-Model!$F$14)</f>
        <v>0.65136171348357075</v>
      </c>
      <c r="C151" s="32">
        <f ca="1">Model!$F$15+RAND()*(Model!$G$15-Model!$F$15)</f>
        <v>1.7028768792754355E-2</v>
      </c>
      <c r="D151" s="33">
        <f ca="1">Model!$F$16+RAND()*(Model!$G$16-Model!$F$16)</f>
        <v>52.852773513437143</v>
      </c>
      <c r="E151" s="33">
        <f>Model!$D$17</f>
        <v>800</v>
      </c>
      <c r="G151" s="36">
        <f t="shared" ca="1" si="4"/>
        <v>-436.16923766450418</v>
      </c>
    </row>
    <row r="152" spans="1:7" x14ac:dyDescent="0.2">
      <c r="A152" s="6">
        <f ca="1">Model!$F$13+RAND()*(Model!$G$13-Model!$F$13)</f>
        <v>1371.4088764242081</v>
      </c>
      <c r="B152" s="31">
        <f ca="1">Model!$F$14+RAND()*(Model!$G$14-Model!$F$14)</f>
        <v>0.30178964904245387</v>
      </c>
      <c r="C152" s="32">
        <f ca="1">Model!$F$15+RAND()*(Model!$G$15-Model!$F$15)</f>
        <v>4.7269585132815838E-2</v>
      </c>
      <c r="D152" s="33">
        <f ca="1">Model!$F$16+RAND()*(Model!$G$16-Model!$F$16)</f>
        <v>48.94454255988893</v>
      </c>
      <c r="E152" s="33">
        <f>Model!$D$17</f>
        <v>800</v>
      </c>
      <c r="G152" s="36">
        <f t="shared" ca="1" si="4"/>
        <v>1958.9984196008927</v>
      </c>
    </row>
    <row r="153" spans="1:7" x14ac:dyDescent="0.2">
      <c r="A153" s="6">
        <f ca="1">Model!$F$13+RAND()*(Model!$G$13-Model!$F$13)</f>
        <v>1266.6342203823585</v>
      </c>
      <c r="B153" s="31">
        <f ca="1">Model!$F$14+RAND()*(Model!$G$14-Model!$F$14)</f>
        <v>0.46984817543354723</v>
      </c>
      <c r="C153" s="32">
        <f ca="1">Model!$F$15+RAND()*(Model!$G$15-Model!$F$15)</f>
        <v>2.1397944647542834E-2</v>
      </c>
      <c r="D153" s="33">
        <f ca="1">Model!$F$16+RAND()*(Model!$G$16-Model!$F$16)</f>
        <v>50.604922622436121</v>
      </c>
      <c r="E153" s="33">
        <f>Model!$D$17</f>
        <v>800</v>
      </c>
      <c r="G153" s="36">
        <f t="shared" ca="1" si="4"/>
        <v>-23.561889553204765</v>
      </c>
    </row>
    <row r="154" spans="1:7" x14ac:dyDescent="0.2">
      <c r="A154" s="6">
        <f ca="1">Model!$F$13+RAND()*(Model!$G$13-Model!$F$13)</f>
        <v>1251.7239413145512</v>
      </c>
      <c r="B154" s="31">
        <f ca="1">Model!$F$14+RAND()*(Model!$G$14-Model!$F$14)</f>
        <v>0.36768279287412919</v>
      </c>
      <c r="C154" s="32">
        <f ca="1">Model!$F$15+RAND()*(Model!$G$15-Model!$F$15)</f>
        <v>4.7790851899268273E-2</v>
      </c>
      <c r="D154" s="33">
        <f ca="1">Model!$F$16+RAND()*(Model!$G$16-Model!$F$16)</f>
        <v>50.384550727444328</v>
      </c>
      <c r="E154" s="33">
        <f>Model!$D$17</f>
        <v>800</v>
      </c>
      <c r="G154" s="36">
        <f t="shared" ca="1" si="4"/>
        <v>1753.8145114407778</v>
      </c>
    </row>
    <row r="155" spans="1:7" x14ac:dyDescent="0.2">
      <c r="A155" s="6">
        <f ca="1">Model!$F$13+RAND()*(Model!$G$13-Model!$F$13)</f>
        <v>1289.2861947573649</v>
      </c>
      <c r="B155" s="31">
        <f ca="1">Model!$F$14+RAND()*(Model!$G$14-Model!$F$14)</f>
        <v>0.24978111624925375</v>
      </c>
      <c r="C155" s="32">
        <f ca="1">Model!$F$15+RAND()*(Model!$G$15-Model!$F$15)</f>
        <v>3.6268555220245739E-2</v>
      </c>
      <c r="D155" s="33">
        <f ca="1">Model!$F$16+RAND()*(Model!$G$16-Model!$F$16)</f>
        <v>52.463900975394701</v>
      </c>
      <c r="E155" s="33">
        <f>Model!$D$17</f>
        <v>800</v>
      </c>
      <c r="G155" s="36">
        <f t="shared" ca="1" si="4"/>
        <v>1331.2013912882594</v>
      </c>
    </row>
    <row r="156" spans="1:7" x14ac:dyDescent="0.2">
      <c r="A156" s="6">
        <f ca="1">Model!$F$13+RAND()*(Model!$G$13-Model!$F$13)</f>
        <v>1503.5461716337445</v>
      </c>
      <c r="B156" s="31">
        <f ca="1">Model!$F$14+RAND()*(Model!$G$14-Model!$F$14)</f>
        <v>0.55851804344401779</v>
      </c>
      <c r="C156" s="32">
        <f ca="1">Model!$F$15+RAND()*(Model!$G$15-Model!$F$15)</f>
        <v>1.9944268688621827E-2</v>
      </c>
      <c r="D156" s="33">
        <f ca="1">Model!$F$16+RAND()*(Model!$G$16-Model!$F$16)</f>
        <v>51.436259220371667</v>
      </c>
      <c r="E156" s="33">
        <f>Model!$D$17</f>
        <v>800</v>
      </c>
      <c r="G156" s="36">
        <f t="shared" ca="1" si="4"/>
        <v>-97.331934089417473</v>
      </c>
    </row>
    <row r="157" spans="1:7" x14ac:dyDescent="0.2">
      <c r="A157" s="6">
        <f ca="1">Model!$F$13+RAND()*(Model!$G$13-Model!$F$13)</f>
        <v>1470.8694283049595</v>
      </c>
      <c r="B157" s="31">
        <f ca="1">Model!$F$14+RAND()*(Model!$G$14-Model!$F$14)</f>
        <v>0.49100927426987706</v>
      </c>
      <c r="C157" s="32">
        <f ca="1">Model!$F$15+RAND()*(Model!$G$15-Model!$F$15)</f>
        <v>3.4261870371090491E-2</v>
      </c>
      <c r="D157" s="33">
        <f ca="1">Model!$F$16+RAND()*(Model!$G$16-Model!$F$16)</f>
        <v>49.90982946768225</v>
      </c>
      <c r="E157" s="33">
        <f>Model!$D$17</f>
        <v>800</v>
      </c>
      <c r="G157" s="36">
        <f t="shared" ca="1" si="4"/>
        <v>992.9822334083533</v>
      </c>
    </row>
    <row r="158" spans="1:7" x14ac:dyDescent="0.2">
      <c r="A158" s="6">
        <f ca="1">Model!$F$13+RAND()*(Model!$G$13-Model!$F$13)</f>
        <v>1328.6040707211716</v>
      </c>
      <c r="B158" s="31">
        <f ca="1">Model!$F$14+RAND()*(Model!$G$14-Model!$F$14)</f>
        <v>0.79820224770544379</v>
      </c>
      <c r="C158" s="32">
        <f ca="1">Model!$F$15+RAND()*(Model!$G$15-Model!$F$15)</f>
        <v>1.9947560978668663E-2</v>
      </c>
      <c r="D158" s="33">
        <f ca="1">Model!$F$16+RAND()*(Model!$G$16-Model!$F$16)</f>
        <v>49.319815581967021</v>
      </c>
      <c r="E158" s="33">
        <f>Model!$D$17</f>
        <v>800</v>
      </c>
      <c r="G158" s="36">
        <f t="shared" ca="1" si="4"/>
        <v>-553.40074650950442</v>
      </c>
    </row>
    <row r="159" spans="1:7" x14ac:dyDescent="0.2">
      <c r="A159" s="6">
        <f ca="1">Model!$F$13+RAND()*(Model!$G$13-Model!$F$13)</f>
        <v>1306.5993554220979</v>
      </c>
      <c r="B159" s="31">
        <f ca="1">Model!$F$14+RAND()*(Model!$G$14-Model!$F$14)</f>
        <v>0.66376157876853648</v>
      </c>
      <c r="C159" s="32">
        <f ca="1">Model!$F$15+RAND()*(Model!$G$15-Model!$F$15)</f>
        <v>2.7329083363176451E-2</v>
      </c>
      <c r="D159" s="33">
        <f ca="1">Model!$F$16+RAND()*(Model!$G$16-Model!$F$16)</f>
        <v>50.258778561797776</v>
      </c>
      <c r="E159" s="33">
        <f>Model!$D$17</f>
        <v>800</v>
      </c>
      <c r="G159" s="36">
        <f t="shared" ca="1" si="4"/>
        <v>127.37819134688857</v>
      </c>
    </row>
    <row r="160" spans="1:7" x14ac:dyDescent="0.2">
      <c r="A160" s="6">
        <f ca="1">Model!$F$13+RAND()*(Model!$G$13-Model!$F$13)</f>
        <v>1466.2346213573608</v>
      </c>
      <c r="B160" s="31">
        <f ca="1">Model!$F$14+RAND()*(Model!$G$14-Model!$F$14)</f>
        <v>0.73529354715004636</v>
      </c>
      <c r="C160" s="32">
        <f ca="1">Model!$F$15+RAND()*(Model!$G$15-Model!$F$15)</f>
        <v>4.8771018266617894E-2</v>
      </c>
      <c r="D160" s="33">
        <f ca="1">Model!$F$16+RAND()*(Model!$G$16-Model!$F$16)</f>
        <v>52.113061115630565</v>
      </c>
      <c r="E160" s="33">
        <f>Model!$D$17</f>
        <v>800</v>
      </c>
      <c r="G160" s="36">
        <f t="shared" ca="1" si="4"/>
        <v>1848.4794031144997</v>
      </c>
    </row>
    <row r="161" spans="1:7" x14ac:dyDescent="0.2">
      <c r="A161" s="6">
        <f ca="1">Model!$F$13+RAND()*(Model!$G$13-Model!$F$13)</f>
        <v>1333.9182267400995</v>
      </c>
      <c r="B161" s="31">
        <f ca="1">Model!$F$14+RAND()*(Model!$G$14-Model!$F$14)</f>
        <v>0.3642476262990475</v>
      </c>
      <c r="C161" s="32">
        <f ca="1">Model!$F$15+RAND()*(Model!$G$15-Model!$F$15)</f>
        <v>2.7488653647847701E-2</v>
      </c>
      <c r="D161" s="33">
        <f ca="1">Model!$F$16+RAND()*(Model!$G$16-Model!$F$16)</f>
        <v>51.450190546837618</v>
      </c>
      <c r="E161" s="33">
        <f>Model!$D$17</f>
        <v>800</v>
      </c>
      <c r="G161" s="36">
        <f t="shared" ca="1" si="4"/>
        <v>600.67928898931336</v>
      </c>
    </row>
    <row r="162" spans="1:7" x14ac:dyDescent="0.2">
      <c r="A162" s="6">
        <f ca="1">Model!$F$13+RAND()*(Model!$G$13-Model!$F$13)</f>
        <v>1476.2003861007599</v>
      </c>
      <c r="B162" s="31">
        <f ca="1">Model!$F$14+RAND()*(Model!$G$14-Model!$F$14)</f>
        <v>0.29377390177474449</v>
      </c>
      <c r="C162" s="32">
        <f ca="1">Model!$F$15+RAND()*(Model!$G$15-Model!$F$15)</f>
        <v>1.3676958366366057E-2</v>
      </c>
      <c r="D162" s="33">
        <f ca="1">Model!$F$16+RAND()*(Model!$G$16-Model!$F$16)</f>
        <v>52.895304404106</v>
      </c>
      <c r="E162" s="33">
        <f>Model!$D$17</f>
        <v>800</v>
      </c>
      <c r="G162" s="36">
        <f t="shared" ca="1" si="4"/>
        <v>-165.71658938743758</v>
      </c>
    </row>
    <row r="163" spans="1:7" x14ac:dyDescent="0.2">
      <c r="A163" s="6">
        <f ca="1">Model!$F$13+RAND()*(Model!$G$13-Model!$F$13)</f>
        <v>1607.9630788947511</v>
      </c>
      <c r="B163" s="31">
        <f ca="1">Model!$F$14+RAND()*(Model!$G$14-Model!$F$14)</f>
        <v>0.43217973533599963</v>
      </c>
      <c r="C163" s="32">
        <f ca="1">Model!$F$15+RAND()*(Model!$G$15-Model!$F$15)</f>
        <v>3.7089824220268464E-2</v>
      </c>
      <c r="D163" s="33">
        <f ca="1">Model!$F$16+RAND()*(Model!$G$16-Model!$F$16)</f>
        <v>52.73037206896133</v>
      </c>
      <c r="E163" s="33">
        <f>Model!$D$17</f>
        <v>800</v>
      </c>
      <c r="G163" s="36">
        <f t="shared" ca="1" si="4"/>
        <v>1649.8611849241377</v>
      </c>
    </row>
    <row r="164" spans="1:7" x14ac:dyDescent="0.2">
      <c r="A164" s="6">
        <f ca="1">Model!$F$13+RAND()*(Model!$G$13-Model!$F$13)</f>
        <v>1726.4845728054293</v>
      </c>
      <c r="B164" s="31">
        <f ca="1">Model!$F$14+RAND()*(Model!$G$14-Model!$F$14)</f>
        <v>0.65016704319938845</v>
      </c>
      <c r="C164" s="32">
        <f ca="1">Model!$F$15+RAND()*(Model!$G$15-Model!$F$15)</f>
        <v>3.157267830206361E-2</v>
      </c>
      <c r="D164" s="33">
        <f ca="1">Model!$F$16+RAND()*(Model!$G$16-Model!$F$16)</f>
        <v>49.510971919264186</v>
      </c>
      <c r="E164" s="33">
        <f>Model!$D$17</f>
        <v>800</v>
      </c>
      <c r="G164" s="36">
        <f t="shared" ca="1" si="4"/>
        <v>776.32693618593362</v>
      </c>
    </row>
    <row r="165" spans="1:7" x14ac:dyDescent="0.2">
      <c r="A165" s="6">
        <f ca="1">Model!$F$13+RAND()*(Model!$G$13-Model!$F$13)</f>
        <v>1216.5275995159282</v>
      </c>
      <c r="B165" s="31">
        <f ca="1">Model!$F$14+RAND()*(Model!$G$14-Model!$F$14)</f>
        <v>0.24362987093925192</v>
      </c>
      <c r="C165" s="32">
        <f ca="1">Model!$F$15+RAND()*(Model!$G$15-Model!$F$15)</f>
        <v>4.9873138116024222E-2</v>
      </c>
      <c r="D165" s="33">
        <f ca="1">Model!$F$16+RAND()*(Model!$G$16-Model!$F$16)</f>
        <v>51.641395366449693</v>
      </c>
      <c r="E165" s="33">
        <f>Model!$D$17</f>
        <v>800</v>
      </c>
      <c r="G165" s="36">
        <f t="shared" ca="1" si="4"/>
        <v>2036.8068076560448</v>
      </c>
    </row>
    <row r="166" spans="1:7" x14ac:dyDescent="0.2">
      <c r="A166" s="6">
        <f ca="1">Model!$F$13+RAND()*(Model!$G$13-Model!$F$13)</f>
        <v>1384.0702390179822</v>
      </c>
      <c r="B166" s="31">
        <f ca="1">Model!$F$14+RAND()*(Model!$G$14-Model!$F$14)</f>
        <v>0.49525092379127211</v>
      </c>
      <c r="C166" s="32">
        <f ca="1">Model!$F$15+RAND()*(Model!$G$15-Model!$F$15)</f>
        <v>4.6613835140333612E-2</v>
      </c>
      <c r="D166" s="33">
        <f ca="1">Model!$F$16+RAND()*(Model!$G$16-Model!$F$16)</f>
        <v>52.493692013090993</v>
      </c>
      <c r="E166" s="33">
        <f>Model!$D$17</f>
        <v>800</v>
      </c>
      <c r="G166" s="36">
        <f t="shared" ca="1" si="4"/>
        <v>1901.2641163379867</v>
      </c>
    </row>
    <row r="167" spans="1:7" x14ac:dyDescent="0.2">
      <c r="A167" s="6">
        <f ca="1">Model!$F$13+RAND()*(Model!$G$13-Model!$F$13)</f>
        <v>1401.3776681562172</v>
      </c>
      <c r="B167" s="31">
        <f ca="1">Model!$F$14+RAND()*(Model!$G$14-Model!$F$14)</f>
        <v>0.45229003748042718</v>
      </c>
      <c r="C167" s="32">
        <f ca="1">Model!$F$15+RAND()*(Model!$G$15-Model!$F$15)</f>
        <v>2.2522639398018383E-2</v>
      </c>
      <c r="D167" s="33">
        <f ca="1">Model!$F$16+RAND()*(Model!$G$16-Model!$F$16)</f>
        <v>49.176936154957083</v>
      </c>
      <c r="E167" s="33">
        <f>Model!$D$17</f>
        <v>800</v>
      </c>
      <c r="G167" s="36">
        <f t="shared" ca="1" si="4"/>
        <v>118.32889908434549</v>
      </c>
    </row>
    <row r="168" spans="1:7" x14ac:dyDescent="0.2">
      <c r="A168" s="6">
        <f ca="1">Model!$F$13+RAND()*(Model!$G$13-Model!$F$13)</f>
        <v>1795.8633095529181</v>
      </c>
      <c r="B168" s="31">
        <f ca="1">Model!$F$14+RAND()*(Model!$G$14-Model!$F$14)</f>
        <v>0.65159906505590182</v>
      </c>
      <c r="C168" s="32">
        <f ca="1">Model!$F$15+RAND()*(Model!$G$15-Model!$F$15)</f>
        <v>1.9483358141545802E-2</v>
      </c>
      <c r="D168" s="33">
        <f ca="1">Model!$F$16+RAND()*(Model!$G$16-Model!$F$16)</f>
        <v>51.461022011163678</v>
      </c>
      <c r="E168" s="33">
        <f>Model!$D$17</f>
        <v>800</v>
      </c>
      <c r="G168" s="36">
        <f t="shared" ca="1" si="4"/>
        <v>-169.59009807372581</v>
      </c>
    </row>
    <row r="169" spans="1:7" x14ac:dyDescent="0.2">
      <c r="A169" s="6">
        <f ca="1">Model!$F$13+RAND()*(Model!$G$13-Model!$F$13)</f>
        <v>1387.6357207213603</v>
      </c>
      <c r="B169" s="31">
        <f ca="1">Model!$F$14+RAND()*(Model!$G$14-Model!$F$14)</f>
        <v>0.29773533121801776</v>
      </c>
      <c r="C169" s="32">
        <f ca="1">Model!$F$15+RAND()*(Model!$G$15-Model!$F$15)</f>
        <v>2.6237729379321471E-2</v>
      </c>
      <c r="D169" s="33">
        <f ca="1">Model!$F$16+RAND()*(Model!$G$16-Model!$F$16)</f>
        <v>51.390262383798621</v>
      </c>
      <c r="E169" s="33">
        <f>Model!$D$17</f>
        <v>800</v>
      </c>
      <c r="G169" s="36">
        <f t="shared" ca="1" si="4"/>
        <v>657.88958854560406</v>
      </c>
    </row>
    <row r="170" spans="1:7" x14ac:dyDescent="0.2">
      <c r="A170" s="6">
        <f ca="1">Model!$F$13+RAND()*(Model!$G$13-Model!$F$13)</f>
        <v>1570.2349575742687</v>
      </c>
      <c r="B170" s="31">
        <f ca="1">Model!$F$14+RAND()*(Model!$G$14-Model!$F$14)</f>
        <v>0.42632818793091376</v>
      </c>
      <c r="C170" s="32">
        <f ca="1">Model!$F$15+RAND()*(Model!$G$15-Model!$F$15)</f>
        <v>1.5045981175700374E-2</v>
      </c>
      <c r="D170" s="33">
        <f ca="1">Model!$F$16+RAND()*(Model!$G$16-Model!$F$16)</f>
        <v>49.610981907017432</v>
      </c>
      <c r="E170" s="33">
        <f>Model!$D$17</f>
        <v>800</v>
      </c>
      <c r="G170" s="36">
        <f t="shared" ca="1" si="4"/>
        <v>-297.33997815729026</v>
      </c>
    </row>
    <row r="171" spans="1:7" x14ac:dyDescent="0.2">
      <c r="A171" s="6">
        <f ca="1">Model!$F$13+RAND()*(Model!$G$13-Model!$F$13)</f>
        <v>1343.9065261725746</v>
      </c>
      <c r="B171" s="31">
        <f ca="1">Model!$F$14+RAND()*(Model!$G$14-Model!$F$14)</f>
        <v>0.44350773959851614</v>
      </c>
      <c r="C171" s="32">
        <f ca="1">Model!$F$15+RAND()*(Model!$G$15-Model!$F$15)</f>
        <v>3.9957801766918898E-2</v>
      </c>
      <c r="D171" s="33">
        <f ca="1">Model!$F$16+RAND()*(Model!$G$16-Model!$F$16)</f>
        <v>50.53020261423066</v>
      </c>
      <c r="E171" s="33">
        <f>Model!$D$17</f>
        <v>800</v>
      </c>
      <c r="G171" s="36">
        <f t="shared" ca="1" si="4"/>
        <v>1317.4162247422673</v>
      </c>
    </row>
    <row r="172" spans="1:7" x14ac:dyDescent="0.2">
      <c r="A172" s="6">
        <f ca="1">Model!$F$13+RAND()*(Model!$G$13-Model!$F$13)</f>
        <v>1282.1268843276039</v>
      </c>
      <c r="B172" s="31">
        <f ca="1">Model!$F$14+RAND()*(Model!$G$14-Model!$F$14)</f>
        <v>0.45462386379760766</v>
      </c>
      <c r="C172" s="32">
        <f ca="1">Model!$F$15+RAND()*(Model!$G$15-Model!$F$15)</f>
        <v>1.453554027709179E-2</v>
      </c>
      <c r="D172" s="33">
        <f ca="1">Model!$F$16+RAND()*(Model!$G$16-Model!$F$16)</f>
        <v>47.989241920057353</v>
      </c>
      <c r="E172" s="33">
        <f>Model!$D$17</f>
        <v>800</v>
      </c>
      <c r="G172" s="36">
        <f t="shared" ca="1" si="4"/>
        <v>-488.53843554847128</v>
      </c>
    </row>
    <row r="173" spans="1:7" x14ac:dyDescent="0.2">
      <c r="A173" s="6">
        <f ca="1">Model!$F$13+RAND()*(Model!$G$13-Model!$F$13)</f>
        <v>1206.8605578077427</v>
      </c>
      <c r="B173" s="31">
        <f ca="1">Model!$F$14+RAND()*(Model!$G$14-Model!$F$14)</f>
        <v>0.33570529453072728</v>
      </c>
      <c r="C173" s="32">
        <f ca="1">Model!$F$15+RAND()*(Model!$G$15-Model!$F$15)</f>
        <v>1.0553766175699683E-2</v>
      </c>
      <c r="D173" s="33">
        <f ca="1">Model!$F$16+RAND()*(Model!$G$16-Model!$F$16)</f>
        <v>52.942176149744277</v>
      </c>
      <c r="E173" s="33">
        <f>Model!$D$17</f>
        <v>800</v>
      </c>
      <c r="G173" s="36">
        <f t="shared" ca="1" si="4"/>
        <v>-530.82899791999353</v>
      </c>
    </row>
    <row r="174" spans="1:7" x14ac:dyDescent="0.2">
      <c r="A174" s="6">
        <f ca="1">Model!$F$13+RAND()*(Model!$G$13-Model!$F$13)</f>
        <v>1465.5739452075838</v>
      </c>
      <c r="B174" s="31">
        <f ca="1">Model!$F$14+RAND()*(Model!$G$14-Model!$F$14)</f>
        <v>0.25930008282514611</v>
      </c>
      <c r="C174" s="32">
        <f ca="1">Model!$F$15+RAND()*(Model!$G$15-Model!$F$15)</f>
        <v>4.3349068061030255E-2</v>
      </c>
      <c r="D174" s="33">
        <f ca="1">Model!$F$16+RAND()*(Model!$G$16-Model!$F$16)</f>
        <v>51.09851294823558</v>
      </c>
      <c r="E174" s="33">
        <f>Model!$D$17</f>
        <v>800</v>
      </c>
      <c r="G174" s="36">
        <f t="shared" ca="1" si="4"/>
        <v>2066.3297064750432</v>
      </c>
    </row>
    <row r="175" spans="1:7" x14ac:dyDescent="0.2">
      <c r="A175" s="6">
        <f ca="1">Model!$F$13+RAND()*(Model!$G$13-Model!$F$13)</f>
        <v>1794.9266901663377</v>
      </c>
      <c r="B175" s="31">
        <f ca="1">Model!$F$14+RAND()*(Model!$G$14-Model!$F$14)</f>
        <v>0.39783884962561822</v>
      </c>
      <c r="C175" s="32">
        <f ca="1">Model!$F$15+RAND()*(Model!$G$15-Model!$F$15)</f>
        <v>1.8044257707896152E-2</v>
      </c>
      <c r="D175" s="33">
        <f ca="1">Model!$F$16+RAND()*(Model!$G$16-Model!$F$16)</f>
        <v>49.422831159046652</v>
      </c>
      <c r="E175" s="33">
        <f>Model!$D$17</f>
        <v>800</v>
      </c>
      <c r="G175" s="36">
        <f t="shared" ca="1" si="4"/>
        <v>86.621005084100943</v>
      </c>
    </row>
    <row r="176" spans="1:7" x14ac:dyDescent="0.2">
      <c r="A176" s="6">
        <f ca="1">Model!$F$13+RAND()*(Model!$G$13-Model!$F$13)</f>
        <v>1334.8247171087726</v>
      </c>
      <c r="B176" s="31">
        <f ca="1">Model!$F$14+RAND()*(Model!$G$14-Model!$F$14)</f>
        <v>0.30074392805704314</v>
      </c>
      <c r="C176" s="32">
        <f ca="1">Model!$F$15+RAND()*(Model!$G$15-Model!$F$15)</f>
        <v>2.1808632958889101E-2</v>
      </c>
      <c r="D176" s="33">
        <f ca="1">Model!$F$16+RAND()*(Model!$G$16-Model!$F$16)</f>
        <v>49.897256446111136</v>
      </c>
      <c r="E176" s="33">
        <f>Model!$D$17</f>
        <v>800</v>
      </c>
      <c r="G176" s="36">
        <f t="shared" ca="1" si="4"/>
        <v>251.10375029044121</v>
      </c>
    </row>
    <row r="177" spans="1:7" x14ac:dyDescent="0.2">
      <c r="A177" s="6">
        <f ca="1">Model!$F$13+RAND()*(Model!$G$13-Model!$F$13)</f>
        <v>1304.9786928139094</v>
      </c>
      <c r="B177" s="31">
        <f ca="1">Model!$F$14+RAND()*(Model!$G$14-Model!$F$14)</f>
        <v>0.27341083816584133</v>
      </c>
      <c r="C177" s="32">
        <f ca="1">Model!$F$15+RAND()*(Model!$G$15-Model!$F$15)</f>
        <v>4.0178028859095306E-2</v>
      </c>
      <c r="D177" s="33">
        <f ca="1">Model!$F$16+RAND()*(Model!$G$16-Model!$F$16)</f>
        <v>50.238855954207992</v>
      </c>
      <c r="E177" s="33">
        <f>Model!$D$17</f>
        <v>800</v>
      </c>
      <c r="G177" s="36">
        <f t="shared" ca="1" si="4"/>
        <v>1477.3018300031329</v>
      </c>
    </row>
    <row r="178" spans="1:7" x14ac:dyDescent="0.2">
      <c r="A178" s="6">
        <f ca="1">Model!$F$13+RAND()*(Model!$G$13-Model!$F$13)</f>
        <v>1318.4306433161144</v>
      </c>
      <c r="B178" s="31">
        <f ca="1">Model!$F$14+RAND()*(Model!$G$14-Model!$F$14)</f>
        <v>0.26639952142460305</v>
      </c>
      <c r="C178" s="32">
        <f ca="1">Model!$F$15+RAND()*(Model!$G$15-Model!$F$15)</f>
        <v>1.4089881171727879E-2</v>
      </c>
      <c r="D178" s="33">
        <f ca="1">Model!$F$16+RAND()*(Model!$G$16-Model!$F$16)</f>
        <v>52.636378131240406</v>
      </c>
      <c r="E178" s="33">
        <f>Model!$D$17</f>
        <v>800</v>
      </c>
      <c r="G178" s="36">
        <f t="shared" ca="1" si="4"/>
        <v>-173.42797719677776</v>
      </c>
    </row>
    <row r="179" spans="1:7" x14ac:dyDescent="0.2">
      <c r="A179" s="6">
        <f ca="1">Model!$F$13+RAND()*(Model!$G$13-Model!$F$13)</f>
        <v>1378.7678486771779</v>
      </c>
      <c r="B179" s="31">
        <f ca="1">Model!$F$14+RAND()*(Model!$G$14-Model!$F$14)</f>
        <v>0.59802619515284783</v>
      </c>
      <c r="C179" s="32">
        <f ca="1">Model!$F$15+RAND()*(Model!$G$15-Model!$F$15)</f>
        <v>2.7697699825234151E-2</v>
      </c>
      <c r="D179" s="33">
        <f ca="1">Model!$F$16+RAND()*(Model!$G$16-Model!$F$16)</f>
        <v>52.572112636968377</v>
      </c>
      <c r="E179" s="33">
        <f>Model!$D$17</f>
        <v>800</v>
      </c>
      <c r="G179" s="36">
        <f t="shared" ca="1" si="4"/>
        <v>383.12124224235345</v>
      </c>
    </row>
    <row r="180" spans="1:7" x14ac:dyDescent="0.2">
      <c r="A180" s="6">
        <f ca="1">Model!$F$13+RAND()*(Model!$G$13-Model!$F$13)</f>
        <v>1602.0140826289571</v>
      </c>
      <c r="B180" s="31">
        <f ca="1">Model!$F$14+RAND()*(Model!$G$14-Model!$F$14)</f>
        <v>0.20769099488105497</v>
      </c>
      <c r="C180" s="32">
        <f ca="1">Model!$F$15+RAND()*(Model!$G$15-Model!$F$15)</f>
        <v>4.1971144288745522E-2</v>
      </c>
      <c r="D180" s="33">
        <f ca="1">Model!$F$16+RAND()*(Model!$G$16-Model!$F$16)</f>
        <v>50.586527803239392</v>
      </c>
      <c r="E180" s="33">
        <f>Model!$D$17</f>
        <v>800</v>
      </c>
      <c r="G180" s="36">
        <f t="shared" ca="1" si="4"/>
        <v>2268.6314821526562</v>
      </c>
    </row>
    <row r="181" spans="1:7" x14ac:dyDescent="0.2">
      <c r="A181" s="6">
        <f ca="1">Model!$F$13+RAND()*(Model!$G$13-Model!$F$13)</f>
        <v>1783.5453765163788</v>
      </c>
      <c r="B181" s="31">
        <f ca="1">Model!$F$14+RAND()*(Model!$G$14-Model!$F$14)</f>
        <v>0.7127046259927261</v>
      </c>
      <c r="C181" s="32">
        <f ca="1">Model!$F$15+RAND()*(Model!$G$15-Model!$F$15)</f>
        <v>1.9369036543540923E-2</v>
      </c>
      <c r="D181" s="33">
        <f ca="1">Model!$F$16+RAND()*(Model!$G$16-Model!$F$16)</f>
        <v>49.041179380434798</v>
      </c>
      <c r="E181" s="33">
        <f>Model!$D$17</f>
        <v>800</v>
      </c>
      <c r="G181" s="36">
        <f t="shared" ca="1" si="4"/>
        <v>-376.98625277016458</v>
      </c>
    </row>
    <row r="182" spans="1:7" x14ac:dyDescent="0.2">
      <c r="A182" s="6">
        <f ca="1">Model!$F$13+RAND()*(Model!$G$13-Model!$F$13)</f>
        <v>1448.6675919951551</v>
      </c>
      <c r="B182" s="31">
        <f ca="1">Model!$F$14+RAND()*(Model!$G$14-Model!$F$14)</f>
        <v>0.76828481032962048</v>
      </c>
      <c r="C182" s="32">
        <f ca="1">Model!$F$15+RAND()*(Model!$G$15-Model!$F$15)</f>
        <v>4.5526377854701747E-2</v>
      </c>
      <c r="D182" s="33">
        <f ca="1">Model!$F$16+RAND()*(Model!$G$16-Model!$F$16)</f>
        <v>48.288503513197696</v>
      </c>
      <c r="E182" s="33">
        <f>Model!$D$17</f>
        <v>800</v>
      </c>
      <c r="G182" s="36">
        <f t="shared" ca="1" si="4"/>
        <v>1271.7624798410177</v>
      </c>
    </row>
    <row r="183" spans="1:7" x14ac:dyDescent="0.2">
      <c r="A183" s="6">
        <f ca="1">Model!$F$13+RAND()*(Model!$G$13-Model!$F$13)</f>
        <v>1530.5473491988628</v>
      </c>
      <c r="B183" s="31">
        <f ca="1">Model!$F$14+RAND()*(Model!$G$14-Model!$F$14)</f>
        <v>0.61272430931889121</v>
      </c>
      <c r="C183" s="32">
        <f ca="1">Model!$F$15+RAND()*(Model!$G$15-Model!$F$15)</f>
        <v>4.086928946913565E-2</v>
      </c>
      <c r="D183" s="33">
        <f ca="1">Model!$F$16+RAND()*(Model!$G$16-Model!$F$16)</f>
        <v>51.552811665084015</v>
      </c>
      <c r="E183" s="33">
        <f>Model!$D$17</f>
        <v>800</v>
      </c>
      <c r="G183" s="36">
        <f t="shared" ca="1" si="4"/>
        <v>1486.9476350878153</v>
      </c>
    </row>
    <row r="184" spans="1:7" x14ac:dyDescent="0.2">
      <c r="A184" s="6">
        <f ca="1">Model!$F$13+RAND()*(Model!$G$13-Model!$F$13)</f>
        <v>1218.6283888590353</v>
      </c>
      <c r="B184" s="31">
        <f ca="1">Model!$F$14+RAND()*(Model!$G$14-Model!$F$14)</f>
        <v>0.43284569181121657</v>
      </c>
      <c r="C184" s="32">
        <f ca="1">Model!$F$15+RAND()*(Model!$G$15-Model!$F$15)</f>
        <v>2.1592265828840447E-2</v>
      </c>
      <c r="D184" s="33">
        <f ca="1">Model!$F$16+RAND()*(Model!$G$16-Model!$F$16)</f>
        <v>48.236032031552824</v>
      </c>
      <c r="E184" s="33">
        <f>Model!$D$17</f>
        <v>800</v>
      </c>
      <c r="G184" s="36">
        <f t="shared" ca="1" si="4"/>
        <v>-58.245839732689319</v>
      </c>
    </row>
    <row r="185" spans="1:7" x14ac:dyDescent="0.2">
      <c r="A185" s="6">
        <f ca="1">Model!$F$13+RAND()*(Model!$G$13-Model!$F$13)</f>
        <v>1624.9817407042492</v>
      </c>
      <c r="B185" s="31">
        <f ca="1">Model!$F$14+RAND()*(Model!$G$14-Model!$F$14)</f>
        <v>0.27949238601550436</v>
      </c>
      <c r="C185" s="32">
        <f ca="1">Model!$F$15+RAND()*(Model!$G$15-Model!$F$15)</f>
        <v>1.3871372041100494E-2</v>
      </c>
      <c r="D185" s="33">
        <f ca="1">Model!$F$16+RAND()*(Model!$G$16-Model!$F$16)</f>
        <v>49.86082060680485</v>
      </c>
      <c r="E185" s="33">
        <f>Model!$D$17</f>
        <v>800</v>
      </c>
      <c r="G185" s="36">
        <f t="shared" ca="1" si="4"/>
        <v>-130.27091428243784</v>
      </c>
    </row>
    <row r="186" spans="1:7" x14ac:dyDescent="0.2">
      <c r="A186" s="6">
        <f ca="1">Model!$F$13+RAND()*(Model!$G$13-Model!$F$13)</f>
        <v>1664.168053136988</v>
      </c>
      <c r="B186" s="31">
        <f ca="1">Model!$F$14+RAND()*(Model!$G$14-Model!$F$14)</f>
        <v>0.45881888743154547</v>
      </c>
      <c r="C186" s="32">
        <f ca="1">Model!$F$15+RAND()*(Model!$G$15-Model!$F$15)</f>
        <v>1.0358966535874653E-2</v>
      </c>
      <c r="D186" s="33">
        <f ca="1">Model!$F$16+RAND()*(Model!$G$16-Model!$F$16)</f>
        <v>50.068877384979942</v>
      </c>
      <c r="E186" s="33">
        <f>Model!$D$17</f>
        <v>800</v>
      </c>
      <c r="G186" s="36">
        <f t="shared" ca="1" si="4"/>
        <v>-700.41129456047531</v>
      </c>
    </row>
    <row r="187" spans="1:7" x14ac:dyDescent="0.2">
      <c r="A187" s="6">
        <f ca="1">Model!$F$13+RAND()*(Model!$G$13-Model!$F$13)</f>
        <v>1653.59492298699</v>
      </c>
      <c r="B187" s="31">
        <f ca="1">Model!$F$14+RAND()*(Model!$G$14-Model!$F$14)</f>
        <v>0.66432510168285319</v>
      </c>
      <c r="C187" s="32">
        <f ca="1">Model!$F$15+RAND()*(Model!$G$15-Model!$F$15)</f>
        <v>2.0596276352623205E-2</v>
      </c>
      <c r="D187" s="33">
        <f ca="1">Model!$F$16+RAND()*(Model!$G$16-Model!$F$16)</f>
        <v>47.069432105172098</v>
      </c>
      <c r="E187" s="33">
        <f>Model!$D$17</f>
        <v>800</v>
      </c>
      <c r="G187" s="36">
        <f t="shared" ca="1" si="4"/>
        <v>-295.43869736973875</v>
      </c>
    </row>
    <row r="188" spans="1:7" x14ac:dyDescent="0.2">
      <c r="A188" s="6">
        <f ca="1">Model!$F$13+RAND()*(Model!$G$13-Model!$F$13)</f>
        <v>1390.6649936467611</v>
      </c>
      <c r="B188" s="31">
        <f ca="1">Model!$F$14+RAND()*(Model!$G$14-Model!$F$14)</f>
        <v>0.77503141149288224</v>
      </c>
      <c r="C188" s="32">
        <f ca="1">Model!$F$15+RAND()*(Model!$G$15-Model!$F$15)</f>
        <v>2.2270322501753925E-2</v>
      </c>
      <c r="D188" s="33">
        <f ca="1">Model!$F$16+RAND()*(Model!$G$16-Model!$F$16)</f>
        <v>47.88117226294208</v>
      </c>
      <c r="E188" s="33">
        <f>Model!$D$17</f>
        <v>800</v>
      </c>
      <c r="G188" s="36">
        <f t="shared" ca="1" si="4"/>
        <v>-394.90243503069541</v>
      </c>
    </row>
    <row r="189" spans="1:7" x14ac:dyDescent="0.2">
      <c r="A189" s="6">
        <f ca="1">Model!$F$13+RAND()*(Model!$G$13-Model!$F$13)</f>
        <v>1745.0967517856257</v>
      </c>
      <c r="B189" s="31">
        <f ca="1">Model!$F$14+RAND()*(Model!$G$14-Model!$F$14)</f>
        <v>0.70843982185836363</v>
      </c>
      <c r="C189" s="32">
        <f ca="1">Model!$F$15+RAND()*(Model!$G$15-Model!$F$15)</f>
        <v>3.0916752000144869E-2</v>
      </c>
      <c r="D189" s="33">
        <f ca="1">Model!$F$16+RAND()*(Model!$G$16-Model!$F$16)</f>
        <v>52.002886101804471</v>
      </c>
      <c r="E189" s="33">
        <f>Model!$D$17</f>
        <v>800</v>
      </c>
      <c r="G189" s="36">
        <f t="shared" ca="1" si="4"/>
        <v>769.40130263516312</v>
      </c>
    </row>
    <row r="190" spans="1:7" x14ac:dyDescent="0.2">
      <c r="A190" s="6">
        <f ca="1">Model!$F$13+RAND()*(Model!$G$13-Model!$F$13)</f>
        <v>1318.0242869809563</v>
      </c>
      <c r="B190" s="31">
        <f ca="1">Model!$F$14+RAND()*(Model!$G$14-Model!$F$14)</f>
        <v>0.49662367381641626</v>
      </c>
      <c r="C190" s="32">
        <f ca="1">Model!$F$15+RAND()*(Model!$G$15-Model!$F$15)</f>
        <v>3.2159592597818615E-2</v>
      </c>
      <c r="D190" s="33">
        <f ca="1">Model!$F$16+RAND()*(Model!$G$16-Model!$F$16)</f>
        <v>52.664410277070878</v>
      </c>
      <c r="E190" s="33">
        <f>Model!$D$17</f>
        <v>800</v>
      </c>
      <c r="G190" s="36">
        <f t="shared" ca="1" si="4"/>
        <v>777.73083066356321</v>
      </c>
    </row>
    <row r="191" spans="1:7" x14ac:dyDescent="0.2">
      <c r="A191" s="6">
        <f ca="1">Model!$F$13+RAND()*(Model!$G$13-Model!$F$13)</f>
        <v>1466.6851694874581</v>
      </c>
      <c r="B191" s="31">
        <f ca="1">Model!$F$14+RAND()*(Model!$G$14-Model!$F$14)</f>
        <v>0.26621202792735282</v>
      </c>
      <c r="C191" s="32">
        <f ca="1">Model!$F$15+RAND()*(Model!$G$15-Model!$F$15)</f>
        <v>2.4223820397877738E-2</v>
      </c>
      <c r="D191" s="33">
        <f ca="1">Model!$F$16+RAND()*(Model!$G$16-Model!$F$16)</f>
        <v>52.122647197997743</v>
      </c>
      <c r="E191" s="33">
        <f>Model!$D$17</f>
        <v>800</v>
      </c>
      <c r="G191" s="36">
        <f t="shared" ca="1" si="4"/>
        <v>661.40160697290594</v>
      </c>
    </row>
    <row r="192" spans="1:7" x14ac:dyDescent="0.2">
      <c r="A192" s="6">
        <f ca="1">Model!$F$13+RAND()*(Model!$G$13-Model!$F$13)</f>
        <v>1263.00400139464</v>
      </c>
      <c r="B192" s="31">
        <f ca="1">Model!$F$14+RAND()*(Model!$G$14-Model!$F$14)</f>
        <v>0.58751113056666626</v>
      </c>
      <c r="C192" s="32">
        <f ca="1">Model!$F$15+RAND()*(Model!$G$15-Model!$F$15)</f>
        <v>3.79914294553882E-2</v>
      </c>
      <c r="D192" s="33">
        <f ca="1">Model!$F$16+RAND()*(Model!$G$16-Model!$F$16)</f>
        <v>51.073182641292881</v>
      </c>
      <c r="E192" s="33">
        <f>Model!$D$17</f>
        <v>800</v>
      </c>
      <c r="G192" s="36">
        <f t="shared" ca="1" si="4"/>
        <v>908.63233633282289</v>
      </c>
    </row>
    <row r="193" spans="1:7" x14ac:dyDescent="0.2">
      <c r="A193" s="6">
        <f ca="1">Model!$F$13+RAND()*(Model!$G$13-Model!$F$13)</f>
        <v>1562.4853810133945</v>
      </c>
      <c r="B193" s="31">
        <f ca="1">Model!$F$14+RAND()*(Model!$G$14-Model!$F$14)</f>
        <v>0.20744018448165036</v>
      </c>
      <c r="C193" s="32">
        <f ca="1">Model!$F$15+RAND()*(Model!$G$15-Model!$F$15)</f>
        <v>4.0808658891038387E-2</v>
      </c>
      <c r="D193" s="33">
        <f ca="1">Model!$F$16+RAND()*(Model!$G$16-Model!$F$16)</f>
        <v>50.815787535748697</v>
      </c>
      <c r="E193" s="33">
        <f>Model!$D$17</f>
        <v>800</v>
      </c>
      <c r="G193" s="36">
        <f t="shared" ca="1" si="4"/>
        <v>2116.0413970451646</v>
      </c>
    </row>
    <row r="194" spans="1:7" x14ac:dyDescent="0.2">
      <c r="A194" s="6">
        <f ca="1">Model!$F$13+RAND()*(Model!$G$13-Model!$F$13)</f>
        <v>1729.2378261201138</v>
      </c>
      <c r="B194" s="31">
        <f ca="1">Model!$F$14+RAND()*(Model!$G$14-Model!$F$14)</f>
        <v>0.2748096584985783</v>
      </c>
      <c r="C194" s="32">
        <f ca="1">Model!$F$15+RAND()*(Model!$G$15-Model!$F$15)</f>
        <v>1.5921046835079215E-2</v>
      </c>
      <c r="D194" s="33">
        <f ca="1">Model!$F$16+RAND()*(Model!$G$16-Model!$F$16)</f>
        <v>47.594872966705104</v>
      </c>
      <c r="E194" s="33">
        <f>Model!$D$17</f>
        <v>800</v>
      </c>
      <c r="G194" s="36">
        <f t="shared" ca="1" si="4"/>
        <v>35.136347297945804</v>
      </c>
    </row>
    <row r="195" spans="1:7" x14ac:dyDescent="0.2">
      <c r="A195" s="6">
        <f ca="1">Model!$F$13+RAND()*(Model!$G$13-Model!$F$13)</f>
        <v>1509.2854180636025</v>
      </c>
      <c r="B195" s="31">
        <f ca="1">Model!$F$14+RAND()*(Model!$G$14-Model!$F$14)</f>
        <v>0.69357841245895824</v>
      </c>
      <c r="C195" s="32">
        <f ca="1">Model!$F$15+RAND()*(Model!$G$15-Model!$F$15)</f>
        <v>2.9687295638359805E-2</v>
      </c>
      <c r="D195" s="33">
        <f ca="1">Model!$F$16+RAND()*(Model!$G$16-Model!$F$16)</f>
        <v>47.070467653781506</v>
      </c>
      <c r="E195" s="33">
        <f>Model!$D$17</f>
        <v>800</v>
      </c>
      <c r="G195" s="36">
        <f t="shared" ref="G195:G258" ca="1" si="5">A195*C195*D195-(E195+A195*B195)</f>
        <v>262.25994514747777</v>
      </c>
    </row>
    <row r="196" spans="1:7" x14ac:dyDescent="0.2">
      <c r="A196" s="6">
        <f ca="1">Model!$F$13+RAND()*(Model!$G$13-Model!$F$13)</f>
        <v>1556.3111482526735</v>
      </c>
      <c r="B196" s="31">
        <f ca="1">Model!$F$14+RAND()*(Model!$G$14-Model!$F$14)</f>
        <v>0.29348179272929975</v>
      </c>
      <c r="C196" s="32">
        <f ca="1">Model!$F$15+RAND()*(Model!$G$15-Model!$F$15)</f>
        <v>1.6584976602604037E-2</v>
      </c>
      <c r="D196" s="33">
        <f ca="1">Model!$F$16+RAND()*(Model!$G$16-Model!$F$16)</f>
        <v>49.065228295694041</v>
      </c>
      <c r="E196" s="33">
        <f>Model!$D$17</f>
        <v>800</v>
      </c>
      <c r="G196" s="36">
        <f t="shared" ca="1" si="5"/>
        <v>9.6924617797176325</v>
      </c>
    </row>
    <row r="197" spans="1:7" x14ac:dyDescent="0.2">
      <c r="A197" s="6">
        <f ca="1">Model!$F$13+RAND()*(Model!$G$13-Model!$F$13)</f>
        <v>1600.4658960484305</v>
      </c>
      <c r="B197" s="31">
        <f ca="1">Model!$F$14+RAND()*(Model!$G$14-Model!$F$14)</f>
        <v>0.38414985874929586</v>
      </c>
      <c r="C197" s="32">
        <f ca="1">Model!$F$15+RAND()*(Model!$G$15-Model!$F$15)</f>
        <v>1.9780264381233276E-2</v>
      </c>
      <c r="D197" s="33">
        <f ca="1">Model!$F$16+RAND()*(Model!$G$16-Model!$F$16)</f>
        <v>47.191668054215171</v>
      </c>
      <c r="E197" s="33">
        <f>Model!$D$17</f>
        <v>800</v>
      </c>
      <c r="G197" s="36">
        <f t="shared" ca="1" si="5"/>
        <v>79.158022261507085</v>
      </c>
    </row>
    <row r="198" spans="1:7" x14ac:dyDescent="0.2">
      <c r="A198" s="6">
        <f ca="1">Model!$F$13+RAND()*(Model!$G$13-Model!$F$13)</f>
        <v>1568.3555905762248</v>
      </c>
      <c r="B198" s="31">
        <f ca="1">Model!$F$14+RAND()*(Model!$G$14-Model!$F$14)</f>
        <v>0.55694616132375119</v>
      </c>
      <c r="C198" s="32">
        <f ca="1">Model!$F$15+RAND()*(Model!$G$15-Model!$F$15)</f>
        <v>2.9918125951086554E-2</v>
      </c>
      <c r="D198" s="33">
        <f ca="1">Model!$F$16+RAND()*(Model!$G$16-Model!$F$16)</f>
        <v>48.956277737872455</v>
      </c>
      <c r="E198" s="33">
        <f>Model!$D$17</f>
        <v>800</v>
      </c>
      <c r="G198" s="36">
        <f t="shared" ca="1" si="5"/>
        <v>623.64957153500018</v>
      </c>
    </row>
    <row r="199" spans="1:7" x14ac:dyDescent="0.2">
      <c r="A199" s="6">
        <f ca="1">Model!$F$13+RAND()*(Model!$G$13-Model!$F$13)</f>
        <v>1551.8333231723088</v>
      </c>
      <c r="B199" s="31">
        <f ca="1">Model!$F$14+RAND()*(Model!$G$14-Model!$F$14)</f>
        <v>0.38804315581339821</v>
      </c>
      <c r="C199" s="32">
        <f ca="1">Model!$F$15+RAND()*(Model!$G$15-Model!$F$15)</f>
        <v>3.6830195425082264E-2</v>
      </c>
      <c r="D199" s="33">
        <f ca="1">Model!$F$16+RAND()*(Model!$G$16-Model!$F$16)</f>
        <v>50.637880099155396</v>
      </c>
      <c r="E199" s="33">
        <f>Model!$D$17</f>
        <v>800</v>
      </c>
      <c r="G199" s="36">
        <f t="shared" ca="1" si="5"/>
        <v>1491.9955341766045</v>
      </c>
    </row>
    <row r="200" spans="1:7" x14ac:dyDescent="0.2">
      <c r="A200" s="6">
        <f ca="1">Model!$F$13+RAND()*(Model!$G$13-Model!$F$13)</f>
        <v>1310.092075212264</v>
      </c>
      <c r="B200" s="31">
        <f ca="1">Model!$F$14+RAND()*(Model!$G$14-Model!$F$14)</f>
        <v>0.78793102625204425</v>
      </c>
      <c r="C200" s="32">
        <f ca="1">Model!$F$15+RAND()*(Model!$G$15-Model!$F$15)</f>
        <v>3.0301495881206238E-2</v>
      </c>
      <c r="D200" s="33">
        <f ca="1">Model!$F$16+RAND()*(Model!$G$16-Model!$F$16)</f>
        <v>52.158054714685193</v>
      </c>
      <c r="E200" s="33">
        <f>Model!$D$17</f>
        <v>800</v>
      </c>
      <c r="G200" s="36">
        <f t="shared" ca="1" si="5"/>
        <v>238.29520347768744</v>
      </c>
    </row>
    <row r="201" spans="1:7" x14ac:dyDescent="0.2">
      <c r="A201" s="6">
        <f ca="1">Model!$F$13+RAND()*(Model!$G$13-Model!$F$13)</f>
        <v>1212.3647828225849</v>
      </c>
      <c r="B201" s="31">
        <f ca="1">Model!$F$14+RAND()*(Model!$G$14-Model!$F$14)</f>
        <v>0.51296576818244044</v>
      </c>
      <c r="C201" s="32">
        <f ca="1">Model!$F$15+RAND()*(Model!$G$15-Model!$F$15)</f>
        <v>4.0971874787633235E-2</v>
      </c>
      <c r="D201" s="33">
        <f ca="1">Model!$F$16+RAND()*(Model!$G$16-Model!$F$16)</f>
        <v>48.052605879784089</v>
      </c>
      <c r="E201" s="33">
        <f>Model!$D$17</f>
        <v>800</v>
      </c>
      <c r="G201" s="36">
        <f t="shared" ca="1" si="5"/>
        <v>965.00864004236655</v>
      </c>
    </row>
    <row r="202" spans="1:7" x14ac:dyDescent="0.2">
      <c r="A202" s="6">
        <f ca="1">Model!$F$13+RAND()*(Model!$G$13-Model!$F$13)</f>
        <v>1510.4754093138849</v>
      </c>
      <c r="B202" s="31">
        <f ca="1">Model!$F$14+RAND()*(Model!$G$14-Model!$F$14)</f>
        <v>0.79354450634945062</v>
      </c>
      <c r="C202" s="32">
        <f ca="1">Model!$F$15+RAND()*(Model!$G$15-Model!$F$15)</f>
        <v>1.6178568652431544E-2</v>
      </c>
      <c r="D202" s="33">
        <f ca="1">Model!$F$16+RAND()*(Model!$G$16-Model!$F$16)</f>
        <v>47.741076984349988</v>
      </c>
      <c r="E202" s="33">
        <f>Model!$D$17</f>
        <v>800</v>
      </c>
      <c r="G202" s="36">
        <f t="shared" ca="1" si="5"/>
        <v>-831.96500508788495</v>
      </c>
    </row>
    <row r="203" spans="1:7" x14ac:dyDescent="0.2">
      <c r="A203" s="6">
        <f ca="1">Model!$F$13+RAND()*(Model!$G$13-Model!$F$13)</f>
        <v>1212.4920647615545</v>
      </c>
      <c r="B203" s="31">
        <f ca="1">Model!$F$14+RAND()*(Model!$G$14-Model!$F$14)</f>
        <v>0.77871577495865085</v>
      </c>
      <c r="C203" s="32">
        <f ca="1">Model!$F$15+RAND()*(Model!$G$15-Model!$F$15)</f>
        <v>4.8998078504290131E-2</v>
      </c>
      <c r="D203" s="33">
        <f ca="1">Model!$F$16+RAND()*(Model!$G$16-Model!$F$16)</f>
        <v>52.907666900856697</v>
      </c>
      <c r="E203" s="33">
        <f>Model!$D$17</f>
        <v>800</v>
      </c>
      <c r="G203" s="36">
        <f t="shared" ca="1" si="5"/>
        <v>1399.0462258000307</v>
      </c>
    </row>
    <row r="204" spans="1:7" x14ac:dyDescent="0.2">
      <c r="A204" s="6">
        <f ca="1">Model!$F$13+RAND()*(Model!$G$13-Model!$F$13)</f>
        <v>1575.9219891543373</v>
      </c>
      <c r="B204" s="31">
        <f ca="1">Model!$F$14+RAND()*(Model!$G$14-Model!$F$14)</f>
        <v>0.33367465788045836</v>
      </c>
      <c r="C204" s="32">
        <f ca="1">Model!$F$15+RAND()*(Model!$G$15-Model!$F$15)</f>
        <v>3.8003966030220215E-2</v>
      </c>
      <c r="D204" s="33">
        <f ca="1">Model!$F$16+RAND()*(Model!$G$16-Model!$F$16)</f>
        <v>48.493767690447186</v>
      </c>
      <c r="E204" s="33">
        <f>Model!$D$17</f>
        <v>800</v>
      </c>
      <c r="G204" s="36">
        <f t="shared" ca="1" si="5"/>
        <v>1578.5088668821518</v>
      </c>
    </row>
    <row r="205" spans="1:7" x14ac:dyDescent="0.2">
      <c r="A205" s="6">
        <f ca="1">Model!$F$13+RAND()*(Model!$G$13-Model!$F$13)</f>
        <v>1737.2148014554982</v>
      </c>
      <c r="B205" s="31">
        <f ca="1">Model!$F$14+RAND()*(Model!$G$14-Model!$F$14)</f>
        <v>0.24445435808653077</v>
      </c>
      <c r="C205" s="32">
        <f ca="1">Model!$F$15+RAND()*(Model!$G$15-Model!$F$15)</f>
        <v>4.2926260054561488E-2</v>
      </c>
      <c r="D205" s="33">
        <f ca="1">Model!$F$16+RAND()*(Model!$G$16-Model!$F$16)</f>
        <v>48.424423640085436</v>
      </c>
      <c r="E205" s="33">
        <f>Model!$D$17</f>
        <v>800</v>
      </c>
      <c r="G205" s="36">
        <f t="shared" ca="1" si="5"/>
        <v>2386.4428957761947</v>
      </c>
    </row>
    <row r="206" spans="1:7" x14ac:dyDescent="0.2">
      <c r="A206" s="6">
        <f ca="1">Model!$F$13+RAND()*(Model!$G$13-Model!$F$13)</f>
        <v>1420.7974918412669</v>
      </c>
      <c r="B206" s="31">
        <f ca="1">Model!$F$14+RAND()*(Model!$G$14-Model!$F$14)</f>
        <v>0.4373020832787029</v>
      </c>
      <c r="C206" s="32">
        <f ca="1">Model!$F$15+RAND()*(Model!$G$15-Model!$F$15)</f>
        <v>4.8165638824866137E-2</v>
      </c>
      <c r="D206" s="33">
        <f ca="1">Model!$F$16+RAND()*(Model!$G$16-Model!$F$16)</f>
        <v>48.543043529530046</v>
      </c>
      <c r="E206" s="33">
        <f>Model!$D$17</f>
        <v>800</v>
      </c>
      <c r="G206" s="36">
        <f t="shared" ca="1" si="5"/>
        <v>1900.6584349059976</v>
      </c>
    </row>
    <row r="207" spans="1:7" x14ac:dyDescent="0.2">
      <c r="A207" s="6">
        <f ca="1">Model!$F$13+RAND()*(Model!$G$13-Model!$F$13)</f>
        <v>1649.0042229243327</v>
      </c>
      <c r="B207" s="31">
        <f ca="1">Model!$F$14+RAND()*(Model!$G$14-Model!$F$14)</f>
        <v>0.3688256069664736</v>
      </c>
      <c r="C207" s="32">
        <f ca="1">Model!$F$15+RAND()*(Model!$G$15-Model!$F$15)</f>
        <v>1.8737615124445862E-2</v>
      </c>
      <c r="D207" s="33">
        <f ca="1">Model!$F$16+RAND()*(Model!$G$16-Model!$F$16)</f>
        <v>50.836800010768307</v>
      </c>
      <c r="E207" s="33">
        <f>Model!$D$17</f>
        <v>800</v>
      </c>
      <c r="G207" s="36">
        <f t="shared" ca="1" si="5"/>
        <v>162.5811268416885</v>
      </c>
    </row>
    <row r="208" spans="1:7" x14ac:dyDescent="0.2">
      <c r="A208" s="6">
        <f ca="1">Model!$F$13+RAND()*(Model!$G$13-Model!$F$13)</f>
        <v>1735.9398043063038</v>
      </c>
      <c r="B208" s="31">
        <f ca="1">Model!$F$14+RAND()*(Model!$G$14-Model!$F$14)</f>
        <v>0.3968960785237734</v>
      </c>
      <c r="C208" s="32">
        <f ca="1">Model!$F$15+RAND()*(Model!$G$15-Model!$F$15)</f>
        <v>1.1021758478889887E-2</v>
      </c>
      <c r="D208" s="33">
        <f ca="1">Model!$F$16+RAND()*(Model!$G$16-Model!$F$16)</f>
        <v>48.852525685049287</v>
      </c>
      <c r="E208" s="33">
        <f>Model!$D$17</f>
        <v>800</v>
      </c>
      <c r="G208" s="36">
        <f t="shared" ca="1" si="5"/>
        <v>-554.28698947222779</v>
      </c>
    </row>
    <row r="209" spans="1:7" x14ac:dyDescent="0.2">
      <c r="A209" s="6">
        <f ca="1">Model!$F$13+RAND()*(Model!$G$13-Model!$F$13)</f>
        <v>1384.9369467518513</v>
      </c>
      <c r="B209" s="31">
        <f ca="1">Model!$F$14+RAND()*(Model!$G$14-Model!$F$14)</f>
        <v>0.68195628353442395</v>
      </c>
      <c r="C209" s="32">
        <f ca="1">Model!$F$15+RAND()*(Model!$G$15-Model!$F$15)</f>
        <v>2.708460481799612E-2</v>
      </c>
      <c r="D209" s="33">
        <f ca="1">Model!$F$16+RAND()*(Model!$G$16-Model!$F$16)</f>
        <v>52.492217350455689</v>
      </c>
      <c r="E209" s="33">
        <f>Model!$D$17</f>
        <v>800</v>
      </c>
      <c r="G209" s="36">
        <f t="shared" ca="1" si="5"/>
        <v>224.54128580445786</v>
      </c>
    </row>
    <row r="210" spans="1:7" x14ac:dyDescent="0.2">
      <c r="A210" s="6">
        <f ca="1">Model!$F$13+RAND()*(Model!$G$13-Model!$F$13)</f>
        <v>1763.3687943457419</v>
      </c>
      <c r="B210" s="31">
        <f ca="1">Model!$F$14+RAND()*(Model!$G$14-Model!$F$14)</f>
        <v>0.22745624462579991</v>
      </c>
      <c r="C210" s="32">
        <f ca="1">Model!$F$15+RAND()*(Model!$G$15-Model!$F$15)</f>
        <v>2.790778927725631E-2</v>
      </c>
      <c r="D210" s="33">
        <f ca="1">Model!$F$16+RAND()*(Model!$G$16-Model!$F$16)</f>
        <v>47.781982525863931</v>
      </c>
      <c r="E210" s="33">
        <f>Model!$D$17</f>
        <v>800</v>
      </c>
      <c r="G210" s="36">
        <f t="shared" ca="1" si="5"/>
        <v>1150.3445272972717</v>
      </c>
    </row>
    <row r="211" spans="1:7" x14ac:dyDescent="0.2">
      <c r="A211" s="6">
        <f ca="1">Model!$F$13+RAND()*(Model!$G$13-Model!$F$13)</f>
        <v>1323.1529167873118</v>
      </c>
      <c r="B211" s="31">
        <f ca="1">Model!$F$14+RAND()*(Model!$G$14-Model!$F$14)</f>
        <v>0.59592097515697995</v>
      </c>
      <c r="C211" s="32">
        <f ca="1">Model!$F$15+RAND()*(Model!$G$15-Model!$F$15)</f>
        <v>2.4931988747227938E-2</v>
      </c>
      <c r="D211" s="33">
        <f ca="1">Model!$F$16+RAND()*(Model!$G$16-Model!$F$16)</f>
        <v>48.109949738951265</v>
      </c>
      <c r="E211" s="33">
        <f>Model!$D$17</f>
        <v>800</v>
      </c>
      <c r="G211" s="36">
        <f t="shared" ca="1" si="5"/>
        <v>-1.4034484617818634</v>
      </c>
    </row>
    <row r="212" spans="1:7" x14ac:dyDescent="0.2">
      <c r="A212" s="6">
        <f ca="1">Model!$F$13+RAND()*(Model!$G$13-Model!$F$13)</f>
        <v>1315.1110520549289</v>
      </c>
      <c r="B212" s="31">
        <f ca="1">Model!$F$14+RAND()*(Model!$G$14-Model!$F$14)</f>
        <v>0.64678497002828839</v>
      </c>
      <c r="C212" s="32">
        <f ca="1">Model!$F$15+RAND()*(Model!$G$15-Model!$F$15)</f>
        <v>2.269670789151915E-2</v>
      </c>
      <c r="D212" s="33">
        <f ca="1">Model!$F$16+RAND()*(Model!$G$16-Model!$F$16)</f>
        <v>48.264010052601662</v>
      </c>
      <c r="E212" s="33">
        <f>Model!$D$17</f>
        <v>800</v>
      </c>
      <c r="G212" s="36">
        <f t="shared" ca="1" si="5"/>
        <v>-209.97652091919622</v>
      </c>
    </row>
    <row r="213" spans="1:7" x14ac:dyDescent="0.2">
      <c r="A213" s="6">
        <f ca="1">Model!$F$13+RAND()*(Model!$G$13-Model!$F$13)</f>
        <v>1572.2741385327738</v>
      </c>
      <c r="B213" s="31">
        <f ca="1">Model!$F$14+RAND()*(Model!$G$14-Model!$F$14)</f>
        <v>0.72459101507454027</v>
      </c>
      <c r="C213" s="32">
        <f ca="1">Model!$F$15+RAND()*(Model!$G$15-Model!$F$15)</f>
        <v>3.081658159899231E-2</v>
      </c>
      <c r="D213" s="33">
        <f ca="1">Model!$F$16+RAND()*(Model!$G$16-Model!$F$16)</f>
        <v>47.362911224325082</v>
      </c>
      <c r="E213" s="33">
        <f>Model!$D$17</f>
        <v>800</v>
      </c>
      <c r="G213" s="36">
        <f t="shared" ca="1" si="5"/>
        <v>355.57747354757589</v>
      </c>
    </row>
    <row r="214" spans="1:7" x14ac:dyDescent="0.2">
      <c r="A214" s="6">
        <f ca="1">Model!$F$13+RAND()*(Model!$G$13-Model!$F$13)</f>
        <v>1463.4432814124912</v>
      </c>
      <c r="B214" s="31">
        <f ca="1">Model!$F$14+RAND()*(Model!$G$14-Model!$F$14)</f>
        <v>0.66191853584423255</v>
      </c>
      <c r="C214" s="32">
        <f ca="1">Model!$F$15+RAND()*(Model!$G$15-Model!$F$15)</f>
        <v>1.4641517559232976E-2</v>
      </c>
      <c r="D214" s="33">
        <f ca="1">Model!$F$16+RAND()*(Model!$G$16-Model!$F$16)</f>
        <v>51.118449171580302</v>
      </c>
      <c r="E214" s="33">
        <f>Model!$D$17</f>
        <v>800</v>
      </c>
      <c r="G214" s="36">
        <f t="shared" ca="1" si="5"/>
        <v>-673.36366452240986</v>
      </c>
    </row>
    <row r="215" spans="1:7" x14ac:dyDescent="0.2">
      <c r="A215" s="6">
        <f ca="1">Model!$F$13+RAND()*(Model!$G$13-Model!$F$13)</f>
        <v>1227.2703737436609</v>
      </c>
      <c r="B215" s="31">
        <f ca="1">Model!$F$14+RAND()*(Model!$G$14-Model!$F$14)</f>
        <v>0.61988911959090565</v>
      </c>
      <c r="C215" s="32">
        <f ca="1">Model!$F$15+RAND()*(Model!$G$15-Model!$F$15)</f>
        <v>3.6947978315019982E-2</v>
      </c>
      <c r="D215" s="33">
        <f ca="1">Model!$F$16+RAND()*(Model!$G$16-Model!$F$16)</f>
        <v>49.489829475081649</v>
      </c>
      <c r="E215" s="33">
        <f>Model!$D$17</f>
        <v>800</v>
      </c>
      <c r="G215" s="36">
        <f t="shared" ca="1" si="5"/>
        <v>683.35264265840942</v>
      </c>
    </row>
    <row r="216" spans="1:7" x14ac:dyDescent="0.2">
      <c r="A216" s="6">
        <f ca="1">Model!$F$13+RAND()*(Model!$G$13-Model!$F$13)</f>
        <v>1625.4351578493697</v>
      </c>
      <c r="B216" s="31">
        <f ca="1">Model!$F$14+RAND()*(Model!$G$14-Model!$F$14)</f>
        <v>0.22771796628099641</v>
      </c>
      <c r="C216" s="32">
        <f ca="1">Model!$F$15+RAND()*(Model!$G$15-Model!$F$15)</f>
        <v>1.757684860441646E-2</v>
      </c>
      <c r="D216" s="33">
        <f ca="1">Model!$F$16+RAND()*(Model!$G$16-Model!$F$16)</f>
        <v>47.774203684092157</v>
      </c>
      <c r="E216" s="33">
        <f>Model!$D$17</f>
        <v>800</v>
      </c>
      <c r="G216" s="36">
        <f t="shared" ca="1" si="5"/>
        <v>194.76953345514812</v>
      </c>
    </row>
    <row r="217" spans="1:7" x14ac:dyDescent="0.2">
      <c r="A217" s="6">
        <f ca="1">Model!$F$13+RAND()*(Model!$G$13-Model!$F$13)</f>
        <v>1621.9636559975411</v>
      </c>
      <c r="B217" s="31">
        <f ca="1">Model!$F$14+RAND()*(Model!$G$14-Model!$F$14)</f>
        <v>0.43285864582969141</v>
      </c>
      <c r="C217" s="32">
        <f ca="1">Model!$F$15+RAND()*(Model!$G$15-Model!$F$15)</f>
        <v>1.7357024002881888E-2</v>
      </c>
      <c r="D217" s="33">
        <f ca="1">Model!$F$16+RAND()*(Model!$G$16-Model!$F$16)</f>
        <v>48.690807562981995</v>
      </c>
      <c r="E217" s="33">
        <f>Model!$D$17</f>
        <v>800</v>
      </c>
      <c r="G217" s="36">
        <f t="shared" ca="1" si="5"/>
        <v>-131.31487674897699</v>
      </c>
    </row>
    <row r="218" spans="1:7" x14ac:dyDescent="0.2">
      <c r="A218" s="6">
        <f ca="1">Model!$F$13+RAND()*(Model!$G$13-Model!$F$13)</f>
        <v>1487.3163751527932</v>
      </c>
      <c r="B218" s="31">
        <f ca="1">Model!$F$14+RAND()*(Model!$G$14-Model!$F$14)</f>
        <v>0.24294555916246324</v>
      </c>
      <c r="C218" s="32">
        <f ca="1">Model!$F$15+RAND()*(Model!$G$15-Model!$F$15)</f>
        <v>3.2058370462742208E-2</v>
      </c>
      <c r="D218" s="33">
        <f ca="1">Model!$F$16+RAND()*(Model!$G$16-Model!$F$16)</f>
        <v>51.614666256079921</v>
      </c>
      <c r="E218" s="33">
        <f>Model!$D$17</f>
        <v>800</v>
      </c>
      <c r="G218" s="36">
        <f t="shared" ca="1" si="5"/>
        <v>1299.6988629111318</v>
      </c>
    </row>
    <row r="219" spans="1:7" x14ac:dyDescent="0.2">
      <c r="A219" s="6">
        <f ca="1">Model!$F$13+RAND()*(Model!$G$13-Model!$F$13)</f>
        <v>1579.1576041731421</v>
      </c>
      <c r="B219" s="31">
        <f ca="1">Model!$F$14+RAND()*(Model!$G$14-Model!$F$14)</f>
        <v>0.4657306524043463</v>
      </c>
      <c r="C219" s="32">
        <f ca="1">Model!$F$15+RAND()*(Model!$G$15-Model!$F$15)</f>
        <v>2.2571166426112017E-2</v>
      </c>
      <c r="D219" s="33">
        <f ca="1">Model!$F$16+RAND()*(Model!$G$16-Model!$F$16)</f>
        <v>52.686750228020898</v>
      </c>
      <c r="E219" s="33">
        <f>Model!$D$17</f>
        <v>800</v>
      </c>
      <c r="G219" s="36">
        <f t="shared" ca="1" si="5"/>
        <v>342.47434485518852</v>
      </c>
    </row>
    <row r="220" spans="1:7" x14ac:dyDescent="0.2">
      <c r="A220" s="6">
        <f ca="1">Model!$F$13+RAND()*(Model!$G$13-Model!$F$13)</f>
        <v>1331.238838438333</v>
      </c>
      <c r="B220" s="31">
        <f ca="1">Model!$F$14+RAND()*(Model!$G$14-Model!$F$14)</f>
        <v>0.37569676906525712</v>
      </c>
      <c r="C220" s="32">
        <f ca="1">Model!$F$15+RAND()*(Model!$G$15-Model!$F$15)</f>
        <v>2.9946013494811644E-2</v>
      </c>
      <c r="D220" s="33">
        <f ca="1">Model!$F$16+RAND()*(Model!$G$16-Model!$F$16)</f>
        <v>50.992678601472299</v>
      </c>
      <c r="E220" s="33">
        <f>Model!$D$17</f>
        <v>800</v>
      </c>
      <c r="G220" s="36">
        <f t="shared" ca="1" si="5"/>
        <v>732.69610707875268</v>
      </c>
    </row>
    <row r="221" spans="1:7" x14ac:dyDescent="0.2">
      <c r="A221" s="6">
        <f ca="1">Model!$F$13+RAND()*(Model!$G$13-Model!$F$13)</f>
        <v>1394.4919058871799</v>
      </c>
      <c r="B221" s="31">
        <f ca="1">Model!$F$14+RAND()*(Model!$G$14-Model!$F$14)</f>
        <v>0.23134551137511272</v>
      </c>
      <c r="C221" s="32">
        <f ca="1">Model!$F$15+RAND()*(Model!$G$15-Model!$F$15)</f>
        <v>3.8480371185239004E-2</v>
      </c>
      <c r="D221" s="33">
        <f ca="1">Model!$F$16+RAND()*(Model!$G$16-Model!$F$16)</f>
        <v>52.431582963365827</v>
      </c>
      <c r="E221" s="33">
        <f>Model!$D$17</f>
        <v>800</v>
      </c>
      <c r="G221" s="36">
        <f t="shared" ca="1" si="5"/>
        <v>1690.8989830546286</v>
      </c>
    </row>
    <row r="222" spans="1:7" x14ac:dyDescent="0.2">
      <c r="A222" s="6">
        <f ca="1">Model!$F$13+RAND()*(Model!$G$13-Model!$F$13)</f>
        <v>1228.8847281916776</v>
      </c>
      <c r="B222" s="31">
        <f ca="1">Model!$F$14+RAND()*(Model!$G$14-Model!$F$14)</f>
        <v>0.33672071511629564</v>
      </c>
      <c r="C222" s="32">
        <f ca="1">Model!$F$15+RAND()*(Model!$G$15-Model!$F$15)</f>
        <v>4.214698695115477E-2</v>
      </c>
      <c r="D222" s="33">
        <f ca="1">Model!$F$16+RAND()*(Model!$G$16-Model!$F$16)</f>
        <v>52.296059205311607</v>
      </c>
      <c r="E222" s="33">
        <f>Model!$D$17</f>
        <v>800</v>
      </c>
      <c r="G222" s="36">
        <f t="shared" ca="1" si="5"/>
        <v>1494.82009080739</v>
      </c>
    </row>
    <row r="223" spans="1:7" x14ac:dyDescent="0.2">
      <c r="A223" s="6">
        <f ca="1">Model!$F$13+RAND()*(Model!$G$13-Model!$F$13)</f>
        <v>1489.3029835450056</v>
      </c>
      <c r="B223" s="31">
        <f ca="1">Model!$F$14+RAND()*(Model!$G$14-Model!$F$14)</f>
        <v>0.70704814967228091</v>
      </c>
      <c r="C223" s="32">
        <f ca="1">Model!$F$15+RAND()*(Model!$G$15-Model!$F$15)</f>
        <v>4.8809575731543937E-2</v>
      </c>
      <c r="D223" s="33">
        <f ca="1">Model!$F$16+RAND()*(Model!$G$16-Model!$F$16)</f>
        <v>49.704786955170903</v>
      </c>
      <c r="E223" s="33">
        <f>Model!$D$17</f>
        <v>800</v>
      </c>
      <c r="G223" s="36">
        <f t="shared" ca="1" si="5"/>
        <v>1760.1437198085691</v>
      </c>
    </row>
    <row r="224" spans="1:7" x14ac:dyDescent="0.2">
      <c r="A224" s="6">
        <f ca="1">Model!$F$13+RAND()*(Model!$G$13-Model!$F$13)</f>
        <v>1377.3279593869775</v>
      </c>
      <c r="B224" s="31">
        <f ca="1">Model!$F$14+RAND()*(Model!$G$14-Model!$F$14)</f>
        <v>0.47796297904096324</v>
      </c>
      <c r="C224" s="32">
        <f ca="1">Model!$F$15+RAND()*(Model!$G$15-Model!$F$15)</f>
        <v>2.3191129950985101E-2</v>
      </c>
      <c r="D224" s="33">
        <f ca="1">Model!$F$16+RAND()*(Model!$G$16-Model!$F$16)</f>
        <v>48.520271601327217</v>
      </c>
      <c r="E224" s="33">
        <f>Model!$D$17</f>
        <v>800</v>
      </c>
      <c r="G224" s="36">
        <f t="shared" ca="1" si="5"/>
        <v>91.512633708355452</v>
      </c>
    </row>
    <row r="225" spans="1:7" x14ac:dyDescent="0.2">
      <c r="A225" s="6">
        <f ca="1">Model!$F$13+RAND()*(Model!$G$13-Model!$F$13)</f>
        <v>1267.1559639293916</v>
      </c>
      <c r="B225" s="31">
        <f ca="1">Model!$F$14+RAND()*(Model!$G$14-Model!$F$14)</f>
        <v>0.49664623087304444</v>
      </c>
      <c r="C225" s="32">
        <f ca="1">Model!$F$15+RAND()*(Model!$G$15-Model!$F$15)</f>
        <v>1.9219852550212309E-2</v>
      </c>
      <c r="D225" s="33">
        <f ca="1">Model!$F$16+RAND()*(Model!$G$16-Model!$F$16)</f>
        <v>50.152947619486966</v>
      </c>
      <c r="E225" s="33">
        <f>Model!$D$17</f>
        <v>800</v>
      </c>
      <c r="G225" s="36">
        <f t="shared" ca="1" si="5"/>
        <v>-207.87572360536251</v>
      </c>
    </row>
    <row r="226" spans="1:7" x14ac:dyDescent="0.2">
      <c r="A226" s="6">
        <f ca="1">Model!$F$13+RAND()*(Model!$G$13-Model!$F$13)</f>
        <v>1320.90848819962</v>
      </c>
      <c r="B226" s="31">
        <f ca="1">Model!$F$14+RAND()*(Model!$G$14-Model!$F$14)</f>
        <v>0.61450439107346211</v>
      </c>
      <c r="C226" s="32">
        <f ca="1">Model!$F$15+RAND()*(Model!$G$15-Model!$F$15)</f>
        <v>3.8492892605574383E-2</v>
      </c>
      <c r="D226" s="33">
        <f ca="1">Model!$F$16+RAND()*(Model!$G$16-Model!$F$16)</f>
        <v>49.560681546760186</v>
      </c>
      <c r="E226" s="33">
        <f>Model!$D$17</f>
        <v>800</v>
      </c>
      <c r="G226" s="36">
        <f t="shared" ca="1" si="5"/>
        <v>908.23795736992361</v>
      </c>
    </row>
    <row r="227" spans="1:7" x14ac:dyDescent="0.2">
      <c r="A227" s="6">
        <f ca="1">Model!$F$13+RAND()*(Model!$G$13-Model!$F$13)</f>
        <v>1466.7572085496181</v>
      </c>
      <c r="B227" s="31">
        <f ca="1">Model!$F$14+RAND()*(Model!$G$14-Model!$F$14)</f>
        <v>0.27089707135935154</v>
      </c>
      <c r="C227" s="32">
        <f ca="1">Model!$F$15+RAND()*(Model!$G$15-Model!$F$15)</f>
        <v>4.680952718773438E-2</v>
      </c>
      <c r="D227" s="33">
        <f ca="1">Model!$F$16+RAND()*(Model!$G$16-Model!$F$16)</f>
        <v>47.070323526835466</v>
      </c>
      <c r="E227" s="33">
        <f>Model!$D$17</f>
        <v>800</v>
      </c>
      <c r="G227" s="36">
        <f t="shared" ca="1" si="5"/>
        <v>2034.423992658973</v>
      </c>
    </row>
    <row r="228" spans="1:7" x14ac:dyDescent="0.2">
      <c r="A228" s="6">
        <f ca="1">Model!$F$13+RAND()*(Model!$G$13-Model!$F$13)</f>
        <v>1531.7915286547156</v>
      </c>
      <c r="B228" s="31">
        <f ca="1">Model!$F$14+RAND()*(Model!$G$14-Model!$F$14)</f>
        <v>0.45399273676963131</v>
      </c>
      <c r="C228" s="32">
        <f ca="1">Model!$F$15+RAND()*(Model!$G$15-Model!$F$15)</f>
        <v>2.9473870061967673E-2</v>
      </c>
      <c r="D228" s="33">
        <f ca="1">Model!$F$16+RAND()*(Model!$G$16-Model!$F$16)</f>
        <v>49.257317351391158</v>
      </c>
      <c r="E228" s="33">
        <f>Model!$D$17</f>
        <v>800</v>
      </c>
      <c r="G228" s="36">
        <f t="shared" ca="1" si="5"/>
        <v>728.4384897631594</v>
      </c>
    </row>
    <row r="229" spans="1:7" x14ac:dyDescent="0.2">
      <c r="A229" s="6">
        <f ca="1">Model!$F$13+RAND()*(Model!$G$13-Model!$F$13)</f>
        <v>1601.0324161846274</v>
      </c>
      <c r="B229" s="31">
        <f ca="1">Model!$F$14+RAND()*(Model!$G$14-Model!$F$14)</f>
        <v>0.35745961688392247</v>
      </c>
      <c r="C229" s="32">
        <f ca="1">Model!$F$15+RAND()*(Model!$G$15-Model!$F$15)</f>
        <v>2.7330884469477824E-2</v>
      </c>
      <c r="D229" s="33">
        <f ca="1">Model!$F$16+RAND()*(Model!$G$16-Model!$F$16)</f>
        <v>50.331474241945401</v>
      </c>
      <c r="E229" s="33">
        <f>Model!$D$17</f>
        <v>800</v>
      </c>
      <c r="G229" s="36">
        <f t="shared" ca="1" si="5"/>
        <v>830.08169371952408</v>
      </c>
    </row>
    <row r="230" spans="1:7" x14ac:dyDescent="0.2">
      <c r="A230" s="6">
        <f ca="1">Model!$F$13+RAND()*(Model!$G$13-Model!$F$13)</f>
        <v>1270.1604860120544</v>
      </c>
      <c r="B230" s="31">
        <f ca="1">Model!$F$14+RAND()*(Model!$G$14-Model!$F$14)</f>
        <v>0.22888842558795855</v>
      </c>
      <c r="C230" s="32">
        <f ca="1">Model!$F$15+RAND()*(Model!$G$15-Model!$F$15)</f>
        <v>1.8979058119745637E-2</v>
      </c>
      <c r="D230" s="33">
        <f ca="1">Model!$F$16+RAND()*(Model!$G$16-Model!$F$16)</f>
        <v>50.956992572344973</v>
      </c>
      <c r="E230" s="33">
        <f>Model!$D$17</f>
        <v>800</v>
      </c>
      <c r="G230" s="36">
        <f t="shared" ca="1" si="5"/>
        <v>137.66714367858344</v>
      </c>
    </row>
    <row r="231" spans="1:7" x14ac:dyDescent="0.2">
      <c r="A231" s="6">
        <f ca="1">Model!$F$13+RAND()*(Model!$G$13-Model!$F$13)</f>
        <v>1298.9138379832798</v>
      </c>
      <c r="B231" s="31">
        <f ca="1">Model!$F$14+RAND()*(Model!$G$14-Model!$F$14)</f>
        <v>0.71065187467198387</v>
      </c>
      <c r="C231" s="32">
        <f ca="1">Model!$F$15+RAND()*(Model!$G$15-Model!$F$15)</f>
        <v>4.4543526698783906E-2</v>
      </c>
      <c r="D231" s="33">
        <f ca="1">Model!$F$16+RAND()*(Model!$G$16-Model!$F$16)</f>
        <v>51.431034599456893</v>
      </c>
      <c r="E231" s="33">
        <f>Model!$D$17</f>
        <v>800</v>
      </c>
      <c r="G231" s="36">
        <f t="shared" ca="1" si="5"/>
        <v>1252.6316977537635</v>
      </c>
    </row>
    <row r="232" spans="1:7" x14ac:dyDescent="0.2">
      <c r="A232" s="6">
        <f ca="1">Model!$F$13+RAND()*(Model!$G$13-Model!$F$13)</f>
        <v>1530.8499041969239</v>
      </c>
      <c r="B232" s="31">
        <f ca="1">Model!$F$14+RAND()*(Model!$G$14-Model!$F$14)</f>
        <v>0.42293828773756709</v>
      </c>
      <c r="C232" s="32">
        <f ca="1">Model!$F$15+RAND()*(Model!$G$15-Model!$F$15)</f>
        <v>4.9989547637479231E-2</v>
      </c>
      <c r="D232" s="33">
        <f ca="1">Model!$F$16+RAND()*(Model!$G$16-Model!$F$16)</f>
        <v>50.675891313739854</v>
      </c>
      <c r="E232" s="33">
        <f>Model!$D$17</f>
        <v>800</v>
      </c>
      <c r="G232" s="36">
        <f t="shared" ca="1" si="5"/>
        <v>2430.5932660285062</v>
      </c>
    </row>
    <row r="233" spans="1:7" x14ac:dyDescent="0.2">
      <c r="A233" s="6">
        <f ca="1">Model!$F$13+RAND()*(Model!$G$13-Model!$F$13)</f>
        <v>1235.4012832614617</v>
      </c>
      <c r="B233" s="31">
        <f ca="1">Model!$F$14+RAND()*(Model!$G$14-Model!$F$14)</f>
        <v>0.5408717572838786</v>
      </c>
      <c r="C233" s="32">
        <f ca="1">Model!$F$15+RAND()*(Model!$G$15-Model!$F$15)</f>
        <v>1.4072791941988277E-2</v>
      </c>
      <c r="D233" s="33">
        <f ca="1">Model!$F$16+RAND()*(Model!$G$16-Model!$F$16)</f>
        <v>50.326677091569252</v>
      </c>
      <c r="E233" s="33">
        <f>Model!$D$17</f>
        <v>800</v>
      </c>
      <c r="G233" s="36">
        <f t="shared" ca="1" si="5"/>
        <v>-593.236942469003</v>
      </c>
    </row>
    <row r="234" spans="1:7" x14ac:dyDescent="0.2">
      <c r="A234" s="6">
        <f ca="1">Model!$F$13+RAND()*(Model!$G$13-Model!$F$13)</f>
        <v>1284.0102356632574</v>
      </c>
      <c r="B234" s="31">
        <f ca="1">Model!$F$14+RAND()*(Model!$G$14-Model!$F$14)</f>
        <v>0.77318699316522599</v>
      </c>
      <c r="C234" s="32">
        <f ca="1">Model!$F$15+RAND()*(Model!$G$15-Model!$F$15)</f>
        <v>3.7049196828752483E-2</v>
      </c>
      <c r="D234" s="33">
        <f ca="1">Model!$F$16+RAND()*(Model!$G$16-Model!$F$16)</f>
        <v>50.609821260151598</v>
      </c>
      <c r="E234" s="33">
        <f>Model!$D$17</f>
        <v>800</v>
      </c>
      <c r="G234" s="36">
        <f t="shared" ca="1" si="5"/>
        <v>614.80752557417281</v>
      </c>
    </row>
    <row r="235" spans="1:7" x14ac:dyDescent="0.2">
      <c r="A235" s="6">
        <f ca="1">Model!$F$13+RAND()*(Model!$G$13-Model!$F$13)</f>
        <v>1349.128603153958</v>
      </c>
      <c r="B235" s="31">
        <f ca="1">Model!$F$14+RAND()*(Model!$G$14-Model!$F$14)</f>
        <v>0.57985490998698652</v>
      </c>
      <c r="C235" s="32">
        <f ca="1">Model!$F$15+RAND()*(Model!$G$15-Model!$F$15)</f>
        <v>1.6804047853087711E-2</v>
      </c>
      <c r="D235" s="33">
        <f ca="1">Model!$F$16+RAND()*(Model!$G$16-Model!$F$16)</f>
        <v>48.817453396002506</v>
      </c>
      <c r="E235" s="33">
        <f>Model!$D$17</f>
        <v>800</v>
      </c>
      <c r="G235" s="36">
        <f t="shared" ca="1" si="5"/>
        <v>-475.5670674759092</v>
      </c>
    </row>
    <row r="236" spans="1:7" x14ac:dyDescent="0.2">
      <c r="A236" s="6">
        <f ca="1">Model!$F$13+RAND()*(Model!$G$13-Model!$F$13)</f>
        <v>1723.7541028441842</v>
      </c>
      <c r="B236" s="31">
        <f ca="1">Model!$F$14+RAND()*(Model!$G$14-Model!$F$14)</f>
        <v>0.23232519066539528</v>
      </c>
      <c r="C236" s="32">
        <f ca="1">Model!$F$15+RAND()*(Model!$G$15-Model!$F$15)</f>
        <v>3.4002488324942577E-2</v>
      </c>
      <c r="D236" s="33">
        <f ca="1">Model!$F$16+RAND()*(Model!$G$16-Model!$F$16)</f>
        <v>50.610377862914632</v>
      </c>
      <c r="E236" s="33">
        <f>Model!$D$17</f>
        <v>800</v>
      </c>
      <c r="G236" s="36">
        <f t="shared" ca="1" si="5"/>
        <v>1765.9003610640511</v>
      </c>
    </row>
    <row r="237" spans="1:7" x14ac:dyDescent="0.2">
      <c r="A237" s="6">
        <f ca="1">Model!$F$13+RAND()*(Model!$G$13-Model!$F$13)</f>
        <v>1708.3859828544942</v>
      </c>
      <c r="B237" s="31">
        <f ca="1">Model!$F$14+RAND()*(Model!$G$14-Model!$F$14)</f>
        <v>0.75605124185222361</v>
      </c>
      <c r="C237" s="32">
        <f ca="1">Model!$F$15+RAND()*(Model!$G$15-Model!$F$15)</f>
        <v>4.2295329141750521E-2</v>
      </c>
      <c r="D237" s="33">
        <f ca="1">Model!$F$16+RAND()*(Model!$G$16-Model!$F$16)</f>
        <v>50.840835123441764</v>
      </c>
      <c r="E237" s="33">
        <f>Model!$D$17</f>
        <v>800</v>
      </c>
      <c r="G237" s="36">
        <f t="shared" ca="1" si="5"/>
        <v>1581.9660395573619</v>
      </c>
    </row>
    <row r="238" spans="1:7" x14ac:dyDescent="0.2">
      <c r="A238" s="6">
        <f ca="1">Model!$F$13+RAND()*(Model!$G$13-Model!$F$13)</f>
        <v>1724.8550763017779</v>
      </c>
      <c r="B238" s="31">
        <f ca="1">Model!$F$14+RAND()*(Model!$G$14-Model!$F$14)</f>
        <v>0.78551684606378469</v>
      </c>
      <c r="C238" s="32">
        <f ca="1">Model!$F$15+RAND()*(Model!$G$15-Model!$F$15)</f>
        <v>1.8018043621937912E-2</v>
      </c>
      <c r="D238" s="33">
        <f ca="1">Model!$F$16+RAND()*(Model!$G$16-Model!$F$16)</f>
        <v>47.012749863077921</v>
      </c>
      <c r="E238" s="33">
        <f>Model!$D$17</f>
        <v>800</v>
      </c>
      <c r="G238" s="36">
        <f t="shared" ca="1" si="5"/>
        <v>-693.81631435809072</v>
      </c>
    </row>
    <row r="239" spans="1:7" x14ac:dyDescent="0.2">
      <c r="A239" s="6">
        <f ca="1">Model!$F$13+RAND()*(Model!$G$13-Model!$F$13)</f>
        <v>1259.9727138782409</v>
      </c>
      <c r="B239" s="31">
        <f ca="1">Model!$F$14+RAND()*(Model!$G$14-Model!$F$14)</f>
        <v>0.63762275806094948</v>
      </c>
      <c r="C239" s="32">
        <f ca="1">Model!$F$15+RAND()*(Model!$G$15-Model!$F$15)</f>
        <v>4.7739539399277782E-2</v>
      </c>
      <c r="D239" s="33">
        <f ca="1">Model!$F$16+RAND()*(Model!$G$16-Model!$F$16)</f>
        <v>49.610198265459637</v>
      </c>
      <c r="E239" s="33">
        <f>Model!$D$17</f>
        <v>800</v>
      </c>
      <c r="G239" s="36">
        <f t="shared" ca="1" si="5"/>
        <v>1380.6917980392616</v>
      </c>
    </row>
    <row r="240" spans="1:7" x14ac:dyDescent="0.2">
      <c r="A240" s="6">
        <f ca="1">Model!$F$13+RAND()*(Model!$G$13-Model!$F$13)</f>
        <v>1397.0155023487009</v>
      </c>
      <c r="B240" s="31">
        <f ca="1">Model!$F$14+RAND()*(Model!$G$14-Model!$F$14)</f>
        <v>0.6613288596129836</v>
      </c>
      <c r="C240" s="32">
        <f ca="1">Model!$F$15+RAND()*(Model!$G$15-Model!$F$15)</f>
        <v>4.1500737448758901E-2</v>
      </c>
      <c r="D240" s="33">
        <f ca="1">Model!$F$16+RAND()*(Model!$G$16-Model!$F$16)</f>
        <v>48.226537736168609</v>
      </c>
      <c r="E240" s="33">
        <f>Model!$D$17</f>
        <v>800</v>
      </c>
      <c r="G240" s="36">
        <f t="shared" ca="1" si="5"/>
        <v>1072.1516802125022</v>
      </c>
    </row>
    <row r="241" spans="1:7" x14ac:dyDescent="0.2">
      <c r="A241" s="6">
        <f ca="1">Model!$F$13+RAND()*(Model!$G$13-Model!$F$13)</f>
        <v>1630.7602921416737</v>
      </c>
      <c r="B241" s="31">
        <f ca="1">Model!$F$14+RAND()*(Model!$G$14-Model!$F$14)</f>
        <v>0.36226479167108716</v>
      </c>
      <c r="C241" s="32">
        <f ca="1">Model!$F$15+RAND()*(Model!$G$15-Model!$F$15)</f>
        <v>1.6716309176040781E-2</v>
      </c>
      <c r="D241" s="33">
        <f ca="1">Model!$F$16+RAND()*(Model!$G$16-Model!$F$16)</f>
        <v>50.835398298331384</v>
      </c>
      <c r="E241" s="33">
        <f>Model!$D$17</f>
        <v>800</v>
      </c>
      <c r="G241" s="36">
        <f t="shared" ca="1" si="5"/>
        <v>-4.9791731447342045</v>
      </c>
    </row>
    <row r="242" spans="1:7" x14ac:dyDescent="0.2">
      <c r="A242" s="6">
        <f ca="1">Model!$F$13+RAND()*(Model!$G$13-Model!$F$13)</f>
        <v>1483.4692613863986</v>
      </c>
      <c r="B242" s="31">
        <f ca="1">Model!$F$14+RAND()*(Model!$G$14-Model!$F$14)</f>
        <v>0.54635202950746309</v>
      </c>
      <c r="C242" s="32">
        <f ca="1">Model!$F$15+RAND()*(Model!$G$15-Model!$F$15)</f>
        <v>2.6541035551096485E-2</v>
      </c>
      <c r="D242" s="33">
        <f ca="1">Model!$F$16+RAND()*(Model!$G$16-Model!$F$16)</f>
        <v>51.011023846513034</v>
      </c>
      <c r="E242" s="33">
        <f>Model!$D$17</f>
        <v>800</v>
      </c>
      <c r="G242" s="36">
        <f t="shared" ca="1" si="5"/>
        <v>397.95092882447784</v>
      </c>
    </row>
    <row r="243" spans="1:7" x14ac:dyDescent="0.2">
      <c r="A243" s="6">
        <f ca="1">Model!$F$13+RAND()*(Model!$G$13-Model!$F$13)</f>
        <v>1671.8882653983505</v>
      </c>
      <c r="B243" s="31">
        <f ca="1">Model!$F$14+RAND()*(Model!$G$14-Model!$F$14)</f>
        <v>0.57215567203378748</v>
      </c>
      <c r="C243" s="32">
        <f ca="1">Model!$F$15+RAND()*(Model!$G$15-Model!$F$15)</f>
        <v>3.8853240445145446E-2</v>
      </c>
      <c r="D243" s="33">
        <f ca="1">Model!$F$16+RAND()*(Model!$G$16-Model!$F$16)</f>
        <v>52.110578144710786</v>
      </c>
      <c r="E243" s="33">
        <f>Model!$D$17</f>
        <v>800</v>
      </c>
      <c r="G243" s="36">
        <f t="shared" ca="1" si="5"/>
        <v>1628.4330038676062</v>
      </c>
    </row>
    <row r="244" spans="1:7" x14ac:dyDescent="0.2">
      <c r="A244" s="6">
        <f ca="1">Model!$F$13+RAND()*(Model!$G$13-Model!$F$13)</f>
        <v>1411.4981850557692</v>
      </c>
      <c r="B244" s="31">
        <f ca="1">Model!$F$14+RAND()*(Model!$G$14-Model!$F$14)</f>
        <v>0.76177227407889081</v>
      </c>
      <c r="C244" s="32">
        <f ca="1">Model!$F$15+RAND()*(Model!$G$15-Model!$F$15)</f>
        <v>2.7412786372541062E-2</v>
      </c>
      <c r="D244" s="33">
        <f ca="1">Model!$F$16+RAND()*(Model!$G$16-Model!$F$16)</f>
        <v>52.372953157129452</v>
      </c>
      <c r="E244" s="33">
        <f>Model!$D$17</f>
        <v>800</v>
      </c>
      <c r="G244" s="36">
        <f t="shared" ca="1" si="5"/>
        <v>151.23163788167403</v>
      </c>
    </row>
    <row r="245" spans="1:7" x14ac:dyDescent="0.2">
      <c r="A245" s="6">
        <f ca="1">Model!$F$13+RAND()*(Model!$G$13-Model!$F$13)</f>
        <v>1441.1747484913726</v>
      </c>
      <c r="B245" s="31">
        <f ca="1">Model!$F$14+RAND()*(Model!$G$14-Model!$F$14)</f>
        <v>0.52945289579464649</v>
      </c>
      <c r="C245" s="32">
        <f ca="1">Model!$F$15+RAND()*(Model!$G$15-Model!$F$15)</f>
        <v>3.9496637839885419E-2</v>
      </c>
      <c r="D245" s="33">
        <f ca="1">Model!$F$16+RAND()*(Model!$G$16-Model!$F$16)</f>
        <v>51.898435060759155</v>
      </c>
      <c r="E245" s="33">
        <f>Model!$D$17</f>
        <v>800</v>
      </c>
      <c r="G245" s="36">
        <f t="shared" ca="1" si="5"/>
        <v>1391.105591044131</v>
      </c>
    </row>
    <row r="246" spans="1:7" x14ac:dyDescent="0.2">
      <c r="A246" s="6">
        <f ca="1">Model!$F$13+RAND()*(Model!$G$13-Model!$F$13)</f>
        <v>1461.0351484745206</v>
      </c>
      <c r="B246" s="31">
        <f ca="1">Model!$F$14+RAND()*(Model!$G$14-Model!$F$14)</f>
        <v>0.74957491350622862</v>
      </c>
      <c r="C246" s="32">
        <f ca="1">Model!$F$15+RAND()*(Model!$G$15-Model!$F$15)</f>
        <v>4.4738398950400944E-2</v>
      </c>
      <c r="D246" s="33">
        <f ca="1">Model!$F$16+RAND()*(Model!$G$16-Model!$F$16)</f>
        <v>51.098094948623796</v>
      </c>
      <c r="E246" s="33">
        <f>Model!$D$17</f>
        <v>800</v>
      </c>
      <c r="G246" s="36">
        <f t="shared" ca="1" si="5"/>
        <v>1444.8396608021217</v>
      </c>
    </row>
    <row r="247" spans="1:7" x14ac:dyDescent="0.2">
      <c r="A247" s="6">
        <f ca="1">Model!$F$13+RAND()*(Model!$G$13-Model!$F$13)</f>
        <v>1561.5338660207758</v>
      </c>
      <c r="B247" s="31">
        <f ca="1">Model!$F$14+RAND()*(Model!$G$14-Model!$F$14)</f>
        <v>0.75785661969421625</v>
      </c>
      <c r="C247" s="32">
        <f ca="1">Model!$F$15+RAND()*(Model!$G$15-Model!$F$15)</f>
        <v>1.1516963263675871E-2</v>
      </c>
      <c r="D247" s="33">
        <f ca="1">Model!$F$16+RAND()*(Model!$G$16-Model!$F$16)</f>
        <v>51.821401898206517</v>
      </c>
      <c r="E247" s="33">
        <f>Model!$D$17</f>
        <v>800</v>
      </c>
      <c r="G247" s="36">
        <f t="shared" ca="1" si="5"/>
        <v>-1051.4560435568637</v>
      </c>
    </row>
    <row r="248" spans="1:7" x14ac:dyDescent="0.2">
      <c r="A248" s="6">
        <f ca="1">Model!$F$13+RAND()*(Model!$G$13-Model!$F$13)</f>
        <v>1729.672491235186</v>
      </c>
      <c r="B248" s="31">
        <f ca="1">Model!$F$14+RAND()*(Model!$G$14-Model!$F$14)</f>
        <v>0.38101355833996153</v>
      </c>
      <c r="C248" s="32">
        <f ca="1">Model!$F$15+RAND()*(Model!$G$15-Model!$F$15)</f>
        <v>3.2042501965217775E-2</v>
      </c>
      <c r="D248" s="33">
        <f ca="1">Model!$F$16+RAND()*(Model!$G$16-Model!$F$16)</f>
        <v>48.330910568206455</v>
      </c>
      <c r="E248" s="33">
        <f>Model!$D$17</f>
        <v>800</v>
      </c>
      <c r="G248" s="36">
        <f t="shared" ca="1" si="5"/>
        <v>1219.6170386706021</v>
      </c>
    </row>
    <row r="249" spans="1:7" x14ac:dyDescent="0.2">
      <c r="A249" s="6">
        <f ca="1">Model!$F$13+RAND()*(Model!$G$13-Model!$F$13)</f>
        <v>1534.4644958815045</v>
      </c>
      <c r="B249" s="31">
        <f ca="1">Model!$F$14+RAND()*(Model!$G$14-Model!$F$14)</f>
        <v>0.38364525321547588</v>
      </c>
      <c r="C249" s="32">
        <f ca="1">Model!$F$15+RAND()*(Model!$G$15-Model!$F$15)</f>
        <v>1.2900415015217255E-2</v>
      </c>
      <c r="D249" s="33">
        <f ca="1">Model!$F$16+RAND()*(Model!$G$16-Model!$F$16)</f>
        <v>51.205112718865365</v>
      </c>
      <c r="E249" s="33">
        <f>Model!$D$17</f>
        <v>800</v>
      </c>
      <c r="G249" s="36">
        <f t="shared" ca="1" si="5"/>
        <v>-375.07309689580791</v>
      </c>
    </row>
    <row r="250" spans="1:7" x14ac:dyDescent="0.2">
      <c r="A250" s="6">
        <f ca="1">Model!$F$13+RAND()*(Model!$G$13-Model!$F$13)</f>
        <v>1373.5980896102642</v>
      </c>
      <c r="B250" s="31">
        <f ca="1">Model!$F$14+RAND()*(Model!$G$14-Model!$F$14)</f>
        <v>0.53046463632431173</v>
      </c>
      <c r="C250" s="32">
        <f ca="1">Model!$F$15+RAND()*(Model!$G$15-Model!$F$15)</f>
        <v>3.205876954636884E-2</v>
      </c>
      <c r="D250" s="33">
        <f ca="1">Model!$F$16+RAND()*(Model!$G$16-Model!$F$16)</f>
        <v>50.519327229955991</v>
      </c>
      <c r="E250" s="33">
        <f>Model!$D$17</f>
        <v>800</v>
      </c>
      <c r="G250" s="36">
        <f t="shared" ca="1" si="5"/>
        <v>696.01704273010887</v>
      </c>
    </row>
    <row r="251" spans="1:7" x14ac:dyDescent="0.2">
      <c r="A251" s="6">
        <f ca="1">Model!$F$13+RAND()*(Model!$G$13-Model!$F$13)</f>
        <v>1550.5345346529593</v>
      </c>
      <c r="B251" s="31">
        <f ca="1">Model!$F$14+RAND()*(Model!$G$14-Model!$F$14)</f>
        <v>0.69282365729016371</v>
      </c>
      <c r="C251" s="32">
        <f ca="1">Model!$F$15+RAND()*(Model!$G$15-Model!$F$15)</f>
        <v>4.1705459465382545E-2</v>
      </c>
      <c r="D251" s="33">
        <f ca="1">Model!$F$16+RAND()*(Model!$G$16-Model!$F$16)</f>
        <v>48.776748932953531</v>
      </c>
      <c r="E251" s="33">
        <f>Model!$D$17</f>
        <v>800</v>
      </c>
      <c r="G251" s="36">
        <f t="shared" ca="1" si="5"/>
        <v>1279.9382981482913</v>
      </c>
    </row>
    <row r="252" spans="1:7" x14ac:dyDescent="0.2">
      <c r="A252" s="6">
        <f ca="1">Model!$F$13+RAND()*(Model!$G$13-Model!$F$13)</f>
        <v>1653.6917418232485</v>
      </c>
      <c r="B252" s="31">
        <f ca="1">Model!$F$14+RAND()*(Model!$G$14-Model!$F$14)</f>
        <v>0.34635386192182727</v>
      </c>
      <c r="C252" s="32">
        <f ca="1">Model!$F$15+RAND()*(Model!$G$15-Model!$F$15)</f>
        <v>1.323002982242635E-2</v>
      </c>
      <c r="D252" s="33">
        <f ca="1">Model!$F$16+RAND()*(Model!$G$16-Model!$F$16)</f>
        <v>50.605215016066509</v>
      </c>
      <c r="E252" s="33">
        <f>Model!$D$17</f>
        <v>800</v>
      </c>
      <c r="G252" s="36">
        <f t="shared" ca="1" si="5"/>
        <v>-265.60183733987992</v>
      </c>
    </row>
    <row r="253" spans="1:7" x14ac:dyDescent="0.2">
      <c r="A253" s="6">
        <f ca="1">Model!$F$13+RAND()*(Model!$G$13-Model!$F$13)</f>
        <v>1728.5616378715254</v>
      </c>
      <c r="B253" s="31">
        <f ca="1">Model!$F$14+RAND()*(Model!$G$14-Model!$F$14)</f>
        <v>0.65223722059895595</v>
      </c>
      <c r="C253" s="32">
        <f ca="1">Model!$F$15+RAND()*(Model!$G$15-Model!$F$15)</f>
        <v>3.4539320229536818E-2</v>
      </c>
      <c r="D253" s="33">
        <f ca="1">Model!$F$16+RAND()*(Model!$G$16-Model!$F$16)</f>
        <v>47.280439060910801</v>
      </c>
      <c r="E253" s="33">
        <f>Model!$D$17</f>
        <v>800</v>
      </c>
      <c r="G253" s="36">
        <f t="shared" ca="1" si="5"/>
        <v>895.36807689646253</v>
      </c>
    </row>
    <row r="254" spans="1:7" x14ac:dyDescent="0.2">
      <c r="A254" s="6">
        <f ca="1">Model!$F$13+RAND()*(Model!$G$13-Model!$F$13)</f>
        <v>1653.535386264065</v>
      </c>
      <c r="B254" s="31">
        <f ca="1">Model!$F$14+RAND()*(Model!$G$14-Model!$F$14)</f>
        <v>0.72704379193215019</v>
      </c>
      <c r="C254" s="32">
        <f ca="1">Model!$F$15+RAND()*(Model!$G$15-Model!$F$15)</f>
        <v>2.0250895141638491E-2</v>
      </c>
      <c r="D254" s="33">
        <f ca="1">Model!$F$16+RAND()*(Model!$G$16-Model!$F$16)</f>
        <v>47.873031498626695</v>
      </c>
      <c r="E254" s="33">
        <f>Model!$D$17</f>
        <v>800</v>
      </c>
      <c r="G254" s="36">
        <f t="shared" ca="1" si="5"/>
        <v>-399.13680761169417</v>
      </c>
    </row>
    <row r="255" spans="1:7" x14ac:dyDescent="0.2">
      <c r="A255" s="6">
        <f ca="1">Model!$F$13+RAND()*(Model!$G$13-Model!$F$13)</f>
        <v>1283.4153791753024</v>
      </c>
      <c r="B255" s="31">
        <f ca="1">Model!$F$14+RAND()*(Model!$G$14-Model!$F$14)</f>
        <v>0.41196818481321967</v>
      </c>
      <c r="C255" s="32">
        <f ca="1">Model!$F$15+RAND()*(Model!$G$15-Model!$F$15)</f>
        <v>1.4063548496790692E-2</v>
      </c>
      <c r="D255" s="33">
        <f ca="1">Model!$F$16+RAND()*(Model!$G$16-Model!$F$16)</f>
        <v>49.263841266143302</v>
      </c>
      <c r="E255" s="33">
        <f>Model!$D$17</f>
        <v>800</v>
      </c>
      <c r="G255" s="36">
        <f t="shared" ca="1" si="5"/>
        <v>-439.54478741703656</v>
      </c>
    </row>
    <row r="256" spans="1:7" x14ac:dyDescent="0.2">
      <c r="A256" s="6">
        <f ca="1">Model!$F$13+RAND()*(Model!$G$13-Model!$F$13)</f>
        <v>1330.682166594461</v>
      </c>
      <c r="B256" s="31">
        <f ca="1">Model!$F$14+RAND()*(Model!$G$14-Model!$F$14)</f>
        <v>0.75610150666219367</v>
      </c>
      <c r="C256" s="32">
        <f ca="1">Model!$F$15+RAND()*(Model!$G$15-Model!$F$15)</f>
        <v>3.1103799450175738E-2</v>
      </c>
      <c r="D256" s="33">
        <f ca="1">Model!$F$16+RAND()*(Model!$G$16-Model!$F$16)</f>
        <v>51.204660075917459</v>
      </c>
      <c r="E256" s="33">
        <f>Model!$D$17</f>
        <v>800</v>
      </c>
      <c r="G256" s="36">
        <f t="shared" ca="1" si="5"/>
        <v>313.19277366955839</v>
      </c>
    </row>
    <row r="257" spans="1:7" x14ac:dyDescent="0.2">
      <c r="A257" s="6">
        <f ca="1">Model!$F$13+RAND()*(Model!$G$13-Model!$F$13)</f>
        <v>1593.6763172510884</v>
      </c>
      <c r="B257" s="31">
        <f ca="1">Model!$F$14+RAND()*(Model!$G$14-Model!$F$14)</f>
        <v>0.64211751749113066</v>
      </c>
      <c r="C257" s="32">
        <f ca="1">Model!$F$15+RAND()*(Model!$G$15-Model!$F$15)</f>
        <v>3.5009863325695383E-2</v>
      </c>
      <c r="D257" s="33">
        <f ca="1">Model!$F$16+RAND()*(Model!$G$16-Model!$F$16)</f>
        <v>48.184973695309694</v>
      </c>
      <c r="E257" s="33">
        <f>Model!$D$17</f>
        <v>800</v>
      </c>
      <c r="G257" s="36">
        <f t="shared" ca="1" si="5"/>
        <v>865.12373650105019</v>
      </c>
    </row>
    <row r="258" spans="1:7" x14ac:dyDescent="0.2">
      <c r="A258" s="6">
        <f ca="1">Model!$F$13+RAND()*(Model!$G$13-Model!$F$13)</f>
        <v>1359.8034103493414</v>
      </c>
      <c r="B258" s="31">
        <f ca="1">Model!$F$14+RAND()*(Model!$G$14-Model!$F$14)</f>
        <v>0.54022752254168194</v>
      </c>
      <c r="C258" s="32">
        <f ca="1">Model!$F$15+RAND()*(Model!$G$15-Model!$F$15)</f>
        <v>1.278249560429384E-2</v>
      </c>
      <c r="D258" s="33">
        <f ca="1">Model!$F$16+RAND()*(Model!$G$16-Model!$F$16)</f>
        <v>50.894329172919534</v>
      </c>
      <c r="E258" s="33">
        <f>Model!$D$17</f>
        <v>800</v>
      </c>
      <c r="G258" s="36">
        <f t="shared" ca="1" si="5"/>
        <v>-649.97422724607236</v>
      </c>
    </row>
    <row r="259" spans="1:7" x14ac:dyDescent="0.2">
      <c r="A259" s="6">
        <f ca="1">Model!$F$13+RAND()*(Model!$G$13-Model!$F$13)</f>
        <v>1490.3030603313628</v>
      </c>
      <c r="B259" s="31">
        <f ca="1">Model!$F$14+RAND()*(Model!$G$14-Model!$F$14)</f>
        <v>0.28711841670405674</v>
      </c>
      <c r="C259" s="32">
        <f ca="1">Model!$F$15+RAND()*(Model!$G$15-Model!$F$15)</f>
        <v>2.6780632276261582E-2</v>
      </c>
      <c r="D259" s="33">
        <f ca="1">Model!$F$16+RAND()*(Model!$G$16-Model!$F$16)</f>
        <v>50.619110419363039</v>
      </c>
      <c r="E259" s="33">
        <f>Model!$D$17</f>
        <v>800</v>
      </c>
      <c r="G259" s="36">
        <f t="shared" ref="G259:G322" ca="1" si="6">A259*C259*D259-(E259+A259*B259)</f>
        <v>792.37893268012931</v>
      </c>
    </row>
    <row r="260" spans="1:7" x14ac:dyDescent="0.2">
      <c r="A260" s="6">
        <f ca="1">Model!$F$13+RAND()*(Model!$G$13-Model!$F$13)</f>
        <v>1703.5663130007017</v>
      </c>
      <c r="B260" s="31">
        <f ca="1">Model!$F$14+RAND()*(Model!$G$14-Model!$F$14)</f>
        <v>0.20033796208723836</v>
      </c>
      <c r="C260" s="32">
        <f ca="1">Model!$F$15+RAND()*(Model!$G$15-Model!$F$15)</f>
        <v>2.039868491116208E-2</v>
      </c>
      <c r="D260" s="33">
        <f ca="1">Model!$F$16+RAND()*(Model!$G$16-Model!$F$16)</f>
        <v>48.459487789853362</v>
      </c>
      <c r="E260" s="33">
        <f>Model!$D$17</f>
        <v>800</v>
      </c>
      <c r="G260" s="36">
        <f t="shared" ca="1" si="6"/>
        <v>542.70303005244182</v>
      </c>
    </row>
    <row r="261" spans="1:7" x14ac:dyDescent="0.2">
      <c r="A261" s="6">
        <f ca="1">Model!$F$13+RAND()*(Model!$G$13-Model!$F$13)</f>
        <v>1444.8159033918364</v>
      </c>
      <c r="B261" s="31">
        <f ca="1">Model!$F$14+RAND()*(Model!$G$14-Model!$F$14)</f>
        <v>0.74091481807002757</v>
      </c>
      <c r="C261" s="32">
        <f ca="1">Model!$F$15+RAND()*(Model!$G$15-Model!$F$15)</f>
        <v>2.2434015040178036E-2</v>
      </c>
      <c r="D261" s="33">
        <f ca="1">Model!$F$16+RAND()*(Model!$G$16-Model!$F$16)</f>
        <v>48.970717026787987</v>
      </c>
      <c r="E261" s="33">
        <f>Model!$D$17</f>
        <v>800</v>
      </c>
      <c r="G261" s="36">
        <f t="shared" ca="1" si="6"/>
        <v>-283.19659821054825</v>
      </c>
    </row>
    <row r="262" spans="1:7" x14ac:dyDescent="0.2">
      <c r="A262" s="6">
        <f ca="1">Model!$F$13+RAND()*(Model!$G$13-Model!$F$13)</f>
        <v>1456.9343749001728</v>
      </c>
      <c r="B262" s="31">
        <f ca="1">Model!$F$14+RAND()*(Model!$G$14-Model!$F$14)</f>
        <v>0.5898954704308299</v>
      </c>
      <c r="C262" s="32">
        <f ca="1">Model!$F$15+RAND()*(Model!$G$15-Model!$F$15)</f>
        <v>1.3832417341410656E-2</v>
      </c>
      <c r="D262" s="33">
        <f ca="1">Model!$F$16+RAND()*(Model!$G$16-Model!$F$16)</f>
        <v>48.270699818112874</v>
      </c>
      <c r="E262" s="33">
        <f>Model!$D$17</f>
        <v>800</v>
      </c>
      <c r="G262" s="36">
        <f t="shared" ca="1" si="6"/>
        <v>-686.643228514714</v>
      </c>
    </row>
    <row r="263" spans="1:7" x14ac:dyDescent="0.2">
      <c r="A263" s="6">
        <f ca="1">Model!$F$13+RAND()*(Model!$G$13-Model!$F$13)</f>
        <v>1748.0140324194151</v>
      </c>
      <c r="B263" s="31">
        <f ca="1">Model!$F$14+RAND()*(Model!$G$14-Model!$F$14)</f>
        <v>0.35908788605607822</v>
      </c>
      <c r="C263" s="32">
        <f ca="1">Model!$F$15+RAND()*(Model!$G$15-Model!$F$15)</f>
        <v>3.0530109370759444E-2</v>
      </c>
      <c r="D263" s="33">
        <f ca="1">Model!$F$16+RAND()*(Model!$G$16-Model!$F$16)</f>
        <v>48.572298386294761</v>
      </c>
      <c r="E263" s="33">
        <f>Model!$D$17</f>
        <v>800</v>
      </c>
      <c r="G263" s="36">
        <f t="shared" ca="1" si="6"/>
        <v>1164.470078774174</v>
      </c>
    </row>
    <row r="264" spans="1:7" x14ac:dyDescent="0.2">
      <c r="A264" s="6">
        <f ca="1">Model!$F$13+RAND()*(Model!$G$13-Model!$F$13)</f>
        <v>1487.7854081519895</v>
      </c>
      <c r="B264" s="31">
        <f ca="1">Model!$F$14+RAND()*(Model!$G$14-Model!$F$14)</f>
        <v>0.21290729919138196</v>
      </c>
      <c r="C264" s="32">
        <f ca="1">Model!$F$15+RAND()*(Model!$G$15-Model!$F$15)</f>
        <v>4.3835754205313493E-2</v>
      </c>
      <c r="D264" s="33">
        <f ca="1">Model!$F$16+RAND()*(Model!$G$16-Model!$F$16)</f>
        <v>52.203837493121981</v>
      </c>
      <c r="E264" s="33">
        <f>Model!$D$17</f>
        <v>800</v>
      </c>
      <c r="G264" s="36">
        <f t="shared" ca="1" si="6"/>
        <v>2287.8797044670623</v>
      </c>
    </row>
    <row r="265" spans="1:7" x14ac:dyDescent="0.2">
      <c r="A265" s="6">
        <f ca="1">Model!$F$13+RAND()*(Model!$G$13-Model!$F$13)</f>
        <v>1525.9031134736304</v>
      </c>
      <c r="B265" s="31">
        <f ca="1">Model!$F$14+RAND()*(Model!$G$14-Model!$F$14)</f>
        <v>0.24890566034067035</v>
      </c>
      <c r="C265" s="32">
        <f ca="1">Model!$F$15+RAND()*(Model!$G$15-Model!$F$15)</f>
        <v>2.4730965534470364E-2</v>
      </c>
      <c r="D265" s="33">
        <f ca="1">Model!$F$16+RAND()*(Model!$G$16-Model!$F$16)</f>
        <v>48.366849781562784</v>
      </c>
      <c r="E265" s="33">
        <f>Model!$D$17</f>
        <v>800</v>
      </c>
      <c r="G265" s="36">
        <f t="shared" ca="1" si="6"/>
        <v>645.41665995167182</v>
      </c>
    </row>
    <row r="266" spans="1:7" x14ac:dyDescent="0.2">
      <c r="A266" s="6">
        <f ca="1">Model!$F$13+RAND()*(Model!$G$13-Model!$F$13)</f>
        <v>1594.7724064672298</v>
      </c>
      <c r="B266" s="31">
        <f ca="1">Model!$F$14+RAND()*(Model!$G$14-Model!$F$14)</f>
        <v>0.397525144062985</v>
      </c>
      <c r="C266" s="32">
        <f ca="1">Model!$F$15+RAND()*(Model!$G$15-Model!$F$15)</f>
        <v>3.709107323626068E-2</v>
      </c>
      <c r="D266" s="33">
        <f ca="1">Model!$F$16+RAND()*(Model!$G$16-Model!$F$16)</f>
        <v>51.250425078812405</v>
      </c>
      <c r="E266" s="33">
        <f>Model!$D$17</f>
        <v>800</v>
      </c>
      <c r="G266" s="36">
        <f t="shared" ca="1" si="6"/>
        <v>1597.5937948833807</v>
      </c>
    </row>
    <row r="267" spans="1:7" x14ac:dyDescent="0.2">
      <c r="A267" s="6">
        <f ca="1">Model!$F$13+RAND()*(Model!$G$13-Model!$F$13)</f>
        <v>1748.2421788523609</v>
      </c>
      <c r="B267" s="31">
        <f ca="1">Model!$F$14+RAND()*(Model!$G$14-Model!$F$14)</f>
        <v>0.68597909223226405</v>
      </c>
      <c r="C267" s="32">
        <f ca="1">Model!$F$15+RAND()*(Model!$G$15-Model!$F$15)</f>
        <v>4.7775981840253175E-2</v>
      </c>
      <c r="D267" s="33">
        <f ca="1">Model!$F$16+RAND()*(Model!$G$16-Model!$F$16)</f>
        <v>52.200124432071966</v>
      </c>
      <c r="E267" s="33">
        <f>Model!$D$17</f>
        <v>800</v>
      </c>
      <c r="G267" s="36">
        <f t="shared" ca="1" si="6"/>
        <v>2360.704910168437</v>
      </c>
    </row>
    <row r="268" spans="1:7" x14ac:dyDescent="0.2">
      <c r="A268" s="6">
        <f ca="1">Model!$F$13+RAND()*(Model!$G$13-Model!$F$13)</f>
        <v>1418.3139630110381</v>
      </c>
      <c r="B268" s="31">
        <f ca="1">Model!$F$14+RAND()*(Model!$G$14-Model!$F$14)</f>
        <v>0.76614606959390152</v>
      </c>
      <c r="C268" s="32">
        <f ca="1">Model!$F$15+RAND()*(Model!$G$15-Model!$F$15)</f>
        <v>1.4322476136180051E-2</v>
      </c>
      <c r="D268" s="33">
        <f ca="1">Model!$F$16+RAND()*(Model!$G$16-Model!$F$16)</f>
        <v>50.383392949775867</v>
      </c>
      <c r="E268" s="33">
        <f>Model!$D$17</f>
        <v>800</v>
      </c>
      <c r="G268" s="36">
        <f t="shared" ca="1" si="6"/>
        <v>-863.15911837726628</v>
      </c>
    </row>
    <row r="269" spans="1:7" x14ac:dyDescent="0.2">
      <c r="A269" s="6">
        <f ca="1">Model!$F$13+RAND()*(Model!$G$13-Model!$F$13)</f>
        <v>1501.867807149386</v>
      </c>
      <c r="B269" s="31">
        <f ca="1">Model!$F$14+RAND()*(Model!$G$14-Model!$F$14)</f>
        <v>0.49199923091628955</v>
      </c>
      <c r="C269" s="32">
        <f ca="1">Model!$F$15+RAND()*(Model!$G$15-Model!$F$15)</f>
        <v>3.0098190218431166E-2</v>
      </c>
      <c r="D269" s="33">
        <f ca="1">Model!$F$16+RAND()*(Model!$G$16-Model!$F$16)</f>
        <v>48.989725884392094</v>
      </c>
      <c r="E269" s="33">
        <f>Model!$D$17</f>
        <v>800</v>
      </c>
      <c r="G269" s="36">
        <f t="shared" ca="1" si="6"/>
        <v>675.5894121129495</v>
      </c>
    </row>
    <row r="270" spans="1:7" x14ac:dyDescent="0.2">
      <c r="A270" s="6">
        <f ca="1">Model!$F$13+RAND()*(Model!$G$13-Model!$F$13)</f>
        <v>1327.1554007114141</v>
      </c>
      <c r="B270" s="31">
        <f ca="1">Model!$F$14+RAND()*(Model!$G$14-Model!$F$14)</f>
        <v>0.73309201794746315</v>
      </c>
      <c r="C270" s="32">
        <f ca="1">Model!$F$15+RAND()*(Model!$G$15-Model!$F$15)</f>
        <v>4.5415370193846033E-2</v>
      </c>
      <c r="D270" s="33">
        <f ca="1">Model!$F$16+RAND()*(Model!$G$16-Model!$F$16)</f>
        <v>49.564858412469007</v>
      </c>
      <c r="E270" s="33">
        <f>Model!$D$17</f>
        <v>800</v>
      </c>
      <c r="G270" s="36">
        <f t="shared" ca="1" si="6"/>
        <v>1214.5082612097376</v>
      </c>
    </row>
    <row r="271" spans="1:7" x14ac:dyDescent="0.2">
      <c r="A271" s="6">
        <f ca="1">Model!$F$13+RAND()*(Model!$G$13-Model!$F$13)</f>
        <v>1629.8993263244288</v>
      </c>
      <c r="B271" s="31">
        <f ca="1">Model!$F$14+RAND()*(Model!$G$14-Model!$F$14)</f>
        <v>0.30198252112637652</v>
      </c>
      <c r="C271" s="32">
        <f ca="1">Model!$F$15+RAND()*(Model!$G$15-Model!$F$15)</f>
        <v>2.9139479789750192E-2</v>
      </c>
      <c r="D271" s="33">
        <f ca="1">Model!$F$16+RAND()*(Model!$G$16-Model!$F$16)</f>
        <v>52.092724664239455</v>
      </c>
      <c r="E271" s="33">
        <f>Model!$D$17</f>
        <v>800</v>
      </c>
      <c r="G271" s="36">
        <f t="shared" ca="1" si="6"/>
        <v>1181.9125571564809</v>
      </c>
    </row>
    <row r="272" spans="1:7" x14ac:dyDescent="0.2">
      <c r="A272" s="6">
        <f ca="1">Model!$F$13+RAND()*(Model!$G$13-Model!$F$13)</f>
        <v>1342.9685173561597</v>
      </c>
      <c r="B272" s="31">
        <f ca="1">Model!$F$14+RAND()*(Model!$G$14-Model!$F$14)</f>
        <v>0.22514781543425474</v>
      </c>
      <c r="C272" s="32">
        <f ca="1">Model!$F$15+RAND()*(Model!$G$15-Model!$F$15)</f>
        <v>3.6020077086640415E-2</v>
      </c>
      <c r="D272" s="33">
        <f ca="1">Model!$F$16+RAND()*(Model!$G$16-Model!$F$16)</f>
        <v>51.935037097141517</v>
      </c>
      <c r="E272" s="33">
        <f>Model!$D$17</f>
        <v>800</v>
      </c>
      <c r="G272" s="36">
        <f t="shared" ca="1" si="6"/>
        <v>1409.9302027774768</v>
      </c>
    </row>
    <row r="273" spans="1:7" x14ac:dyDescent="0.2">
      <c r="A273" s="6">
        <f ca="1">Model!$F$13+RAND()*(Model!$G$13-Model!$F$13)</f>
        <v>1220.6265560173738</v>
      </c>
      <c r="B273" s="31">
        <f ca="1">Model!$F$14+RAND()*(Model!$G$14-Model!$F$14)</f>
        <v>0.6890130592856093</v>
      </c>
      <c r="C273" s="32">
        <f ca="1">Model!$F$15+RAND()*(Model!$G$15-Model!$F$15)</f>
        <v>4.7880720820324976E-2</v>
      </c>
      <c r="D273" s="33">
        <f ca="1">Model!$F$16+RAND()*(Model!$G$16-Model!$F$16)</f>
        <v>50.171646493563792</v>
      </c>
      <c r="E273" s="33">
        <f>Model!$D$17</f>
        <v>800</v>
      </c>
      <c r="G273" s="36">
        <f t="shared" ca="1" si="6"/>
        <v>1291.2281200697125</v>
      </c>
    </row>
    <row r="274" spans="1:7" x14ac:dyDescent="0.2">
      <c r="A274" s="6">
        <f ca="1">Model!$F$13+RAND()*(Model!$G$13-Model!$F$13)</f>
        <v>1560.8510408202455</v>
      </c>
      <c r="B274" s="31">
        <f ca="1">Model!$F$14+RAND()*(Model!$G$14-Model!$F$14)</f>
        <v>0.5835209978687792</v>
      </c>
      <c r="C274" s="32">
        <f ca="1">Model!$F$15+RAND()*(Model!$G$15-Model!$F$15)</f>
        <v>3.0476512655463306E-2</v>
      </c>
      <c r="D274" s="33">
        <f ca="1">Model!$F$16+RAND()*(Model!$G$16-Model!$F$16)</f>
        <v>47.917512883892279</v>
      </c>
      <c r="E274" s="33">
        <f>Model!$D$17</f>
        <v>800</v>
      </c>
      <c r="G274" s="36">
        <f t="shared" ca="1" si="6"/>
        <v>568.6130209974458</v>
      </c>
    </row>
    <row r="275" spans="1:7" x14ac:dyDescent="0.2">
      <c r="A275" s="6">
        <f ca="1">Model!$F$13+RAND()*(Model!$G$13-Model!$F$13)</f>
        <v>1288.4039699329753</v>
      </c>
      <c r="B275" s="31">
        <f ca="1">Model!$F$14+RAND()*(Model!$G$14-Model!$F$14)</f>
        <v>0.71711654816518511</v>
      </c>
      <c r="C275" s="32">
        <f ca="1">Model!$F$15+RAND()*(Model!$G$15-Model!$F$15)</f>
        <v>1.3507307154168169E-2</v>
      </c>
      <c r="D275" s="33">
        <f ca="1">Model!$F$16+RAND()*(Model!$G$16-Model!$F$16)</f>
        <v>50.181761170345247</v>
      </c>
      <c r="E275" s="33">
        <f>Model!$D$17</f>
        <v>800</v>
      </c>
      <c r="G275" s="36">
        <f t="shared" ca="1" si="6"/>
        <v>-850.629233849716</v>
      </c>
    </row>
    <row r="276" spans="1:7" x14ac:dyDescent="0.2">
      <c r="A276" s="6">
        <f ca="1">Model!$F$13+RAND()*(Model!$G$13-Model!$F$13)</f>
        <v>1677.0529228206226</v>
      </c>
      <c r="B276" s="31">
        <f ca="1">Model!$F$14+RAND()*(Model!$G$14-Model!$F$14)</f>
        <v>0.3307272265492891</v>
      </c>
      <c r="C276" s="32">
        <f ca="1">Model!$F$15+RAND()*(Model!$G$15-Model!$F$15)</f>
        <v>3.2771376074630723E-2</v>
      </c>
      <c r="D276" s="33">
        <f ca="1">Model!$F$16+RAND()*(Model!$G$16-Model!$F$16)</f>
        <v>50.954879014580669</v>
      </c>
      <c r="E276" s="33">
        <f>Model!$D$17</f>
        <v>800</v>
      </c>
      <c r="G276" s="36">
        <f t="shared" ca="1" si="6"/>
        <v>1445.799052411415</v>
      </c>
    </row>
    <row r="277" spans="1:7" x14ac:dyDescent="0.2">
      <c r="A277" s="6">
        <f ca="1">Model!$F$13+RAND()*(Model!$G$13-Model!$F$13)</f>
        <v>1743.9011854267542</v>
      </c>
      <c r="B277" s="31">
        <f ca="1">Model!$F$14+RAND()*(Model!$G$14-Model!$F$14)</f>
        <v>0.38134914733247349</v>
      </c>
      <c r="C277" s="32">
        <f ca="1">Model!$F$15+RAND()*(Model!$G$15-Model!$F$15)</f>
        <v>4.9917310476149487E-2</v>
      </c>
      <c r="D277" s="33">
        <f ca="1">Model!$F$16+RAND()*(Model!$G$16-Model!$F$16)</f>
        <v>49.622551281152539</v>
      </c>
      <c r="E277" s="33">
        <f>Model!$D$17</f>
        <v>800</v>
      </c>
      <c r="G277" s="36">
        <f t="shared" ca="1" si="6"/>
        <v>2854.6503811227776</v>
      </c>
    </row>
    <row r="278" spans="1:7" x14ac:dyDescent="0.2">
      <c r="A278" s="6">
        <f ca="1">Model!$F$13+RAND()*(Model!$G$13-Model!$F$13)</f>
        <v>1258.9974012966431</v>
      </c>
      <c r="B278" s="31">
        <f ca="1">Model!$F$14+RAND()*(Model!$G$14-Model!$F$14)</f>
        <v>0.75307587228904782</v>
      </c>
      <c r="C278" s="32">
        <f ca="1">Model!$F$15+RAND()*(Model!$G$15-Model!$F$15)</f>
        <v>4.9996196222748167E-2</v>
      </c>
      <c r="D278" s="33">
        <f ca="1">Model!$F$16+RAND()*(Model!$G$16-Model!$F$16)</f>
        <v>50.520189511967772</v>
      </c>
      <c r="E278" s="33">
        <f>Model!$D$17</f>
        <v>800</v>
      </c>
      <c r="G278" s="36">
        <f t="shared" ca="1" si="6"/>
        <v>1431.8768607948814</v>
      </c>
    </row>
    <row r="279" spans="1:7" x14ac:dyDescent="0.2">
      <c r="A279" s="6">
        <f ca="1">Model!$F$13+RAND()*(Model!$G$13-Model!$F$13)</f>
        <v>1630.6878057972572</v>
      </c>
      <c r="B279" s="31">
        <f ca="1">Model!$F$14+RAND()*(Model!$G$14-Model!$F$14)</f>
        <v>0.34981084590369488</v>
      </c>
      <c r="C279" s="32">
        <f ca="1">Model!$F$15+RAND()*(Model!$G$15-Model!$F$15)</f>
        <v>3.369972971036083E-2</v>
      </c>
      <c r="D279" s="33">
        <f ca="1">Model!$F$16+RAND()*(Model!$G$16-Model!$F$16)</f>
        <v>48.490419832187108</v>
      </c>
      <c r="E279" s="33">
        <f>Model!$D$17</f>
        <v>800</v>
      </c>
      <c r="G279" s="36">
        <f t="shared" ca="1" si="6"/>
        <v>1294.2975606358104</v>
      </c>
    </row>
    <row r="280" spans="1:7" x14ac:dyDescent="0.2">
      <c r="A280" s="6">
        <f ca="1">Model!$F$13+RAND()*(Model!$G$13-Model!$F$13)</f>
        <v>1327.8322422653168</v>
      </c>
      <c r="B280" s="31">
        <f ca="1">Model!$F$14+RAND()*(Model!$G$14-Model!$F$14)</f>
        <v>0.33488779922198675</v>
      </c>
      <c r="C280" s="32">
        <f ca="1">Model!$F$15+RAND()*(Model!$G$15-Model!$F$15)</f>
        <v>2.0789336340939619E-2</v>
      </c>
      <c r="D280" s="33">
        <f ca="1">Model!$F$16+RAND()*(Model!$G$16-Model!$F$16)</f>
        <v>51.000890622055834</v>
      </c>
      <c r="E280" s="33">
        <f>Model!$D$17</f>
        <v>800</v>
      </c>
      <c r="G280" s="36">
        <f t="shared" ca="1" si="6"/>
        <v>163.19207358061999</v>
      </c>
    </row>
    <row r="281" spans="1:7" x14ac:dyDescent="0.2">
      <c r="A281" s="6">
        <f ca="1">Model!$F$13+RAND()*(Model!$G$13-Model!$F$13)</f>
        <v>1775.2398344602482</v>
      </c>
      <c r="B281" s="31">
        <f ca="1">Model!$F$14+RAND()*(Model!$G$14-Model!$F$14)</f>
        <v>0.57777365160544736</v>
      </c>
      <c r="C281" s="32">
        <f ca="1">Model!$F$15+RAND()*(Model!$G$15-Model!$F$15)</f>
        <v>1.5388154941078175E-2</v>
      </c>
      <c r="D281" s="33">
        <f ca="1">Model!$F$16+RAND()*(Model!$G$16-Model!$F$16)</f>
        <v>50.747166230793908</v>
      </c>
      <c r="E281" s="33">
        <f>Model!$D$17</f>
        <v>800</v>
      </c>
      <c r="G281" s="36">
        <f t="shared" ca="1" si="6"/>
        <v>-439.39268285609319</v>
      </c>
    </row>
    <row r="282" spans="1:7" x14ac:dyDescent="0.2">
      <c r="A282" s="6">
        <f ca="1">Model!$F$13+RAND()*(Model!$G$13-Model!$F$13)</f>
        <v>1606.5214403242169</v>
      </c>
      <c r="B282" s="31">
        <f ca="1">Model!$F$14+RAND()*(Model!$G$14-Model!$F$14)</f>
        <v>0.26921435734635385</v>
      </c>
      <c r="C282" s="32">
        <f ca="1">Model!$F$15+RAND()*(Model!$G$15-Model!$F$15)</f>
        <v>1.1504502633445445E-2</v>
      </c>
      <c r="D282" s="33">
        <f ca="1">Model!$F$16+RAND()*(Model!$G$16-Model!$F$16)</f>
        <v>51.200604229627515</v>
      </c>
      <c r="E282" s="33">
        <f>Model!$D$17</f>
        <v>800</v>
      </c>
      <c r="G282" s="36">
        <f t="shared" ca="1" si="6"/>
        <v>-286.19728639508708</v>
      </c>
    </row>
    <row r="283" spans="1:7" x14ac:dyDescent="0.2">
      <c r="A283" s="6">
        <f ca="1">Model!$F$13+RAND()*(Model!$G$13-Model!$F$13)</f>
        <v>1652.0362665890266</v>
      </c>
      <c r="B283" s="31">
        <f ca="1">Model!$F$14+RAND()*(Model!$G$14-Model!$F$14)</f>
        <v>0.78474691021395881</v>
      </c>
      <c r="C283" s="32">
        <f ca="1">Model!$F$15+RAND()*(Model!$G$15-Model!$F$15)</f>
        <v>1.7416623184106493E-2</v>
      </c>
      <c r="D283" s="33">
        <f ca="1">Model!$F$16+RAND()*(Model!$G$16-Model!$F$16)</f>
        <v>51.735523341622546</v>
      </c>
      <c r="E283" s="33">
        <f>Model!$D$17</f>
        <v>800</v>
      </c>
      <c r="G283" s="36">
        <f t="shared" ca="1" si="6"/>
        <v>-607.8496710308234</v>
      </c>
    </row>
    <row r="284" spans="1:7" x14ac:dyDescent="0.2">
      <c r="A284" s="6">
        <f ca="1">Model!$F$13+RAND()*(Model!$G$13-Model!$F$13)</f>
        <v>1265.1987484903939</v>
      </c>
      <c r="B284" s="31">
        <f ca="1">Model!$F$14+RAND()*(Model!$G$14-Model!$F$14)</f>
        <v>0.61713242832923887</v>
      </c>
      <c r="C284" s="32">
        <f ca="1">Model!$F$15+RAND()*(Model!$G$15-Model!$F$15)</f>
        <v>1.997137781927397E-2</v>
      </c>
      <c r="D284" s="33">
        <f ca="1">Model!$F$16+RAND()*(Model!$G$16-Model!$F$16)</f>
        <v>48.54796684480916</v>
      </c>
      <c r="E284" s="33">
        <f>Model!$D$17</f>
        <v>800</v>
      </c>
      <c r="G284" s="36">
        <f t="shared" ca="1" si="6"/>
        <v>-354.09669335093531</v>
      </c>
    </row>
    <row r="285" spans="1:7" x14ac:dyDescent="0.2">
      <c r="A285" s="6">
        <f ca="1">Model!$F$13+RAND()*(Model!$G$13-Model!$F$13)</f>
        <v>1793.2703774565043</v>
      </c>
      <c r="B285" s="31">
        <f ca="1">Model!$F$14+RAND()*(Model!$G$14-Model!$F$14)</f>
        <v>0.51512813618968756</v>
      </c>
      <c r="C285" s="32">
        <f ca="1">Model!$F$15+RAND()*(Model!$G$15-Model!$F$15)</f>
        <v>2.9226144272514569E-2</v>
      </c>
      <c r="D285" s="33">
        <f ca="1">Model!$F$16+RAND()*(Model!$G$16-Model!$F$16)</f>
        <v>48.336769606555471</v>
      </c>
      <c r="E285" s="33">
        <f>Model!$D$17</f>
        <v>800</v>
      </c>
      <c r="G285" s="36">
        <f t="shared" ca="1" si="6"/>
        <v>809.58437643102525</v>
      </c>
    </row>
    <row r="286" spans="1:7" x14ac:dyDescent="0.2">
      <c r="A286" s="6">
        <f ca="1">Model!$F$13+RAND()*(Model!$G$13-Model!$F$13)</f>
        <v>1617.9763694350831</v>
      </c>
      <c r="B286" s="31">
        <f ca="1">Model!$F$14+RAND()*(Model!$G$14-Model!$F$14)</f>
        <v>0.3476171088997867</v>
      </c>
      <c r="C286" s="32">
        <f ca="1">Model!$F$15+RAND()*(Model!$G$15-Model!$F$15)</f>
        <v>2.8458813605386615E-2</v>
      </c>
      <c r="D286" s="33">
        <f ca="1">Model!$F$16+RAND()*(Model!$G$16-Model!$F$16)</f>
        <v>47.052826938478638</v>
      </c>
      <c r="E286" s="33">
        <f>Model!$D$17</f>
        <v>800</v>
      </c>
      <c r="G286" s="36">
        <f t="shared" ca="1" si="6"/>
        <v>804.14351694817083</v>
      </c>
    </row>
    <row r="287" spans="1:7" x14ac:dyDescent="0.2">
      <c r="A287" s="6">
        <f ca="1">Model!$F$13+RAND()*(Model!$G$13-Model!$F$13)</f>
        <v>1795.0088773723487</v>
      </c>
      <c r="B287" s="31">
        <f ca="1">Model!$F$14+RAND()*(Model!$G$14-Model!$F$14)</f>
        <v>0.46089648650158727</v>
      </c>
      <c r="C287" s="32">
        <f ca="1">Model!$F$15+RAND()*(Model!$G$15-Model!$F$15)</f>
        <v>4.4094980749451784E-2</v>
      </c>
      <c r="D287" s="33">
        <f ca="1">Model!$F$16+RAND()*(Model!$G$16-Model!$F$16)</f>
        <v>50.529303451913343</v>
      </c>
      <c r="E287" s="33">
        <f>Model!$D$17</f>
        <v>800</v>
      </c>
      <c r="G287" s="36">
        <f t="shared" ca="1" si="6"/>
        <v>2372.1256448292247</v>
      </c>
    </row>
    <row r="288" spans="1:7" x14ac:dyDescent="0.2">
      <c r="A288" s="6">
        <f ca="1">Model!$F$13+RAND()*(Model!$G$13-Model!$F$13)</f>
        <v>1458.5826624309721</v>
      </c>
      <c r="B288" s="31">
        <f ca="1">Model!$F$14+RAND()*(Model!$G$14-Model!$F$14)</f>
        <v>0.47177078918861554</v>
      </c>
      <c r="C288" s="32">
        <f ca="1">Model!$F$15+RAND()*(Model!$G$15-Model!$F$15)</f>
        <v>1.7885836145031996E-2</v>
      </c>
      <c r="D288" s="33">
        <f ca="1">Model!$F$16+RAND()*(Model!$G$16-Model!$F$16)</f>
        <v>48.442401710482287</v>
      </c>
      <c r="E288" s="33">
        <f>Model!$D$17</f>
        <v>800</v>
      </c>
      <c r="G288" s="36">
        <f t="shared" ca="1" si="6"/>
        <v>-224.35274677501684</v>
      </c>
    </row>
    <row r="289" spans="1:7" x14ac:dyDescent="0.2">
      <c r="A289" s="6">
        <f ca="1">Model!$F$13+RAND()*(Model!$G$13-Model!$F$13)</f>
        <v>1542.5119295915486</v>
      </c>
      <c r="B289" s="31">
        <f ca="1">Model!$F$14+RAND()*(Model!$G$14-Model!$F$14)</f>
        <v>0.66551502671970419</v>
      </c>
      <c r="C289" s="32">
        <f ca="1">Model!$F$15+RAND()*(Model!$G$15-Model!$F$15)</f>
        <v>2.7157225156293666E-2</v>
      </c>
      <c r="D289" s="33">
        <f ca="1">Model!$F$16+RAND()*(Model!$G$16-Model!$F$16)</f>
        <v>51.522521972965698</v>
      </c>
      <c r="E289" s="33">
        <f>Model!$D$17</f>
        <v>800</v>
      </c>
      <c r="G289" s="36">
        <f t="shared" ca="1" si="6"/>
        <v>331.73128972912832</v>
      </c>
    </row>
    <row r="290" spans="1:7" x14ac:dyDescent="0.2">
      <c r="A290" s="6">
        <f ca="1">Model!$F$13+RAND()*(Model!$G$13-Model!$F$13)</f>
        <v>1534.8346678149085</v>
      </c>
      <c r="B290" s="31">
        <f ca="1">Model!$F$14+RAND()*(Model!$G$14-Model!$F$14)</f>
        <v>0.43127747834206481</v>
      </c>
      <c r="C290" s="32">
        <f ca="1">Model!$F$15+RAND()*(Model!$G$15-Model!$F$15)</f>
        <v>3.3568185403711315E-2</v>
      </c>
      <c r="D290" s="33">
        <f ca="1">Model!$F$16+RAND()*(Model!$G$16-Model!$F$16)</f>
        <v>49.380546768783276</v>
      </c>
      <c r="E290" s="33">
        <f>Model!$D$17</f>
        <v>800</v>
      </c>
      <c r="G290" s="36">
        <f t="shared" ca="1" si="6"/>
        <v>1082.2258787562916</v>
      </c>
    </row>
    <row r="291" spans="1:7" x14ac:dyDescent="0.2">
      <c r="A291" s="6">
        <f ca="1">Model!$F$13+RAND()*(Model!$G$13-Model!$F$13)</f>
        <v>1661.8487632138485</v>
      </c>
      <c r="B291" s="31">
        <f ca="1">Model!$F$14+RAND()*(Model!$G$14-Model!$F$14)</f>
        <v>0.40187035409677663</v>
      </c>
      <c r="C291" s="32">
        <f ca="1">Model!$F$15+RAND()*(Model!$G$15-Model!$F$15)</f>
        <v>2.7963222192832281E-2</v>
      </c>
      <c r="D291" s="33">
        <f ca="1">Model!$F$16+RAND()*(Model!$G$16-Model!$F$16)</f>
        <v>52.48343674898998</v>
      </c>
      <c r="E291" s="33">
        <f>Model!$D$17</f>
        <v>800</v>
      </c>
      <c r="G291" s="36">
        <f t="shared" ca="1" si="6"/>
        <v>971.09147046727594</v>
      </c>
    </row>
    <row r="292" spans="1:7" x14ac:dyDescent="0.2">
      <c r="A292" s="6">
        <f ca="1">Model!$F$13+RAND()*(Model!$G$13-Model!$F$13)</f>
        <v>1697.4167550045572</v>
      </c>
      <c r="B292" s="31">
        <f ca="1">Model!$F$14+RAND()*(Model!$G$14-Model!$F$14)</f>
        <v>0.35852746738043556</v>
      </c>
      <c r="C292" s="32">
        <f ca="1">Model!$F$15+RAND()*(Model!$G$15-Model!$F$15)</f>
        <v>2.8772272985147417E-2</v>
      </c>
      <c r="D292" s="33">
        <f ca="1">Model!$F$16+RAND()*(Model!$G$16-Model!$F$16)</f>
        <v>48.99657791934704</v>
      </c>
      <c r="E292" s="33">
        <f>Model!$D$17</f>
        <v>800</v>
      </c>
      <c r="G292" s="36">
        <f t="shared" ca="1" si="6"/>
        <v>984.35071430540984</v>
      </c>
    </row>
    <row r="293" spans="1:7" x14ac:dyDescent="0.2">
      <c r="A293" s="6">
        <f ca="1">Model!$F$13+RAND()*(Model!$G$13-Model!$F$13)</f>
        <v>1615.2527216703245</v>
      </c>
      <c r="B293" s="31">
        <f ca="1">Model!$F$14+RAND()*(Model!$G$14-Model!$F$14)</f>
        <v>0.31827882096276533</v>
      </c>
      <c r="C293" s="32">
        <f ca="1">Model!$F$15+RAND()*(Model!$G$15-Model!$F$15)</f>
        <v>3.508844045363755E-2</v>
      </c>
      <c r="D293" s="33">
        <f ca="1">Model!$F$16+RAND()*(Model!$G$16-Model!$F$16)</f>
        <v>50.706702772460133</v>
      </c>
      <c r="E293" s="33">
        <f>Model!$D$17</f>
        <v>800</v>
      </c>
      <c r="G293" s="36">
        <f t="shared" ca="1" si="6"/>
        <v>1559.7877955612621</v>
      </c>
    </row>
    <row r="294" spans="1:7" x14ac:dyDescent="0.2">
      <c r="A294" s="6">
        <f ca="1">Model!$F$13+RAND()*(Model!$G$13-Model!$F$13)</f>
        <v>1617.4850827879823</v>
      </c>
      <c r="B294" s="31">
        <f ca="1">Model!$F$14+RAND()*(Model!$G$14-Model!$F$14)</f>
        <v>0.53494101257445781</v>
      </c>
      <c r="C294" s="32">
        <f ca="1">Model!$F$15+RAND()*(Model!$G$15-Model!$F$15)</f>
        <v>4.3884522010042414E-2</v>
      </c>
      <c r="D294" s="33">
        <f ca="1">Model!$F$16+RAND()*(Model!$G$16-Model!$F$16)</f>
        <v>48.672671700107927</v>
      </c>
      <c r="E294" s="33">
        <f>Model!$D$17</f>
        <v>800</v>
      </c>
      <c r="G294" s="36">
        <f t="shared" ca="1" si="6"/>
        <v>1789.651717505018</v>
      </c>
    </row>
    <row r="295" spans="1:7" x14ac:dyDescent="0.2">
      <c r="A295" s="6">
        <f ca="1">Model!$F$13+RAND()*(Model!$G$13-Model!$F$13)</f>
        <v>1436.9706228108168</v>
      </c>
      <c r="B295" s="31">
        <f ca="1">Model!$F$14+RAND()*(Model!$G$14-Model!$F$14)</f>
        <v>0.72943684310491208</v>
      </c>
      <c r="C295" s="32">
        <f ca="1">Model!$F$15+RAND()*(Model!$G$15-Model!$F$15)</f>
        <v>3.7257681500180072E-2</v>
      </c>
      <c r="D295" s="33">
        <f ca="1">Model!$F$16+RAND()*(Model!$G$16-Model!$F$16)</f>
        <v>47.54042438554248</v>
      </c>
      <c r="E295" s="33">
        <f>Model!$D$17</f>
        <v>800</v>
      </c>
      <c r="G295" s="36">
        <f t="shared" ca="1" si="6"/>
        <v>697.04913886492386</v>
      </c>
    </row>
    <row r="296" spans="1:7" x14ac:dyDescent="0.2">
      <c r="A296" s="6">
        <f ca="1">Model!$F$13+RAND()*(Model!$G$13-Model!$F$13)</f>
        <v>1642.0163423589031</v>
      </c>
      <c r="B296" s="31">
        <f ca="1">Model!$F$14+RAND()*(Model!$G$14-Model!$F$14)</f>
        <v>0.79624661216680059</v>
      </c>
      <c r="C296" s="32">
        <f ca="1">Model!$F$15+RAND()*(Model!$G$15-Model!$F$15)</f>
        <v>2.1330763512542067E-2</v>
      </c>
      <c r="D296" s="33">
        <f ca="1">Model!$F$16+RAND()*(Model!$G$16-Model!$F$16)</f>
        <v>48.059024492035043</v>
      </c>
      <c r="E296" s="33">
        <f>Model!$D$17</f>
        <v>800</v>
      </c>
      <c r="G296" s="36">
        <f t="shared" ca="1" si="6"/>
        <v>-424.1604000420964</v>
      </c>
    </row>
    <row r="297" spans="1:7" x14ac:dyDescent="0.2">
      <c r="A297" s="6">
        <f ca="1">Model!$F$13+RAND()*(Model!$G$13-Model!$F$13)</f>
        <v>1382.9006574958553</v>
      </c>
      <c r="B297" s="31">
        <f ca="1">Model!$F$14+RAND()*(Model!$G$14-Model!$F$14)</f>
        <v>0.28566295666685215</v>
      </c>
      <c r="C297" s="32">
        <f ca="1">Model!$F$15+RAND()*(Model!$G$15-Model!$F$15)</f>
        <v>2.7917314520575991E-2</v>
      </c>
      <c r="D297" s="33">
        <f ca="1">Model!$F$16+RAND()*(Model!$G$16-Model!$F$16)</f>
        <v>48.104481122048483</v>
      </c>
      <c r="E297" s="33">
        <f>Model!$D$17</f>
        <v>800</v>
      </c>
      <c r="G297" s="36">
        <f t="shared" ca="1" si="6"/>
        <v>662.12008386097023</v>
      </c>
    </row>
    <row r="298" spans="1:7" x14ac:dyDescent="0.2">
      <c r="A298" s="6">
        <f ca="1">Model!$F$13+RAND()*(Model!$G$13-Model!$F$13)</f>
        <v>1287.1106852929822</v>
      </c>
      <c r="B298" s="31">
        <f ca="1">Model!$F$14+RAND()*(Model!$G$14-Model!$F$14)</f>
        <v>0.52829893436865616</v>
      </c>
      <c r="C298" s="32">
        <f ca="1">Model!$F$15+RAND()*(Model!$G$15-Model!$F$15)</f>
        <v>2.3807962621051899E-2</v>
      </c>
      <c r="D298" s="33">
        <f ca="1">Model!$F$16+RAND()*(Model!$G$16-Model!$F$16)</f>
        <v>52.570251558797928</v>
      </c>
      <c r="E298" s="33">
        <f>Model!$D$17</f>
        <v>800</v>
      </c>
      <c r="G298" s="36">
        <f t="shared" ca="1" si="6"/>
        <v>130.95641094101916</v>
      </c>
    </row>
    <row r="299" spans="1:7" x14ac:dyDescent="0.2">
      <c r="A299" s="6">
        <f ca="1">Model!$F$13+RAND()*(Model!$G$13-Model!$F$13)</f>
        <v>1390.1111592071541</v>
      </c>
      <c r="B299" s="31">
        <f ca="1">Model!$F$14+RAND()*(Model!$G$14-Model!$F$14)</f>
        <v>0.2949485741052047</v>
      </c>
      <c r="C299" s="32">
        <f ca="1">Model!$F$15+RAND()*(Model!$G$15-Model!$F$15)</f>
        <v>2.7865197185899603E-2</v>
      </c>
      <c r="D299" s="33">
        <f ca="1">Model!$F$16+RAND()*(Model!$G$16-Model!$F$16)</f>
        <v>52.885337568097199</v>
      </c>
      <c r="E299" s="33">
        <f>Model!$D$17</f>
        <v>800</v>
      </c>
      <c r="G299" s="36">
        <f t="shared" ca="1" si="6"/>
        <v>838.54040647457259</v>
      </c>
    </row>
    <row r="300" spans="1:7" x14ac:dyDescent="0.2">
      <c r="A300" s="6">
        <f ca="1">Model!$F$13+RAND()*(Model!$G$13-Model!$F$13)</f>
        <v>1594.0114004167997</v>
      </c>
      <c r="B300" s="31">
        <f ca="1">Model!$F$14+RAND()*(Model!$G$14-Model!$F$14)</f>
        <v>0.45221910466878645</v>
      </c>
      <c r="C300" s="32">
        <f ca="1">Model!$F$15+RAND()*(Model!$G$15-Model!$F$15)</f>
        <v>4.1777404640491518E-2</v>
      </c>
      <c r="D300" s="33">
        <f ca="1">Model!$F$16+RAND()*(Model!$G$16-Model!$F$16)</f>
        <v>51.236241038117839</v>
      </c>
      <c r="E300" s="33">
        <f>Model!$D$17</f>
        <v>800</v>
      </c>
      <c r="G300" s="36">
        <f t="shared" ca="1" si="6"/>
        <v>1891.1663699865148</v>
      </c>
    </row>
    <row r="301" spans="1:7" x14ac:dyDescent="0.2">
      <c r="A301" s="6">
        <f ca="1">Model!$F$13+RAND()*(Model!$G$13-Model!$F$13)</f>
        <v>1246.3667794310011</v>
      </c>
      <c r="B301" s="31">
        <f ca="1">Model!$F$14+RAND()*(Model!$G$14-Model!$F$14)</f>
        <v>0.46999067359404406</v>
      </c>
      <c r="C301" s="32">
        <f ca="1">Model!$F$15+RAND()*(Model!$G$15-Model!$F$15)</f>
        <v>3.7376618467801589E-2</v>
      </c>
      <c r="D301" s="33">
        <f ca="1">Model!$F$16+RAND()*(Model!$G$16-Model!$F$16)</f>
        <v>50.017024520426595</v>
      </c>
      <c r="E301" s="33">
        <f>Model!$D$17</f>
        <v>800</v>
      </c>
      <c r="G301" s="36">
        <f t="shared" ca="1" si="6"/>
        <v>944.26110394517355</v>
      </c>
    </row>
    <row r="302" spans="1:7" x14ac:dyDescent="0.2">
      <c r="A302" s="6">
        <f ca="1">Model!$F$13+RAND()*(Model!$G$13-Model!$F$13)</f>
        <v>1341.3830836226239</v>
      </c>
      <c r="B302" s="31">
        <f ca="1">Model!$F$14+RAND()*(Model!$G$14-Model!$F$14)</f>
        <v>0.67387476611042429</v>
      </c>
      <c r="C302" s="32">
        <f ca="1">Model!$F$15+RAND()*(Model!$G$15-Model!$F$15)</f>
        <v>1.3999141990698401E-2</v>
      </c>
      <c r="D302" s="33">
        <f ca="1">Model!$F$16+RAND()*(Model!$G$16-Model!$F$16)</f>
        <v>49.222812076078618</v>
      </c>
      <c r="E302" s="33">
        <f>Model!$D$17</f>
        <v>800</v>
      </c>
      <c r="G302" s="36">
        <f t="shared" ca="1" si="6"/>
        <v>-779.60779895771668</v>
      </c>
    </row>
    <row r="303" spans="1:7" x14ac:dyDescent="0.2">
      <c r="A303" s="6">
        <f ca="1">Model!$F$13+RAND()*(Model!$G$13-Model!$F$13)</f>
        <v>1337.1257424841165</v>
      </c>
      <c r="B303" s="31">
        <f ca="1">Model!$F$14+RAND()*(Model!$G$14-Model!$F$14)</f>
        <v>0.30061799783198118</v>
      </c>
      <c r="C303" s="32">
        <f ca="1">Model!$F$15+RAND()*(Model!$G$15-Model!$F$15)</f>
        <v>2.9048416778264932E-2</v>
      </c>
      <c r="D303" s="33">
        <f ca="1">Model!$F$16+RAND()*(Model!$G$16-Model!$F$16)</f>
        <v>48.294550254341182</v>
      </c>
      <c r="E303" s="33">
        <f>Model!$D$17</f>
        <v>800</v>
      </c>
      <c r="G303" s="36">
        <f t="shared" ca="1" si="6"/>
        <v>673.86319745270544</v>
      </c>
    </row>
    <row r="304" spans="1:7" x14ac:dyDescent="0.2">
      <c r="A304" s="6">
        <f ca="1">Model!$F$13+RAND()*(Model!$G$13-Model!$F$13)</f>
        <v>1210.8730472990885</v>
      </c>
      <c r="B304" s="31">
        <f ca="1">Model!$F$14+RAND()*(Model!$G$14-Model!$F$14)</f>
        <v>0.51359894772996451</v>
      </c>
      <c r="C304" s="32">
        <f ca="1">Model!$F$15+RAND()*(Model!$G$15-Model!$F$15)</f>
        <v>4.598149502448156E-2</v>
      </c>
      <c r="D304" s="33">
        <f ca="1">Model!$F$16+RAND()*(Model!$G$16-Model!$F$16)</f>
        <v>48.112853063662939</v>
      </c>
      <c r="E304" s="33">
        <f>Model!$D$17</f>
        <v>800</v>
      </c>
      <c r="G304" s="36">
        <f t="shared" ca="1" si="6"/>
        <v>1256.9124260602621</v>
      </c>
    </row>
    <row r="305" spans="1:7" x14ac:dyDescent="0.2">
      <c r="A305" s="6">
        <f ca="1">Model!$F$13+RAND()*(Model!$G$13-Model!$F$13)</f>
        <v>1591.1720682582798</v>
      </c>
      <c r="B305" s="31">
        <f ca="1">Model!$F$14+RAND()*(Model!$G$14-Model!$F$14)</f>
        <v>0.54212505037690428</v>
      </c>
      <c r="C305" s="32">
        <f ca="1">Model!$F$15+RAND()*(Model!$G$15-Model!$F$15)</f>
        <v>4.9816658029827661E-2</v>
      </c>
      <c r="D305" s="33">
        <f ca="1">Model!$F$16+RAND()*(Model!$G$16-Model!$F$16)</f>
        <v>51.436247156511989</v>
      </c>
      <c r="E305" s="33">
        <f>Model!$D$17</f>
        <v>800</v>
      </c>
      <c r="G305" s="36">
        <f t="shared" ca="1" si="6"/>
        <v>2414.5763254131907</v>
      </c>
    </row>
    <row r="306" spans="1:7" x14ac:dyDescent="0.2">
      <c r="A306" s="6">
        <f ca="1">Model!$F$13+RAND()*(Model!$G$13-Model!$F$13)</f>
        <v>1209.7414562352697</v>
      </c>
      <c r="B306" s="31">
        <f ca="1">Model!$F$14+RAND()*(Model!$G$14-Model!$F$14)</f>
        <v>0.72443316456179052</v>
      </c>
      <c r="C306" s="32">
        <f ca="1">Model!$F$15+RAND()*(Model!$G$15-Model!$F$15)</f>
        <v>2.2236101407447632E-2</v>
      </c>
      <c r="D306" s="33">
        <f ca="1">Model!$F$16+RAND()*(Model!$G$16-Model!$F$16)</f>
        <v>51.276532184991339</v>
      </c>
      <c r="E306" s="33">
        <f>Model!$D$17</f>
        <v>800</v>
      </c>
      <c r="G306" s="36">
        <f t="shared" ca="1" si="6"/>
        <v>-297.04151542089221</v>
      </c>
    </row>
    <row r="307" spans="1:7" x14ac:dyDescent="0.2">
      <c r="A307" s="6">
        <f ca="1">Model!$F$13+RAND()*(Model!$G$13-Model!$F$13)</f>
        <v>1419.4770912913862</v>
      </c>
      <c r="B307" s="31">
        <f ca="1">Model!$F$14+RAND()*(Model!$G$14-Model!$F$14)</f>
        <v>0.44800879533972315</v>
      </c>
      <c r="C307" s="32">
        <f ca="1">Model!$F$15+RAND()*(Model!$G$15-Model!$F$15)</f>
        <v>2.1361984036610125E-2</v>
      </c>
      <c r="D307" s="33">
        <f ca="1">Model!$F$16+RAND()*(Model!$G$16-Model!$F$16)</f>
        <v>51.795326765236815</v>
      </c>
      <c r="E307" s="33">
        <f>Model!$D$17</f>
        <v>800</v>
      </c>
      <c r="G307" s="36">
        <f t="shared" ca="1" si="6"/>
        <v>134.64354529677757</v>
      </c>
    </row>
    <row r="308" spans="1:7" x14ac:dyDescent="0.2">
      <c r="A308" s="6">
        <f ca="1">Model!$F$13+RAND()*(Model!$G$13-Model!$F$13)</f>
        <v>1542.0911215152523</v>
      </c>
      <c r="B308" s="31">
        <f ca="1">Model!$F$14+RAND()*(Model!$G$14-Model!$F$14)</f>
        <v>0.30241865173252258</v>
      </c>
      <c r="C308" s="32">
        <f ca="1">Model!$F$15+RAND()*(Model!$G$15-Model!$F$15)</f>
        <v>2.1796310715824538E-2</v>
      </c>
      <c r="D308" s="33">
        <f ca="1">Model!$F$16+RAND()*(Model!$G$16-Model!$F$16)</f>
        <v>52.57222954667283</v>
      </c>
      <c r="E308" s="33">
        <f>Model!$D$17</f>
        <v>800</v>
      </c>
      <c r="G308" s="36">
        <f t="shared" ca="1" si="6"/>
        <v>500.69525920757201</v>
      </c>
    </row>
    <row r="309" spans="1:7" x14ac:dyDescent="0.2">
      <c r="A309" s="6">
        <f ca="1">Model!$F$13+RAND()*(Model!$G$13-Model!$F$13)</f>
        <v>1700.0356633430381</v>
      </c>
      <c r="B309" s="31">
        <f ca="1">Model!$F$14+RAND()*(Model!$G$14-Model!$F$14)</f>
        <v>0.27185582424588989</v>
      </c>
      <c r="C309" s="32">
        <f ca="1">Model!$F$15+RAND()*(Model!$G$15-Model!$F$15)</f>
        <v>1.8787703518738229E-2</v>
      </c>
      <c r="D309" s="33">
        <f ca="1">Model!$F$16+RAND()*(Model!$G$16-Model!$F$16)</f>
        <v>48.380085152976285</v>
      </c>
      <c r="E309" s="33">
        <f>Model!$D$17</f>
        <v>800</v>
      </c>
      <c r="G309" s="36">
        <f t="shared" ca="1" si="6"/>
        <v>283.08400302617588</v>
      </c>
    </row>
    <row r="310" spans="1:7" x14ac:dyDescent="0.2">
      <c r="A310" s="6">
        <f ca="1">Model!$F$13+RAND()*(Model!$G$13-Model!$F$13)</f>
        <v>1517.2030259115763</v>
      </c>
      <c r="B310" s="31">
        <f ca="1">Model!$F$14+RAND()*(Model!$G$14-Model!$F$14)</f>
        <v>0.44436018357828283</v>
      </c>
      <c r="C310" s="32">
        <f ca="1">Model!$F$15+RAND()*(Model!$G$15-Model!$F$15)</f>
        <v>2.4424076656399833E-2</v>
      </c>
      <c r="D310" s="33">
        <f ca="1">Model!$F$16+RAND()*(Model!$G$16-Model!$F$16)</f>
        <v>52.617789889102276</v>
      </c>
      <c r="E310" s="33">
        <f>Model!$D$17</f>
        <v>800</v>
      </c>
      <c r="G310" s="36">
        <f t="shared" ca="1" si="6"/>
        <v>475.63509827625398</v>
      </c>
    </row>
    <row r="311" spans="1:7" x14ac:dyDescent="0.2">
      <c r="A311" s="6">
        <f ca="1">Model!$F$13+RAND()*(Model!$G$13-Model!$F$13)</f>
        <v>1628.6815305477419</v>
      </c>
      <c r="B311" s="31">
        <f ca="1">Model!$F$14+RAND()*(Model!$G$14-Model!$F$14)</f>
        <v>0.51854207305323863</v>
      </c>
      <c r="C311" s="32">
        <f ca="1">Model!$F$15+RAND()*(Model!$G$15-Model!$F$15)</f>
        <v>3.8318409986219534E-2</v>
      </c>
      <c r="D311" s="33">
        <f ca="1">Model!$F$16+RAND()*(Model!$G$16-Model!$F$16)</f>
        <v>48.978948267605965</v>
      </c>
      <c r="E311" s="33">
        <f>Model!$D$17</f>
        <v>800</v>
      </c>
      <c r="G311" s="36">
        <f t="shared" ca="1" si="6"/>
        <v>1412.1621406478</v>
      </c>
    </row>
    <row r="312" spans="1:7" x14ac:dyDescent="0.2">
      <c r="A312" s="6">
        <f ca="1">Model!$F$13+RAND()*(Model!$G$13-Model!$F$13)</f>
        <v>1472.8498487849779</v>
      </c>
      <c r="B312" s="31">
        <f ca="1">Model!$F$14+RAND()*(Model!$G$14-Model!$F$14)</f>
        <v>0.38207710181188737</v>
      </c>
      <c r="C312" s="32">
        <f ca="1">Model!$F$15+RAND()*(Model!$G$15-Model!$F$15)</f>
        <v>2.308322308469923E-2</v>
      </c>
      <c r="D312" s="33">
        <f ca="1">Model!$F$16+RAND()*(Model!$G$16-Model!$F$16)</f>
        <v>48.111528386283936</v>
      </c>
      <c r="E312" s="33">
        <f>Model!$D$17</f>
        <v>800</v>
      </c>
      <c r="G312" s="36">
        <f t="shared" ca="1" si="6"/>
        <v>272.95939224313247</v>
      </c>
    </row>
    <row r="313" spans="1:7" x14ac:dyDescent="0.2">
      <c r="A313" s="6">
        <f ca="1">Model!$F$13+RAND()*(Model!$G$13-Model!$F$13)</f>
        <v>1230.6498972197444</v>
      </c>
      <c r="B313" s="31">
        <f ca="1">Model!$F$14+RAND()*(Model!$G$14-Model!$F$14)</f>
        <v>0.70640383966244147</v>
      </c>
      <c r="C313" s="32">
        <f ca="1">Model!$F$15+RAND()*(Model!$G$15-Model!$F$15)</f>
        <v>3.5648164443963161E-2</v>
      </c>
      <c r="D313" s="33">
        <f ca="1">Model!$F$16+RAND()*(Model!$G$16-Model!$F$16)</f>
        <v>49.794494154464395</v>
      </c>
      <c r="E313" s="33">
        <f>Model!$D$17</f>
        <v>800</v>
      </c>
      <c r="G313" s="36">
        <f t="shared" ca="1" si="6"/>
        <v>515.16905709322418</v>
      </c>
    </row>
    <row r="314" spans="1:7" x14ac:dyDescent="0.2">
      <c r="A314" s="6">
        <f ca="1">Model!$F$13+RAND()*(Model!$G$13-Model!$F$13)</f>
        <v>1221.7313211031294</v>
      </c>
      <c r="B314" s="31">
        <f ca="1">Model!$F$14+RAND()*(Model!$G$14-Model!$F$14)</f>
        <v>0.52926028743018549</v>
      </c>
      <c r="C314" s="32">
        <f ca="1">Model!$F$15+RAND()*(Model!$G$15-Model!$F$15)</f>
        <v>2.1157506879070236E-2</v>
      </c>
      <c r="D314" s="33">
        <f ca="1">Model!$F$16+RAND()*(Model!$G$16-Model!$F$16)</f>
        <v>50.478925614203526</v>
      </c>
      <c r="E314" s="33">
        <f>Model!$D$17</f>
        <v>800</v>
      </c>
      <c r="G314" s="36">
        <f t="shared" ca="1" si="6"/>
        <v>-141.7947815716318</v>
      </c>
    </row>
    <row r="315" spans="1:7" x14ac:dyDescent="0.2">
      <c r="A315" s="6">
        <f ca="1">Model!$F$13+RAND()*(Model!$G$13-Model!$F$13)</f>
        <v>1771.5380338740624</v>
      </c>
      <c r="B315" s="31">
        <f ca="1">Model!$F$14+RAND()*(Model!$G$14-Model!$F$14)</f>
        <v>0.45167435825614943</v>
      </c>
      <c r="C315" s="32">
        <f ca="1">Model!$F$15+RAND()*(Model!$G$15-Model!$F$15)</f>
        <v>4.3936541732274341E-2</v>
      </c>
      <c r="D315" s="33">
        <f ca="1">Model!$F$16+RAND()*(Model!$G$16-Model!$F$16)</f>
        <v>52.399367230058395</v>
      </c>
      <c r="E315" s="33">
        <f>Model!$D$17</f>
        <v>800</v>
      </c>
      <c r="G315" s="36">
        <f t="shared" ca="1" si="6"/>
        <v>2478.3597928084</v>
      </c>
    </row>
    <row r="316" spans="1:7" x14ac:dyDescent="0.2">
      <c r="A316" s="6">
        <f ca="1">Model!$F$13+RAND()*(Model!$G$13-Model!$F$13)</f>
        <v>1794.4261449823146</v>
      </c>
      <c r="B316" s="31">
        <f ca="1">Model!$F$14+RAND()*(Model!$G$14-Model!$F$14)</f>
        <v>0.45837387793737272</v>
      </c>
      <c r="C316" s="32">
        <f ca="1">Model!$F$15+RAND()*(Model!$G$15-Model!$F$15)</f>
        <v>2.6947298162120339E-2</v>
      </c>
      <c r="D316" s="33">
        <f ca="1">Model!$F$16+RAND()*(Model!$G$16-Model!$F$16)</f>
        <v>48.887614322471627</v>
      </c>
      <c r="E316" s="33">
        <f>Model!$D$17</f>
        <v>800</v>
      </c>
      <c r="G316" s="36">
        <f t="shared" ca="1" si="6"/>
        <v>741.43940854611537</v>
      </c>
    </row>
    <row r="317" spans="1:7" x14ac:dyDescent="0.2">
      <c r="A317" s="6">
        <f ca="1">Model!$F$13+RAND()*(Model!$G$13-Model!$F$13)</f>
        <v>1698.8524356041887</v>
      </c>
      <c r="B317" s="31">
        <f ca="1">Model!$F$14+RAND()*(Model!$G$14-Model!$F$14)</f>
        <v>0.55619673398106229</v>
      </c>
      <c r="C317" s="32">
        <f ca="1">Model!$F$15+RAND()*(Model!$G$15-Model!$F$15)</f>
        <v>4.5063320109749255E-2</v>
      </c>
      <c r="D317" s="33">
        <f ca="1">Model!$F$16+RAND()*(Model!$G$16-Model!$F$16)</f>
        <v>51.516808880675228</v>
      </c>
      <c r="E317" s="33">
        <f>Model!$D$17</f>
        <v>800</v>
      </c>
      <c r="G317" s="36">
        <f t="shared" ca="1" si="6"/>
        <v>2199.0210962426613</v>
      </c>
    </row>
    <row r="318" spans="1:7" x14ac:dyDescent="0.2">
      <c r="A318" s="6">
        <f ca="1">Model!$F$13+RAND()*(Model!$G$13-Model!$F$13)</f>
        <v>1779.7460828916444</v>
      </c>
      <c r="B318" s="31">
        <f ca="1">Model!$F$14+RAND()*(Model!$G$14-Model!$F$14)</f>
        <v>0.77716284983372574</v>
      </c>
      <c r="C318" s="32">
        <f ca="1">Model!$F$15+RAND()*(Model!$G$15-Model!$F$15)</f>
        <v>2.3638929668736666E-2</v>
      </c>
      <c r="D318" s="33">
        <f ca="1">Model!$F$16+RAND()*(Model!$G$16-Model!$F$16)</f>
        <v>49.638334850067011</v>
      </c>
      <c r="E318" s="33">
        <f>Model!$D$17</f>
        <v>800</v>
      </c>
      <c r="G318" s="36">
        <f t="shared" ca="1" si="6"/>
        <v>-94.803633979485767</v>
      </c>
    </row>
    <row r="319" spans="1:7" x14ac:dyDescent="0.2">
      <c r="A319" s="6">
        <f ca="1">Model!$F$13+RAND()*(Model!$G$13-Model!$F$13)</f>
        <v>1219.1572482453578</v>
      </c>
      <c r="B319" s="31">
        <f ca="1">Model!$F$14+RAND()*(Model!$G$14-Model!$F$14)</f>
        <v>0.67497687365904979</v>
      </c>
      <c r="C319" s="32">
        <f ca="1">Model!$F$15+RAND()*(Model!$G$15-Model!$F$15)</f>
        <v>1.7690443391547142E-2</v>
      </c>
      <c r="D319" s="33">
        <f ca="1">Model!$F$16+RAND()*(Model!$G$16-Model!$F$16)</f>
        <v>51.304775564867498</v>
      </c>
      <c r="E319" s="33">
        <f>Model!$D$17</f>
        <v>800</v>
      </c>
      <c r="G319" s="36">
        <f t="shared" ca="1" si="6"/>
        <v>-516.39067500245005</v>
      </c>
    </row>
    <row r="320" spans="1:7" x14ac:dyDescent="0.2">
      <c r="A320" s="6">
        <f ca="1">Model!$F$13+RAND()*(Model!$G$13-Model!$F$13)</f>
        <v>1750.8633489262618</v>
      </c>
      <c r="B320" s="31">
        <f ca="1">Model!$F$14+RAND()*(Model!$G$14-Model!$F$14)</f>
        <v>0.68171551583928558</v>
      </c>
      <c r="C320" s="32">
        <f ca="1">Model!$F$15+RAND()*(Model!$G$15-Model!$F$15)</f>
        <v>1.2725134232156661E-2</v>
      </c>
      <c r="D320" s="33">
        <f ca="1">Model!$F$16+RAND()*(Model!$G$16-Model!$F$16)</f>
        <v>50.460172601790461</v>
      </c>
      <c r="E320" s="33">
        <f>Model!$D$17</f>
        <v>800</v>
      </c>
      <c r="G320" s="36">
        <f t="shared" ca="1" si="6"/>
        <v>-869.33952192881952</v>
      </c>
    </row>
    <row r="321" spans="1:7" x14ac:dyDescent="0.2">
      <c r="A321" s="6">
        <f ca="1">Model!$F$13+RAND()*(Model!$G$13-Model!$F$13)</f>
        <v>1287.8441489531181</v>
      </c>
      <c r="B321" s="31">
        <f ca="1">Model!$F$14+RAND()*(Model!$G$14-Model!$F$14)</f>
        <v>0.32882606968121852</v>
      </c>
      <c r="C321" s="32">
        <f ca="1">Model!$F$15+RAND()*(Model!$G$15-Model!$F$15)</f>
        <v>3.4013487146312062E-2</v>
      </c>
      <c r="D321" s="33">
        <f ca="1">Model!$F$16+RAND()*(Model!$G$16-Model!$F$16)</f>
        <v>52.593035867283696</v>
      </c>
      <c r="E321" s="33">
        <f>Model!$D$17</f>
        <v>800</v>
      </c>
      <c r="G321" s="36">
        <f t="shared" ca="1" si="6"/>
        <v>1080.3123161793308</v>
      </c>
    </row>
    <row r="322" spans="1:7" x14ac:dyDescent="0.2">
      <c r="A322" s="6">
        <f ca="1">Model!$F$13+RAND()*(Model!$G$13-Model!$F$13)</f>
        <v>1744.4426805049791</v>
      </c>
      <c r="B322" s="31">
        <f ca="1">Model!$F$14+RAND()*(Model!$G$14-Model!$F$14)</f>
        <v>0.42249569455409092</v>
      </c>
      <c r="C322" s="32">
        <f ca="1">Model!$F$15+RAND()*(Model!$G$15-Model!$F$15)</f>
        <v>4.5860735108349295E-2</v>
      </c>
      <c r="D322" s="33">
        <f ca="1">Model!$F$16+RAND()*(Model!$G$16-Model!$F$16)</f>
        <v>52.440956583729928</v>
      </c>
      <c r="E322" s="33">
        <f>Model!$D$17</f>
        <v>800</v>
      </c>
      <c r="G322" s="36">
        <f t="shared" ca="1" si="6"/>
        <v>2658.3316640523008</v>
      </c>
    </row>
    <row r="323" spans="1:7" x14ac:dyDescent="0.2">
      <c r="A323" s="6">
        <f ca="1">Model!$F$13+RAND()*(Model!$G$13-Model!$F$13)</f>
        <v>1668.449581721856</v>
      </c>
      <c r="B323" s="31">
        <f ca="1">Model!$F$14+RAND()*(Model!$G$14-Model!$F$14)</f>
        <v>0.47794535027367913</v>
      </c>
      <c r="C323" s="32">
        <f ca="1">Model!$F$15+RAND()*(Model!$G$15-Model!$F$15)</f>
        <v>4.328951596434033E-2</v>
      </c>
      <c r="D323" s="33">
        <f ca="1">Model!$F$16+RAND()*(Model!$G$16-Model!$F$16)</f>
        <v>47.426694255799184</v>
      </c>
      <c r="E323" s="33">
        <f>Model!$D$17</f>
        <v>800</v>
      </c>
      <c r="G323" s="36">
        <f t="shared" ref="G323:G386" ca="1" si="7">A323*C323*D323-(E323+A323*B323)</f>
        <v>1828.0304752672141</v>
      </c>
    </row>
    <row r="324" spans="1:7" x14ac:dyDescent="0.2">
      <c r="A324" s="6">
        <f ca="1">Model!$F$13+RAND()*(Model!$G$13-Model!$F$13)</f>
        <v>1286.0117196817055</v>
      </c>
      <c r="B324" s="31">
        <f ca="1">Model!$F$14+RAND()*(Model!$G$14-Model!$F$14)</f>
        <v>0.2075478894851539</v>
      </c>
      <c r="C324" s="32">
        <f ca="1">Model!$F$15+RAND()*(Model!$G$15-Model!$F$15)</f>
        <v>4.6097881145496913E-2</v>
      </c>
      <c r="D324" s="33">
        <f ca="1">Model!$F$16+RAND()*(Model!$G$16-Model!$F$16)</f>
        <v>50.014028776992042</v>
      </c>
      <c r="E324" s="33">
        <f>Model!$D$17</f>
        <v>800</v>
      </c>
      <c r="G324" s="36">
        <f t="shared" ca="1" si="7"/>
        <v>1898.0434117923312</v>
      </c>
    </row>
    <row r="325" spans="1:7" x14ac:dyDescent="0.2">
      <c r="A325" s="6">
        <f ca="1">Model!$F$13+RAND()*(Model!$G$13-Model!$F$13)</f>
        <v>1373.4867097126098</v>
      </c>
      <c r="B325" s="31">
        <f ca="1">Model!$F$14+RAND()*(Model!$G$14-Model!$F$14)</f>
        <v>0.78100566213966749</v>
      </c>
      <c r="C325" s="32">
        <f ca="1">Model!$F$15+RAND()*(Model!$G$15-Model!$F$15)</f>
        <v>4.5846176831516906E-2</v>
      </c>
      <c r="D325" s="33">
        <f ca="1">Model!$F$16+RAND()*(Model!$G$16-Model!$F$16)</f>
        <v>48.902438541368163</v>
      </c>
      <c r="E325" s="33">
        <f>Model!$D$17</f>
        <v>800</v>
      </c>
      <c r="G325" s="36">
        <f t="shared" ca="1" si="7"/>
        <v>1206.6423580666508</v>
      </c>
    </row>
    <row r="326" spans="1:7" x14ac:dyDescent="0.2">
      <c r="A326" s="6">
        <f ca="1">Model!$F$13+RAND()*(Model!$G$13-Model!$F$13)</f>
        <v>1643.0900220105018</v>
      </c>
      <c r="B326" s="31">
        <f ca="1">Model!$F$14+RAND()*(Model!$G$14-Model!$F$14)</f>
        <v>0.44345387797972846</v>
      </c>
      <c r="C326" s="32">
        <f ca="1">Model!$F$15+RAND()*(Model!$G$15-Model!$F$15)</f>
        <v>1.2073069277759325E-2</v>
      </c>
      <c r="D326" s="33">
        <f ca="1">Model!$F$16+RAND()*(Model!$G$16-Model!$F$16)</f>
        <v>49.545047042157286</v>
      </c>
      <c r="E326" s="33">
        <f>Model!$D$17</f>
        <v>800</v>
      </c>
      <c r="G326" s="36">
        <f t="shared" ca="1" si="7"/>
        <v>-545.80262422984026</v>
      </c>
    </row>
    <row r="327" spans="1:7" x14ac:dyDescent="0.2">
      <c r="A327" s="6">
        <f ca="1">Model!$F$13+RAND()*(Model!$G$13-Model!$F$13)</f>
        <v>1513.3140685738085</v>
      </c>
      <c r="B327" s="31">
        <f ca="1">Model!$F$14+RAND()*(Model!$G$14-Model!$F$14)</f>
        <v>0.20426445536123955</v>
      </c>
      <c r="C327" s="32">
        <f ca="1">Model!$F$15+RAND()*(Model!$G$15-Model!$F$15)</f>
        <v>4.26204823959771E-2</v>
      </c>
      <c r="D327" s="33">
        <f ca="1">Model!$F$16+RAND()*(Model!$G$16-Model!$F$16)</f>
        <v>52.580190059113718</v>
      </c>
      <c r="E327" s="33">
        <f>Model!$D$17</f>
        <v>800</v>
      </c>
      <c r="G327" s="36">
        <f t="shared" ca="1" si="7"/>
        <v>2282.2100585177132</v>
      </c>
    </row>
    <row r="328" spans="1:7" x14ac:dyDescent="0.2">
      <c r="A328" s="6">
        <f ca="1">Model!$F$13+RAND()*(Model!$G$13-Model!$F$13)</f>
        <v>1487.9117683021423</v>
      </c>
      <c r="B328" s="31">
        <f ca="1">Model!$F$14+RAND()*(Model!$G$14-Model!$F$14)</f>
        <v>0.29754369499819994</v>
      </c>
      <c r="C328" s="32">
        <f ca="1">Model!$F$15+RAND()*(Model!$G$15-Model!$F$15)</f>
        <v>2.4965003195718247E-2</v>
      </c>
      <c r="D328" s="33">
        <f ca="1">Model!$F$16+RAND()*(Model!$G$16-Model!$F$16)</f>
        <v>49.047441679862111</v>
      </c>
      <c r="E328" s="33">
        <f>Model!$D$17</f>
        <v>800</v>
      </c>
      <c r="G328" s="36">
        <f t="shared" ca="1" si="7"/>
        <v>579.18387056172583</v>
      </c>
    </row>
    <row r="329" spans="1:7" x14ac:dyDescent="0.2">
      <c r="A329" s="6">
        <f ca="1">Model!$F$13+RAND()*(Model!$G$13-Model!$F$13)</f>
        <v>1286.1527104527208</v>
      </c>
      <c r="B329" s="31">
        <f ca="1">Model!$F$14+RAND()*(Model!$G$14-Model!$F$14)</f>
        <v>0.50926113888737112</v>
      </c>
      <c r="C329" s="32">
        <f ca="1">Model!$F$15+RAND()*(Model!$G$15-Model!$F$15)</f>
        <v>4.2674731299167414E-2</v>
      </c>
      <c r="D329" s="33">
        <f ca="1">Model!$F$16+RAND()*(Model!$G$16-Model!$F$16)</f>
        <v>49.430436867609394</v>
      </c>
      <c r="E329" s="33">
        <f>Model!$D$17</f>
        <v>800</v>
      </c>
      <c r="G329" s="36">
        <f t="shared" ca="1" si="7"/>
        <v>1258.0623041602435</v>
      </c>
    </row>
    <row r="330" spans="1:7" x14ac:dyDescent="0.2">
      <c r="A330" s="6">
        <f ca="1">Model!$F$13+RAND()*(Model!$G$13-Model!$F$13)</f>
        <v>1331.9876630888402</v>
      </c>
      <c r="B330" s="31">
        <f ca="1">Model!$F$14+RAND()*(Model!$G$14-Model!$F$14)</f>
        <v>0.59108028859336437</v>
      </c>
      <c r="C330" s="32">
        <f ca="1">Model!$F$15+RAND()*(Model!$G$15-Model!$F$15)</f>
        <v>3.4868426440573218E-2</v>
      </c>
      <c r="D330" s="33">
        <f ca="1">Model!$F$16+RAND()*(Model!$G$16-Model!$F$16)</f>
        <v>49.545446770957533</v>
      </c>
      <c r="E330" s="33">
        <f>Model!$D$17</f>
        <v>800</v>
      </c>
      <c r="G330" s="36">
        <f t="shared" ca="1" si="7"/>
        <v>713.79262737560566</v>
      </c>
    </row>
    <row r="331" spans="1:7" x14ac:dyDescent="0.2">
      <c r="A331" s="6">
        <f ca="1">Model!$F$13+RAND()*(Model!$G$13-Model!$F$13)</f>
        <v>1545.0482998471816</v>
      </c>
      <c r="B331" s="31">
        <f ca="1">Model!$F$14+RAND()*(Model!$G$14-Model!$F$14)</f>
        <v>0.29285535573093352</v>
      </c>
      <c r="C331" s="32">
        <f ca="1">Model!$F$15+RAND()*(Model!$G$15-Model!$F$15)</f>
        <v>3.8430763637671173E-2</v>
      </c>
      <c r="D331" s="33">
        <f ca="1">Model!$F$16+RAND()*(Model!$G$16-Model!$F$16)</f>
        <v>49.923622649100523</v>
      </c>
      <c r="E331" s="33">
        <f>Model!$D$17</f>
        <v>800</v>
      </c>
      <c r="G331" s="36">
        <f t="shared" ca="1" si="7"/>
        <v>1711.8585440898564</v>
      </c>
    </row>
    <row r="332" spans="1:7" x14ac:dyDescent="0.2">
      <c r="A332" s="6">
        <f ca="1">Model!$F$13+RAND()*(Model!$G$13-Model!$F$13)</f>
        <v>1521.9241290835259</v>
      </c>
      <c r="B332" s="31">
        <f ca="1">Model!$F$14+RAND()*(Model!$G$14-Model!$F$14)</f>
        <v>0.67161433253120029</v>
      </c>
      <c r="C332" s="32">
        <f ca="1">Model!$F$15+RAND()*(Model!$G$15-Model!$F$15)</f>
        <v>1.4844814961367837E-2</v>
      </c>
      <c r="D332" s="33">
        <f ca="1">Model!$F$16+RAND()*(Model!$G$16-Model!$F$16)</f>
        <v>52.394053446203195</v>
      </c>
      <c r="E332" s="33">
        <f>Model!$D$17</f>
        <v>800</v>
      </c>
      <c r="G332" s="36">
        <f t="shared" ca="1" si="7"/>
        <v>-638.42386564711433</v>
      </c>
    </row>
    <row r="333" spans="1:7" x14ac:dyDescent="0.2">
      <c r="A333" s="6">
        <f ca="1">Model!$F$13+RAND()*(Model!$G$13-Model!$F$13)</f>
        <v>1404.5824488083085</v>
      </c>
      <c r="B333" s="31">
        <f ca="1">Model!$F$14+RAND()*(Model!$G$14-Model!$F$14)</f>
        <v>0.78894670690786528</v>
      </c>
      <c r="C333" s="32">
        <f ca="1">Model!$F$15+RAND()*(Model!$G$15-Model!$F$15)</f>
        <v>4.6597761714853692E-2</v>
      </c>
      <c r="D333" s="33">
        <f ca="1">Model!$F$16+RAND()*(Model!$G$16-Model!$F$16)</f>
        <v>52.253650162796283</v>
      </c>
      <c r="E333" s="33">
        <f>Model!$D$17</f>
        <v>800</v>
      </c>
      <c r="G333" s="36">
        <f t="shared" ca="1" si="7"/>
        <v>1511.8815160440661</v>
      </c>
    </row>
    <row r="334" spans="1:7" x14ac:dyDescent="0.2">
      <c r="A334" s="6">
        <f ca="1">Model!$F$13+RAND()*(Model!$G$13-Model!$F$13)</f>
        <v>1498.2578458090763</v>
      </c>
      <c r="B334" s="31">
        <f ca="1">Model!$F$14+RAND()*(Model!$G$14-Model!$F$14)</f>
        <v>0.79693582722428791</v>
      </c>
      <c r="C334" s="32">
        <f ca="1">Model!$F$15+RAND()*(Model!$G$15-Model!$F$15)</f>
        <v>4.501475466161458E-2</v>
      </c>
      <c r="D334" s="33">
        <f ca="1">Model!$F$16+RAND()*(Model!$G$16-Model!$F$16)</f>
        <v>52.038678261918605</v>
      </c>
      <c r="E334" s="33">
        <f>Model!$D$17</f>
        <v>800</v>
      </c>
      <c r="G334" s="36">
        <f t="shared" ca="1" si="7"/>
        <v>1515.6661358544306</v>
      </c>
    </row>
    <row r="335" spans="1:7" x14ac:dyDescent="0.2">
      <c r="A335" s="6">
        <f ca="1">Model!$F$13+RAND()*(Model!$G$13-Model!$F$13)</f>
        <v>1313.1716297416936</v>
      </c>
      <c r="B335" s="31">
        <f ca="1">Model!$F$14+RAND()*(Model!$G$14-Model!$F$14)</f>
        <v>0.4616266793261366</v>
      </c>
      <c r="C335" s="32">
        <f ca="1">Model!$F$15+RAND()*(Model!$G$15-Model!$F$15)</f>
        <v>1.2751133343235481E-2</v>
      </c>
      <c r="D335" s="33">
        <f ca="1">Model!$F$16+RAND()*(Model!$G$16-Model!$F$16)</f>
        <v>51.49716331756931</v>
      </c>
      <c r="E335" s="33">
        <f>Model!$D$17</f>
        <v>800</v>
      </c>
      <c r="G335" s="36">
        <f t="shared" ca="1" si="7"/>
        <v>-543.90458994397011</v>
      </c>
    </row>
    <row r="336" spans="1:7" x14ac:dyDescent="0.2">
      <c r="A336" s="6">
        <f ca="1">Model!$F$13+RAND()*(Model!$G$13-Model!$F$13)</f>
        <v>1449.8124880653988</v>
      </c>
      <c r="B336" s="31">
        <f ca="1">Model!$F$14+RAND()*(Model!$G$14-Model!$F$14)</f>
        <v>0.5239355313700671</v>
      </c>
      <c r="C336" s="32">
        <f ca="1">Model!$F$15+RAND()*(Model!$G$15-Model!$F$15)</f>
        <v>1.2967638369870018E-2</v>
      </c>
      <c r="D336" s="33">
        <f ca="1">Model!$F$16+RAND()*(Model!$G$16-Model!$F$16)</f>
        <v>52.004332261664558</v>
      </c>
      <c r="E336" s="33">
        <f>Model!$D$17</f>
        <v>800</v>
      </c>
      <c r="G336" s="36">
        <f t="shared" ca="1" si="7"/>
        <v>-581.89333644563351</v>
      </c>
    </row>
    <row r="337" spans="1:7" x14ac:dyDescent="0.2">
      <c r="A337" s="6">
        <f ca="1">Model!$F$13+RAND()*(Model!$G$13-Model!$F$13)</f>
        <v>1521.8754731033841</v>
      </c>
      <c r="B337" s="31">
        <f ca="1">Model!$F$14+RAND()*(Model!$G$14-Model!$F$14)</f>
        <v>0.7998178072874309</v>
      </c>
      <c r="C337" s="32">
        <f ca="1">Model!$F$15+RAND()*(Model!$G$15-Model!$F$15)</f>
        <v>3.0103372609926959E-2</v>
      </c>
      <c r="D337" s="33">
        <f ca="1">Model!$F$16+RAND()*(Model!$G$16-Model!$F$16)</f>
        <v>50.922296848554019</v>
      </c>
      <c r="E337" s="33">
        <f>Model!$D$17</f>
        <v>800</v>
      </c>
      <c r="G337" s="36">
        <f t="shared" ca="1" si="7"/>
        <v>315.70984231821194</v>
      </c>
    </row>
    <row r="338" spans="1:7" x14ac:dyDescent="0.2">
      <c r="A338" s="6">
        <f ca="1">Model!$F$13+RAND()*(Model!$G$13-Model!$F$13)</f>
        <v>1592.869583456617</v>
      </c>
      <c r="B338" s="31">
        <f ca="1">Model!$F$14+RAND()*(Model!$G$14-Model!$F$14)</f>
        <v>0.34124870999528933</v>
      </c>
      <c r="C338" s="32">
        <f ca="1">Model!$F$15+RAND()*(Model!$G$15-Model!$F$15)</f>
        <v>4.5900235645512551E-2</v>
      </c>
      <c r="D338" s="33">
        <f ca="1">Model!$F$16+RAND()*(Model!$G$16-Model!$F$16)</f>
        <v>47.257649634928519</v>
      </c>
      <c r="E338" s="33">
        <f>Model!$D$17</f>
        <v>800</v>
      </c>
      <c r="G338" s="36">
        <f t="shared" ca="1" si="7"/>
        <v>2111.5880641658555</v>
      </c>
    </row>
    <row r="339" spans="1:7" x14ac:dyDescent="0.2">
      <c r="A339" s="6">
        <f ca="1">Model!$F$13+RAND()*(Model!$G$13-Model!$F$13)</f>
        <v>1219.7797535339039</v>
      </c>
      <c r="B339" s="31">
        <f ca="1">Model!$F$14+RAND()*(Model!$G$14-Model!$F$14)</f>
        <v>0.47571190540350117</v>
      </c>
      <c r="C339" s="32">
        <f ca="1">Model!$F$15+RAND()*(Model!$G$15-Model!$F$15)</f>
        <v>2.2907845518852082E-2</v>
      </c>
      <c r="D339" s="33">
        <f ca="1">Model!$F$16+RAND()*(Model!$G$16-Model!$F$16)</f>
        <v>51.832331816135124</v>
      </c>
      <c r="E339" s="33">
        <f>Model!$D$17</f>
        <v>800</v>
      </c>
      <c r="G339" s="36">
        <f t="shared" ca="1" si="7"/>
        <v>68.062537030628619</v>
      </c>
    </row>
    <row r="340" spans="1:7" x14ac:dyDescent="0.2">
      <c r="A340" s="6">
        <f ca="1">Model!$F$13+RAND()*(Model!$G$13-Model!$F$13)</f>
        <v>1312.8715027447452</v>
      </c>
      <c r="B340" s="31">
        <f ca="1">Model!$F$14+RAND()*(Model!$G$14-Model!$F$14)</f>
        <v>0.62722774495449141</v>
      </c>
      <c r="C340" s="32">
        <f ca="1">Model!$F$15+RAND()*(Model!$G$15-Model!$F$15)</f>
        <v>1.8794723169074823E-2</v>
      </c>
      <c r="D340" s="33">
        <f ca="1">Model!$F$16+RAND()*(Model!$G$16-Model!$F$16)</f>
        <v>49.383623369432136</v>
      </c>
      <c r="E340" s="33">
        <f>Model!$D$17</f>
        <v>800</v>
      </c>
      <c r="G340" s="36">
        <f t="shared" ca="1" si="7"/>
        <v>-404.92573770299009</v>
      </c>
    </row>
    <row r="341" spans="1:7" x14ac:dyDescent="0.2">
      <c r="A341" s="6">
        <f ca="1">Model!$F$13+RAND()*(Model!$G$13-Model!$F$13)</f>
        <v>1581.0559897834933</v>
      </c>
      <c r="B341" s="31">
        <f ca="1">Model!$F$14+RAND()*(Model!$G$14-Model!$F$14)</f>
        <v>0.72728045336187241</v>
      </c>
      <c r="C341" s="32">
        <f ca="1">Model!$F$15+RAND()*(Model!$G$15-Model!$F$15)</f>
        <v>1.3458743089863065E-2</v>
      </c>
      <c r="D341" s="33">
        <f ca="1">Model!$F$16+RAND()*(Model!$G$16-Model!$F$16)</f>
        <v>47.513054224481678</v>
      </c>
      <c r="E341" s="33">
        <f>Model!$D$17</f>
        <v>800</v>
      </c>
      <c r="G341" s="36">
        <f t="shared" ca="1" si="7"/>
        <v>-938.83958293686669</v>
      </c>
    </row>
    <row r="342" spans="1:7" x14ac:dyDescent="0.2">
      <c r="A342" s="6">
        <f ca="1">Model!$F$13+RAND()*(Model!$G$13-Model!$F$13)</f>
        <v>1428.9822286355588</v>
      </c>
      <c r="B342" s="31">
        <f ca="1">Model!$F$14+RAND()*(Model!$G$14-Model!$F$14)</f>
        <v>0.52440298241219518</v>
      </c>
      <c r="C342" s="32">
        <f ca="1">Model!$F$15+RAND()*(Model!$G$15-Model!$F$15)</f>
        <v>3.1242404699783261E-2</v>
      </c>
      <c r="D342" s="33">
        <f ca="1">Model!$F$16+RAND()*(Model!$G$16-Model!$F$16)</f>
        <v>51.822928212067794</v>
      </c>
      <c r="E342" s="33">
        <f>Model!$D$17</f>
        <v>800</v>
      </c>
      <c r="G342" s="36">
        <f t="shared" ca="1" si="7"/>
        <v>764.26385263787733</v>
      </c>
    </row>
    <row r="343" spans="1:7" x14ac:dyDescent="0.2">
      <c r="A343" s="6">
        <f ca="1">Model!$F$13+RAND()*(Model!$G$13-Model!$F$13)</f>
        <v>1466.5161538810071</v>
      </c>
      <c r="B343" s="31">
        <f ca="1">Model!$F$14+RAND()*(Model!$G$14-Model!$F$14)</f>
        <v>0.70353506562671453</v>
      </c>
      <c r="C343" s="32">
        <f ca="1">Model!$F$15+RAND()*(Model!$G$15-Model!$F$15)</f>
        <v>2.6491185173266311E-2</v>
      </c>
      <c r="D343" s="33">
        <f ca="1">Model!$F$16+RAND()*(Model!$G$16-Model!$F$16)</f>
        <v>50.06093785709318</v>
      </c>
      <c r="E343" s="33">
        <f>Model!$D$17</f>
        <v>800</v>
      </c>
      <c r="G343" s="36">
        <f t="shared" ca="1" si="7"/>
        <v>113.1094316131514</v>
      </c>
    </row>
    <row r="344" spans="1:7" x14ac:dyDescent="0.2">
      <c r="A344" s="6">
        <f ca="1">Model!$F$13+RAND()*(Model!$G$13-Model!$F$13)</f>
        <v>1402.5811337084067</v>
      </c>
      <c r="B344" s="31">
        <f ca="1">Model!$F$14+RAND()*(Model!$G$14-Model!$F$14)</f>
        <v>0.76535290782017484</v>
      </c>
      <c r="C344" s="32">
        <f ca="1">Model!$F$15+RAND()*(Model!$G$15-Model!$F$15)</f>
        <v>1.9502474303225402E-2</v>
      </c>
      <c r="D344" s="33">
        <f ca="1">Model!$F$16+RAND()*(Model!$G$16-Model!$F$16)</f>
        <v>47.637508131039944</v>
      </c>
      <c r="E344" s="33">
        <f>Model!$D$17</f>
        <v>800</v>
      </c>
      <c r="G344" s="36">
        <f t="shared" ca="1" si="7"/>
        <v>-570.40255925530914</v>
      </c>
    </row>
    <row r="345" spans="1:7" x14ac:dyDescent="0.2">
      <c r="A345" s="6">
        <f ca="1">Model!$F$13+RAND()*(Model!$G$13-Model!$F$13)</f>
        <v>1203.707908574193</v>
      </c>
      <c r="B345" s="31">
        <f ca="1">Model!$F$14+RAND()*(Model!$G$14-Model!$F$14)</f>
        <v>0.71847829713905531</v>
      </c>
      <c r="C345" s="32">
        <f ca="1">Model!$F$15+RAND()*(Model!$G$15-Model!$F$15)</f>
        <v>4.9055274209938535E-2</v>
      </c>
      <c r="D345" s="33">
        <f ca="1">Model!$F$16+RAND()*(Model!$G$16-Model!$F$16)</f>
        <v>51.980088897581147</v>
      </c>
      <c r="E345" s="33">
        <f>Model!$D$17</f>
        <v>800</v>
      </c>
      <c r="G345" s="36">
        <f t="shared" ca="1" si="7"/>
        <v>1404.4937956448791</v>
      </c>
    </row>
    <row r="346" spans="1:7" x14ac:dyDescent="0.2">
      <c r="A346" s="6">
        <f ca="1">Model!$F$13+RAND()*(Model!$G$13-Model!$F$13)</f>
        <v>1207.6330339713752</v>
      </c>
      <c r="B346" s="31">
        <f ca="1">Model!$F$14+RAND()*(Model!$G$14-Model!$F$14)</f>
        <v>0.3243248037457705</v>
      </c>
      <c r="C346" s="32">
        <f ca="1">Model!$F$15+RAND()*(Model!$G$15-Model!$F$15)</f>
        <v>3.377938151703274E-2</v>
      </c>
      <c r="D346" s="33">
        <f ca="1">Model!$F$16+RAND()*(Model!$G$16-Model!$F$16)</f>
        <v>52.544935114674111</v>
      </c>
      <c r="E346" s="33">
        <f>Model!$D$17</f>
        <v>800</v>
      </c>
      <c r="G346" s="36">
        <f t="shared" ca="1" si="7"/>
        <v>951.80528757362049</v>
      </c>
    </row>
    <row r="347" spans="1:7" x14ac:dyDescent="0.2">
      <c r="A347" s="6">
        <f ca="1">Model!$F$13+RAND()*(Model!$G$13-Model!$F$13)</f>
        <v>1389.0261627977145</v>
      </c>
      <c r="B347" s="31">
        <f ca="1">Model!$F$14+RAND()*(Model!$G$14-Model!$F$14)</f>
        <v>0.67692974330867139</v>
      </c>
      <c r="C347" s="32">
        <f ca="1">Model!$F$15+RAND()*(Model!$G$15-Model!$F$15)</f>
        <v>1.2140133026373016E-2</v>
      </c>
      <c r="D347" s="33">
        <f ca="1">Model!$F$16+RAND()*(Model!$G$16-Model!$F$16)</f>
        <v>48.468973335728741</v>
      </c>
      <c r="E347" s="33">
        <f>Model!$D$17</f>
        <v>800</v>
      </c>
      <c r="G347" s="36">
        <f t="shared" ca="1" si="7"/>
        <v>-922.9426492208662</v>
      </c>
    </row>
    <row r="348" spans="1:7" x14ac:dyDescent="0.2">
      <c r="A348" s="6">
        <f ca="1">Model!$F$13+RAND()*(Model!$G$13-Model!$F$13)</f>
        <v>1478.3259864327629</v>
      </c>
      <c r="B348" s="31">
        <f ca="1">Model!$F$14+RAND()*(Model!$G$14-Model!$F$14)</f>
        <v>0.45536093759404661</v>
      </c>
      <c r="C348" s="32">
        <f ca="1">Model!$F$15+RAND()*(Model!$G$15-Model!$F$15)</f>
        <v>4.9425916260481297E-2</v>
      </c>
      <c r="D348" s="33">
        <f ca="1">Model!$F$16+RAND()*(Model!$G$16-Model!$F$16)</f>
        <v>52.132764916803588</v>
      </c>
      <c r="E348" s="33">
        <f>Model!$D$17</f>
        <v>800</v>
      </c>
      <c r="G348" s="36">
        <f t="shared" ca="1" si="7"/>
        <v>2336.0449621403877</v>
      </c>
    </row>
    <row r="349" spans="1:7" x14ac:dyDescent="0.2">
      <c r="A349" s="6">
        <f ca="1">Model!$F$13+RAND()*(Model!$G$13-Model!$F$13)</f>
        <v>1443.0338412735948</v>
      </c>
      <c r="B349" s="31">
        <f ca="1">Model!$F$14+RAND()*(Model!$G$14-Model!$F$14)</f>
        <v>0.48158604135438438</v>
      </c>
      <c r="C349" s="32">
        <f ca="1">Model!$F$15+RAND()*(Model!$G$15-Model!$F$15)</f>
        <v>2.7036991207731911E-2</v>
      </c>
      <c r="D349" s="33">
        <f ca="1">Model!$F$16+RAND()*(Model!$G$16-Model!$F$16)</f>
        <v>48.245017173783111</v>
      </c>
      <c r="E349" s="33">
        <f>Model!$D$17</f>
        <v>800</v>
      </c>
      <c r="G349" s="36">
        <f t="shared" ca="1" si="7"/>
        <v>387.34853912491349</v>
      </c>
    </row>
    <row r="350" spans="1:7" x14ac:dyDescent="0.2">
      <c r="A350" s="6">
        <f ca="1">Model!$F$13+RAND()*(Model!$G$13-Model!$F$13)</f>
        <v>1484.7419468627797</v>
      </c>
      <c r="B350" s="31">
        <f ca="1">Model!$F$14+RAND()*(Model!$G$14-Model!$F$14)</f>
        <v>0.58286523005170099</v>
      </c>
      <c r="C350" s="32">
        <f ca="1">Model!$F$15+RAND()*(Model!$G$15-Model!$F$15)</f>
        <v>2.149767468596097E-2</v>
      </c>
      <c r="D350" s="33">
        <f ca="1">Model!$F$16+RAND()*(Model!$G$16-Model!$F$16)</f>
        <v>51.826988320058732</v>
      </c>
      <c r="E350" s="33">
        <f>Model!$D$17</f>
        <v>800</v>
      </c>
      <c r="G350" s="36">
        <f t="shared" ca="1" si="7"/>
        <v>-11.164762576812791</v>
      </c>
    </row>
    <row r="351" spans="1:7" x14ac:dyDescent="0.2">
      <c r="A351" s="6">
        <f ca="1">Model!$F$13+RAND()*(Model!$G$13-Model!$F$13)</f>
        <v>1684.3548630943146</v>
      </c>
      <c r="B351" s="31">
        <f ca="1">Model!$F$14+RAND()*(Model!$G$14-Model!$F$14)</f>
        <v>0.53524768111568188</v>
      </c>
      <c r="C351" s="32">
        <f ca="1">Model!$F$15+RAND()*(Model!$G$15-Model!$F$15)</f>
        <v>1.9642736336222506E-2</v>
      </c>
      <c r="D351" s="33">
        <f ca="1">Model!$F$16+RAND()*(Model!$G$16-Model!$F$16)</f>
        <v>50.94600876902782</v>
      </c>
      <c r="E351" s="33">
        <f>Model!$D$17</f>
        <v>800</v>
      </c>
      <c r="G351" s="36">
        <f t="shared" ca="1" si="7"/>
        <v>-15.981090706225132</v>
      </c>
    </row>
    <row r="352" spans="1:7" x14ac:dyDescent="0.2">
      <c r="A352" s="6">
        <f ca="1">Model!$F$13+RAND()*(Model!$G$13-Model!$F$13)</f>
        <v>1231.247309449305</v>
      </c>
      <c r="B352" s="31">
        <f ca="1">Model!$F$14+RAND()*(Model!$G$14-Model!$F$14)</f>
        <v>0.21666510094631258</v>
      </c>
      <c r="C352" s="32">
        <f ca="1">Model!$F$15+RAND()*(Model!$G$15-Model!$F$15)</f>
        <v>1.5386988411524177E-2</v>
      </c>
      <c r="D352" s="33">
        <f ca="1">Model!$F$16+RAND()*(Model!$G$16-Model!$F$16)</f>
        <v>50.668725201466437</v>
      </c>
      <c r="E352" s="33">
        <f>Model!$D$17</f>
        <v>800</v>
      </c>
      <c r="G352" s="36">
        <f t="shared" ca="1" si="7"/>
        <v>-106.83979376377056</v>
      </c>
    </row>
    <row r="353" spans="1:7" x14ac:dyDescent="0.2">
      <c r="A353" s="6">
        <f ca="1">Model!$F$13+RAND()*(Model!$G$13-Model!$F$13)</f>
        <v>1304.7293795735407</v>
      </c>
      <c r="B353" s="31">
        <f ca="1">Model!$F$14+RAND()*(Model!$G$14-Model!$F$14)</f>
        <v>0.49222674006845074</v>
      </c>
      <c r="C353" s="32">
        <f ca="1">Model!$F$15+RAND()*(Model!$G$15-Model!$F$15)</f>
        <v>3.4623540800094291E-2</v>
      </c>
      <c r="D353" s="33">
        <f ca="1">Model!$F$16+RAND()*(Model!$G$16-Model!$F$16)</f>
        <v>47.541431729047638</v>
      </c>
      <c r="E353" s="33">
        <f>Model!$D$17</f>
        <v>800</v>
      </c>
      <c r="G353" s="36">
        <f t="shared" ca="1" si="7"/>
        <v>705.43063035809951</v>
      </c>
    </row>
    <row r="354" spans="1:7" x14ac:dyDescent="0.2">
      <c r="A354" s="6">
        <f ca="1">Model!$F$13+RAND()*(Model!$G$13-Model!$F$13)</f>
        <v>1469.1714418364497</v>
      </c>
      <c r="B354" s="31">
        <f ca="1">Model!$F$14+RAND()*(Model!$G$14-Model!$F$14)</f>
        <v>0.26247435946229564</v>
      </c>
      <c r="C354" s="32">
        <f ca="1">Model!$F$15+RAND()*(Model!$G$15-Model!$F$15)</f>
        <v>3.7910480698671291E-2</v>
      </c>
      <c r="D354" s="33">
        <f ca="1">Model!$F$16+RAND()*(Model!$G$16-Model!$F$16)</f>
        <v>52.477196726193206</v>
      </c>
      <c r="E354" s="33">
        <f>Model!$D$17</f>
        <v>800</v>
      </c>
      <c r="G354" s="36">
        <f t="shared" ca="1" si="7"/>
        <v>1737.2023614339932</v>
      </c>
    </row>
    <row r="355" spans="1:7" x14ac:dyDescent="0.2">
      <c r="A355" s="6">
        <f ca="1">Model!$F$13+RAND()*(Model!$G$13-Model!$F$13)</f>
        <v>1566.2279847463763</v>
      </c>
      <c r="B355" s="31">
        <f ca="1">Model!$F$14+RAND()*(Model!$G$14-Model!$F$14)</f>
        <v>0.50828542299948398</v>
      </c>
      <c r="C355" s="32">
        <f ca="1">Model!$F$15+RAND()*(Model!$G$15-Model!$F$15)</f>
        <v>3.7662295629428584E-2</v>
      </c>
      <c r="D355" s="33">
        <f ca="1">Model!$F$16+RAND()*(Model!$G$16-Model!$F$16)</f>
        <v>50.244476295698789</v>
      </c>
      <c r="E355" s="33">
        <f>Model!$D$17</f>
        <v>800</v>
      </c>
      <c r="G355" s="36">
        <f t="shared" ca="1" si="7"/>
        <v>1367.7173199950139</v>
      </c>
    </row>
    <row r="356" spans="1:7" x14ac:dyDescent="0.2">
      <c r="A356" s="6">
        <f ca="1">Model!$F$13+RAND()*(Model!$G$13-Model!$F$13)</f>
        <v>1592.2651836296006</v>
      </c>
      <c r="B356" s="31">
        <f ca="1">Model!$F$14+RAND()*(Model!$G$14-Model!$F$14)</f>
        <v>0.75736968557786688</v>
      </c>
      <c r="C356" s="32">
        <f ca="1">Model!$F$15+RAND()*(Model!$G$15-Model!$F$15)</f>
        <v>4.9907602679896579E-2</v>
      </c>
      <c r="D356" s="33">
        <f ca="1">Model!$F$16+RAND()*(Model!$G$16-Model!$F$16)</f>
        <v>47.652314956491736</v>
      </c>
      <c r="E356" s="33">
        <f>Model!$D$17</f>
        <v>800</v>
      </c>
      <c r="G356" s="36">
        <f t="shared" ca="1" si="7"/>
        <v>1780.8120618089681</v>
      </c>
    </row>
    <row r="357" spans="1:7" x14ac:dyDescent="0.2">
      <c r="A357" s="6">
        <f ca="1">Model!$F$13+RAND()*(Model!$G$13-Model!$F$13)</f>
        <v>1397.5489692357573</v>
      </c>
      <c r="B357" s="31">
        <f ca="1">Model!$F$14+RAND()*(Model!$G$14-Model!$F$14)</f>
        <v>0.34297488702053069</v>
      </c>
      <c r="C357" s="32">
        <f ca="1">Model!$F$15+RAND()*(Model!$G$15-Model!$F$15)</f>
        <v>2.5888374769301933E-2</v>
      </c>
      <c r="D357" s="33">
        <f ca="1">Model!$F$16+RAND()*(Model!$G$16-Model!$F$16)</f>
        <v>51.309643053838236</v>
      </c>
      <c r="E357" s="33">
        <f>Model!$D$17</f>
        <v>800</v>
      </c>
      <c r="G357" s="36">
        <f t="shared" ca="1" si="7"/>
        <v>577.07261509399336</v>
      </c>
    </row>
    <row r="358" spans="1:7" x14ac:dyDescent="0.2">
      <c r="A358" s="6">
        <f ca="1">Model!$F$13+RAND()*(Model!$G$13-Model!$F$13)</f>
        <v>1479.270368989999</v>
      </c>
      <c r="B358" s="31">
        <f ca="1">Model!$F$14+RAND()*(Model!$G$14-Model!$F$14)</f>
        <v>0.64609850424871595</v>
      </c>
      <c r="C358" s="32">
        <f ca="1">Model!$F$15+RAND()*(Model!$G$15-Model!$F$15)</f>
        <v>2.7598002987280115E-2</v>
      </c>
      <c r="D358" s="33">
        <f ca="1">Model!$F$16+RAND()*(Model!$G$16-Model!$F$16)</f>
        <v>48.87580643898032</v>
      </c>
      <c r="E358" s="33">
        <f>Model!$D$17</f>
        <v>800</v>
      </c>
      <c r="G358" s="36">
        <f t="shared" ca="1" si="7"/>
        <v>239.59593156221376</v>
      </c>
    </row>
    <row r="359" spans="1:7" x14ac:dyDescent="0.2">
      <c r="A359" s="6">
        <f ca="1">Model!$F$13+RAND()*(Model!$G$13-Model!$F$13)</f>
        <v>1681.5623619547828</v>
      </c>
      <c r="B359" s="31">
        <f ca="1">Model!$F$14+RAND()*(Model!$G$14-Model!$F$14)</f>
        <v>0.58589577516470892</v>
      </c>
      <c r="C359" s="32">
        <f ca="1">Model!$F$15+RAND()*(Model!$G$15-Model!$F$15)</f>
        <v>2.4156884281313386E-2</v>
      </c>
      <c r="D359" s="33">
        <f ca="1">Model!$F$16+RAND()*(Model!$G$16-Model!$F$16)</f>
        <v>52.27473012778853</v>
      </c>
      <c r="E359" s="33">
        <f>Model!$D$17</f>
        <v>800</v>
      </c>
      <c r="G359" s="36">
        <f t="shared" ca="1" si="7"/>
        <v>338.24759768156537</v>
      </c>
    </row>
    <row r="360" spans="1:7" x14ac:dyDescent="0.2">
      <c r="A360" s="6">
        <f ca="1">Model!$F$13+RAND()*(Model!$G$13-Model!$F$13)</f>
        <v>1241.0079490464075</v>
      </c>
      <c r="B360" s="31">
        <f ca="1">Model!$F$14+RAND()*(Model!$G$14-Model!$F$14)</f>
        <v>0.74857649220412714</v>
      </c>
      <c r="C360" s="32">
        <f ca="1">Model!$F$15+RAND()*(Model!$G$15-Model!$F$15)</f>
        <v>1.536488768432032E-2</v>
      </c>
      <c r="D360" s="33">
        <f ca="1">Model!$F$16+RAND()*(Model!$G$16-Model!$F$16)</f>
        <v>49.13062071980098</v>
      </c>
      <c r="E360" s="33">
        <f>Model!$D$17</f>
        <v>800</v>
      </c>
      <c r="G360" s="36">
        <f t="shared" ca="1" si="7"/>
        <v>-792.16926836415428</v>
      </c>
    </row>
    <row r="361" spans="1:7" x14ac:dyDescent="0.2">
      <c r="A361" s="6">
        <f ca="1">Model!$F$13+RAND()*(Model!$G$13-Model!$F$13)</f>
        <v>1421.0137782671275</v>
      </c>
      <c r="B361" s="31">
        <f ca="1">Model!$F$14+RAND()*(Model!$G$14-Model!$F$14)</f>
        <v>0.736443273028766</v>
      </c>
      <c r="C361" s="32">
        <f ca="1">Model!$F$15+RAND()*(Model!$G$15-Model!$F$15)</f>
        <v>3.7330866834702568E-2</v>
      </c>
      <c r="D361" s="33">
        <f ca="1">Model!$F$16+RAND()*(Model!$G$16-Model!$F$16)</f>
        <v>48.158205905057869</v>
      </c>
      <c r="E361" s="33">
        <f>Model!$D$17</f>
        <v>800</v>
      </c>
      <c r="G361" s="36">
        <f t="shared" ca="1" si="7"/>
        <v>708.18487181168484</v>
      </c>
    </row>
    <row r="362" spans="1:7" x14ac:dyDescent="0.2">
      <c r="A362" s="6">
        <f ca="1">Model!$F$13+RAND()*(Model!$G$13-Model!$F$13)</f>
        <v>1209.1533252624156</v>
      </c>
      <c r="B362" s="31">
        <f ca="1">Model!$F$14+RAND()*(Model!$G$14-Model!$F$14)</f>
        <v>0.37802330472158641</v>
      </c>
      <c r="C362" s="32">
        <f ca="1">Model!$F$15+RAND()*(Model!$G$15-Model!$F$15)</f>
        <v>1.8140747967896546E-2</v>
      </c>
      <c r="D362" s="33">
        <f ca="1">Model!$F$16+RAND()*(Model!$G$16-Model!$F$16)</f>
        <v>52.656283946503052</v>
      </c>
      <c r="E362" s="33">
        <f>Model!$D$17</f>
        <v>800</v>
      </c>
      <c r="G362" s="36">
        <f t="shared" ca="1" si="7"/>
        <v>-102.07540531927179</v>
      </c>
    </row>
    <row r="363" spans="1:7" x14ac:dyDescent="0.2">
      <c r="A363" s="6">
        <f ca="1">Model!$F$13+RAND()*(Model!$G$13-Model!$F$13)</f>
        <v>1278.9418878726578</v>
      </c>
      <c r="B363" s="31">
        <f ca="1">Model!$F$14+RAND()*(Model!$G$14-Model!$F$14)</f>
        <v>0.61398445452854777</v>
      </c>
      <c r="C363" s="32">
        <f ca="1">Model!$F$15+RAND()*(Model!$G$15-Model!$F$15)</f>
        <v>1.9626674403195574E-2</v>
      </c>
      <c r="D363" s="33">
        <f ca="1">Model!$F$16+RAND()*(Model!$G$16-Model!$F$16)</f>
        <v>48.039954409509747</v>
      </c>
      <c r="E363" s="33">
        <f>Model!$D$17</f>
        <v>800</v>
      </c>
      <c r="G363" s="36">
        <f t="shared" ca="1" si="7"/>
        <v>-379.38147807621203</v>
      </c>
    </row>
    <row r="364" spans="1:7" x14ac:dyDescent="0.2">
      <c r="A364" s="6">
        <f ca="1">Model!$F$13+RAND()*(Model!$G$13-Model!$F$13)</f>
        <v>1457.4717935701742</v>
      </c>
      <c r="B364" s="31">
        <f ca="1">Model!$F$14+RAND()*(Model!$G$14-Model!$F$14)</f>
        <v>0.50014234658779833</v>
      </c>
      <c r="C364" s="32">
        <f ca="1">Model!$F$15+RAND()*(Model!$G$15-Model!$F$15)</f>
        <v>2.546276712861905E-2</v>
      </c>
      <c r="D364" s="33">
        <f ca="1">Model!$F$16+RAND()*(Model!$G$16-Model!$F$16)</f>
        <v>51.855261182454868</v>
      </c>
      <c r="E364" s="33">
        <f>Model!$D$17</f>
        <v>800</v>
      </c>
      <c r="G364" s="36">
        <f t="shared" ca="1" si="7"/>
        <v>395.47097004531952</v>
      </c>
    </row>
    <row r="365" spans="1:7" x14ac:dyDescent="0.2">
      <c r="A365" s="6">
        <f ca="1">Model!$F$13+RAND()*(Model!$G$13-Model!$F$13)</f>
        <v>1553.1303173941478</v>
      </c>
      <c r="B365" s="31">
        <f ca="1">Model!$F$14+RAND()*(Model!$G$14-Model!$F$14)</f>
        <v>0.63458139031881799</v>
      </c>
      <c r="C365" s="32">
        <f ca="1">Model!$F$15+RAND()*(Model!$G$15-Model!$F$15)</f>
        <v>2.1634668763885312E-2</v>
      </c>
      <c r="D365" s="33">
        <f ca="1">Model!$F$16+RAND()*(Model!$G$16-Model!$F$16)</f>
        <v>48.299696165824621</v>
      </c>
      <c r="E365" s="33">
        <f>Model!$D$17</f>
        <v>800</v>
      </c>
      <c r="G365" s="36">
        <f t="shared" ca="1" si="7"/>
        <v>-162.64728917039247</v>
      </c>
    </row>
    <row r="366" spans="1:7" x14ac:dyDescent="0.2">
      <c r="A366" s="6">
        <f ca="1">Model!$F$13+RAND()*(Model!$G$13-Model!$F$13)</f>
        <v>1507.1579298463364</v>
      </c>
      <c r="B366" s="31">
        <f ca="1">Model!$F$14+RAND()*(Model!$G$14-Model!$F$14)</f>
        <v>0.48792649544476058</v>
      </c>
      <c r="C366" s="32">
        <f ca="1">Model!$F$15+RAND()*(Model!$G$15-Model!$F$15)</f>
        <v>3.7149733780892633E-2</v>
      </c>
      <c r="D366" s="33">
        <f ca="1">Model!$F$16+RAND()*(Model!$G$16-Model!$F$16)</f>
        <v>48.91968163070586</v>
      </c>
      <c r="E366" s="33">
        <f>Model!$D$17</f>
        <v>800</v>
      </c>
      <c r="G366" s="36">
        <f t="shared" ca="1" si="7"/>
        <v>1203.6559233965995</v>
      </c>
    </row>
    <row r="367" spans="1:7" x14ac:dyDescent="0.2">
      <c r="A367" s="6">
        <f ca="1">Model!$F$13+RAND()*(Model!$G$13-Model!$F$13)</f>
        <v>1317.4211196972228</v>
      </c>
      <c r="B367" s="31">
        <f ca="1">Model!$F$14+RAND()*(Model!$G$14-Model!$F$14)</f>
        <v>0.20985448709364643</v>
      </c>
      <c r="C367" s="32">
        <f ca="1">Model!$F$15+RAND()*(Model!$G$15-Model!$F$15)</f>
        <v>4.0711255187530784E-2</v>
      </c>
      <c r="D367" s="33">
        <f ca="1">Model!$F$16+RAND()*(Model!$G$16-Model!$F$16)</f>
        <v>50.961335859902384</v>
      </c>
      <c r="E367" s="33">
        <f>Model!$D$17</f>
        <v>800</v>
      </c>
      <c r="G367" s="36">
        <f t="shared" ca="1" si="7"/>
        <v>1656.7867963419703</v>
      </c>
    </row>
    <row r="368" spans="1:7" x14ac:dyDescent="0.2">
      <c r="A368" s="6">
        <f ca="1">Model!$F$13+RAND()*(Model!$G$13-Model!$F$13)</f>
        <v>1301.759935627842</v>
      </c>
      <c r="B368" s="31">
        <f ca="1">Model!$F$14+RAND()*(Model!$G$14-Model!$F$14)</f>
        <v>0.65007278802418367</v>
      </c>
      <c r="C368" s="32">
        <f ca="1">Model!$F$15+RAND()*(Model!$G$15-Model!$F$15)</f>
        <v>1.5340523068031598E-2</v>
      </c>
      <c r="D368" s="33">
        <f ca="1">Model!$F$16+RAND()*(Model!$G$16-Model!$F$16)</f>
        <v>49.093158072856482</v>
      </c>
      <c r="E368" s="33">
        <f>Model!$D$17</f>
        <v>800</v>
      </c>
      <c r="G368" s="36">
        <f t="shared" ca="1" si="7"/>
        <v>-665.86413618840118</v>
      </c>
    </row>
    <row r="369" spans="1:7" x14ac:dyDescent="0.2">
      <c r="A369" s="6">
        <f ca="1">Model!$F$13+RAND()*(Model!$G$13-Model!$F$13)</f>
        <v>1219.1659721599265</v>
      </c>
      <c r="B369" s="31">
        <f ca="1">Model!$F$14+RAND()*(Model!$G$14-Model!$F$14)</f>
        <v>0.4840977284096874</v>
      </c>
      <c r="C369" s="32">
        <f ca="1">Model!$F$15+RAND()*(Model!$G$15-Model!$F$15)</f>
        <v>3.1340761509814519E-2</v>
      </c>
      <c r="D369" s="33">
        <f ca="1">Model!$F$16+RAND()*(Model!$G$16-Model!$F$16)</f>
        <v>50.56936720259629</v>
      </c>
      <c r="E369" s="33">
        <f>Model!$D$17</f>
        <v>800</v>
      </c>
      <c r="G369" s="36">
        <f t="shared" ca="1" si="7"/>
        <v>542.03930839630675</v>
      </c>
    </row>
    <row r="370" spans="1:7" x14ac:dyDescent="0.2">
      <c r="A370" s="6">
        <f ca="1">Model!$F$13+RAND()*(Model!$G$13-Model!$F$13)</f>
        <v>1604.2858922797393</v>
      </c>
      <c r="B370" s="31">
        <f ca="1">Model!$F$14+RAND()*(Model!$G$14-Model!$F$14)</f>
        <v>0.33354194621796929</v>
      </c>
      <c r="C370" s="32">
        <f ca="1">Model!$F$15+RAND()*(Model!$G$15-Model!$F$15)</f>
        <v>1.5205694525182278E-2</v>
      </c>
      <c r="D370" s="33">
        <f ca="1">Model!$F$16+RAND()*(Model!$G$16-Model!$F$16)</f>
        <v>52.543546860757978</v>
      </c>
      <c r="E370" s="33">
        <f>Model!$D$17</f>
        <v>800</v>
      </c>
      <c r="G370" s="36">
        <f t="shared" ca="1" si="7"/>
        <v>-53.334580957990511</v>
      </c>
    </row>
    <row r="371" spans="1:7" x14ac:dyDescent="0.2">
      <c r="A371" s="6">
        <f ca="1">Model!$F$13+RAND()*(Model!$G$13-Model!$F$13)</f>
        <v>1708.2268733854789</v>
      </c>
      <c r="B371" s="31">
        <f ca="1">Model!$F$14+RAND()*(Model!$G$14-Model!$F$14)</f>
        <v>0.43798621597242704</v>
      </c>
      <c r="C371" s="32">
        <f ca="1">Model!$F$15+RAND()*(Model!$G$15-Model!$F$15)</f>
        <v>1.5241070257414271E-2</v>
      </c>
      <c r="D371" s="33">
        <f ca="1">Model!$F$16+RAND()*(Model!$G$16-Model!$F$16)</f>
        <v>47.022101007418435</v>
      </c>
      <c r="E371" s="33">
        <f>Model!$D$17</f>
        <v>800</v>
      </c>
      <c r="G371" s="36">
        <f t="shared" ca="1" si="7"/>
        <v>-323.94974775520109</v>
      </c>
    </row>
    <row r="372" spans="1:7" x14ac:dyDescent="0.2">
      <c r="A372" s="6">
        <f ca="1">Model!$F$13+RAND()*(Model!$G$13-Model!$F$13)</f>
        <v>1468.7153571277863</v>
      </c>
      <c r="B372" s="31">
        <f ca="1">Model!$F$14+RAND()*(Model!$G$14-Model!$F$14)</f>
        <v>0.36073335448059163</v>
      </c>
      <c r="C372" s="32">
        <f ca="1">Model!$F$15+RAND()*(Model!$G$15-Model!$F$15)</f>
        <v>2.0815309366634144E-2</v>
      </c>
      <c r="D372" s="33">
        <f ca="1">Model!$F$16+RAND()*(Model!$G$16-Model!$F$16)</f>
        <v>49.932193901407672</v>
      </c>
      <c r="E372" s="33">
        <f>Model!$D$17</f>
        <v>800</v>
      </c>
      <c r="G372" s="36">
        <f t="shared" ca="1" si="7"/>
        <v>196.70065687333249</v>
      </c>
    </row>
    <row r="373" spans="1:7" x14ac:dyDescent="0.2">
      <c r="A373" s="6">
        <f ca="1">Model!$F$13+RAND()*(Model!$G$13-Model!$F$13)</f>
        <v>1220.5535222645622</v>
      </c>
      <c r="B373" s="31">
        <f ca="1">Model!$F$14+RAND()*(Model!$G$14-Model!$F$14)</f>
        <v>0.59164569506593923</v>
      </c>
      <c r="C373" s="32">
        <f ca="1">Model!$F$15+RAND()*(Model!$G$15-Model!$F$15)</f>
        <v>3.5580269040161004E-2</v>
      </c>
      <c r="D373" s="33">
        <f ca="1">Model!$F$16+RAND()*(Model!$G$16-Model!$F$16)</f>
        <v>50.812774828357675</v>
      </c>
      <c r="E373" s="33">
        <f>Model!$D$17</f>
        <v>800</v>
      </c>
      <c r="G373" s="36">
        <f t="shared" ca="1" si="7"/>
        <v>684.54277654511293</v>
      </c>
    </row>
    <row r="374" spans="1:7" x14ac:dyDescent="0.2">
      <c r="A374" s="6">
        <f ca="1">Model!$F$13+RAND()*(Model!$G$13-Model!$F$13)</f>
        <v>1302.5974397313828</v>
      </c>
      <c r="B374" s="31">
        <f ca="1">Model!$F$14+RAND()*(Model!$G$14-Model!$F$14)</f>
        <v>0.32466240379931594</v>
      </c>
      <c r="C374" s="32">
        <f ca="1">Model!$F$15+RAND()*(Model!$G$15-Model!$F$15)</f>
        <v>1.4890670453620782E-2</v>
      </c>
      <c r="D374" s="33">
        <f ca="1">Model!$F$16+RAND()*(Model!$G$16-Model!$F$16)</f>
        <v>50.590770651243716</v>
      </c>
      <c r="E374" s="33">
        <f>Model!$D$17</f>
        <v>800</v>
      </c>
      <c r="G374" s="36">
        <f t="shared" ca="1" si="7"/>
        <v>-241.61804351957039</v>
      </c>
    </row>
    <row r="375" spans="1:7" x14ac:dyDescent="0.2">
      <c r="A375" s="6">
        <f ca="1">Model!$F$13+RAND()*(Model!$G$13-Model!$F$13)</f>
        <v>1434.4765080157408</v>
      </c>
      <c r="B375" s="31">
        <f ca="1">Model!$F$14+RAND()*(Model!$G$14-Model!$F$14)</f>
        <v>0.2682819905292293</v>
      </c>
      <c r="C375" s="32">
        <f ca="1">Model!$F$15+RAND()*(Model!$G$15-Model!$F$15)</f>
        <v>1.8906037680189405E-2</v>
      </c>
      <c r="D375" s="33">
        <f ca="1">Model!$F$16+RAND()*(Model!$G$16-Model!$F$16)</f>
        <v>50.494205867196399</v>
      </c>
      <c r="E375" s="33">
        <f>Model!$D$17</f>
        <v>800</v>
      </c>
      <c r="G375" s="36">
        <f t="shared" ca="1" si="7"/>
        <v>184.57212768451427</v>
      </c>
    </row>
    <row r="376" spans="1:7" x14ac:dyDescent="0.2">
      <c r="A376" s="6">
        <f ca="1">Model!$F$13+RAND()*(Model!$G$13-Model!$F$13)</f>
        <v>1262.6036879282092</v>
      </c>
      <c r="B376" s="31">
        <f ca="1">Model!$F$14+RAND()*(Model!$G$14-Model!$F$14)</f>
        <v>0.51349511776192913</v>
      </c>
      <c r="C376" s="32">
        <f ca="1">Model!$F$15+RAND()*(Model!$G$15-Model!$F$15)</f>
        <v>1.0779477491359178E-2</v>
      </c>
      <c r="D376" s="33">
        <f ca="1">Model!$F$16+RAND()*(Model!$G$16-Model!$F$16)</f>
        <v>49.681844041703926</v>
      </c>
      <c r="E376" s="33">
        <f>Model!$D$17</f>
        <v>800</v>
      </c>
      <c r="G376" s="36">
        <f t="shared" ca="1" si="7"/>
        <v>-772.1605964727155</v>
      </c>
    </row>
    <row r="377" spans="1:7" x14ac:dyDescent="0.2">
      <c r="A377" s="6">
        <f ca="1">Model!$F$13+RAND()*(Model!$G$13-Model!$F$13)</f>
        <v>1508.7448320278424</v>
      </c>
      <c r="B377" s="31">
        <f ca="1">Model!$F$14+RAND()*(Model!$G$14-Model!$F$14)</f>
        <v>0.4187482392622231</v>
      </c>
      <c r="C377" s="32">
        <f ca="1">Model!$F$15+RAND()*(Model!$G$15-Model!$F$15)</f>
        <v>1.0609956757610704E-2</v>
      </c>
      <c r="D377" s="33">
        <f ca="1">Model!$F$16+RAND()*(Model!$G$16-Model!$F$16)</f>
        <v>49.125421309323904</v>
      </c>
      <c r="E377" s="33">
        <f>Model!$D$17</f>
        <v>800</v>
      </c>
      <c r="G377" s="36">
        <f t="shared" ca="1" si="7"/>
        <v>-645.39837915065345</v>
      </c>
    </row>
    <row r="378" spans="1:7" x14ac:dyDescent="0.2">
      <c r="A378" s="6">
        <f ca="1">Model!$F$13+RAND()*(Model!$G$13-Model!$F$13)</f>
        <v>1289.1551529324183</v>
      </c>
      <c r="B378" s="31">
        <f ca="1">Model!$F$14+RAND()*(Model!$G$14-Model!$F$14)</f>
        <v>0.33078242504391975</v>
      </c>
      <c r="C378" s="32">
        <f ca="1">Model!$F$15+RAND()*(Model!$G$15-Model!$F$15)</f>
        <v>4.6092861765827095E-2</v>
      </c>
      <c r="D378" s="33">
        <f ca="1">Model!$F$16+RAND()*(Model!$G$16-Model!$F$16)</f>
        <v>52.444633465868677</v>
      </c>
      <c r="E378" s="33">
        <f>Model!$D$17</f>
        <v>800</v>
      </c>
      <c r="G378" s="36">
        <f t="shared" ca="1" si="7"/>
        <v>1889.8748443091085</v>
      </c>
    </row>
    <row r="379" spans="1:7" x14ac:dyDescent="0.2">
      <c r="A379" s="6">
        <f ca="1">Model!$F$13+RAND()*(Model!$G$13-Model!$F$13)</f>
        <v>1661.572903530913</v>
      </c>
      <c r="B379" s="31">
        <f ca="1">Model!$F$14+RAND()*(Model!$G$14-Model!$F$14)</f>
        <v>0.65976775561508949</v>
      </c>
      <c r="C379" s="32">
        <f ca="1">Model!$F$15+RAND()*(Model!$G$15-Model!$F$15)</f>
        <v>4.9570445370305118E-2</v>
      </c>
      <c r="D379" s="33">
        <f ca="1">Model!$F$16+RAND()*(Model!$G$16-Model!$F$16)</f>
        <v>50.084217930994065</v>
      </c>
      <c r="E379" s="33">
        <f>Model!$D$17</f>
        <v>800</v>
      </c>
      <c r="G379" s="36">
        <f t="shared" ca="1" si="7"/>
        <v>2228.9298190187747</v>
      </c>
    </row>
    <row r="380" spans="1:7" x14ac:dyDescent="0.2">
      <c r="A380" s="6">
        <f ca="1">Model!$F$13+RAND()*(Model!$G$13-Model!$F$13)</f>
        <v>1274.2840445849765</v>
      </c>
      <c r="B380" s="31">
        <f ca="1">Model!$F$14+RAND()*(Model!$G$14-Model!$F$14)</f>
        <v>0.50401421365055388</v>
      </c>
      <c r="C380" s="32">
        <f ca="1">Model!$F$15+RAND()*(Model!$G$15-Model!$F$15)</f>
        <v>1.5456934226309756E-2</v>
      </c>
      <c r="D380" s="33">
        <f ca="1">Model!$F$16+RAND()*(Model!$G$16-Model!$F$16)</f>
        <v>50.534615592516104</v>
      </c>
      <c r="E380" s="33">
        <f>Model!$D$17</f>
        <v>800</v>
      </c>
      <c r="G380" s="36">
        <f t="shared" ca="1" si="7"/>
        <v>-446.90096835654333</v>
      </c>
    </row>
    <row r="381" spans="1:7" x14ac:dyDescent="0.2">
      <c r="A381" s="6">
        <f ca="1">Model!$F$13+RAND()*(Model!$G$13-Model!$F$13)</f>
        <v>1435.4945352274226</v>
      </c>
      <c r="B381" s="31">
        <f ca="1">Model!$F$14+RAND()*(Model!$G$14-Model!$F$14)</f>
        <v>0.28987750247356459</v>
      </c>
      <c r="C381" s="32">
        <f ca="1">Model!$F$15+RAND()*(Model!$G$15-Model!$F$15)</f>
        <v>4.6966214091887462E-2</v>
      </c>
      <c r="D381" s="33">
        <f ca="1">Model!$F$16+RAND()*(Model!$G$16-Model!$F$16)</f>
        <v>51.371996275173061</v>
      </c>
      <c r="E381" s="33">
        <f>Model!$D$17</f>
        <v>800</v>
      </c>
      <c r="G381" s="36">
        <f t="shared" ca="1" si="7"/>
        <v>2247.3692499624058</v>
      </c>
    </row>
    <row r="382" spans="1:7" x14ac:dyDescent="0.2">
      <c r="A382" s="6">
        <f ca="1">Model!$F$13+RAND()*(Model!$G$13-Model!$F$13)</f>
        <v>1779.8607628798832</v>
      </c>
      <c r="B382" s="31">
        <f ca="1">Model!$F$14+RAND()*(Model!$G$14-Model!$F$14)</f>
        <v>0.40089453227090421</v>
      </c>
      <c r="C382" s="32">
        <f ca="1">Model!$F$15+RAND()*(Model!$G$15-Model!$F$15)</f>
        <v>3.9993608273423027E-2</v>
      </c>
      <c r="D382" s="33">
        <f ca="1">Model!$F$16+RAND()*(Model!$G$16-Model!$F$16)</f>
        <v>52.826552242078982</v>
      </c>
      <c r="E382" s="33">
        <f>Model!$D$17</f>
        <v>800</v>
      </c>
      <c r="G382" s="36">
        <f t="shared" ca="1" si="7"/>
        <v>2246.8188798050514</v>
      </c>
    </row>
    <row r="383" spans="1:7" x14ac:dyDescent="0.2">
      <c r="A383" s="6">
        <f ca="1">Model!$F$13+RAND()*(Model!$G$13-Model!$F$13)</f>
        <v>1579.5380947877145</v>
      </c>
      <c r="B383" s="31">
        <f ca="1">Model!$F$14+RAND()*(Model!$G$14-Model!$F$14)</f>
        <v>0.45134915699519274</v>
      </c>
      <c r="C383" s="32">
        <f ca="1">Model!$F$15+RAND()*(Model!$G$15-Model!$F$15)</f>
        <v>3.3111978529373323E-2</v>
      </c>
      <c r="D383" s="33">
        <f ca="1">Model!$F$16+RAND()*(Model!$G$16-Model!$F$16)</f>
        <v>51.822816856254448</v>
      </c>
      <c r="E383" s="33">
        <f>Model!$D$17</f>
        <v>800</v>
      </c>
      <c r="G383" s="36">
        <f t="shared" ca="1" si="7"/>
        <v>1197.4946819957372</v>
      </c>
    </row>
    <row r="384" spans="1:7" x14ac:dyDescent="0.2">
      <c r="A384" s="6">
        <f ca="1">Model!$F$13+RAND()*(Model!$G$13-Model!$F$13)</f>
        <v>1242.2233046279268</v>
      </c>
      <c r="B384" s="31">
        <f ca="1">Model!$F$14+RAND()*(Model!$G$14-Model!$F$14)</f>
        <v>0.30839745140739927</v>
      </c>
      <c r="C384" s="32">
        <f ca="1">Model!$F$15+RAND()*(Model!$G$15-Model!$F$15)</f>
        <v>4.4647888285048364E-2</v>
      </c>
      <c r="D384" s="33">
        <f ca="1">Model!$F$16+RAND()*(Model!$G$16-Model!$F$16)</f>
        <v>49.657911144242917</v>
      </c>
      <c r="E384" s="33">
        <f>Model!$D$17</f>
        <v>800</v>
      </c>
      <c r="G384" s="36">
        <f t="shared" ca="1" si="7"/>
        <v>1571.060711717018</v>
      </c>
    </row>
    <row r="385" spans="1:7" x14ac:dyDescent="0.2">
      <c r="A385" s="6">
        <f ca="1">Model!$F$13+RAND()*(Model!$G$13-Model!$F$13)</f>
        <v>1330.5400794731424</v>
      </c>
      <c r="B385" s="31">
        <f ca="1">Model!$F$14+RAND()*(Model!$G$14-Model!$F$14)</f>
        <v>0.54528940939777981</v>
      </c>
      <c r="C385" s="32">
        <f ca="1">Model!$F$15+RAND()*(Model!$G$15-Model!$F$15)</f>
        <v>2.9434415459320844E-2</v>
      </c>
      <c r="D385" s="33">
        <f ca="1">Model!$F$16+RAND()*(Model!$G$16-Model!$F$16)</f>
        <v>48.731449146168501</v>
      </c>
      <c r="E385" s="33">
        <f>Model!$D$17</f>
        <v>800</v>
      </c>
      <c r="G385" s="36">
        <f t="shared" ca="1" si="7"/>
        <v>382.97295374480291</v>
      </c>
    </row>
    <row r="386" spans="1:7" x14ac:dyDescent="0.2">
      <c r="A386" s="6">
        <f ca="1">Model!$F$13+RAND()*(Model!$G$13-Model!$F$13)</f>
        <v>1683.9212329638003</v>
      </c>
      <c r="B386" s="31">
        <f ca="1">Model!$F$14+RAND()*(Model!$G$14-Model!$F$14)</f>
        <v>0.32786510904168126</v>
      </c>
      <c r="C386" s="32">
        <f ca="1">Model!$F$15+RAND()*(Model!$G$15-Model!$F$15)</f>
        <v>1.6862036512521085E-2</v>
      </c>
      <c r="D386" s="33">
        <f ca="1">Model!$F$16+RAND()*(Model!$G$16-Model!$F$16)</f>
        <v>52.218205832584417</v>
      </c>
      <c r="E386" s="33">
        <f>Model!$D$17</f>
        <v>800</v>
      </c>
      <c r="G386" s="36">
        <f t="shared" ca="1" si="7"/>
        <v>130.60254057507245</v>
      </c>
    </row>
    <row r="387" spans="1:7" x14ac:dyDescent="0.2">
      <c r="A387" s="6">
        <f ca="1">Model!$F$13+RAND()*(Model!$G$13-Model!$F$13)</f>
        <v>1383.9536240451289</v>
      </c>
      <c r="B387" s="31">
        <f ca="1">Model!$F$14+RAND()*(Model!$G$14-Model!$F$14)</f>
        <v>0.33360549086803915</v>
      </c>
      <c r="C387" s="32">
        <f ca="1">Model!$F$15+RAND()*(Model!$G$15-Model!$F$15)</f>
        <v>1.7447100259584052E-2</v>
      </c>
      <c r="D387" s="33">
        <f ca="1">Model!$F$16+RAND()*(Model!$G$16-Model!$F$16)</f>
        <v>47.912883202925727</v>
      </c>
      <c r="E387" s="33">
        <f>Model!$D$17</f>
        <v>800</v>
      </c>
      <c r="G387" s="36">
        <f t="shared" ref="G387:G450" ca="1" si="8">A387*C387*D387-(E387+A387*B387)</f>
        <v>-104.79112192197681</v>
      </c>
    </row>
    <row r="388" spans="1:7" x14ac:dyDescent="0.2">
      <c r="A388" s="6">
        <f ca="1">Model!$F$13+RAND()*(Model!$G$13-Model!$F$13)</f>
        <v>1621.3669841746128</v>
      </c>
      <c r="B388" s="31">
        <f ca="1">Model!$F$14+RAND()*(Model!$G$14-Model!$F$14)</f>
        <v>0.58024612124000075</v>
      </c>
      <c r="C388" s="32">
        <f ca="1">Model!$F$15+RAND()*(Model!$G$15-Model!$F$15)</f>
        <v>4.491708336264176E-2</v>
      </c>
      <c r="D388" s="33">
        <f ca="1">Model!$F$16+RAND()*(Model!$G$16-Model!$F$16)</f>
        <v>47.665253802818135</v>
      </c>
      <c r="E388" s="33">
        <f>Model!$D$17</f>
        <v>800</v>
      </c>
      <c r="G388" s="36">
        <f t="shared" ca="1" si="8"/>
        <v>1730.529157087783</v>
      </c>
    </row>
    <row r="389" spans="1:7" x14ac:dyDescent="0.2">
      <c r="A389" s="6">
        <f ca="1">Model!$F$13+RAND()*(Model!$G$13-Model!$F$13)</f>
        <v>1382.2469388733095</v>
      </c>
      <c r="B389" s="31">
        <f ca="1">Model!$F$14+RAND()*(Model!$G$14-Model!$F$14)</f>
        <v>0.76431255675451282</v>
      </c>
      <c r="C389" s="32">
        <f ca="1">Model!$F$15+RAND()*(Model!$G$15-Model!$F$15)</f>
        <v>3.6965642064190396E-2</v>
      </c>
      <c r="D389" s="33">
        <f ca="1">Model!$F$16+RAND()*(Model!$G$16-Model!$F$16)</f>
        <v>49.996656699866428</v>
      </c>
      <c r="E389" s="33">
        <f>Model!$D$17</f>
        <v>800</v>
      </c>
      <c r="G389" s="36">
        <f t="shared" ca="1" si="8"/>
        <v>698.14275934060811</v>
      </c>
    </row>
    <row r="390" spans="1:7" x14ac:dyDescent="0.2">
      <c r="A390" s="6">
        <f ca="1">Model!$F$13+RAND()*(Model!$G$13-Model!$F$13)</f>
        <v>1518.82863886783</v>
      </c>
      <c r="B390" s="31">
        <f ca="1">Model!$F$14+RAND()*(Model!$G$14-Model!$F$14)</f>
        <v>0.6883768723252095</v>
      </c>
      <c r="C390" s="32">
        <f ca="1">Model!$F$15+RAND()*(Model!$G$15-Model!$F$15)</f>
        <v>3.4760517435134891E-2</v>
      </c>
      <c r="D390" s="33">
        <f ca="1">Model!$F$16+RAND()*(Model!$G$16-Model!$F$16)</f>
        <v>47.449606352329219</v>
      </c>
      <c r="E390" s="33">
        <f>Model!$D$17</f>
        <v>800</v>
      </c>
      <c r="G390" s="36">
        <f t="shared" ca="1" si="8"/>
        <v>659.58824143577158</v>
      </c>
    </row>
    <row r="391" spans="1:7" x14ac:dyDescent="0.2">
      <c r="A391" s="6">
        <f ca="1">Model!$F$13+RAND()*(Model!$G$13-Model!$F$13)</f>
        <v>1235.2425423167995</v>
      </c>
      <c r="B391" s="31">
        <f ca="1">Model!$F$14+RAND()*(Model!$G$14-Model!$F$14)</f>
        <v>0.47390771073025462</v>
      </c>
      <c r="C391" s="32">
        <f ca="1">Model!$F$15+RAND()*(Model!$G$15-Model!$F$15)</f>
        <v>3.356430749891532E-2</v>
      </c>
      <c r="D391" s="33">
        <f ca="1">Model!$F$16+RAND()*(Model!$G$16-Model!$F$16)</f>
        <v>49.233580871702166</v>
      </c>
      <c r="E391" s="33">
        <f>Model!$D$17</f>
        <v>800</v>
      </c>
      <c r="G391" s="36">
        <f t="shared" ca="1" si="8"/>
        <v>655.83627742961403</v>
      </c>
    </row>
    <row r="392" spans="1:7" x14ac:dyDescent="0.2">
      <c r="A392" s="6">
        <f ca="1">Model!$F$13+RAND()*(Model!$G$13-Model!$F$13)</f>
        <v>1668.6482076036709</v>
      </c>
      <c r="B392" s="31">
        <f ca="1">Model!$F$14+RAND()*(Model!$G$14-Model!$F$14)</f>
        <v>0.2368649335006634</v>
      </c>
      <c r="C392" s="32">
        <f ca="1">Model!$F$15+RAND()*(Model!$G$15-Model!$F$15)</f>
        <v>1.402830650760873E-2</v>
      </c>
      <c r="D392" s="33">
        <f ca="1">Model!$F$16+RAND()*(Model!$G$16-Model!$F$16)</f>
        <v>52.344888397169584</v>
      </c>
      <c r="E392" s="33">
        <f>Model!$D$17</f>
        <v>800</v>
      </c>
      <c r="G392" s="36">
        <f t="shared" ca="1" si="8"/>
        <v>30.061049773378272</v>
      </c>
    </row>
    <row r="393" spans="1:7" x14ac:dyDescent="0.2">
      <c r="A393" s="6">
        <f ca="1">Model!$F$13+RAND()*(Model!$G$13-Model!$F$13)</f>
        <v>1229.4626918753513</v>
      </c>
      <c r="B393" s="31">
        <f ca="1">Model!$F$14+RAND()*(Model!$G$14-Model!$F$14)</f>
        <v>0.74985058168355545</v>
      </c>
      <c r="C393" s="32">
        <f ca="1">Model!$F$15+RAND()*(Model!$G$15-Model!$F$15)</f>
        <v>3.5378182456092387E-2</v>
      </c>
      <c r="D393" s="33">
        <f ca="1">Model!$F$16+RAND()*(Model!$G$16-Model!$F$16)</f>
        <v>48.370781231486404</v>
      </c>
      <c r="E393" s="33">
        <f>Model!$D$17</f>
        <v>800</v>
      </c>
      <c r="G393" s="36">
        <f t="shared" ca="1" si="8"/>
        <v>382.02970435055295</v>
      </c>
    </row>
    <row r="394" spans="1:7" x14ac:dyDescent="0.2">
      <c r="A394" s="6">
        <f ca="1">Model!$F$13+RAND()*(Model!$G$13-Model!$F$13)</f>
        <v>1685.8876630379114</v>
      </c>
      <c r="B394" s="31">
        <f ca="1">Model!$F$14+RAND()*(Model!$G$14-Model!$F$14)</f>
        <v>0.75888705067712081</v>
      </c>
      <c r="C394" s="32">
        <f ca="1">Model!$F$15+RAND()*(Model!$G$15-Model!$F$15)</f>
        <v>3.5466512289380109E-2</v>
      </c>
      <c r="D394" s="33">
        <f ca="1">Model!$F$16+RAND()*(Model!$G$16-Model!$F$16)</f>
        <v>51.603079489000358</v>
      </c>
      <c r="E394" s="33">
        <f>Model!$D$17</f>
        <v>800</v>
      </c>
      <c r="G394" s="36">
        <f t="shared" ca="1" si="8"/>
        <v>1006.0816789550995</v>
      </c>
    </row>
    <row r="395" spans="1:7" x14ac:dyDescent="0.2">
      <c r="A395" s="6">
        <f ca="1">Model!$F$13+RAND()*(Model!$G$13-Model!$F$13)</f>
        <v>1547.6214427243817</v>
      </c>
      <c r="B395" s="31">
        <f ca="1">Model!$F$14+RAND()*(Model!$G$14-Model!$F$14)</f>
        <v>0.34678198656538828</v>
      </c>
      <c r="C395" s="32">
        <f ca="1">Model!$F$15+RAND()*(Model!$G$15-Model!$F$15)</f>
        <v>4.2761760888254015E-2</v>
      </c>
      <c r="D395" s="33">
        <f ca="1">Model!$F$16+RAND()*(Model!$G$16-Model!$F$16)</f>
        <v>51.28988232843264</v>
      </c>
      <c r="E395" s="33">
        <f>Model!$D$17</f>
        <v>800</v>
      </c>
      <c r="G395" s="36">
        <f t="shared" ca="1" si="8"/>
        <v>2057.6268115401144</v>
      </c>
    </row>
    <row r="396" spans="1:7" x14ac:dyDescent="0.2">
      <c r="A396" s="6">
        <f ca="1">Model!$F$13+RAND()*(Model!$G$13-Model!$F$13)</f>
        <v>1405.2397482776878</v>
      </c>
      <c r="B396" s="31">
        <f ca="1">Model!$F$14+RAND()*(Model!$G$14-Model!$F$14)</f>
        <v>0.63169565526407068</v>
      </c>
      <c r="C396" s="32">
        <f ca="1">Model!$F$15+RAND()*(Model!$G$15-Model!$F$15)</f>
        <v>3.3148374593838494E-2</v>
      </c>
      <c r="D396" s="33">
        <f ca="1">Model!$F$16+RAND()*(Model!$G$16-Model!$F$16)</f>
        <v>51.57756022531791</v>
      </c>
      <c r="E396" s="33">
        <f>Model!$D$17</f>
        <v>800</v>
      </c>
      <c r="G396" s="36">
        <f t="shared" ca="1" si="8"/>
        <v>714.87182019882425</v>
      </c>
    </row>
    <row r="397" spans="1:7" x14ac:dyDescent="0.2">
      <c r="A397" s="6">
        <f ca="1">Model!$F$13+RAND()*(Model!$G$13-Model!$F$13)</f>
        <v>1208.50263462726</v>
      </c>
      <c r="B397" s="31">
        <f ca="1">Model!$F$14+RAND()*(Model!$G$14-Model!$F$14)</f>
        <v>0.77554285349866303</v>
      </c>
      <c r="C397" s="32">
        <f ca="1">Model!$F$15+RAND()*(Model!$G$15-Model!$F$15)</f>
        <v>4.5253454421703664E-2</v>
      </c>
      <c r="D397" s="33">
        <f ca="1">Model!$F$16+RAND()*(Model!$G$16-Model!$F$16)</f>
        <v>51.508536246082542</v>
      </c>
      <c r="E397" s="33">
        <f>Model!$D$17</f>
        <v>800</v>
      </c>
      <c r="G397" s="36">
        <f t="shared" ca="1" si="8"/>
        <v>1079.7005794227912</v>
      </c>
    </row>
    <row r="398" spans="1:7" x14ac:dyDescent="0.2">
      <c r="A398" s="6">
        <f ca="1">Model!$F$13+RAND()*(Model!$G$13-Model!$F$13)</f>
        <v>1624.2334204462959</v>
      </c>
      <c r="B398" s="31">
        <f ca="1">Model!$F$14+RAND()*(Model!$G$14-Model!$F$14)</f>
        <v>0.54685053796684824</v>
      </c>
      <c r="C398" s="32">
        <f ca="1">Model!$F$15+RAND()*(Model!$G$15-Model!$F$15)</f>
        <v>3.6186131860287636E-2</v>
      </c>
      <c r="D398" s="33">
        <f ca="1">Model!$F$16+RAND()*(Model!$G$16-Model!$F$16)</f>
        <v>51.200824196405023</v>
      </c>
      <c r="E398" s="33">
        <f>Model!$D$17</f>
        <v>800</v>
      </c>
      <c r="G398" s="36">
        <f t="shared" ca="1" si="8"/>
        <v>1321.1014280388035</v>
      </c>
    </row>
    <row r="399" spans="1:7" x14ac:dyDescent="0.2">
      <c r="A399" s="6">
        <f ca="1">Model!$F$13+RAND()*(Model!$G$13-Model!$F$13)</f>
        <v>1460.8202897195883</v>
      </c>
      <c r="B399" s="31">
        <f ca="1">Model!$F$14+RAND()*(Model!$G$14-Model!$F$14)</f>
        <v>0.45620731363986028</v>
      </c>
      <c r="C399" s="32">
        <f ca="1">Model!$F$15+RAND()*(Model!$G$15-Model!$F$15)</f>
        <v>3.1252620793616397E-2</v>
      </c>
      <c r="D399" s="33">
        <f ca="1">Model!$F$16+RAND()*(Model!$G$16-Model!$F$16)</f>
        <v>50.338525945604005</v>
      </c>
      <c r="E399" s="33">
        <f>Model!$D$17</f>
        <v>800</v>
      </c>
      <c r="G399" s="36">
        <f t="shared" ca="1" si="8"/>
        <v>831.74144813770181</v>
      </c>
    </row>
    <row r="400" spans="1:7" x14ac:dyDescent="0.2">
      <c r="A400" s="6">
        <f ca="1">Model!$F$13+RAND()*(Model!$G$13-Model!$F$13)</f>
        <v>1297.0083537451949</v>
      </c>
      <c r="B400" s="31">
        <f ca="1">Model!$F$14+RAND()*(Model!$G$14-Model!$F$14)</f>
        <v>0.72148679513200009</v>
      </c>
      <c r="C400" s="32">
        <f ca="1">Model!$F$15+RAND()*(Model!$G$15-Model!$F$15)</f>
        <v>4.2126107172303341E-2</v>
      </c>
      <c r="D400" s="33">
        <f ca="1">Model!$F$16+RAND()*(Model!$G$16-Model!$F$16)</f>
        <v>48.886594526542993</v>
      </c>
      <c r="E400" s="33">
        <f>Model!$D$17</f>
        <v>800</v>
      </c>
      <c r="G400" s="36">
        <f t="shared" ca="1" si="8"/>
        <v>935.28709396321597</v>
      </c>
    </row>
    <row r="401" spans="1:7" x14ac:dyDescent="0.2">
      <c r="A401" s="6">
        <f ca="1">Model!$F$13+RAND()*(Model!$G$13-Model!$F$13)</f>
        <v>1226.4259265321687</v>
      </c>
      <c r="B401" s="31">
        <f ca="1">Model!$F$14+RAND()*(Model!$G$14-Model!$F$14)</f>
        <v>0.38411845644236053</v>
      </c>
      <c r="C401" s="32">
        <f ca="1">Model!$F$15+RAND()*(Model!$G$15-Model!$F$15)</f>
        <v>3.369347360976728E-2</v>
      </c>
      <c r="D401" s="33">
        <f ca="1">Model!$F$16+RAND()*(Model!$G$16-Model!$F$16)</f>
        <v>50.010269420686875</v>
      </c>
      <c r="E401" s="33">
        <f>Model!$D$17</f>
        <v>800</v>
      </c>
      <c r="G401" s="36">
        <f t="shared" ca="1" si="8"/>
        <v>795.45900430246525</v>
      </c>
    </row>
    <row r="402" spans="1:7" x14ac:dyDescent="0.2">
      <c r="A402" s="6">
        <f ca="1">Model!$F$13+RAND()*(Model!$G$13-Model!$F$13)</f>
        <v>1567.1768499690447</v>
      </c>
      <c r="B402" s="31">
        <f ca="1">Model!$F$14+RAND()*(Model!$G$14-Model!$F$14)</f>
        <v>0.23896885903933396</v>
      </c>
      <c r="C402" s="32">
        <f ca="1">Model!$F$15+RAND()*(Model!$G$15-Model!$F$15)</f>
        <v>2.1902410125991794E-2</v>
      </c>
      <c r="D402" s="33">
        <f ca="1">Model!$F$16+RAND()*(Model!$G$16-Model!$F$16)</f>
        <v>47.928548066814201</v>
      </c>
      <c r="E402" s="33">
        <f>Model!$D$17</f>
        <v>800</v>
      </c>
      <c r="G402" s="36">
        <f t="shared" ca="1" si="8"/>
        <v>470.63855739145106</v>
      </c>
    </row>
    <row r="403" spans="1:7" x14ac:dyDescent="0.2">
      <c r="A403" s="6">
        <f ca="1">Model!$F$13+RAND()*(Model!$G$13-Model!$F$13)</f>
        <v>1636.1423098300413</v>
      </c>
      <c r="B403" s="31">
        <f ca="1">Model!$F$14+RAND()*(Model!$G$14-Model!$F$14)</f>
        <v>0.55405549305325463</v>
      </c>
      <c r="C403" s="32">
        <f ca="1">Model!$F$15+RAND()*(Model!$G$15-Model!$F$15)</f>
        <v>4.8465958284244444E-2</v>
      </c>
      <c r="D403" s="33">
        <f ca="1">Model!$F$16+RAND()*(Model!$G$16-Model!$F$16)</f>
        <v>52.478518045254525</v>
      </c>
      <c r="E403" s="33">
        <f>Model!$D$17</f>
        <v>800</v>
      </c>
      <c r="G403" s="36">
        <f t="shared" ca="1" si="8"/>
        <v>2454.8861659577442</v>
      </c>
    </row>
    <row r="404" spans="1:7" x14ac:dyDescent="0.2">
      <c r="A404" s="6">
        <f ca="1">Model!$F$13+RAND()*(Model!$G$13-Model!$F$13)</f>
        <v>1236.1586171015028</v>
      </c>
      <c r="B404" s="31">
        <f ca="1">Model!$F$14+RAND()*(Model!$G$14-Model!$F$14)</f>
        <v>0.53154793483522811</v>
      </c>
      <c r="C404" s="32">
        <f ca="1">Model!$F$15+RAND()*(Model!$G$15-Model!$F$15)</f>
        <v>1.1166129238418079E-2</v>
      </c>
      <c r="D404" s="33">
        <f ca="1">Model!$F$16+RAND()*(Model!$G$16-Model!$F$16)</f>
        <v>52.631029035654421</v>
      </c>
      <c r="E404" s="33">
        <f>Model!$D$17</f>
        <v>800</v>
      </c>
      <c r="G404" s="36">
        <f t="shared" ca="1" si="8"/>
        <v>-730.60584118452391</v>
      </c>
    </row>
    <row r="405" spans="1:7" x14ac:dyDescent="0.2">
      <c r="A405" s="6">
        <f ca="1">Model!$F$13+RAND()*(Model!$G$13-Model!$F$13)</f>
        <v>1242.6785350675768</v>
      </c>
      <c r="B405" s="31">
        <f ca="1">Model!$F$14+RAND()*(Model!$G$14-Model!$F$14)</f>
        <v>0.39265808903151844</v>
      </c>
      <c r="C405" s="32">
        <f ca="1">Model!$F$15+RAND()*(Model!$G$15-Model!$F$15)</f>
        <v>4.8456398677781877E-2</v>
      </c>
      <c r="D405" s="33">
        <f ca="1">Model!$F$16+RAND()*(Model!$G$16-Model!$F$16)</f>
        <v>48.037639717627307</v>
      </c>
      <c r="E405" s="33">
        <f>Model!$D$17</f>
        <v>800</v>
      </c>
      <c r="G405" s="36">
        <f t="shared" ca="1" si="8"/>
        <v>1604.6735972136576</v>
      </c>
    </row>
    <row r="406" spans="1:7" x14ac:dyDescent="0.2">
      <c r="A406" s="6">
        <f ca="1">Model!$F$13+RAND()*(Model!$G$13-Model!$F$13)</f>
        <v>1588.4413405455548</v>
      </c>
      <c r="B406" s="31">
        <f ca="1">Model!$F$14+RAND()*(Model!$G$14-Model!$F$14)</f>
        <v>0.78145254452685764</v>
      </c>
      <c r="C406" s="32">
        <f ca="1">Model!$F$15+RAND()*(Model!$G$15-Model!$F$15)</f>
        <v>2.2747342626640972E-2</v>
      </c>
      <c r="D406" s="33">
        <f ca="1">Model!$F$16+RAND()*(Model!$G$16-Model!$F$16)</f>
        <v>47.22977064217347</v>
      </c>
      <c r="E406" s="33">
        <f>Model!$D$17</f>
        <v>800</v>
      </c>
      <c r="G406" s="36">
        <f t="shared" ca="1" si="8"/>
        <v>-334.7467537418911</v>
      </c>
    </row>
    <row r="407" spans="1:7" x14ac:dyDescent="0.2">
      <c r="A407" s="6">
        <f ca="1">Model!$F$13+RAND()*(Model!$G$13-Model!$F$13)</f>
        <v>1746.4650499632685</v>
      </c>
      <c r="B407" s="31">
        <f ca="1">Model!$F$14+RAND()*(Model!$G$14-Model!$F$14)</f>
        <v>0.37726082040767939</v>
      </c>
      <c r="C407" s="32">
        <f ca="1">Model!$F$15+RAND()*(Model!$G$15-Model!$F$15)</f>
        <v>3.750590854581929E-2</v>
      </c>
      <c r="D407" s="33">
        <f ca="1">Model!$F$16+RAND()*(Model!$G$16-Model!$F$16)</f>
        <v>52.805260636208189</v>
      </c>
      <c r="E407" s="33">
        <f>Model!$D$17</f>
        <v>800</v>
      </c>
      <c r="G407" s="36">
        <f t="shared" ca="1" si="8"/>
        <v>2000.0173943786181</v>
      </c>
    </row>
    <row r="408" spans="1:7" x14ac:dyDescent="0.2">
      <c r="A408" s="6">
        <f ca="1">Model!$F$13+RAND()*(Model!$G$13-Model!$F$13)</f>
        <v>1588.5658857367675</v>
      </c>
      <c r="B408" s="31">
        <f ca="1">Model!$F$14+RAND()*(Model!$G$14-Model!$F$14)</f>
        <v>0.25193595543201885</v>
      </c>
      <c r="C408" s="32">
        <f ca="1">Model!$F$15+RAND()*(Model!$G$15-Model!$F$15)</f>
        <v>2.076894596423717E-2</v>
      </c>
      <c r="D408" s="33">
        <f ca="1">Model!$F$16+RAND()*(Model!$G$16-Model!$F$16)</f>
        <v>47.290988645862726</v>
      </c>
      <c r="E408" s="33">
        <f>Model!$D$17</f>
        <v>800</v>
      </c>
      <c r="G408" s="36">
        <f t="shared" ca="1" si="8"/>
        <v>360.04711231643</v>
      </c>
    </row>
    <row r="409" spans="1:7" x14ac:dyDescent="0.2">
      <c r="A409" s="6">
        <f ca="1">Model!$F$13+RAND()*(Model!$G$13-Model!$F$13)</f>
        <v>1390.6315687106021</v>
      </c>
      <c r="B409" s="31">
        <f ca="1">Model!$F$14+RAND()*(Model!$G$14-Model!$F$14)</f>
        <v>0.70229506412710263</v>
      </c>
      <c r="C409" s="32">
        <f ca="1">Model!$F$15+RAND()*(Model!$G$15-Model!$F$15)</f>
        <v>3.0287311634190163E-2</v>
      </c>
      <c r="D409" s="33">
        <f ca="1">Model!$F$16+RAND()*(Model!$G$16-Model!$F$16)</f>
        <v>51.767521520432588</v>
      </c>
      <c r="E409" s="33">
        <f>Model!$D$17</f>
        <v>800</v>
      </c>
      <c r="G409" s="36">
        <f t="shared" ca="1" si="8"/>
        <v>403.73623823927664</v>
      </c>
    </row>
    <row r="410" spans="1:7" x14ac:dyDescent="0.2">
      <c r="A410" s="6">
        <f ca="1">Model!$F$13+RAND()*(Model!$G$13-Model!$F$13)</f>
        <v>1470.080143464523</v>
      </c>
      <c r="B410" s="31">
        <f ca="1">Model!$F$14+RAND()*(Model!$G$14-Model!$F$14)</f>
        <v>0.44390632009737596</v>
      </c>
      <c r="C410" s="32">
        <f ca="1">Model!$F$15+RAND()*(Model!$G$15-Model!$F$15)</f>
        <v>4.9471159447522367E-2</v>
      </c>
      <c r="D410" s="33">
        <f ca="1">Model!$F$16+RAND()*(Model!$G$16-Model!$F$16)</f>
        <v>49.012595224459268</v>
      </c>
      <c r="E410" s="33">
        <f>Model!$D$17</f>
        <v>800</v>
      </c>
      <c r="G410" s="36">
        <f t="shared" ca="1" si="8"/>
        <v>2111.940030449919</v>
      </c>
    </row>
    <row r="411" spans="1:7" x14ac:dyDescent="0.2">
      <c r="A411" s="6">
        <f ca="1">Model!$F$13+RAND()*(Model!$G$13-Model!$F$13)</f>
        <v>1616.5877656107682</v>
      </c>
      <c r="B411" s="31">
        <f ca="1">Model!$F$14+RAND()*(Model!$G$14-Model!$F$14)</f>
        <v>0.33196408632552865</v>
      </c>
      <c r="C411" s="32">
        <f ca="1">Model!$F$15+RAND()*(Model!$G$15-Model!$F$15)</f>
        <v>4.4539236170021181E-2</v>
      </c>
      <c r="D411" s="33">
        <f ca="1">Model!$F$16+RAND()*(Model!$G$16-Model!$F$16)</f>
        <v>51.903043427208431</v>
      </c>
      <c r="E411" s="33">
        <f>Model!$D$17</f>
        <v>800</v>
      </c>
      <c r="G411" s="36">
        <f t="shared" ca="1" si="8"/>
        <v>2400.4522752458888</v>
      </c>
    </row>
    <row r="412" spans="1:7" x14ac:dyDescent="0.2">
      <c r="A412" s="6">
        <f ca="1">Model!$F$13+RAND()*(Model!$G$13-Model!$F$13)</f>
        <v>1324.3351228574579</v>
      </c>
      <c r="B412" s="31">
        <f ca="1">Model!$F$14+RAND()*(Model!$G$14-Model!$F$14)</f>
        <v>0.77747113177911564</v>
      </c>
      <c r="C412" s="32">
        <f ca="1">Model!$F$15+RAND()*(Model!$G$15-Model!$F$15)</f>
        <v>2.7726690385374238E-2</v>
      </c>
      <c r="D412" s="33">
        <f ca="1">Model!$F$16+RAND()*(Model!$G$16-Model!$F$16)</f>
        <v>47.369795786503644</v>
      </c>
      <c r="E412" s="33">
        <f>Model!$D$17</f>
        <v>800</v>
      </c>
      <c r="G412" s="36">
        <f t="shared" ca="1" si="8"/>
        <v>-90.24043021292141</v>
      </c>
    </row>
    <row r="413" spans="1:7" x14ac:dyDescent="0.2">
      <c r="A413" s="6">
        <f ca="1">Model!$F$13+RAND()*(Model!$G$13-Model!$F$13)</f>
        <v>1547.5094004426944</v>
      </c>
      <c r="B413" s="31">
        <f ca="1">Model!$F$14+RAND()*(Model!$G$14-Model!$F$14)</f>
        <v>0.31597695376535662</v>
      </c>
      <c r="C413" s="32">
        <f ca="1">Model!$F$15+RAND()*(Model!$G$15-Model!$F$15)</f>
        <v>1.3423060627810185E-2</v>
      </c>
      <c r="D413" s="33">
        <f ca="1">Model!$F$16+RAND()*(Model!$G$16-Model!$F$16)</f>
        <v>52.846020026823638</v>
      </c>
      <c r="E413" s="33">
        <f>Model!$D$17</f>
        <v>800</v>
      </c>
      <c r="G413" s="36">
        <f t="shared" ca="1" si="8"/>
        <v>-191.24326367218191</v>
      </c>
    </row>
    <row r="414" spans="1:7" x14ac:dyDescent="0.2">
      <c r="A414" s="6">
        <f ca="1">Model!$F$13+RAND()*(Model!$G$13-Model!$F$13)</f>
        <v>1274.286213447866</v>
      </c>
      <c r="B414" s="31">
        <f ca="1">Model!$F$14+RAND()*(Model!$G$14-Model!$F$14)</f>
        <v>0.40927341509615717</v>
      </c>
      <c r="C414" s="32">
        <f ca="1">Model!$F$15+RAND()*(Model!$G$15-Model!$F$15)</f>
        <v>2.8118769295648799E-2</v>
      </c>
      <c r="D414" s="33">
        <f ca="1">Model!$F$16+RAND()*(Model!$G$16-Model!$F$16)</f>
        <v>51.215951892868297</v>
      </c>
      <c r="E414" s="33">
        <f>Model!$D$17</f>
        <v>800</v>
      </c>
      <c r="G414" s="36">
        <f t="shared" ca="1" si="8"/>
        <v>513.60574232052591</v>
      </c>
    </row>
    <row r="415" spans="1:7" x14ac:dyDescent="0.2">
      <c r="A415" s="6">
        <f ca="1">Model!$F$13+RAND()*(Model!$G$13-Model!$F$13)</f>
        <v>1340.3312971802286</v>
      </c>
      <c r="B415" s="31">
        <f ca="1">Model!$F$14+RAND()*(Model!$G$14-Model!$F$14)</f>
        <v>0.23379426483694876</v>
      </c>
      <c r="C415" s="32">
        <f ca="1">Model!$F$15+RAND()*(Model!$G$15-Model!$F$15)</f>
        <v>4.907465587995119E-2</v>
      </c>
      <c r="D415" s="33">
        <f ca="1">Model!$F$16+RAND()*(Model!$G$16-Model!$F$16)</f>
        <v>51.703124659443318</v>
      </c>
      <c r="E415" s="33">
        <f>Model!$D$17</f>
        <v>800</v>
      </c>
      <c r="G415" s="36">
        <f t="shared" ca="1" si="8"/>
        <v>2287.4783221745442</v>
      </c>
    </row>
    <row r="416" spans="1:7" x14ac:dyDescent="0.2">
      <c r="A416" s="6">
        <f ca="1">Model!$F$13+RAND()*(Model!$G$13-Model!$F$13)</f>
        <v>1532.0570687417908</v>
      </c>
      <c r="B416" s="31">
        <f ca="1">Model!$F$14+RAND()*(Model!$G$14-Model!$F$14)</f>
        <v>0.57859939135236116</v>
      </c>
      <c r="C416" s="32">
        <f ca="1">Model!$F$15+RAND()*(Model!$G$15-Model!$F$15)</f>
        <v>2.1340525547356708E-2</v>
      </c>
      <c r="D416" s="33">
        <f ca="1">Model!$F$16+RAND()*(Model!$G$16-Model!$F$16)</f>
        <v>50.309961413204476</v>
      </c>
      <c r="E416" s="33">
        <f>Model!$D$17</f>
        <v>800</v>
      </c>
      <c r="G416" s="36">
        <f t="shared" ca="1" si="8"/>
        <v>-41.567978373186179</v>
      </c>
    </row>
    <row r="417" spans="1:7" x14ac:dyDescent="0.2">
      <c r="A417" s="6">
        <f ca="1">Model!$F$13+RAND()*(Model!$G$13-Model!$F$13)</f>
        <v>1355.1818735712714</v>
      </c>
      <c r="B417" s="31">
        <f ca="1">Model!$F$14+RAND()*(Model!$G$14-Model!$F$14)</f>
        <v>0.34527706010867565</v>
      </c>
      <c r="C417" s="32">
        <f ca="1">Model!$F$15+RAND()*(Model!$G$15-Model!$F$15)</f>
        <v>4.5579012533875127E-2</v>
      </c>
      <c r="D417" s="33">
        <f ca="1">Model!$F$16+RAND()*(Model!$G$16-Model!$F$16)</f>
        <v>47.78043938206077</v>
      </c>
      <c r="E417" s="33">
        <f>Model!$D$17</f>
        <v>800</v>
      </c>
      <c r="G417" s="36">
        <f t="shared" ca="1" si="8"/>
        <v>1683.3818759713065</v>
      </c>
    </row>
    <row r="418" spans="1:7" x14ac:dyDescent="0.2">
      <c r="A418" s="6">
        <f ca="1">Model!$F$13+RAND()*(Model!$G$13-Model!$F$13)</f>
        <v>1284.1694055156709</v>
      </c>
      <c r="B418" s="31">
        <f ca="1">Model!$F$14+RAND()*(Model!$G$14-Model!$F$14)</f>
        <v>0.55450061701637354</v>
      </c>
      <c r="C418" s="32">
        <f ca="1">Model!$F$15+RAND()*(Model!$G$15-Model!$F$15)</f>
        <v>3.4440949642691926E-2</v>
      </c>
      <c r="D418" s="33">
        <f ca="1">Model!$F$16+RAND()*(Model!$G$16-Model!$F$16)</f>
        <v>50.671930482730403</v>
      </c>
      <c r="E418" s="33">
        <f>Model!$D$17</f>
        <v>800</v>
      </c>
      <c r="G418" s="36">
        <f t="shared" ca="1" si="8"/>
        <v>729.0461143722423</v>
      </c>
    </row>
    <row r="419" spans="1:7" x14ac:dyDescent="0.2">
      <c r="A419" s="6">
        <f ca="1">Model!$F$13+RAND()*(Model!$G$13-Model!$F$13)</f>
        <v>1545.1750873956007</v>
      </c>
      <c r="B419" s="31">
        <f ca="1">Model!$F$14+RAND()*(Model!$G$14-Model!$F$14)</f>
        <v>0.4341047161398377</v>
      </c>
      <c r="C419" s="32">
        <f ca="1">Model!$F$15+RAND()*(Model!$G$15-Model!$F$15)</f>
        <v>2.9133097315522105E-2</v>
      </c>
      <c r="D419" s="33">
        <f ca="1">Model!$F$16+RAND()*(Model!$G$16-Model!$F$16)</f>
        <v>52.671717673383448</v>
      </c>
      <c r="E419" s="33">
        <f>Model!$D$17</f>
        <v>800</v>
      </c>
      <c r="G419" s="36">
        <f t="shared" ca="1" si="8"/>
        <v>900.28835479144095</v>
      </c>
    </row>
    <row r="420" spans="1:7" x14ac:dyDescent="0.2">
      <c r="A420" s="6">
        <f ca="1">Model!$F$13+RAND()*(Model!$G$13-Model!$F$13)</f>
        <v>1352.6312035717835</v>
      </c>
      <c r="B420" s="31">
        <f ca="1">Model!$F$14+RAND()*(Model!$G$14-Model!$F$14)</f>
        <v>0.66301994752210436</v>
      </c>
      <c r="C420" s="32">
        <f ca="1">Model!$F$15+RAND()*(Model!$G$15-Model!$F$15)</f>
        <v>3.1326578902790579E-2</v>
      </c>
      <c r="D420" s="33">
        <f ca="1">Model!$F$16+RAND()*(Model!$G$16-Model!$F$16)</f>
        <v>50.831799165009642</v>
      </c>
      <c r="E420" s="33">
        <f>Model!$D$17</f>
        <v>800</v>
      </c>
      <c r="G420" s="36">
        <f t="shared" ca="1" si="8"/>
        <v>457.09001896160635</v>
      </c>
    </row>
    <row r="421" spans="1:7" x14ac:dyDescent="0.2">
      <c r="A421" s="6">
        <f ca="1">Model!$F$13+RAND()*(Model!$G$13-Model!$F$13)</f>
        <v>1279.5503530337753</v>
      </c>
      <c r="B421" s="31">
        <f ca="1">Model!$F$14+RAND()*(Model!$G$14-Model!$F$14)</f>
        <v>0.76378658471976957</v>
      </c>
      <c r="C421" s="32">
        <f ca="1">Model!$F$15+RAND()*(Model!$G$15-Model!$F$15)</f>
        <v>3.7997193645515764E-2</v>
      </c>
      <c r="D421" s="33">
        <f ca="1">Model!$F$16+RAND()*(Model!$G$16-Model!$F$16)</f>
        <v>52.084463184302621</v>
      </c>
      <c r="E421" s="33">
        <f>Model!$D$17</f>
        <v>800</v>
      </c>
      <c r="G421" s="36">
        <f t="shared" ca="1" si="8"/>
        <v>755.00792093745622</v>
      </c>
    </row>
    <row r="422" spans="1:7" x14ac:dyDescent="0.2">
      <c r="A422" s="6">
        <f ca="1">Model!$F$13+RAND()*(Model!$G$13-Model!$F$13)</f>
        <v>1326.8572975048587</v>
      </c>
      <c r="B422" s="31">
        <f ca="1">Model!$F$14+RAND()*(Model!$G$14-Model!$F$14)</f>
        <v>0.3356624631541627</v>
      </c>
      <c r="C422" s="32">
        <f ca="1">Model!$F$15+RAND()*(Model!$G$15-Model!$F$15)</f>
        <v>2.3374259155272969E-2</v>
      </c>
      <c r="D422" s="33">
        <f ca="1">Model!$F$16+RAND()*(Model!$G$16-Model!$F$16)</f>
        <v>52.578802974117281</v>
      </c>
      <c r="E422" s="33">
        <f>Model!$D$17</f>
        <v>800</v>
      </c>
      <c r="G422" s="36">
        <f t="shared" ca="1" si="8"/>
        <v>385.31891337678644</v>
      </c>
    </row>
    <row r="423" spans="1:7" x14ac:dyDescent="0.2">
      <c r="A423" s="6">
        <f ca="1">Model!$F$13+RAND()*(Model!$G$13-Model!$F$13)</f>
        <v>1440.0948508172269</v>
      </c>
      <c r="B423" s="31">
        <f ca="1">Model!$F$14+RAND()*(Model!$G$14-Model!$F$14)</f>
        <v>0.35590088091418365</v>
      </c>
      <c r="C423" s="32">
        <f ca="1">Model!$F$15+RAND()*(Model!$G$15-Model!$F$15)</f>
        <v>3.6186846833412244E-2</v>
      </c>
      <c r="D423" s="33">
        <f ca="1">Model!$F$16+RAND()*(Model!$G$16-Model!$F$16)</f>
        <v>51.12531075446006</v>
      </c>
      <c r="E423" s="33">
        <f>Model!$D$17</f>
        <v>800</v>
      </c>
      <c r="G423" s="36">
        <f t="shared" ca="1" si="8"/>
        <v>1351.7363110549727</v>
      </c>
    </row>
    <row r="424" spans="1:7" x14ac:dyDescent="0.2">
      <c r="A424" s="6">
        <f ca="1">Model!$F$13+RAND()*(Model!$G$13-Model!$F$13)</f>
        <v>1309.5398203928255</v>
      </c>
      <c r="B424" s="31">
        <f ca="1">Model!$F$14+RAND()*(Model!$G$14-Model!$F$14)</f>
        <v>0.35954198405075721</v>
      </c>
      <c r="C424" s="32">
        <f ca="1">Model!$F$15+RAND()*(Model!$G$15-Model!$F$15)</f>
        <v>4.3452333179093777E-2</v>
      </c>
      <c r="D424" s="33">
        <f ca="1">Model!$F$16+RAND()*(Model!$G$16-Model!$F$16)</f>
        <v>49.098050609990189</v>
      </c>
      <c r="E424" s="33">
        <f>Model!$D$17</f>
        <v>800</v>
      </c>
      <c r="G424" s="36">
        <f t="shared" ca="1" si="8"/>
        <v>1522.9702543210344</v>
      </c>
    </row>
    <row r="425" spans="1:7" x14ac:dyDescent="0.2">
      <c r="A425" s="6">
        <f ca="1">Model!$F$13+RAND()*(Model!$G$13-Model!$F$13)</f>
        <v>1460.9813276901309</v>
      </c>
      <c r="B425" s="31">
        <f ca="1">Model!$F$14+RAND()*(Model!$G$14-Model!$F$14)</f>
        <v>0.65991273337144196</v>
      </c>
      <c r="C425" s="32">
        <f ca="1">Model!$F$15+RAND()*(Model!$G$15-Model!$F$15)</f>
        <v>4.6050479886743385E-2</v>
      </c>
      <c r="D425" s="33">
        <f ca="1">Model!$F$16+RAND()*(Model!$G$16-Model!$F$16)</f>
        <v>49.304708842203489</v>
      </c>
      <c r="E425" s="33">
        <f>Model!$D$17</f>
        <v>800</v>
      </c>
      <c r="G425" s="36">
        <f t="shared" ca="1" si="8"/>
        <v>1553.0459627349792</v>
      </c>
    </row>
    <row r="426" spans="1:7" x14ac:dyDescent="0.2">
      <c r="A426" s="6">
        <f ca="1">Model!$F$13+RAND()*(Model!$G$13-Model!$F$13)</f>
        <v>1645.5563932943578</v>
      </c>
      <c r="B426" s="31">
        <f ca="1">Model!$F$14+RAND()*(Model!$G$14-Model!$F$14)</f>
        <v>0.30961258762724103</v>
      </c>
      <c r="C426" s="32">
        <f ca="1">Model!$F$15+RAND()*(Model!$G$15-Model!$F$15)</f>
        <v>4.8757209426009564E-2</v>
      </c>
      <c r="D426" s="33">
        <f ca="1">Model!$F$16+RAND()*(Model!$G$16-Model!$F$16)</f>
        <v>51.827302096020738</v>
      </c>
      <c r="E426" s="33">
        <f>Model!$D$17</f>
        <v>800</v>
      </c>
      <c r="G426" s="36">
        <f t="shared" ca="1" si="8"/>
        <v>2848.7613612443974</v>
      </c>
    </row>
    <row r="427" spans="1:7" x14ac:dyDescent="0.2">
      <c r="A427" s="6">
        <f ca="1">Model!$F$13+RAND()*(Model!$G$13-Model!$F$13)</f>
        <v>1703.5783556699726</v>
      </c>
      <c r="B427" s="31">
        <f ca="1">Model!$F$14+RAND()*(Model!$G$14-Model!$F$14)</f>
        <v>0.58434385347295781</v>
      </c>
      <c r="C427" s="32">
        <f ca="1">Model!$F$15+RAND()*(Model!$G$15-Model!$F$15)</f>
        <v>4.5418819023448812E-2</v>
      </c>
      <c r="D427" s="33">
        <f ca="1">Model!$F$16+RAND()*(Model!$G$16-Model!$F$16)</f>
        <v>52.363430391088627</v>
      </c>
      <c r="E427" s="33">
        <f>Model!$D$17</f>
        <v>800</v>
      </c>
      <c r="G427" s="36">
        <f t="shared" ca="1" si="8"/>
        <v>2256.1195954174505</v>
      </c>
    </row>
    <row r="428" spans="1:7" x14ac:dyDescent="0.2">
      <c r="A428" s="6">
        <f ca="1">Model!$F$13+RAND()*(Model!$G$13-Model!$F$13)</f>
        <v>1270.8028738678429</v>
      </c>
      <c r="B428" s="31">
        <f ca="1">Model!$F$14+RAND()*(Model!$G$14-Model!$F$14)</f>
        <v>0.78620147472679691</v>
      </c>
      <c r="C428" s="32">
        <f ca="1">Model!$F$15+RAND()*(Model!$G$15-Model!$F$15)</f>
        <v>4.3788598345027789E-2</v>
      </c>
      <c r="D428" s="33">
        <f ca="1">Model!$F$16+RAND()*(Model!$G$16-Model!$F$16)</f>
        <v>51.875355569992031</v>
      </c>
      <c r="E428" s="33">
        <f>Model!$D$17</f>
        <v>800</v>
      </c>
      <c r="G428" s="36">
        <f t="shared" ca="1" si="8"/>
        <v>1087.5840424032851</v>
      </c>
    </row>
    <row r="429" spans="1:7" x14ac:dyDescent="0.2">
      <c r="A429" s="6">
        <f ca="1">Model!$F$13+RAND()*(Model!$G$13-Model!$F$13)</f>
        <v>1385.7962365867013</v>
      </c>
      <c r="B429" s="31">
        <f ca="1">Model!$F$14+RAND()*(Model!$G$14-Model!$F$14)</f>
        <v>0.37148783956858683</v>
      </c>
      <c r="C429" s="32">
        <f ca="1">Model!$F$15+RAND()*(Model!$G$15-Model!$F$15)</f>
        <v>3.1902981946692534E-2</v>
      </c>
      <c r="D429" s="33">
        <f ca="1">Model!$F$16+RAND()*(Model!$G$16-Model!$F$16)</f>
        <v>52.379145436075667</v>
      </c>
      <c r="E429" s="33">
        <f>Model!$D$17</f>
        <v>800</v>
      </c>
      <c r="G429" s="36">
        <f t="shared" ca="1" si="8"/>
        <v>1000.9296416317868</v>
      </c>
    </row>
    <row r="430" spans="1:7" x14ac:dyDescent="0.2">
      <c r="A430" s="6">
        <f ca="1">Model!$F$13+RAND()*(Model!$G$13-Model!$F$13)</f>
        <v>1789.0258929006741</v>
      </c>
      <c r="B430" s="31">
        <f ca="1">Model!$F$14+RAND()*(Model!$G$14-Model!$F$14)</f>
        <v>0.30498185218648105</v>
      </c>
      <c r="C430" s="32">
        <f ca="1">Model!$F$15+RAND()*(Model!$G$15-Model!$F$15)</f>
        <v>3.4302737781918627E-2</v>
      </c>
      <c r="D430" s="33">
        <f ca="1">Model!$F$16+RAND()*(Model!$G$16-Model!$F$16)</f>
        <v>48.569206593027658</v>
      </c>
      <c r="E430" s="33">
        <f>Model!$D$17</f>
        <v>800</v>
      </c>
      <c r="G430" s="36">
        <f t="shared" ca="1" si="8"/>
        <v>1634.9982487429616</v>
      </c>
    </row>
    <row r="431" spans="1:7" x14ac:dyDescent="0.2">
      <c r="A431" s="6">
        <f ca="1">Model!$F$13+RAND()*(Model!$G$13-Model!$F$13)</f>
        <v>1344.3945587737448</v>
      </c>
      <c r="B431" s="31">
        <f ca="1">Model!$F$14+RAND()*(Model!$G$14-Model!$F$14)</f>
        <v>0.28509290819265509</v>
      </c>
      <c r="C431" s="32">
        <f ca="1">Model!$F$15+RAND()*(Model!$G$15-Model!$F$15)</f>
        <v>4.4298029457367855E-2</v>
      </c>
      <c r="D431" s="33">
        <f ca="1">Model!$F$16+RAND()*(Model!$G$16-Model!$F$16)</f>
        <v>50.474339523921628</v>
      </c>
      <c r="E431" s="33">
        <f>Model!$D$17</f>
        <v>800</v>
      </c>
      <c r="G431" s="36">
        <f t="shared" ca="1" si="8"/>
        <v>1822.6729639522707</v>
      </c>
    </row>
    <row r="432" spans="1:7" x14ac:dyDescent="0.2">
      <c r="A432" s="6">
        <f ca="1">Model!$F$13+RAND()*(Model!$G$13-Model!$F$13)</f>
        <v>1512.5022696607805</v>
      </c>
      <c r="B432" s="31">
        <f ca="1">Model!$F$14+RAND()*(Model!$G$14-Model!$F$14)</f>
        <v>0.7914194332708675</v>
      </c>
      <c r="C432" s="32">
        <f ca="1">Model!$F$15+RAND()*(Model!$G$15-Model!$F$15)</f>
        <v>1.6598694595862336E-2</v>
      </c>
      <c r="D432" s="33">
        <f ca="1">Model!$F$16+RAND()*(Model!$G$16-Model!$F$16)</f>
        <v>48.123851654315608</v>
      </c>
      <c r="E432" s="33">
        <f>Model!$D$17</f>
        <v>800</v>
      </c>
      <c r="G432" s="36">
        <f t="shared" ca="1" si="8"/>
        <v>-788.8472875517416</v>
      </c>
    </row>
    <row r="433" spans="1:7" x14ac:dyDescent="0.2">
      <c r="A433" s="6">
        <f ca="1">Model!$F$13+RAND()*(Model!$G$13-Model!$F$13)</f>
        <v>1611.5523277538368</v>
      </c>
      <c r="B433" s="31">
        <f ca="1">Model!$F$14+RAND()*(Model!$G$14-Model!$F$14)</f>
        <v>0.79602095942513018</v>
      </c>
      <c r="C433" s="32">
        <f ca="1">Model!$F$15+RAND()*(Model!$G$15-Model!$F$15)</f>
        <v>1.0608345183153177E-2</v>
      </c>
      <c r="D433" s="33">
        <f ca="1">Model!$F$16+RAND()*(Model!$G$16-Model!$F$16)</f>
        <v>48.931809033889699</v>
      </c>
      <c r="E433" s="33">
        <f>Model!$D$17</f>
        <v>800</v>
      </c>
      <c r="G433" s="36">
        <f t="shared" ca="1" si="8"/>
        <v>-1246.2959509671718</v>
      </c>
    </row>
    <row r="434" spans="1:7" x14ac:dyDescent="0.2">
      <c r="A434" s="6">
        <f ca="1">Model!$F$13+RAND()*(Model!$G$13-Model!$F$13)</f>
        <v>1220.234793744879</v>
      </c>
      <c r="B434" s="31">
        <f ca="1">Model!$F$14+RAND()*(Model!$G$14-Model!$F$14)</f>
        <v>0.41014363020368055</v>
      </c>
      <c r="C434" s="32">
        <f ca="1">Model!$F$15+RAND()*(Model!$G$15-Model!$F$15)</f>
        <v>2.75889808636832E-2</v>
      </c>
      <c r="D434" s="33">
        <f ca="1">Model!$F$16+RAND()*(Model!$G$16-Model!$F$16)</f>
        <v>48.830331887876213</v>
      </c>
      <c r="E434" s="33">
        <f>Model!$D$17</f>
        <v>800</v>
      </c>
      <c r="G434" s="36">
        <f t="shared" ca="1" si="8"/>
        <v>343.4032734834127</v>
      </c>
    </row>
    <row r="435" spans="1:7" x14ac:dyDescent="0.2">
      <c r="A435" s="6">
        <f ca="1">Model!$F$13+RAND()*(Model!$G$13-Model!$F$13)</f>
        <v>1670.8623448752296</v>
      </c>
      <c r="B435" s="31">
        <f ca="1">Model!$F$14+RAND()*(Model!$G$14-Model!$F$14)</f>
        <v>0.57616054982589326</v>
      </c>
      <c r="C435" s="32">
        <f ca="1">Model!$F$15+RAND()*(Model!$G$15-Model!$F$15)</f>
        <v>4.0457598952732682E-2</v>
      </c>
      <c r="D435" s="33">
        <f ca="1">Model!$F$16+RAND()*(Model!$G$16-Model!$F$16)</f>
        <v>51.676773002804907</v>
      </c>
      <c r="E435" s="33">
        <f>Model!$D$17</f>
        <v>800</v>
      </c>
      <c r="G435" s="36">
        <f t="shared" ca="1" si="8"/>
        <v>1730.6172755043567</v>
      </c>
    </row>
    <row r="436" spans="1:7" x14ac:dyDescent="0.2">
      <c r="A436" s="6">
        <f ca="1">Model!$F$13+RAND()*(Model!$G$13-Model!$F$13)</f>
        <v>1771.8870463525218</v>
      </c>
      <c r="B436" s="31">
        <f ca="1">Model!$F$14+RAND()*(Model!$G$14-Model!$F$14)</f>
        <v>0.69451102813474397</v>
      </c>
      <c r="C436" s="32">
        <f ca="1">Model!$F$15+RAND()*(Model!$G$15-Model!$F$15)</f>
        <v>4.444618910833107E-2</v>
      </c>
      <c r="D436" s="33">
        <f ca="1">Model!$F$16+RAND()*(Model!$G$16-Model!$F$16)</f>
        <v>49.905138181448713</v>
      </c>
      <c r="E436" s="33">
        <f>Model!$D$17</f>
        <v>800</v>
      </c>
      <c r="G436" s="36">
        <f t="shared" ca="1" si="8"/>
        <v>1899.6155304882527</v>
      </c>
    </row>
    <row r="437" spans="1:7" x14ac:dyDescent="0.2">
      <c r="A437" s="6">
        <f ca="1">Model!$F$13+RAND()*(Model!$G$13-Model!$F$13)</f>
        <v>1572.4781148676966</v>
      </c>
      <c r="B437" s="31">
        <f ca="1">Model!$F$14+RAND()*(Model!$G$14-Model!$F$14)</f>
        <v>0.64208444469100834</v>
      </c>
      <c r="C437" s="32">
        <f ca="1">Model!$F$15+RAND()*(Model!$G$15-Model!$F$15)</f>
        <v>4.9787987353927241E-2</v>
      </c>
      <c r="D437" s="33">
        <f ca="1">Model!$F$16+RAND()*(Model!$G$16-Model!$F$16)</f>
        <v>49.479300701445993</v>
      </c>
      <c r="E437" s="33">
        <f>Model!$D$17</f>
        <v>800</v>
      </c>
      <c r="G437" s="36">
        <f t="shared" ca="1" si="8"/>
        <v>2064.0964685880185</v>
      </c>
    </row>
    <row r="438" spans="1:7" x14ac:dyDescent="0.2">
      <c r="A438" s="6">
        <f ca="1">Model!$F$13+RAND()*(Model!$G$13-Model!$F$13)</f>
        <v>1468.0093262761932</v>
      </c>
      <c r="B438" s="31">
        <f ca="1">Model!$F$14+RAND()*(Model!$G$14-Model!$F$14)</f>
        <v>0.65798482229929212</v>
      </c>
      <c r="C438" s="32">
        <f ca="1">Model!$F$15+RAND()*(Model!$G$15-Model!$F$15)</f>
        <v>1.7246811586625395E-2</v>
      </c>
      <c r="D438" s="33">
        <f ca="1">Model!$F$16+RAND()*(Model!$G$16-Model!$F$16)</f>
        <v>47.272801873109401</v>
      </c>
      <c r="E438" s="33">
        <f>Model!$D$17</f>
        <v>800</v>
      </c>
      <c r="G438" s="36">
        <f t="shared" ca="1" si="8"/>
        <v>-569.05235473332573</v>
      </c>
    </row>
    <row r="439" spans="1:7" x14ac:dyDescent="0.2">
      <c r="A439" s="6">
        <f ca="1">Model!$F$13+RAND()*(Model!$G$13-Model!$F$13)</f>
        <v>1629.1159911581681</v>
      </c>
      <c r="B439" s="31">
        <f ca="1">Model!$F$14+RAND()*(Model!$G$14-Model!$F$14)</f>
        <v>0.37955656909888263</v>
      </c>
      <c r="C439" s="32">
        <f ca="1">Model!$F$15+RAND()*(Model!$G$15-Model!$F$15)</f>
        <v>2.3695759969013405E-2</v>
      </c>
      <c r="D439" s="33">
        <f ca="1">Model!$F$16+RAND()*(Model!$G$16-Model!$F$16)</f>
        <v>50.825563199549705</v>
      </c>
      <c r="E439" s="33">
        <f>Model!$D$17</f>
        <v>800</v>
      </c>
      <c r="G439" s="36">
        <f t="shared" ca="1" si="8"/>
        <v>543.68473113978553</v>
      </c>
    </row>
    <row r="440" spans="1:7" x14ac:dyDescent="0.2">
      <c r="A440" s="6">
        <f ca="1">Model!$F$13+RAND()*(Model!$G$13-Model!$F$13)</f>
        <v>1290.8271519074738</v>
      </c>
      <c r="B440" s="31">
        <f ca="1">Model!$F$14+RAND()*(Model!$G$14-Model!$F$14)</f>
        <v>0.78384882662591049</v>
      </c>
      <c r="C440" s="32">
        <f ca="1">Model!$F$15+RAND()*(Model!$G$15-Model!$F$15)</f>
        <v>2.8483049362153276E-2</v>
      </c>
      <c r="D440" s="33">
        <f ca="1">Model!$F$16+RAND()*(Model!$G$16-Model!$F$16)</f>
        <v>50.904724173748178</v>
      </c>
      <c r="E440" s="33">
        <f>Model!$D$17</f>
        <v>800</v>
      </c>
      <c r="G440" s="36">
        <f t="shared" ca="1" si="8"/>
        <v>59.785042275258093</v>
      </c>
    </row>
    <row r="441" spans="1:7" x14ac:dyDescent="0.2">
      <c r="A441" s="6">
        <f ca="1">Model!$F$13+RAND()*(Model!$G$13-Model!$F$13)</f>
        <v>1208.5584084146458</v>
      </c>
      <c r="B441" s="31">
        <f ca="1">Model!$F$14+RAND()*(Model!$G$14-Model!$F$14)</f>
        <v>0.55155563143044561</v>
      </c>
      <c r="C441" s="32">
        <f ca="1">Model!$F$15+RAND()*(Model!$G$15-Model!$F$15)</f>
        <v>4.7712102429665927E-2</v>
      </c>
      <c r="D441" s="33">
        <f ca="1">Model!$F$16+RAND()*(Model!$G$16-Model!$F$16)</f>
        <v>50.54338925924695</v>
      </c>
      <c r="E441" s="33">
        <f>Model!$D$17</f>
        <v>800</v>
      </c>
      <c r="G441" s="36">
        <f t="shared" ca="1" si="8"/>
        <v>1447.8893128323894</v>
      </c>
    </row>
    <row r="442" spans="1:7" x14ac:dyDescent="0.2">
      <c r="A442" s="6">
        <f ca="1">Model!$F$13+RAND()*(Model!$G$13-Model!$F$13)</f>
        <v>1543.8539723716394</v>
      </c>
      <c r="B442" s="31">
        <f ca="1">Model!$F$14+RAND()*(Model!$G$14-Model!$F$14)</f>
        <v>0.74940293398444457</v>
      </c>
      <c r="C442" s="32">
        <f ca="1">Model!$F$15+RAND()*(Model!$G$15-Model!$F$15)</f>
        <v>3.9854645841120674E-2</v>
      </c>
      <c r="D442" s="33">
        <f ca="1">Model!$F$16+RAND()*(Model!$G$16-Model!$F$16)</f>
        <v>50.643885932479591</v>
      </c>
      <c r="E442" s="33">
        <f>Model!$D$17</f>
        <v>800</v>
      </c>
      <c r="G442" s="36">
        <f t="shared" ca="1" si="8"/>
        <v>1159.137111003449</v>
      </c>
    </row>
    <row r="443" spans="1:7" x14ac:dyDescent="0.2">
      <c r="A443" s="6">
        <f ca="1">Model!$F$13+RAND()*(Model!$G$13-Model!$F$13)</f>
        <v>1692.7001917986295</v>
      </c>
      <c r="B443" s="31">
        <f ca="1">Model!$F$14+RAND()*(Model!$G$14-Model!$F$14)</f>
        <v>0.51031899332486119</v>
      </c>
      <c r="C443" s="32">
        <f ca="1">Model!$F$15+RAND()*(Model!$G$15-Model!$F$15)</f>
        <v>2.6996845516740517E-2</v>
      </c>
      <c r="D443" s="33">
        <f ca="1">Model!$F$16+RAND()*(Model!$G$16-Model!$F$16)</f>
        <v>47.340951692790895</v>
      </c>
      <c r="E443" s="33">
        <f>Model!$D$17</f>
        <v>800</v>
      </c>
      <c r="G443" s="36">
        <f t="shared" ca="1" si="8"/>
        <v>499.54918691765897</v>
      </c>
    </row>
    <row r="444" spans="1:7" x14ac:dyDescent="0.2">
      <c r="A444" s="6">
        <f ca="1">Model!$F$13+RAND()*(Model!$G$13-Model!$F$13)</f>
        <v>1416.0187466342088</v>
      </c>
      <c r="B444" s="31">
        <f ca="1">Model!$F$14+RAND()*(Model!$G$14-Model!$F$14)</f>
        <v>0.68255514352178026</v>
      </c>
      <c r="C444" s="32">
        <f ca="1">Model!$F$15+RAND()*(Model!$G$15-Model!$F$15)</f>
        <v>2.8817989575238415E-2</v>
      </c>
      <c r="D444" s="33">
        <f ca="1">Model!$F$16+RAND()*(Model!$G$16-Model!$F$16)</f>
        <v>51.436954394200434</v>
      </c>
      <c r="E444" s="33">
        <f>Model!$D$17</f>
        <v>800</v>
      </c>
      <c r="G444" s="36">
        <f t="shared" ca="1" si="8"/>
        <v>332.46732504564261</v>
      </c>
    </row>
    <row r="445" spans="1:7" x14ac:dyDescent="0.2">
      <c r="A445" s="6">
        <f ca="1">Model!$F$13+RAND()*(Model!$G$13-Model!$F$13)</f>
        <v>1751.2667682499655</v>
      </c>
      <c r="B445" s="31">
        <f ca="1">Model!$F$14+RAND()*(Model!$G$14-Model!$F$14)</f>
        <v>0.72949571233753718</v>
      </c>
      <c r="C445" s="32">
        <f ca="1">Model!$F$15+RAND()*(Model!$G$15-Model!$F$15)</f>
        <v>1.8978086087681093E-2</v>
      </c>
      <c r="D445" s="33">
        <f ca="1">Model!$F$16+RAND()*(Model!$G$16-Model!$F$16)</f>
        <v>49.896326230665998</v>
      </c>
      <c r="E445" s="33">
        <f>Model!$D$17</f>
        <v>800</v>
      </c>
      <c r="G445" s="36">
        <f t="shared" ca="1" si="8"/>
        <v>-419.20269349364594</v>
      </c>
    </row>
    <row r="446" spans="1:7" x14ac:dyDescent="0.2">
      <c r="A446" s="6">
        <f ca="1">Model!$F$13+RAND()*(Model!$G$13-Model!$F$13)</f>
        <v>1456.6332164824416</v>
      </c>
      <c r="B446" s="31">
        <f ca="1">Model!$F$14+RAND()*(Model!$G$14-Model!$F$14)</f>
        <v>0.57116509051809039</v>
      </c>
      <c r="C446" s="32">
        <f ca="1">Model!$F$15+RAND()*(Model!$G$15-Model!$F$15)</f>
        <v>4.5398989993266879E-2</v>
      </c>
      <c r="D446" s="33">
        <f ca="1">Model!$F$16+RAND()*(Model!$G$16-Model!$F$16)</f>
        <v>48.121313507528221</v>
      </c>
      <c r="E446" s="33">
        <f>Model!$D$17</f>
        <v>800</v>
      </c>
      <c r="G446" s="36">
        <f t="shared" ca="1" si="8"/>
        <v>1550.268867412196</v>
      </c>
    </row>
    <row r="447" spans="1:7" x14ac:dyDescent="0.2">
      <c r="A447" s="6">
        <f ca="1">Model!$F$13+RAND()*(Model!$G$13-Model!$F$13)</f>
        <v>1362.3681064798689</v>
      </c>
      <c r="B447" s="31">
        <f ca="1">Model!$F$14+RAND()*(Model!$G$14-Model!$F$14)</f>
        <v>0.79540152198723835</v>
      </c>
      <c r="C447" s="32">
        <f ca="1">Model!$F$15+RAND()*(Model!$G$15-Model!$F$15)</f>
        <v>2.5553443714931838E-2</v>
      </c>
      <c r="D447" s="33">
        <f ca="1">Model!$F$16+RAND()*(Model!$G$16-Model!$F$16)</f>
        <v>50.461725177168915</v>
      </c>
      <c r="E447" s="33">
        <f>Model!$D$17</f>
        <v>800</v>
      </c>
      <c r="G447" s="36">
        <f t="shared" ca="1" si="8"/>
        <v>-126.89569957635035</v>
      </c>
    </row>
    <row r="448" spans="1:7" x14ac:dyDescent="0.2">
      <c r="A448" s="6">
        <f ca="1">Model!$F$13+RAND()*(Model!$G$13-Model!$F$13)</f>
        <v>1643.0141544353446</v>
      </c>
      <c r="B448" s="31">
        <f ca="1">Model!$F$14+RAND()*(Model!$G$14-Model!$F$14)</f>
        <v>0.65340928201485016</v>
      </c>
      <c r="C448" s="32">
        <f ca="1">Model!$F$15+RAND()*(Model!$G$15-Model!$F$15)</f>
        <v>1.7175955536519783E-2</v>
      </c>
      <c r="D448" s="33">
        <f ca="1">Model!$F$16+RAND()*(Model!$G$16-Model!$F$16)</f>
        <v>51.908220543687932</v>
      </c>
      <c r="E448" s="33">
        <f>Model!$D$17</f>
        <v>800</v>
      </c>
      <c r="G448" s="36">
        <f t="shared" ca="1" si="8"/>
        <v>-408.69316702653487</v>
      </c>
    </row>
    <row r="449" spans="1:7" x14ac:dyDescent="0.2">
      <c r="A449" s="6">
        <f ca="1">Model!$F$13+RAND()*(Model!$G$13-Model!$F$13)</f>
        <v>1610.7015133889136</v>
      </c>
      <c r="B449" s="31">
        <f ca="1">Model!$F$14+RAND()*(Model!$G$14-Model!$F$14)</f>
        <v>0.64161070014026489</v>
      </c>
      <c r="C449" s="32">
        <f ca="1">Model!$F$15+RAND()*(Model!$G$15-Model!$F$15)</f>
        <v>2.8065313469944557E-2</v>
      </c>
      <c r="D449" s="33">
        <f ca="1">Model!$F$16+RAND()*(Model!$G$16-Model!$F$16)</f>
        <v>48.182042922127756</v>
      </c>
      <c r="E449" s="33">
        <f>Model!$D$17</f>
        <v>800</v>
      </c>
      <c r="G449" s="36">
        <f t="shared" ca="1" si="8"/>
        <v>344.61835419886484</v>
      </c>
    </row>
    <row r="450" spans="1:7" x14ac:dyDescent="0.2">
      <c r="A450" s="6">
        <f ca="1">Model!$F$13+RAND()*(Model!$G$13-Model!$F$13)</f>
        <v>1476.6170510238039</v>
      </c>
      <c r="B450" s="31">
        <f ca="1">Model!$F$14+RAND()*(Model!$G$14-Model!$F$14)</f>
        <v>0.70936549860548626</v>
      </c>
      <c r="C450" s="32">
        <f ca="1">Model!$F$15+RAND()*(Model!$G$15-Model!$F$15)</f>
        <v>4.8124127990670694E-2</v>
      </c>
      <c r="D450" s="33">
        <f ca="1">Model!$F$16+RAND()*(Model!$G$16-Model!$F$16)</f>
        <v>51.758384283416099</v>
      </c>
      <c r="E450" s="33">
        <f>Model!$D$17</f>
        <v>800</v>
      </c>
      <c r="G450" s="36">
        <f t="shared" ca="1" si="8"/>
        <v>1830.5365909012471</v>
      </c>
    </row>
    <row r="451" spans="1:7" x14ac:dyDescent="0.2">
      <c r="A451" s="6">
        <f ca="1">Model!$F$13+RAND()*(Model!$G$13-Model!$F$13)</f>
        <v>1357.4180503752616</v>
      </c>
      <c r="B451" s="31">
        <f ca="1">Model!$F$14+RAND()*(Model!$G$14-Model!$F$14)</f>
        <v>0.22181376011439652</v>
      </c>
      <c r="C451" s="32">
        <f ca="1">Model!$F$15+RAND()*(Model!$G$15-Model!$F$15)</f>
        <v>3.878048868302144E-2</v>
      </c>
      <c r="D451" s="33">
        <f ca="1">Model!$F$16+RAND()*(Model!$G$16-Model!$F$16)</f>
        <v>51.562661959298701</v>
      </c>
      <c r="E451" s="33">
        <f>Model!$D$17</f>
        <v>800</v>
      </c>
      <c r="G451" s="36">
        <f t="shared" ref="G451:G514" ca="1" si="9">A451*C451*D451-(E451+A451*B451)</f>
        <v>1613.233377458062</v>
      </c>
    </row>
    <row r="452" spans="1:7" x14ac:dyDescent="0.2">
      <c r="A452" s="6">
        <f ca="1">Model!$F$13+RAND()*(Model!$G$13-Model!$F$13)</f>
        <v>1764.1342811876689</v>
      </c>
      <c r="B452" s="31">
        <f ca="1">Model!$F$14+RAND()*(Model!$G$14-Model!$F$14)</f>
        <v>0.66989195456825712</v>
      </c>
      <c r="C452" s="32">
        <f ca="1">Model!$F$15+RAND()*(Model!$G$15-Model!$F$15)</f>
        <v>4.4874890503961921E-2</v>
      </c>
      <c r="D452" s="33">
        <f ca="1">Model!$F$16+RAND()*(Model!$G$16-Model!$F$16)</f>
        <v>50.856051084701107</v>
      </c>
      <c r="E452" s="33">
        <f>Model!$D$17</f>
        <v>800</v>
      </c>
      <c r="G452" s="36">
        <f t="shared" ca="1" si="9"/>
        <v>2044.256842314205</v>
      </c>
    </row>
    <row r="453" spans="1:7" x14ac:dyDescent="0.2">
      <c r="A453" s="6">
        <f ca="1">Model!$F$13+RAND()*(Model!$G$13-Model!$F$13)</f>
        <v>1592.3457243207838</v>
      </c>
      <c r="B453" s="31">
        <f ca="1">Model!$F$14+RAND()*(Model!$G$14-Model!$F$14)</f>
        <v>0.32217443000322782</v>
      </c>
      <c r="C453" s="32">
        <f ca="1">Model!$F$15+RAND()*(Model!$G$15-Model!$F$15)</f>
        <v>2.7392588208325595E-2</v>
      </c>
      <c r="D453" s="33">
        <f ca="1">Model!$F$16+RAND()*(Model!$G$16-Model!$F$16)</f>
        <v>51.351884214588672</v>
      </c>
      <c r="E453" s="33">
        <f>Model!$D$17</f>
        <v>800</v>
      </c>
      <c r="G453" s="36">
        <f t="shared" ca="1" si="9"/>
        <v>926.87758149875344</v>
      </c>
    </row>
    <row r="454" spans="1:7" x14ac:dyDescent="0.2">
      <c r="A454" s="6">
        <f ca="1">Model!$F$13+RAND()*(Model!$G$13-Model!$F$13)</f>
        <v>1503.4822199244124</v>
      </c>
      <c r="B454" s="31">
        <f ca="1">Model!$F$14+RAND()*(Model!$G$14-Model!$F$14)</f>
        <v>0.44737289328668356</v>
      </c>
      <c r="C454" s="32">
        <f ca="1">Model!$F$15+RAND()*(Model!$G$15-Model!$F$15)</f>
        <v>4.0735571245839132E-2</v>
      </c>
      <c r="D454" s="33">
        <f ca="1">Model!$F$16+RAND()*(Model!$G$16-Model!$F$16)</f>
        <v>47.078716322902849</v>
      </c>
      <c r="E454" s="33">
        <f>Model!$D$17</f>
        <v>800</v>
      </c>
      <c r="G454" s="36">
        <f t="shared" ca="1" si="9"/>
        <v>1410.7285398340236</v>
      </c>
    </row>
    <row r="455" spans="1:7" x14ac:dyDescent="0.2">
      <c r="A455" s="6">
        <f ca="1">Model!$F$13+RAND()*(Model!$G$13-Model!$F$13)</f>
        <v>1313.3639233986521</v>
      </c>
      <c r="B455" s="31">
        <f ca="1">Model!$F$14+RAND()*(Model!$G$14-Model!$F$14)</f>
        <v>0.5573594210356243</v>
      </c>
      <c r="C455" s="32">
        <f ca="1">Model!$F$15+RAND()*(Model!$G$15-Model!$F$15)</f>
        <v>2.3801848649379898E-2</v>
      </c>
      <c r="D455" s="33">
        <f ca="1">Model!$F$16+RAND()*(Model!$G$16-Model!$F$16)</f>
        <v>49.549691317901917</v>
      </c>
      <c r="E455" s="33">
        <f>Model!$D$17</f>
        <v>800</v>
      </c>
      <c r="G455" s="36">
        <f t="shared" ca="1" si="9"/>
        <v>16.931840609712708</v>
      </c>
    </row>
    <row r="456" spans="1:7" x14ac:dyDescent="0.2">
      <c r="A456" s="6">
        <f ca="1">Model!$F$13+RAND()*(Model!$G$13-Model!$F$13)</f>
        <v>1730.4455176548158</v>
      </c>
      <c r="B456" s="31">
        <f ca="1">Model!$F$14+RAND()*(Model!$G$14-Model!$F$14)</f>
        <v>0.26665550065197946</v>
      </c>
      <c r="C456" s="32">
        <f ca="1">Model!$F$15+RAND()*(Model!$G$15-Model!$F$15)</f>
        <v>3.8334188830142335E-2</v>
      </c>
      <c r="D456" s="33">
        <f ca="1">Model!$F$16+RAND()*(Model!$G$16-Model!$F$16)</f>
        <v>47.121251117472227</v>
      </c>
      <c r="E456" s="33">
        <f>Model!$D$17</f>
        <v>800</v>
      </c>
      <c r="G456" s="36">
        <f t="shared" ca="1" si="9"/>
        <v>1864.3659903266782</v>
      </c>
    </row>
    <row r="457" spans="1:7" x14ac:dyDescent="0.2">
      <c r="A457" s="6">
        <f ca="1">Model!$F$13+RAND()*(Model!$G$13-Model!$F$13)</f>
        <v>1591.3717381521783</v>
      </c>
      <c r="B457" s="31">
        <f ca="1">Model!$F$14+RAND()*(Model!$G$14-Model!$F$14)</f>
        <v>0.32545344022056855</v>
      </c>
      <c r="C457" s="32">
        <f ca="1">Model!$F$15+RAND()*(Model!$G$15-Model!$F$15)</f>
        <v>4.1027404170423727E-2</v>
      </c>
      <c r="D457" s="33">
        <f ca="1">Model!$F$16+RAND()*(Model!$G$16-Model!$F$16)</f>
        <v>48.548349423255566</v>
      </c>
      <c r="E457" s="33">
        <f>Model!$D$17</f>
        <v>800</v>
      </c>
      <c r="G457" s="36">
        <f t="shared" ca="1" si="9"/>
        <v>1851.7971169105222</v>
      </c>
    </row>
    <row r="458" spans="1:7" x14ac:dyDescent="0.2">
      <c r="A458" s="6">
        <f ca="1">Model!$F$13+RAND()*(Model!$G$13-Model!$F$13)</f>
        <v>1353.0323680962658</v>
      </c>
      <c r="B458" s="31">
        <f ca="1">Model!$F$14+RAND()*(Model!$G$14-Model!$F$14)</f>
        <v>0.75007616756940165</v>
      </c>
      <c r="C458" s="32">
        <f ca="1">Model!$F$15+RAND()*(Model!$G$15-Model!$F$15)</f>
        <v>4.9699575938138493E-2</v>
      </c>
      <c r="D458" s="33">
        <f ca="1">Model!$F$16+RAND()*(Model!$G$16-Model!$F$16)</f>
        <v>50.89408597659488</v>
      </c>
      <c r="E458" s="33">
        <f>Model!$D$17</f>
        <v>800</v>
      </c>
      <c r="G458" s="36">
        <f t="shared" ca="1" si="9"/>
        <v>1607.5023451196239</v>
      </c>
    </row>
    <row r="459" spans="1:7" x14ac:dyDescent="0.2">
      <c r="A459" s="6">
        <f ca="1">Model!$F$13+RAND()*(Model!$G$13-Model!$F$13)</f>
        <v>1408.1072575320629</v>
      </c>
      <c r="B459" s="31">
        <f ca="1">Model!$F$14+RAND()*(Model!$G$14-Model!$F$14)</f>
        <v>0.25191497073114077</v>
      </c>
      <c r="C459" s="32">
        <f ca="1">Model!$F$15+RAND()*(Model!$G$15-Model!$F$15)</f>
        <v>1.5579229281672205E-2</v>
      </c>
      <c r="D459" s="33">
        <f ca="1">Model!$F$16+RAND()*(Model!$G$16-Model!$F$16)</f>
        <v>49.626247464386552</v>
      </c>
      <c r="E459" s="33">
        <f>Model!$D$17</f>
        <v>800</v>
      </c>
      <c r="G459" s="36">
        <f t="shared" ca="1" si="9"/>
        <v>-66.061101427470021</v>
      </c>
    </row>
    <row r="460" spans="1:7" x14ac:dyDescent="0.2">
      <c r="A460" s="6">
        <f ca="1">Model!$F$13+RAND()*(Model!$G$13-Model!$F$13)</f>
        <v>1485.6481624938808</v>
      </c>
      <c r="B460" s="31">
        <f ca="1">Model!$F$14+RAND()*(Model!$G$14-Model!$F$14)</f>
        <v>0.20184774897262978</v>
      </c>
      <c r="C460" s="32">
        <f ca="1">Model!$F$15+RAND()*(Model!$G$15-Model!$F$15)</f>
        <v>2.0481538142403062E-2</v>
      </c>
      <c r="D460" s="33">
        <f ca="1">Model!$F$16+RAND()*(Model!$G$16-Model!$F$16)</f>
        <v>52.905755474696761</v>
      </c>
      <c r="E460" s="33">
        <f>Model!$D$17</f>
        <v>800</v>
      </c>
      <c r="G460" s="36">
        <f t="shared" ca="1" si="9"/>
        <v>509.96061017225838</v>
      </c>
    </row>
    <row r="461" spans="1:7" x14ac:dyDescent="0.2">
      <c r="A461" s="6">
        <f ca="1">Model!$F$13+RAND()*(Model!$G$13-Model!$F$13)</f>
        <v>1744.301742568334</v>
      </c>
      <c r="B461" s="31">
        <f ca="1">Model!$F$14+RAND()*(Model!$G$14-Model!$F$14)</f>
        <v>0.39564913816256619</v>
      </c>
      <c r="C461" s="32">
        <f ca="1">Model!$F$15+RAND()*(Model!$G$15-Model!$F$15)</f>
        <v>4.0671662178571981E-2</v>
      </c>
      <c r="D461" s="33">
        <f ca="1">Model!$F$16+RAND()*(Model!$G$16-Model!$F$16)</f>
        <v>49.735879629233146</v>
      </c>
      <c r="E461" s="33">
        <f>Model!$D$17</f>
        <v>800</v>
      </c>
      <c r="G461" s="36">
        <f t="shared" ca="1" si="9"/>
        <v>2038.3134159575966</v>
      </c>
    </row>
    <row r="462" spans="1:7" x14ac:dyDescent="0.2">
      <c r="A462" s="6">
        <f ca="1">Model!$F$13+RAND()*(Model!$G$13-Model!$F$13)</f>
        <v>1797.944114414081</v>
      </c>
      <c r="B462" s="31">
        <f ca="1">Model!$F$14+RAND()*(Model!$G$14-Model!$F$14)</f>
        <v>0.74271927194983745</v>
      </c>
      <c r="C462" s="32">
        <f ca="1">Model!$F$15+RAND()*(Model!$G$15-Model!$F$15)</f>
        <v>4.5406925283096575E-2</v>
      </c>
      <c r="D462" s="33">
        <f ca="1">Model!$F$16+RAND()*(Model!$G$16-Model!$F$16)</f>
        <v>47.447499118587892</v>
      </c>
      <c r="E462" s="33">
        <f>Model!$D$17</f>
        <v>800</v>
      </c>
      <c r="G462" s="36">
        <f t="shared" ca="1" si="9"/>
        <v>1738.2040490429017</v>
      </c>
    </row>
    <row r="463" spans="1:7" x14ac:dyDescent="0.2">
      <c r="A463" s="6">
        <f ca="1">Model!$F$13+RAND()*(Model!$G$13-Model!$F$13)</f>
        <v>1294.968093874666</v>
      </c>
      <c r="B463" s="31">
        <f ca="1">Model!$F$14+RAND()*(Model!$G$14-Model!$F$14)</f>
        <v>0.48756715012174229</v>
      </c>
      <c r="C463" s="32">
        <f ca="1">Model!$F$15+RAND()*(Model!$G$15-Model!$F$15)</f>
        <v>3.4393062572017546E-2</v>
      </c>
      <c r="D463" s="33">
        <f ca="1">Model!$F$16+RAND()*(Model!$G$16-Model!$F$16)</f>
        <v>49.162905557094987</v>
      </c>
      <c r="E463" s="33">
        <f>Model!$D$17</f>
        <v>800</v>
      </c>
      <c r="G463" s="36">
        <f t="shared" ca="1" si="9"/>
        <v>758.22958681407476</v>
      </c>
    </row>
    <row r="464" spans="1:7" x14ac:dyDescent="0.2">
      <c r="A464" s="6">
        <f ca="1">Model!$F$13+RAND()*(Model!$G$13-Model!$F$13)</f>
        <v>1472.43949449406</v>
      </c>
      <c r="B464" s="31">
        <f ca="1">Model!$F$14+RAND()*(Model!$G$14-Model!$F$14)</f>
        <v>0.37875992741738673</v>
      </c>
      <c r="C464" s="32">
        <f ca="1">Model!$F$15+RAND()*(Model!$G$15-Model!$F$15)</f>
        <v>4.9124937841103278E-2</v>
      </c>
      <c r="D464" s="33">
        <f ca="1">Model!$F$16+RAND()*(Model!$G$16-Model!$F$16)</f>
        <v>51.980390688320341</v>
      </c>
      <c r="E464" s="33">
        <f>Model!$D$17</f>
        <v>800</v>
      </c>
      <c r="G464" s="36">
        <f t="shared" ca="1" si="9"/>
        <v>2402.2224431931127</v>
      </c>
    </row>
    <row r="465" spans="1:7" x14ac:dyDescent="0.2">
      <c r="A465" s="6">
        <f ca="1">Model!$F$13+RAND()*(Model!$G$13-Model!$F$13)</f>
        <v>1686.5402966125926</v>
      </c>
      <c r="B465" s="31">
        <f ca="1">Model!$F$14+RAND()*(Model!$G$14-Model!$F$14)</f>
        <v>0.41205428280849565</v>
      </c>
      <c r="C465" s="32">
        <f ca="1">Model!$F$15+RAND()*(Model!$G$15-Model!$F$15)</f>
        <v>3.966030472976885E-2</v>
      </c>
      <c r="D465" s="33">
        <f ca="1">Model!$F$16+RAND()*(Model!$G$16-Model!$F$16)</f>
        <v>49.01937412070437</v>
      </c>
      <c r="E465" s="33">
        <f>Model!$D$17</f>
        <v>800</v>
      </c>
      <c r="G465" s="36">
        <f t="shared" ca="1" si="9"/>
        <v>1783.8961604717845</v>
      </c>
    </row>
    <row r="466" spans="1:7" x14ac:dyDescent="0.2">
      <c r="A466" s="6">
        <f ca="1">Model!$F$13+RAND()*(Model!$G$13-Model!$F$13)</f>
        <v>1359.588499884977</v>
      </c>
      <c r="B466" s="31">
        <f ca="1">Model!$F$14+RAND()*(Model!$G$14-Model!$F$14)</f>
        <v>0.6261983344613663</v>
      </c>
      <c r="C466" s="32">
        <f ca="1">Model!$F$15+RAND()*(Model!$G$15-Model!$F$15)</f>
        <v>4.4609256359208836E-2</v>
      </c>
      <c r="D466" s="33">
        <f ca="1">Model!$F$16+RAND()*(Model!$G$16-Model!$F$16)</f>
        <v>51.792821840309216</v>
      </c>
      <c r="E466" s="33">
        <f>Model!$D$17</f>
        <v>800</v>
      </c>
      <c r="G466" s="36">
        <f t="shared" ca="1" si="9"/>
        <v>1489.8746029710692</v>
      </c>
    </row>
    <row r="467" spans="1:7" x14ac:dyDescent="0.2">
      <c r="A467" s="6">
        <f ca="1">Model!$F$13+RAND()*(Model!$G$13-Model!$F$13)</f>
        <v>1589.6173410970832</v>
      </c>
      <c r="B467" s="31">
        <f ca="1">Model!$F$14+RAND()*(Model!$G$14-Model!$F$14)</f>
        <v>0.20362591500236038</v>
      </c>
      <c r="C467" s="32">
        <f ca="1">Model!$F$15+RAND()*(Model!$G$15-Model!$F$15)</f>
        <v>4.2497658652390351E-2</v>
      </c>
      <c r="D467" s="33">
        <f ca="1">Model!$F$16+RAND()*(Model!$G$16-Model!$F$16)</f>
        <v>48.909785120355167</v>
      </c>
      <c r="E467" s="33">
        <f>Model!$D$17</f>
        <v>800</v>
      </c>
      <c r="G467" s="36">
        <f t="shared" ca="1" si="9"/>
        <v>2180.4139891976833</v>
      </c>
    </row>
    <row r="468" spans="1:7" x14ac:dyDescent="0.2">
      <c r="A468" s="6">
        <f ca="1">Model!$F$13+RAND()*(Model!$G$13-Model!$F$13)</f>
        <v>1327.8111800184363</v>
      </c>
      <c r="B468" s="31">
        <f ca="1">Model!$F$14+RAND()*(Model!$G$14-Model!$F$14)</f>
        <v>0.76019229915903774</v>
      </c>
      <c r="C468" s="32">
        <f ca="1">Model!$F$15+RAND()*(Model!$G$15-Model!$F$15)</f>
        <v>3.025662968626211E-2</v>
      </c>
      <c r="D468" s="33">
        <f ca="1">Model!$F$16+RAND()*(Model!$G$16-Model!$F$16)</f>
        <v>48.775996827164015</v>
      </c>
      <c r="E468" s="33">
        <f>Model!$D$17</f>
        <v>800</v>
      </c>
      <c r="G468" s="36">
        <f t="shared" ca="1" si="9"/>
        <v>150.18828551003571</v>
      </c>
    </row>
    <row r="469" spans="1:7" x14ac:dyDescent="0.2">
      <c r="A469" s="6">
        <f ca="1">Model!$F$13+RAND()*(Model!$G$13-Model!$F$13)</f>
        <v>1393.6240918602261</v>
      </c>
      <c r="B469" s="31">
        <f ca="1">Model!$F$14+RAND()*(Model!$G$14-Model!$F$14)</f>
        <v>0.34671415584194731</v>
      </c>
      <c r="C469" s="32">
        <f ca="1">Model!$F$15+RAND()*(Model!$G$15-Model!$F$15)</f>
        <v>4.8931458977973741E-2</v>
      </c>
      <c r="D469" s="33">
        <f ca="1">Model!$F$16+RAND()*(Model!$G$16-Model!$F$16)</f>
        <v>49.148443037061789</v>
      </c>
      <c r="E469" s="33">
        <f>Model!$D$17</f>
        <v>800</v>
      </c>
      <c r="G469" s="36">
        <f t="shared" ca="1" si="9"/>
        <v>2068.3443799288443</v>
      </c>
    </row>
    <row r="470" spans="1:7" x14ac:dyDescent="0.2">
      <c r="A470" s="6">
        <f ca="1">Model!$F$13+RAND()*(Model!$G$13-Model!$F$13)</f>
        <v>1243.9800194736001</v>
      </c>
      <c r="B470" s="31">
        <f ca="1">Model!$F$14+RAND()*(Model!$G$14-Model!$F$14)</f>
        <v>0.53891684243581439</v>
      </c>
      <c r="C470" s="32">
        <f ca="1">Model!$F$15+RAND()*(Model!$G$15-Model!$F$15)</f>
        <v>2.4316572189712303E-2</v>
      </c>
      <c r="D470" s="33">
        <f ca="1">Model!$F$16+RAND()*(Model!$G$16-Model!$F$16)</f>
        <v>50.44811813482653</v>
      </c>
      <c r="E470" s="33">
        <f>Model!$D$17</f>
        <v>800</v>
      </c>
      <c r="G470" s="36">
        <f t="shared" ca="1" si="9"/>
        <v>55.619986471714128</v>
      </c>
    </row>
    <row r="471" spans="1:7" x14ac:dyDescent="0.2">
      <c r="A471" s="6">
        <f ca="1">Model!$F$13+RAND()*(Model!$G$13-Model!$F$13)</f>
        <v>1628.6043087838098</v>
      </c>
      <c r="B471" s="31">
        <f ca="1">Model!$F$14+RAND()*(Model!$G$14-Model!$F$14)</f>
        <v>0.59864766913786216</v>
      </c>
      <c r="C471" s="32">
        <f ca="1">Model!$F$15+RAND()*(Model!$G$15-Model!$F$15)</f>
        <v>1.0131108795037718E-2</v>
      </c>
      <c r="D471" s="33">
        <f ca="1">Model!$F$16+RAND()*(Model!$G$16-Model!$F$16)</f>
        <v>48.256139784372706</v>
      </c>
      <c r="E471" s="33">
        <f>Model!$D$17</f>
        <v>800</v>
      </c>
      <c r="G471" s="36">
        <f t="shared" ca="1" si="9"/>
        <v>-978.75474081082871</v>
      </c>
    </row>
    <row r="472" spans="1:7" x14ac:dyDescent="0.2">
      <c r="A472" s="6">
        <f ca="1">Model!$F$13+RAND()*(Model!$G$13-Model!$F$13)</f>
        <v>1227.2734638605457</v>
      </c>
      <c r="B472" s="31">
        <f ca="1">Model!$F$14+RAND()*(Model!$G$14-Model!$F$14)</f>
        <v>0.42169061371424299</v>
      </c>
      <c r="C472" s="32">
        <f ca="1">Model!$F$15+RAND()*(Model!$G$15-Model!$F$15)</f>
        <v>2.5327743239918692E-2</v>
      </c>
      <c r="D472" s="33">
        <f ca="1">Model!$F$16+RAND()*(Model!$G$16-Model!$F$16)</f>
        <v>52.357848881469316</v>
      </c>
      <c r="E472" s="33">
        <f>Model!$D$17</f>
        <v>800</v>
      </c>
      <c r="G472" s="36">
        <f t="shared" ca="1" si="9"/>
        <v>309.96519174747141</v>
      </c>
    </row>
    <row r="473" spans="1:7" x14ac:dyDescent="0.2">
      <c r="A473" s="6">
        <f ca="1">Model!$F$13+RAND()*(Model!$G$13-Model!$F$13)</f>
        <v>1766.9620933245258</v>
      </c>
      <c r="B473" s="31">
        <f ca="1">Model!$F$14+RAND()*(Model!$G$14-Model!$F$14)</f>
        <v>0.30806237708500217</v>
      </c>
      <c r="C473" s="32">
        <f ca="1">Model!$F$15+RAND()*(Model!$G$15-Model!$F$15)</f>
        <v>3.4665812750828154E-2</v>
      </c>
      <c r="D473" s="33">
        <f ca="1">Model!$F$16+RAND()*(Model!$G$16-Model!$F$16)</f>
        <v>51.016565259314305</v>
      </c>
      <c r="E473" s="33">
        <f>Model!$D$17</f>
        <v>800</v>
      </c>
      <c r="G473" s="36">
        <f t="shared" ca="1" si="9"/>
        <v>1780.5921623882286</v>
      </c>
    </row>
    <row r="474" spans="1:7" x14ac:dyDescent="0.2">
      <c r="A474" s="6">
        <f ca="1">Model!$F$13+RAND()*(Model!$G$13-Model!$F$13)</f>
        <v>1546.3979266199608</v>
      </c>
      <c r="B474" s="31">
        <f ca="1">Model!$F$14+RAND()*(Model!$G$14-Model!$F$14)</f>
        <v>0.56318212946986013</v>
      </c>
      <c r="C474" s="32">
        <f ca="1">Model!$F$15+RAND()*(Model!$G$15-Model!$F$15)</f>
        <v>3.8056002536636803E-2</v>
      </c>
      <c r="D474" s="33">
        <f ca="1">Model!$F$16+RAND()*(Model!$G$16-Model!$F$16)</f>
        <v>52.206500712451032</v>
      </c>
      <c r="E474" s="33">
        <f>Model!$D$17</f>
        <v>800</v>
      </c>
      <c r="G474" s="36">
        <f t="shared" ca="1" si="9"/>
        <v>1401.434450232932</v>
      </c>
    </row>
    <row r="475" spans="1:7" x14ac:dyDescent="0.2">
      <c r="A475" s="6">
        <f ca="1">Model!$F$13+RAND()*(Model!$G$13-Model!$F$13)</f>
        <v>1744.5737564775563</v>
      </c>
      <c r="B475" s="31">
        <f ca="1">Model!$F$14+RAND()*(Model!$G$14-Model!$F$14)</f>
        <v>0.337976260841578</v>
      </c>
      <c r="C475" s="32">
        <f ca="1">Model!$F$15+RAND()*(Model!$G$15-Model!$F$15)</f>
        <v>1.3347519916126363E-2</v>
      </c>
      <c r="D475" s="33">
        <f ca="1">Model!$F$16+RAND()*(Model!$G$16-Model!$F$16)</f>
        <v>48.301492982049815</v>
      </c>
      <c r="E475" s="33">
        <f>Model!$D$17</f>
        <v>800</v>
      </c>
      <c r="G475" s="36">
        <f t="shared" ca="1" si="9"/>
        <v>-264.88884784007655</v>
      </c>
    </row>
    <row r="476" spans="1:7" x14ac:dyDescent="0.2">
      <c r="A476" s="6">
        <f ca="1">Model!$F$13+RAND()*(Model!$G$13-Model!$F$13)</f>
        <v>1435.3558341531811</v>
      </c>
      <c r="B476" s="31">
        <f ca="1">Model!$F$14+RAND()*(Model!$G$14-Model!$F$14)</f>
        <v>0.51219353925824684</v>
      </c>
      <c r="C476" s="32">
        <f ca="1">Model!$F$15+RAND()*(Model!$G$15-Model!$F$15)</f>
        <v>3.0987393553932999E-2</v>
      </c>
      <c r="D476" s="33">
        <f ca="1">Model!$F$16+RAND()*(Model!$G$16-Model!$F$16)</f>
        <v>52.94526038567443</v>
      </c>
      <c r="E476" s="33">
        <f>Model!$D$17</f>
        <v>800</v>
      </c>
      <c r="G476" s="36">
        <f t="shared" ca="1" si="9"/>
        <v>819.71592465118329</v>
      </c>
    </row>
    <row r="477" spans="1:7" x14ac:dyDescent="0.2">
      <c r="A477" s="6">
        <f ca="1">Model!$F$13+RAND()*(Model!$G$13-Model!$F$13)</f>
        <v>1547.1211091754769</v>
      </c>
      <c r="B477" s="31">
        <f ca="1">Model!$F$14+RAND()*(Model!$G$14-Model!$F$14)</f>
        <v>0.26459077351238453</v>
      </c>
      <c r="C477" s="32">
        <f ca="1">Model!$F$15+RAND()*(Model!$G$15-Model!$F$15)</f>
        <v>4.4992417325978855E-2</v>
      </c>
      <c r="D477" s="33">
        <f ca="1">Model!$F$16+RAND()*(Model!$G$16-Model!$F$16)</f>
        <v>49.36523070640613</v>
      </c>
      <c r="E477" s="33">
        <f>Model!$D$17</f>
        <v>800</v>
      </c>
      <c r="G477" s="36">
        <f t="shared" ca="1" si="9"/>
        <v>2226.896481766305</v>
      </c>
    </row>
    <row r="478" spans="1:7" x14ac:dyDescent="0.2">
      <c r="A478" s="6">
        <f ca="1">Model!$F$13+RAND()*(Model!$G$13-Model!$F$13)</f>
        <v>1572.4854591433909</v>
      </c>
      <c r="B478" s="31">
        <f ca="1">Model!$F$14+RAND()*(Model!$G$14-Model!$F$14)</f>
        <v>0.70227533046369017</v>
      </c>
      <c r="C478" s="32">
        <f ca="1">Model!$F$15+RAND()*(Model!$G$15-Model!$F$15)</f>
        <v>4.3925602232283936E-2</v>
      </c>
      <c r="D478" s="33">
        <f ca="1">Model!$F$16+RAND()*(Model!$G$16-Model!$F$16)</f>
        <v>52.297351954829359</v>
      </c>
      <c r="E478" s="33">
        <f>Model!$D$17</f>
        <v>800</v>
      </c>
      <c r="G478" s="36">
        <f t="shared" ca="1" si="9"/>
        <v>1707.9843403190496</v>
      </c>
    </row>
    <row r="479" spans="1:7" x14ac:dyDescent="0.2">
      <c r="A479" s="6">
        <f ca="1">Model!$F$13+RAND()*(Model!$G$13-Model!$F$13)</f>
        <v>1719.5009780045366</v>
      </c>
      <c r="B479" s="31">
        <f ca="1">Model!$F$14+RAND()*(Model!$G$14-Model!$F$14)</f>
        <v>0.22424647603484846</v>
      </c>
      <c r="C479" s="32">
        <f ca="1">Model!$F$15+RAND()*(Model!$G$15-Model!$F$15)</f>
        <v>3.9219573086898774E-2</v>
      </c>
      <c r="D479" s="33">
        <f ca="1">Model!$F$16+RAND()*(Model!$G$16-Model!$F$16)</f>
        <v>50.980323445103203</v>
      </c>
      <c r="E479" s="33">
        <f>Model!$D$17</f>
        <v>800</v>
      </c>
      <c r="G479" s="36">
        <f t="shared" ca="1" si="9"/>
        <v>2252.4238240517598</v>
      </c>
    </row>
    <row r="480" spans="1:7" x14ac:dyDescent="0.2">
      <c r="A480" s="6">
        <f ca="1">Model!$F$13+RAND()*(Model!$G$13-Model!$F$13)</f>
        <v>1685.973784946555</v>
      </c>
      <c r="B480" s="31">
        <f ca="1">Model!$F$14+RAND()*(Model!$G$14-Model!$F$14)</f>
        <v>0.64171816475952415</v>
      </c>
      <c r="C480" s="32">
        <f ca="1">Model!$F$15+RAND()*(Model!$G$15-Model!$F$15)</f>
        <v>4.7738492610264201E-2</v>
      </c>
      <c r="D480" s="33">
        <f ca="1">Model!$F$16+RAND()*(Model!$G$16-Model!$F$16)</f>
        <v>49.474212571964202</v>
      </c>
      <c r="E480" s="33">
        <f>Model!$D$17</f>
        <v>800</v>
      </c>
      <c r="G480" s="36">
        <f t="shared" ca="1" si="9"/>
        <v>2100.0539040537419</v>
      </c>
    </row>
    <row r="481" spans="1:7" x14ac:dyDescent="0.2">
      <c r="A481" s="6">
        <f ca="1">Model!$F$13+RAND()*(Model!$G$13-Model!$F$13)</f>
        <v>1537.0673349690953</v>
      </c>
      <c r="B481" s="31">
        <f ca="1">Model!$F$14+RAND()*(Model!$G$14-Model!$F$14)</f>
        <v>0.75540329639728498</v>
      </c>
      <c r="C481" s="32">
        <f ca="1">Model!$F$15+RAND()*(Model!$G$15-Model!$F$15)</f>
        <v>2.7880050683332866E-2</v>
      </c>
      <c r="D481" s="33">
        <f ca="1">Model!$F$16+RAND()*(Model!$G$16-Model!$F$16)</f>
        <v>48.594143683983809</v>
      </c>
      <c r="E481" s="33">
        <f>Model!$D$17</f>
        <v>800</v>
      </c>
      <c r="G481" s="36">
        <f t="shared" ca="1" si="9"/>
        <v>121.32414350032491</v>
      </c>
    </row>
    <row r="482" spans="1:7" x14ac:dyDescent="0.2">
      <c r="A482" s="6">
        <f ca="1">Model!$F$13+RAND()*(Model!$G$13-Model!$F$13)</f>
        <v>1481.7181885959728</v>
      </c>
      <c r="B482" s="31">
        <f ca="1">Model!$F$14+RAND()*(Model!$G$14-Model!$F$14)</f>
        <v>0.21928218358164464</v>
      </c>
      <c r="C482" s="32">
        <f ca="1">Model!$F$15+RAND()*(Model!$G$15-Model!$F$15)</f>
        <v>3.1522296283799017E-2</v>
      </c>
      <c r="D482" s="33">
        <f ca="1">Model!$F$16+RAND()*(Model!$G$16-Model!$F$16)</f>
        <v>48.409368902049074</v>
      </c>
      <c r="E482" s="33">
        <f>Model!$D$17</f>
        <v>800</v>
      </c>
      <c r="G482" s="36">
        <f t="shared" ca="1" si="9"/>
        <v>1136.1497268575108</v>
      </c>
    </row>
    <row r="483" spans="1:7" x14ac:dyDescent="0.2">
      <c r="A483" s="6">
        <f ca="1">Model!$F$13+RAND()*(Model!$G$13-Model!$F$13)</f>
        <v>1569.2238937336433</v>
      </c>
      <c r="B483" s="31">
        <f ca="1">Model!$F$14+RAND()*(Model!$G$14-Model!$F$14)</f>
        <v>0.46012874154995864</v>
      </c>
      <c r="C483" s="32">
        <f ca="1">Model!$F$15+RAND()*(Model!$G$15-Model!$F$15)</f>
        <v>3.0054334361666747E-2</v>
      </c>
      <c r="D483" s="33">
        <f ca="1">Model!$F$16+RAND()*(Model!$G$16-Model!$F$16)</f>
        <v>47.432347759710439</v>
      </c>
      <c r="E483" s="33">
        <f>Model!$D$17</f>
        <v>800</v>
      </c>
      <c r="G483" s="36">
        <f t="shared" ca="1" si="9"/>
        <v>714.95840154332609</v>
      </c>
    </row>
    <row r="484" spans="1:7" x14ac:dyDescent="0.2">
      <c r="A484" s="6">
        <f ca="1">Model!$F$13+RAND()*(Model!$G$13-Model!$F$13)</f>
        <v>1710.9618847719307</v>
      </c>
      <c r="B484" s="31">
        <f ca="1">Model!$F$14+RAND()*(Model!$G$14-Model!$F$14)</f>
        <v>0.56527936931160649</v>
      </c>
      <c r="C484" s="32">
        <f ca="1">Model!$F$15+RAND()*(Model!$G$15-Model!$F$15)</f>
        <v>4.6672703935689744E-2</v>
      </c>
      <c r="D484" s="33">
        <f ca="1">Model!$F$16+RAND()*(Model!$G$16-Model!$F$16)</f>
        <v>52.120016521585718</v>
      </c>
      <c r="E484" s="33">
        <f>Model!$D$17</f>
        <v>800</v>
      </c>
      <c r="G484" s="36">
        <f t="shared" ca="1" si="9"/>
        <v>2394.8837999408534</v>
      </c>
    </row>
    <row r="485" spans="1:7" x14ac:dyDescent="0.2">
      <c r="A485" s="6">
        <f ca="1">Model!$F$13+RAND()*(Model!$G$13-Model!$F$13)</f>
        <v>1279.3182853764902</v>
      </c>
      <c r="B485" s="31">
        <f ca="1">Model!$F$14+RAND()*(Model!$G$14-Model!$F$14)</f>
        <v>0.32026154342368029</v>
      </c>
      <c r="C485" s="32">
        <f ca="1">Model!$F$15+RAND()*(Model!$G$15-Model!$F$15)</f>
        <v>4.2162870666632685E-2</v>
      </c>
      <c r="D485" s="33">
        <f ca="1">Model!$F$16+RAND()*(Model!$G$16-Model!$F$16)</f>
        <v>52.629687931159488</v>
      </c>
      <c r="E485" s="33">
        <f>Model!$D$17</f>
        <v>800</v>
      </c>
      <c r="G485" s="36">
        <f t="shared" ca="1" si="9"/>
        <v>1629.1147824775935</v>
      </c>
    </row>
    <row r="486" spans="1:7" x14ac:dyDescent="0.2">
      <c r="A486" s="6">
        <f ca="1">Model!$F$13+RAND()*(Model!$G$13-Model!$F$13)</f>
        <v>1793.8301873303085</v>
      </c>
      <c r="B486" s="31">
        <f ca="1">Model!$F$14+RAND()*(Model!$G$14-Model!$F$14)</f>
        <v>0.78317567719028003</v>
      </c>
      <c r="C486" s="32">
        <f ca="1">Model!$F$15+RAND()*(Model!$G$15-Model!$F$15)</f>
        <v>2.1483458945871638E-2</v>
      </c>
      <c r="D486" s="33">
        <f ca="1">Model!$F$16+RAND()*(Model!$G$16-Model!$F$16)</f>
        <v>50.638246306881804</v>
      </c>
      <c r="E486" s="33">
        <f>Model!$D$17</f>
        <v>800</v>
      </c>
      <c r="G486" s="36">
        <f t="shared" ca="1" si="9"/>
        <v>-253.40378231861655</v>
      </c>
    </row>
    <row r="487" spans="1:7" x14ac:dyDescent="0.2">
      <c r="A487" s="6">
        <f ca="1">Model!$F$13+RAND()*(Model!$G$13-Model!$F$13)</f>
        <v>1677.456447618963</v>
      </c>
      <c r="B487" s="31">
        <f ca="1">Model!$F$14+RAND()*(Model!$G$14-Model!$F$14)</f>
        <v>0.71310741563022484</v>
      </c>
      <c r="C487" s="32">
        <f ca="1">Model!$F$15+RAND()*(Model!$G$15-Model!$F$15)</f>
        <v>4.3674799882216023E-2</v>
      </c>
      <c r="D487" s="33">
        <f ca="1">Model!$F$16+RAND()*(Model!$G$16-Model!$F$16)</f>
        <v>49.588093307935836</v>
      </c>
      <c r="E487" s="33">
        <f>Model!$D$17</f>
        <v>800</v>
      </c>
      <c r="G487" s="36">
        <f t="shared" ca="1" si="9"/>
        <v>1636.7447560700716</v>
      </c>
    </row>
    <row r="488" spans="1:7" x14ac:dyDescent="0.2">
      <c r="A488" s="6">
        <f ca="1">Model!$F$13+RAND()*(Model!$G$13-Model!$F$13)</f>
        <v>1219.3223135041012</v>
      </c>
      <c r="B488" s="31">
        <f ca="1">Model!$F$14+RAND()*(Model!$G$14-Model!$F$14)</f>
        <v>0.55615836029893884</v>
      </c>
      <c r="C488" s="32">
        <f ca="1">Model!$F$15+RAND()*(Model!$G$15-Model!$F$15)</f>
        <v>2.7889974422084469E-2</v>
      </c>
      <c r="D488" s="33">
        <f ca="1">Model!$F$16+RAND()*(Model!$G$16-Model!$F$16)</f>
        <v>52.397935137422209</v>
      </c>
      <c r="E488" s="33">
        <f>Model!$D$17</f>
        <v>800</v>
      </c>
      <c r="G488" s="36">
        <f t="shared" ca="1" si="9"/>
        <v>303.75337225773592</v>
      </c>
    </row>
    <row r="489" spans="1:7" x14ac:dyDescent="0.2">
      <c r="A489" s="6">
        <f ca="1">Model!$F$13+RAND()*(Model!$G$13-Model!$F$13)</f>
        <v>1427.929507836853</v>
      </c>
      <c r="B489" s="31">
        <f ca="1">Model!$F$14+RAND()*(Model!$G$14-Model!$F$14)</f>
        <v>0.47699224335594165</v>
      </c>
      <c r="C489" s="32">
        <f ca="1">Model!$F$15+RAND()*(Model!$G$15-Model!$F$15)</f>
        <v>4.4105911197141114E-2</v>
      </c>
      <c r="D489" s="33">
        <f ca="1">Model!$F$16+RAND()*(Model!$G$16-Model!$F$16)</f>
        <v>51.678945807444805</v>
      </c>
      <c r="E489" s="33">
        <f>Model!$D$17</f>
        <v>800</v>
      </c>
      <c r="G489" s="36">
        <f t="shared" ca="1" si="9"/>
        <v>1773.6355328128466</v>
      </c>
    </row>
    <row r="490" spans="1:7" x14ac:dyDescent="0.2">
      <c r="A490" s="6">
        <f ca="1">Model!$F$13+RAND()*(Model!$G$13-Model!$F$13)</f>
        <v>1509.593909107974</v>
      </c>
      <c r="B490" s="31">
        <f ca="1">Model!$F$14+RAND()*(Model!$G$14-Model!$F$14)</f>
        <v>0.68611830317680367</v>
      </c>
      <c r="C490" s="32">
        <f ca="1">Model!$F$15+RAND()*(Model!$G$15-Model!$F$15)</f>
        <v>4.7650139874116225E-2</v>
      </c>
      <c r="D490" s="33">
        <f ca="1">Model!$F$16+RAND()*(Model!$G$16-Model!$F$16)</f>
        <v>47.571490313762169</v>
      </c>
      <c r="E490" s="33">
        <f>Model!$D$17</f>
        <v>800</v>
      </c>
      <c r="G490" s="36">
        <f t="shared" ca="1" si="9"/>
        <v>1586.1695994489446</v>
      </c>
    </row>
    <row r="491" spans="1:7" x14ac:dyDescent="0.2">
      <c r="A491" s="6">
        <f ca="1">Model!$F$13+RAND()*(Model!$G$13-Model!$F$13)</f>
        <v>1263.2640671842341</v>
      </c>
      <c r="B491" s="31">
        <f ca="1">Model!$F$14+RAND()*(Model!$G$14-Model!$F$14)</f>
        <v>0.40097857982988949</v>
      </c>
      <c r="C491" s="32">
        <f ca="1">Model!$F$15+RAND()*(Model!$G$15-Model!$F$15)</f>
        <v>4.1296076146231854E-2</v>
      </c>
      <c r="D491" s="33">
        <f ca="1">Model!$F$16+RAND()*(Model!$G$16-Model!$F$16)</f>
        <v>51.481001325059971</v>
      </c>
      <c r="E491" s="33">
        <f>Model!$D$17</f>
        <v>800</v>
      </c>
      <c r="G491" s="36">
        <f t="shared" ca="1" si="9"/>
        <v>1379.1112776115433</v>
      </c>
    </row>
    <row r="492" spans="1:7" x14ac:dyDescent="0.2">
      <c r="A492" s="6">
        <f ca="1">Model!$F$13+RAND()*(Model!$G$13-Model!$F$13)</f>
        <v>1497.3739882305863</v>
      </c>
      <c r="B492" s="31">
        <f ca="1">Model!$F$14+RAND()*(Model!$G$14-Model!$F$14)</f>
        <v>0.21627827196435503</v>
      </c>
      <c r="C492" s="32">
        <f ca="1">Model!$F$15+RAND()*(Model!$G$15-Model!$F$15)</f>
        <v>2.2344570352429313E-2</v>
      </c>
      <c r="D492" s="33">
        <f ca="1">Model!$F$16+RAND()*(Model!$G$16-Model!$F$16)</f>
        <v>47.797948228809389</v>
      </c>
      <c r="E492" s="33">
        <f>Model!$D$17</f>
        <v>800</v>
      </c>
      <c r="G492" s="36">
        <f t="shared" ca="1" si="9"/>
        <v>475.38282147771838</v>
      </c>
    </row>
    <row r="493" spans="1:7" x14ac:dyDescent="0.2">
      <c r="A493" s="6">
        <f ca="1">Model!$F$13+RAND()*(Model!$G$13-Model!$F$13)</f>
        <v>1283.8111768249094</v>
      </c>
      <c r="B493" s="31">
        <f ca="1">Model!$F$14+RAND()*(Model!$G$14-Model!$F$14)</f>
        <v>0.25493638580728412</v>
      </c>
      <c r="C493" s="32">
        <f ca="1">Model!$F$15+RAND()*(Model!$G$15-Model!$F$15)</f>
        <v>4.1241290468816645E-2</v>
      </c>
      <c r="D493" s="33">
        <f ca="1">Model!$F$16+RAND()*(Model!$G$16-Model!$F$16)</f>
        <v>50.166309454143168</v>
      </c>
      <c r="E493" s="33">
        <f>Model!$D$17</f>
        <v>800</v>
      </c>
      <c r="G493" s="36">
        <f t="shared" ca="1" si="9"/>
        <v>1528.816726338963</v>
      </c>
    </row>
    <row r="494" spans="1:7" x14ac:dyDescent="0.2">
      <c r="A494" s="6">
        <f ca="1">Model!$F$13+RAND()*(Model!$G$13-Model!$F$13)</f>
        <v>1332.5097147801273</v>
      </c>
      <c r="B494" s="31">
        <f ca="1">Model!$F$14+RAND()*(Model!$G$14-Model!$F$14)</f>
        <v>0.51576901150162247</v>
      </c>
      <c r="C494" s="32">
        <f ca="1">Model!$F$15+RAND()*(Model!$G$15-Model!$F$15)</f>
        <v>1.4219016910987588E-2</v>
      </c>
      <c r="D494" s="33">
        <f ca="1">Model!$F$16+RAND()*(Model!$G$16-Model!$F$16)</f>
        <v>52.297724186392131</v>
      </c>
      <c r="E494" s="33">
        <f>Model!$D$17</f>
        <v>800</v>
      </c>
      <c r="G494" s="36">
        <f t="shared" ca="1" si="9"/>
        <v>-496.38337998592317</v>
      </c>
    </row>
    <row r="495" spans="1:7" x14ac:dyDescent="0.2">
      <c r="A495" s="6">
        <f ca="1">Model!$F$13+RAND()*(Model!$G$13-Model!$F$13)</f>
        <v>1668.6526264337163</v>
      </c>
      <c r="B495" s="31">
        <f ca="1">Model!$F$14+RAND()*(Model!$G$14-Model!$F$14)</f>
        <v>0.79578182841823875</v>
      </c>
      <c r="C495" s="32">
        <f ca="1">Model!$F$15+RAND()*(Model!$G$15-Model!$F$15)</f>
        <v>3.3148082715604009E-2</v>
      </c>
      <c r="D495" s="33">
        <f ca="1">Model!$F$16+RAND()*(Model!$G$16-Model!$F$16)</f>
        <v>50.858518139763099</v>
      </c>
      <c r="E495" s="33">
        <f>Model!$D$17</f>
        <v>800</v>
      </c>
      <c r="G495" s="36">
        <f t="shared" ca="1" si="9"/>
        <v>685.23522692337565</v>
      </c>
    </row>
    <row r="496" spans="1:7" x14ac:dyDescent="0.2">
      <c r="A496" s="6">
        <f ca="1">Model!$F$13+RAND()*(Model!$G$13-Model!$F$13)</f>
        <v>1337.1280877975839</v>
      </c>
      <c r="B496" s="31">
        <f ca="1">Model!$F$14+RAND()*(Model!$G$14-Model!$F$14)</f>
        <v>0.6048106290244819</v>
      </c>
      <c r="C496" s="32">
        <f ca="1">Model!$F$15+RAND()*(Model!$G$15-Model!$F$15)</f>
        <v>1.3177902184778803E-2</v>
      </c>
      <c r="D496" s="33">
        <f ca="1">Model!$F$16+RAND()*(Model!$G$16-Model!$F$16)</f>
        <v>48.998133887518208</v>
      </c>
      <c r="E496" s="33">
        <f>Model!$D$17</f>
        <v>800</v>
      </c>
      <c r="G496" s="36">
        <f t="shared" ca="1" si="9"/>
        <v>-745.33554745633921</v>
      </c>
    </row>
    <row r="497" spans="1:7" x14ac:dyDescent="0.2">
      <c r="A497" s="6">
        <f ca="1">Model!$F$13+RAND()*(Model!$G$13-Model!$F$13)</f>
        <v>1663.022017625671</v>
      </c>
      <c r="B497" s="31">
        <f ca="1">Model!$F$14+RAND()*(Model!$G$14-Model!$F$14)</f>
        <v>0.28138120671657424</v>
      </c>
      <c r="C497" s="32">
        <f ca="1">Model!$F$15+RAND()*(Model!$G$15-Model!$F$15)</f>
        <v>3.256732787793272E-2</v>
      </c>
      <c r="D497" s="33">
        <f ca="1">Model!$F$16+RAND()*(Model!$G$16-Model!$F$16)</f>
        <v>49.275513351259221</v>
      </c>
      <c r="E497" s="33">
        <f>Model!$D$17</f>
        <v>800</v>
      </c>
      <c r="G497" s="36">
        <f t="shared" ca="1" si="9"/>
        <v>1400.827693990112</v>
      </c>
    </row>
    <row r="498" spans="1:7" x14ac:dyDescent="0.2">
      <c r="A498" s="6">
        <f ca="1">Model!$F$13+RAND()*(Model!$G$13-Model!$F$13)</f>
        <v>1326.9239728945256</v>
      </c>
      <c r="B498" s="31">
        <f ca="1">Model!$F$14+RAND()*(Model!$G$14-Model!$F$14)</f>
        <v>0.27551489031918325</v>
      </c>
      <c r="C498" s="32">
        <f ca="1">Model!$F$15+RAND()*(Model!$G$15-Model!$F$15)</f>
        <v>2.5342231355065942E-2</v>
      </c>
      <c r="D498" s="33">
        <f ca="1">Model!$F$16+RAND()*(Model!$G$16-Model!$F$16)</f>
        <v>51.222042805040992</v>
      </c>
      <c r="E498" s="33">
        <f>Model!$D$17</f>
        <v>800</v>
      </c>
      <c r="G498" s="36">
        <f t="shared" ca="1" si="9"/>
        <v>556.86729803304138</v>
      </c>
    </row>
    <row r="499" spans="1:7" x14ac:dyDescent="0.2">
      <c r="A499" s="6">
        <f ca="1">Model!$F$13+RAND()*(Model!$G$13-Model!$F$13)</f>
        <v>1623.9295788452514</v>
      </c>
      <c r="B499" s="31">
        <f ca="1">Model!$F$14+RAND()*(Model!$G$14-Model!$F$14)</f>
        <v>0.2032999815111215</v>
      </c>
      <c r="C499" s="32">
        <f ca="1">Model!$F$15+RAND()*(Model!$G$15-Model!$F$15)</f>
        <v>3.6859177314258605E-2</v>
      </c>
      <c r="D499" s="33">
        <f ca="1">Model!$F$16+RAND()*(Model!$G$16-Model!$F$16)</f>
        <v>51.987335410104045</v>
      </c>
      <c r="E499" s="33">
        <f>Model!$D$17</f>
        <v>800</v>
      </c>
      <c r="G499" s="36">
        <f t="shared" ca="1" si="9"/>
        <v>1981.6459171937242</v>
      </c>
    </row>
    <row r="500" spans="1:7" x14ac:dyDescent="0.2">
      <c r="A500" s="6">
        <f ca="1">Model!$F$13+RAND()*(Model!$G$13-Model!$F$13)</f>
        <v>1275.9179929700229</v>
      </c>
      <c r="B500" s="31">
        <f ca="1">Model!$F$14+RAND()*(Model!$G$14-Model!$F$14)</f>
        <v>0.26471701112833856</v>
      </c>
      <c r="C500" s="32">
        <f ca="1">Model!$F$15+RAND()*(Model!$G$15-Model!$F$15)</f>
        <v>4.095273392059829E-2</v>
      </c>
      <c r="D500" s="33">
        <f ca="1">Model!$F$16+RAND()*(Model!$G$16-Model!$F$16)</f>
        <v>48.733166737884574</v>
      </c>
      <c r="E500" s="33">
        <f>Model!$D$17</f>
        <v>800</v>
      </c>
      <c r="G500" s="36">
        <f t="shared" ca="1" si="9"/>
        <v>1408.6643162298876</v>
      </c>
    </row>
    <row r="501" spans="1:7" x14ac:dyDescent="0.2">
      <c r="A501" s="6">
        <f ca="1">Model!$F$13+RAND()*(Model!$G$13-Model!$F$13)</f>
        <v>1246.6416261258014</v>
      </c>
      <c r="B501" s="31">
        <f ca="1">Model!$F$14+RAND()*(Model!$G$14-Model!$F$14)</f>
        <v>0.48264576888886412</v>
      </c>
      <c r="C501" s="32">
        <f ca="1">Model!$F$15+RAND()*(Model!$G$15-Model!$F$15)</f>
        <v>4.4665978056318743E-2</v>
      </c>
      <c r="D501" s="33">
        <f ca="1">Model!$F$16+RAND()*(Model!$G$16-Model!$F$16)</f>
        <v>52.596962151813948</v>
      </c>
      <c r="E501" s="33">
        <f>Model!$D$17</f>
        <v>800</v>
      </c>
      <c r="G501" s="36">
        <f t="shared" ca="1" si="9"/>
        <v>1527.0423303213711</v>
      </c>
    </row>
    <row r="502" spans="1:7" x14ac:dyDescent="0.2">
      <c r="A502" s="6">
        <f ca="1">Model!$F$13+RAND()*(Model!$G$13-Model!$F$13)</f>
        <v>1391.9123614094663</v>
      </c>
      <c r="B502" s="31">
        <f ca="1">Model!$F$14+RAND()*(Model!$G$14-Model!$F$14)</f>
        <v>0.73299353447814419</v>
      </c>
      <c r="C502" s="32">
        <f ca="1">Model!$F$15+RAND()*(Model!$G$15-Model!$F$15)</f>
        <v>1.2292163846659366E-2</v>
      </c>
      <c r="D502" s="33">
        <f ca="1">Model!$F$16+RAND()*(Model!$G$16-Model!$F$16)</f>
        <v>50.660854779583559</v>
      </c>
      <c r="E502" s="33">
        <f>Model!$D$17</f>
        <v>800</v>
      </c>
      <c r="G502" s="36">
        <f t="shared" ca="1" si="9"/>
        <v>-953.47505041976058</v>
      </c>
    </row>
    <row r="503" spans="1:7" x14ac:dyDescent="0.2">
      <c r="A503" s="6">
        <f ca="1">Model!$F$13+RAND()*(Model!$G$13-Model!$F$13)</f>
        <v>1798.1176365102533</v>
      </c>
      <c r="B503" s="31">
        <f ca="1">Model!$F$14+RAND()*(Model!$G$14-Model!$F$14)</f>
        <v>0.63048465678414378</v>
      </c>
      <c r="C503" s="32">
        <f ca="1">Model!$F$15+RAND()*(Model!$G$15-Model!$F$15)</f>
        <v>4.7541892123813261E-2</v>
      </c>
      <c r="D503" s="33">
        <f ca="1">Model!$F$16+RAND()*(Model!$G$16-Model!$F$16)</f>
        <v>51.435116630692335</v>
      </c>
      <c r="E503" s="33">
        <f>Model!$D$17</f>
        <v>800</v>
      </c>
      <c r="G503" s="36">
        <f t="shared" ca="1" si="9"/>
        <v>2463.2924120093467</v>
      </c>
    </row>
    <row r="504" spans="1:7" x14ac:dyDescent="0.2">
      <c r="A504" s="6">
        <f ca="1">Model!$F$13+RAND()*(Model!$G$13-Model!$F$13)</f>
        <v>1247.1982325416097</v>
      </c>
      <c r="B504" s="31">
        <f ca="1">Model!$F$14+RAND()*(Model!$G$14-Model!$F$14)</f>
        <v>0.77529971464995651</v>
      </c>
      <c r="C504" s="32">
        <f ca="1">Model!$F$15+RAND()*(Model!$G$15-Model!$F$15)</f>
        <v>3.3068684267406334E-2</v>
      </c>
      <c r="D504" s="33">
        <f ca="1">Model!$F$16+RAND()*(Model!$G$16-Model!$F$16)</f>
        <v>48.720292737074658</v>
      </c>
      <c r="E504" s="33">
        <f>Model!$D$17</f>
        <v>800</v>
      </c>
      <c r="G504" s="36">
        <f t="shared" ca="1" si="9"/>
        <v>242.42856630229517</v>
      </c>
    </row>
    <row r="505" spans="1:7" x14ac:dyDescent="0.2">
      <c r="A505" s="6">
        <f ca="1">Model!$F$13+RAND()*(Model!$G$13-Model!$F$13)</f>
        <v>1542.8911703348795</v>
      </c>
      <c r="B505" s="31">
        <f ca="1">Model!$F$14+RAND()*(Model!$G$14-Model!$F$14)</f>
        <v>0.66568738387785742</v>
      </c>
      <c r="C505" s="32">
        <f ca="1">Model!$F$15+RAND()*(Model!$G$15-Model!$F$15)</f>
        <v>4.6337666753179234E-2</v>
      </c>
      <c r="D505" s="33">
        <f ca="1">Model!$F$16+RAND()*(Model!$G$16-Model!$F$16)</f>
        <v>47.666410679310125</v>
      </c>
      <c r="E505" s="33">
        <f>Model!$D$17</f>
        <v>800</v>
      </c>
      <c r="G505" s="36">
        <f t="shared" ca="1" si="9"/>
        <v>1580.7780766234594</v>
      </c>
    </row>
    <row r="506" spans="1:7" x14ac:dyDescent="0.2">
      <c r="A506" s="6">
        <f ca="1">Model!$F$13+RAND()*(Model!$G$13-Model!$F$13)</f>
        <v>1325.7068938814546</v>
      </c>
      <c r="B506" s="31">
        <f ca="1">Model!$F$14+RAND()*(Model!$G$14-Model!$F$14)</f>
        <v>0.48087621859558749</v>
      </c>
      <c r="C506" s="32">
        <f ca="1">Model!$F$15+RAND()*(Model!$G$15-Model!$F$15)</f>
        <v>1.2707095324771715E-2</v>
      </c>
      <c r="D506" s="33">
        <f ca="1">Model!$F$16+RAND()*(Model!$G$16-Model!$F$16)</f>
        <v>49.654419784242151</v>
      </c>
      <c r="E506" s="33">
        <f>Model!$D$17</f>
        <v>800</v>
      </c>
      <c r="G506" s="36">
        <f t="shared" ca="1" si="9"/>
        <v>-601.02832861643492</v>
      </c>
    </row>
    <row r="507" spans="1:7" x14ac:dyDescent="0.2">
      <c r="A507" s="6">
        <f ca="1">Model!$F$13+RAND()*(Model!$G$13-Model!$F$13)</f>
        <v>1310.7085656311597</v>
      </c>
      <c r="B507" s="31">
        <f ca="1">Model!$F$14+RAND()*(Model!$G$14-Model!$F$14)</f>
        <v>0.26227079075702148</v>
      </c>
      <c r="C507" s="32">
        <f ca="1">Model!$F$15+RAND()*(Model!$G$15-Model!$F$15)</f>
        <v>4.7303426990304751E-2</v>
      </c>
      <c r="D507" s="33">
        <f ca="1">Model!$F$16+RAND()*(Model!$G$16-Model!$F$16)</f>
        <v>47.605404953442267</v>
      </c>
      <c r="E507" s="33">
        <f>Model!$D$17</f>
        <v>800</v>
      </c>
      <c r="G507" s="36">
        <f t="shared" ca="1" si="9"/>
        <v>1807.8224709350679</v>
      </c>
    </row>
    <row r="508" spans="1:7" x14ac:dyDescent="0.2">
      <c r="A508" s="6">
        <f ca="1">Model!$F$13+RAND()*(Model!$G$13-Model!$F$13)</f>
        <v>1420.1750488667276</v>
      </c>
      <c r="B508" s="31">
        <f ca="1">Model!$F$14+RAND()*(Model!$G$14-Model!$F$14)</f>
        <v>0.63072289641963541</v>
      </c>
      <c r="C508" s="32">
        <f ca="1">Model!$F$15+RAND()*(Model!$G$15-Model!$F$15)</f>
        <v>3.641274422342361E-2</v>
      </c>
      <c r="D508" s="33">
        <f ca="1">Model!$F$16+RAND()*(Model!$G$16-Model!$F$16)</f>
        <v>50.368743071350714</v>
      </c>
      <c r="E508" s="33">
        <f>Model!$D$17</f>
        <v>800</v>
      </c>
      <c r="G508" s="36">
        <f t="shared" ca="1" si="9"/>
        <v>908.95523541195462</v>
      </c>
    </row>
    <row r="509" spans="1:7" x14ac:dyDescent="0.2">
      <c r="A509" s="6">
        <f ca="1">Model!$F$13+RAND()*(Model!$G$13-Model!$F$13)</f>
        <v>1210.476827222265</v>
      </c>
      <c r="B509" s="31">
        <f ca="1">Model!$F$14+RAND()*(Model!$G$14-Model!$F$14)</f>
        <v>0.72594671020790025</v>
      </c>
      <c r="C509" s="32">
        <f ca="1">Model!$F$15+RAND()*(Model!$G$15-Model!$F$15)</f>
        <v>4.5292355607841013E-2</v>
      </c>
      <c r="D509" s="33">
        <f ca="1">Model!$F$16+RAND()*(Model!$G$16-Model!$F$16)</f>
        <v>48.103529097997104</v>
      </c>
      <c r="E509" s="33">
        <f>Model!$D$17</f>
        <v>800</v>
      </c>
      <c r="G509" s="36">
        <f t="shared" ca="1" si="9"/>
        <v>958.55100006133694</v>
      </c>
    </row>
    <row r="510" spans="1:7" x14ac:dyDescent="0.2">
      <c r="A510" s="6">
        <f ca="1">Model!$F$13+RAND()*(Model!$G$13-Model!$F$13)</f>
        <v>1642.2930505848024</v>
      </c>
      <c r="B510" s="31">
        <f ca="1">Model!$F$14+RAND()*(Model!$G$14-Model!$F$14)</f>
        <v>0.68575599812255872</v>
      </c>
      <c r="C510" s="32">
        <f ca="1">Model!$F$15+RAND()*(Model!$G$15-Model!$F$15)</f>
        <v>2.2139188118696182E-2</v>
      </c>
      <c r="D510" s="33">
        <f ca="1">Model!$F$16+RAND()*(Model!$G$16-Model!$F$16)</f>
        <v>47.915207577234916</v>
      </c>
      <c r="E510" s="33">
        <f>Model!$D$17</f>
        <v>800</v>
      </c>
      <c r="G510" s="36">
        <f t="shared" ca="1" si="9"/>
        <v>-184.06161070264557</v>
      </c>
    </row>
    <row r="511" spans="1:7" x14ac:dyDescent="0.2">
      <c r="A511" s="6">
        <f ca="1">Model!$F$13+RAND()*(Model!$G$13-Model!$F$13)</f>
        <v>1587.6746441579248</v>
      </c>
      <c r="B511" s="31">
        <f ca="1">Model!$F$14+RAND()*(Model!$G$14-Model!$F$14)</f>
        <v>0.71168923751246904</v>
      </c>
      <c r="C511" s="32">
        <f ca="1">Model!$F$15+RAND()*(Model!$G$15-Model!$F$15)</f>
        <v>1.7401163224433705E-2</v>
      </c>
      <c r="D511" s="33">
        <f ca="1">Model!$F$16+RAND()*(Model!$G$16-Model!$F$16)</f>
        <v>52.6447550353491</v>
      </c>
      <c r="E511" s="33">
        <f>Model!$D$17</f>
        <v>800</v>
      </c>
      <c r="G511" s="36">
        <f t="shared" ca="1" si="9"/>
        <v>-475.49400814506453</v>
      </c>
    </row>
    <row r="512" spans="1:7" x14ac:dyDescent="0.2">
      <c r="A512" s="6">
        <f ca="1">Model!$F$13+RAND()*(Model!$G$13-Model!$F$13)</f>
        <v>1322.4880105836442</v>
      </c>
      <c r="B512" s="31">
        <f ca="1">Model!$F$14+RAND()*(Model!$G$14-Model!$F$14)</f>
        <v>0.71641971350851374</v>
      </c>
      <c r="C512" s="32">
        <f ca="1">Model!$F$15+RAND()*(Model!$G$15-Model!$F$15)</f>
        <v>3.3090948107527871E-2</v>
      </c>
      <c r="D512" s="33">
        <f ca="1">Model!$F$16+RAND()*(Model!$G$16-Model!$F$16)</f>
        <v>52.755962628528252</v>
      </c>
      <c r="E512" s="33">
        <f>Model!$D$17</f>
        <v>800</v>
      </c>
      <c r="G512" s="36">
        <f t="shared" ca="1" si="9"/>
        <v>561.27011458032803</v>
      </c>
    </row>
    <row r="513" spans="1:7" x14ac:dyDescent="0.2">
      <c r="A513" s="6">
        <f ca="1">Model!$F$13+RAND()*(Model!$G$13-Model!$F$13)</f>
        <v>1416.4773989909695</v>
      </c>
      <c r="B513" s="31">
        <f ca="1">Model!$F$14+RAND()*(Model!$G$14-Model!$F$14)</f>
        <v>0.61761408233250337</v>
      </c>
      <c r="C513" s="32">
        <f ca="1">Model!$F$15+RAND()*(Model!$G$15-Model!$F$15)</f>
        <v>1.0285148961702229E-2</v>
      </c>
      <c r="D513" s="33">
        <f ca="1">Model!$F$16+RAND()*(Model!$G$16-Model!$F$16)</f>
        <v>52.670894968829657</v>
      </c>
      <c r="E513" s="33">
        <f>Model!$D$17</f>
        <v>800</v>
      </c>
      <c r="G513" s="36">
        <f t="shared" ca="1" si="9"/>
        <v>-907.49091952959543</v>
      </c>
    </row>
    <row r="514" spans="1:7" x14ac:dyDescent="0.2">
      <c r="A514" s="6">
        <f ca="1">Model!$F$13+RAND()*(Model!$G$13-Model!$F$13)</f>
        <v>1273.5858150743736</v>
      </c>
      <c r="B514" s="31">
        <f ca="1">Model!$F$14+RAND()*(Model!$G$14-Model!$F$14)</f>
        <v>0.55617672067556079</v>
      </c>
      <c r="C514" s="32">
        <f ca="1">Model!$F$15+RAND()*(Model!$G$15-Model!$F$15)</f>
        <v>3.0855744303050651E-2</v>
      </c>
      <c r="D514" s="33">
        <f ca="1">Model!$F$16+RAND()*(Model!$G$16-Model!$F$16)</f>
        <v>49.531031500291192</v>
      </c>
      <c r="E514" s="33">
        <f>Model!$D$17</f>
        <v>800</v>
      </c>
      <c r="G514" s="36">
        <f t="shared" ca="1" si="9"/>
        <v>438.10387010716545</v>
      </c>
    </row>
    <row r="515" spans="1:7" x14ac:dyDescent="0.2">
      <c r="A515" s="6">
        <f ca="1">Model!$F$13+RAND()*(Model!$G$13-Model!$F$13)</f>
        <v>1254.7919278561617</v>
      </c>
      <c r="B515" s="31">
        <f ca="1">Model!$F$14+RAND()*(Model!$G$14-Model!$F$14)</f>
        <v>0.26686590103377333</v>
      </c>
      <c r="C515" s="32">
        <f ca="1">Model!$F$15+RAND()*(Model!$G$15-Model!$F$15)</f>
        <v>4.5739932437148412E-2</v>
      </c>
      <c r="D515" s="33">
        <f ca="1">Model!$F$16+RAND()*(Model!$G$16-Model!$F$16)</f>
        <v>48.686587712632075</v>
      </c>
      <c r="E515" s="33">
        <f>Model!$D$17</f>
        <v>800</v>
      </c>
      <c r="G515" s="36">
        <f t="shared" ref="G515:G578" ca="1" si="10">A515*C515*D515-(E515+A515*B515)</f>
        <v>1659.461608164459</v>
      </c>
    </row>
    <row r="516" spans="1:7" x14ac:dyDescent="0.2">
      <c r="A516" s="6">
        <f ca="1">Model!$F$13+RAND()*(Model!$G$13-Model!$F$13)</f>
        <v>1259.6684670034804</v>
      </c>
      <c r="B516" s="31">
        <f ca="1">Model!$F$14+RAND()*(Model!$G$14-Model!$F$14)</f>
        <v>0.78946872901797605</v>
      </c>
      <c r="C516" s="32">
        <f ca="1">Model!$F$15+RAND()*(Model!$G$15-Model!$F$15)</f>
        <v>3.2210170065167139E-2</v>
      </c>
      <c r="D516" s="33">
        <f ca="1">Model!$F$16+RAND()*(Model!$G$16-Model!$F$16)</f>
        <v>47.03037955254068</v>
      </c>
      <c r="E516" s="33">
        <f>Model!$D$17</f>
        <v>800</v>
      </c>
      <c r="G516" s="36">
        <f t="shared" ca="1" si="10"/>
        <v>113.74813120520298</v>
      </c>
    </row>
    <row r="517" spans="1:7" x14ac:dyDescent="0.2">
      <c r="A517" s="6">
        <f ca="1">Model!$F$13+RAND()*(Model!$G$13-Model!$F$13)</f>
        <v>1757.7329703785626</v>
      </c>
      <c r="B517" s="31">
        <f ca="1">Model!$F$14+RAND()*(Model!$G$14-Model!$F$14)</f>
        <v>0.34456113886474371</v>
      </c>
      <c r="C517" s="32">
        <f ca="1">Model!$F$15+RAND()*(Model!$G$15-Model!$F$15)</f>
        <v>1.9625593277761918E-2</v>
      </c>
      <c r="D517" s="33">
        <f ca="1">Model!$F$16+RAND()*(Model!$G$16-Model!$F$16)</f>
        <v>52.253906598816037</v>
      </c>
      <c r="E517" s="33">
        <f>Model!$D$17</f>
        <v>800</v>
      </c>
      <c r="G517" s="36">
        <f t="shared" ca="1" si="10"/>
        <v>396.93315130200517</v>
      </c>
    </row>
    <row r="518" spans="1:7" x14ac:dyDescent="0.2">
      <c r="A518" s="6">
        <f ca="1">Model!$F$13+RAND()*(Model!$G$13-Model!$F$13)</f>
        <v>1464.1944223586952</v>
      </c>
      <c r="B518" s="31">
        <f ca="1">Model!$F$14+RAND()*(Model!$G$14-Model!$F$14)</f>
        <v>0.57585449736871963</v>
      </c>
      <c r="C518" s="32">
        <f ca="1">Model!$F$15+RAND()*(Model!$G$15-Model!$F$15)</f>
        <v>1.09318314888551E-2</v>
      </c>
      <c r="D518" s="33">
        <f ca="1">Model!$F$16+RAND()*(Model!$G$16-Model!$F$16)</f>
        <v>52.840528383786037</v>
      </c>
      <c r="E518" s="33">
        <f>Model!$D$17</f>
        <v>800</v>
      </c>
      <c r="G518" s="36">
        <f t="shared" ca="1" si="10"/>
        <v>-797.38018324091479</v>
      </c>
    </row>
    <row r="519" spans="1:7" x14ac:dyDescent="0.2">
      <c r="A519" s="6">
        <f ca="1">Model!$F$13+RAND()*(Model!$G$13-Model!$F$13)</f>
        <v>1367.921632008917</v>
      </c>
      <c r="B519" s="31">
        <f ca="1">Model!$F$14+RAND()*(Model!$G$14-Model!$F$14)</f>
        <v>0.26390316801225</v>
      </c>
      <c r="C519" s="32">
        <f ca="1">Model!$F$15+RAND()*(Model!$G$15-Model!$F$15)</f>
        <v>1.8417518897085951E-2</v>
      </c>
      <c r="D519" s="33">
        <f ca="1">Model!$F$16+RAND()*(Model!$G$16-Model!$F$16)</f>
        <v>48.162162695731467</v>
      </c>
      <c r="E519" s="33">
        <f>Model!$D$17</f>
        <v>800</v>
      </c>
      <c r="G519" s="36">
        <f t="shared" ca="1" si="10"/>
        <v>52.385310025977333</v>
      </c>
    </row>
    <row r="520" spans="1:7" x14ac:dyDescent="0.2">
      <c r="A520" s="6">
        <f ca="1">Model!$F$13+RAND()*(Model!$G$13-Model!$F$13)</f>
        <v>1435.5649002659961</v>
      </c>
      <c r="B520" s="31">
        <f ca="1">Model!$F$14+RAND()*(Model!$G$14-Model!$F$14)</f>
        <v>0.67132450263653842</v>
      </c>
      <c r="C520" s="32">
        <f ca="1">Model!$F$15+RAND()*(Model!$G$15-Model!$F$15)</f>
        <v>3.2167397207530354E-2</v>
      </c>
      <c r="D520" s="33">
        <f ca="1">Model!$F$16+RAND()*(Model!$G$16-Model!$F$16)</f>
        <v>49.762863352937366</v>
      </c>
      <c r="E520" s="33">
        <f>Model!$D$17</f>
        <v>800</v>
      </c>
      <c r="G520" s="36">
        <f t="shared" ca="1" si="10"/>
        <v>534.23883781957556</v>
      </c>
    </row>
    <row r="521" spans="1:7" x14ac:dyDescent="0.2">
      <c r="A521" s="6">
        <f ca="1">Model!$F$13+RAND()*(Model!$G$13-Model!$F$13)</f>
        <v>1284.2166118199482</v>
      </c>
      <c r="B521" s="31">
        <f ca="1">Model!$F$14+RAND()*(Model!$G$14-Model!$F$14)</f>
        <v>0.39246996513852295</v>
      </c>
      <c r="C521" s="32">
        <f ca="1">Model!$F$15+RAND()*(Model!$G$15-Model!$F$15)</f>
        <v>3.5503130523625782E-2</v>
      </c>
      <c r="D521" s="33">
        <f ca="1">Model!$F$16+RAND()*(Model!$G$16-Model!$F$16)</f>
        <v>51.677618476413294</v>
      </c>
      <c r="E521" s="33">
        <f>Model!$D$17</f>
        <v>800</v>
      </c>
      <c r="G521" s="36">
        <f t="shared" ca="1" si="10"/>
        <v>1052.1579009188576</v>
      </c>
    </row>
    <row r="522" spans="1:7" x14ac:dyDescent="0.2">
      <c r="A522" s="6">
        <f ca="1">Model!$F$13+RAND()*(Model!$G$13-Model!$F$13)</f>
        <v>1729.6167673218931</v>
      </c>
      <c r="B522" s="31">
        <f ca="1">Model!$F$14+RAND()*(Model!$G$14-Model!$F$14)</f>
        <v>0.27104413050491338</v>
      </c>
      <c r="C522" s="32">
        <f ca="1">Model!$F$15+RAND()*(Model!$G$15-Model!$F$15)</f>
        <v>3.2349028566697344E-2</v>
      </c>
      <c r="D522" s="33">
        <f ca="1">Model!$F$16+RAND()*(Model!$G$16-Model!$F$16)</f>
        <v>52.357202623712482</v>
      </c>
      <c r="E522" s="33">
        <f>Model!$D$17</f>
        <v>800</v>
      </c>
      <c r="G522" s="36">
        <f t="shared" ca="1" si="10"/>
        <v>1660.6574772181534</v>
      </c>
    </row>
    <row r="523" spans="1:7" x14ac:dyDescent="0.2">
      <c r="A523" s="6">
        <f ca="1">Model!$F$13+RAND()*(Model!$G$13-Model!$F$13)</f>
        <v>1626.6225972147167</v>
      </c>
      <c r="B523" s="31">
        <f ca="1">Model!$F$14+RAND()*(Model!$G$14-Model!$F$14)</f>
        <v>0.67761522064940105</v>
      </c>
      <c r="C523" s="32">
        <f ca="1">Model!$F$15+RAND()*(Model!$G$15-Model!$F$15)</f>
        <v>3.24812687131074E-2</v>
      </c>
      <c r="D523" s="33">
        <f ca="1">Model!$F$16+RAND()*(Model!$G$16-Model!$F$16)</f>
        <v>49.617873894487182</v>
      </c>
      <c r="E523" s="33">
        <f>Model!$D$17</f>
        <v>800</v>
      </c>
      <c r="G523" s="36">
        <f t="shared" ca="1" si="10"/>
        <v>719.32451037919327</v>
      </c>
    </row>
    <row r="524" spans="1:7" x14ac:dyDescent="0.2">
      <c r="A524" s="6">
        <f ca="1">Model!$F$13+RAND()*(Model!$G$13-Model!$F$13)</f>
        <v>1555.1742093122011</v>
      </c>
      <c r="B524" s="31">
        <f ca="1">Model!$F$14+RAND()*(Model!$G$14-Model!$F$14)</f>
        <v>0.32444395356542616</v>
      </c>
      <c r="C524" s="32">
        <f ca="1">Model!$F$15+RAND()*(Model!$G$15-Model!$F$15)</f>
        <v>4.5411753062357611E-2</v>
      </c>
      <c r="D524" s="33">
        <f ca="1">Model!$F$16+RAND()*(Model!$G$16-Model!$F$16)</f>
        <v>49.69529495415383</v>
      </c>
      <c r="E524" s="33">
        <f>Model!$D$17</f>
        <v>800</v>
      </c>
      <c r="G524" s="36">
        <f t="shared" ca="1" si="10"/>
        <v>2205.0732476773392</v>
      </c>
    </row>
    <row r="525" spans="1:7" x14ac:dyDescent="0.2">
      <c r="A525" s="6">
        <f ca="1">Model!$F$13+RAND()*(Model!$G$13-Model!$F$13)</f>
        <v>1344.5497740039482</v>
      </c>
      <c r="B525" s="31">
        <f ca="1">Model!$F$14+RAND()*(Model!$G$14-Model!$F$14)</f>
        <v>0.67432075233026989</v>
      </c>
      <c r="C525" s="32">
        <f ca="1">Model!$F$15+RAND()*(Model!$G$15-Model!$F$15)</f>
        <v>4.6409952394344735E-2</v>
      </c>
      <c r="D525" s="33">
        <f ca="1">Model!$F$16+RAND()*(Model!$G$16-Model!$F$16)</f>
        <v>47.246536707887998</v>
      </c>
      <c r="E525" s="33">
        <f>Model!$D$17</f>
        <v>800</v>
      </c>
      <c r="G525" s="36">
        <f t="shared" ca="1" si="10"/>
        <v>1241.5492736281835</v>
      </c>
    </row>
    <row r="526" spans="1:7" x14ac:dyDescent="0.2">
      <c r="A526" s="6">
        <f ca="1">Model!$F$13+RAND()*(Model!$G$13-Model!$F$13)</f>
        <v>1304.1027276925529</v>
      </c>
      <c r="B526" s="31">
        <f ca="1">Model!$F$14+RAND()*(Model!$G$14-Model!$F$14)</f>
        <v>0.78101513288089519</v>
      </c>
      <c r="C526" s="32">
        <f ca="1">Model!$F$15+RAND()*(Model!$G$15-Model!$F$15)</f>
        <v>2.0321240507615829E-2</v>
      </c>
      <c r="D526" s="33">
        <f ca="1">Model!$F$16+RAND()*(Model!$G$16-Model!$F$16)</f>
        <v>51.162857285128936</v>
      </c>
      <c r="E526" s="33">
        <f>Model!$D$17</f>
        <v>800</v>
      </c>
      <c r="G526" s="36">
        <f t="shared" ca="1" si="10"/>
        <v>-462.65784268013067</v>
      </c>
    </row>
    <row r="527" spans="1:7" x14ac:dyDescent="0.2">
      <c r="A527" s="6">
        <f ca="1">Model!$F$13+RAND()*(Model!$G$13-Model!$F$13)</f>
        <v>1333.9130797410039</v>
      </c>
      <c r="B527" s="31">
        <f ca="1">Model!$F$14+RAND()*(Model!$G$14-Model!$F$14)</f>
        <v>0.69848260417115737</v>
      </c>
      <c r="C527" s="32">
        <f ca="1">Model!$F$15+RAND()*(Model!$G$15-Model!$F$15)</f>
        <v>2.0927413785093326E-2</v>
      </c>
      <c r="D527" s="33">
        <f ca="1">Model!$F$16+RAND()*(Model!$G$16-Model!$F$16)</f>
        <v>50.610196590183598</v>
      </c>
      <c r="E527" s="33">
        <f>Model!$D$17</f>
        <v>800</v>
      </c>
      <c r="G527" s="36">
        <f t="shared" ca="1" si="10"/>
        <v>-318.91368104349954</v>
      </c>
    </row>
    <row r="528" spans="1:7" x14ac:dyDescent="0.2">
      <c r="A528" s="6">
        <f ca="1">Model!$F$13+RAND()*(Model!$G$13-Model!$F$13)</f>
        <v>1718.4567673874849</v>
      </c>
      <c r="B528" s="31">
        <f ca="1">Model!$F$14+RAND()*(Model!$G$14-Model!$F$14)</f>
        <v>0.34835242145677436</v>
      </c>
      <c r="C528" s="32">
        <f ca="1">Model!$F$15+RAND()*(Model!$G$15-Model!$F$15)</f>
        <v>4.1220098524076321E-2</v>
      </c>
      <c r="D528" s="33">
        <f ca="1">Model!$F$16+RAND()*(Model!$G$16-Model!$F$16)</f>
        <v>50.522498079985247</v>
      </c>
      <c r="E528" s="33">
        <f>Model!$D$17</f>
        <v>800</v>
      </c>
      <c r="G528" s="36">
        <f t="shared" ca="1" si="10"/>
        <v>2180.1304161304306</v>
      </c>
    </row>
    <row r="529" spans="1:7" x14ac:dyDescent="0.2">
      <c r="A529" s="6">
        <f ca="1">Model!$F$13+RAND()*(Model!$G$13-Model!$F$13)</f>
        <v>1566.4199127474512</v>
      </c>
      <c r="B529" s="31">
        <f ca="1">Model!$F$14+RAND()*(Model!$G$14-Model!$F$14)</f>
        <v>0.60444263300014511</v>
      </c>
      <c r="C529" s="32">
        <f ca="1">Model!$F$15+RAND()*(Model!$G$15-Model!$F$15)</f>
        <v>3.8376765642244418E-2</v>
      </c>
      <c r="D529" s="33">
        <f ca="1">Model!$F$16+RAND()*(Model!$G$16-Model!$F$16)</f>
        <v>50.124779127444029</v>
      </c>
      <c r="E529" s="33">
        <f>Model!$D$17</f>
        <v>800</v>
      </c>
      <c r="G529" s="36">
        <f t="shared" ca="1" si="10"/>
        <v>1266.3965066723558</v>
      </c>
    </row>
    <row r="530" spans="1:7" x14ac:dyDescent="0.2">
      <c r="A530" s="6">
        <f ca="1">Model!$F$13+RAND()*(Model!$G$13-Model!$F$13)</f>
        <v>1541.6070505318378</v>
      </c>
      <c r="B530" s="31">
        <f ca="1">Model!$F$14+RAND()*(Model!$G$14-Model!$F$14)</f>
        <v>0.48463090805733083</v>
      </c>
      <c r="C530" s="32">
        <f ca="1">Model!$F$15+RAND()*(Model!$G$15-Model!$F$15)</f>
        <v>3.7334551410582374E-2</v>
      </c>
      <c r="D530" s="33">
        <f ca="1">Model!$F$16+RAND()*(Model!$G$16-Model!$F$16)</f>
        <v>52.021401172534993</v>
      </c>
      <c r="E530" s="33">
        <f>Model!$D$17</f>
        <v>800</v>
      </c>
      <c r="G530" s="36">
        <f t="shared" ca="1" si="10"/>
        <v>1446.9921236789351</v>
      </c>
    </row>
    <row r="531" spans="1:7" x14ac:dyDescent="0.2">
      <c r="A531" s="6">
        <f ca="1">Model!$F$13+RAND()*(Model!$G$13-Model!$F$13)</f>
        <v>1794.0437750505855</v>
      </c>
      <c r="B531" s="31">
        <f ca="1">Model!$F$14+RAND()*(Model!$G$14-Model!$F$14)</f>
        <v>0.23517002797366812</v>
      </c>
      <c r="C531" s="32">
        <f ca="1">Model!$F$15+RAND()*(Model!$G$15-Model!$F$15)</f>
        <v>1.8534358877697769E-2</v>
      </c>
      <c r="D531" s="33">
        <f ca="1">Model!$F$16+RAND()*(Model!$G$16-Model!$F$16)</f>
        <v>49.409040681133888</v>
      </c>
      <c r="E531" s="33">
        <f>Model!$D$17</f>
        <v>800</v>
      </c>
      <c r="G531" s="36">
        <f t="shared" ca="1" si="10"/>
        <v>421.01697875553714</v>
      </c>
    </row>
    <row r="532" spans="1:7" x14ac:dyDescent="0.2">
      <c r="A532" s="6">
        <f ca="1">Model!$F$13+RAND()*(Model!$G$13-Model!$F$13)</f>
        <v>1200.6061725495201</v>
      </c>
      <c r="B532" s="31">
        <f ca="1">Model!$F$14+RAND()*(Model!$G$14-Model!$F$14)</f>
        <v>0.54910976771757791</v>
      </c>
      <c r="C532" s="32">
        <f ca="1">Model!$F$15+RAND()*(Model!$G$15-Model!$F$15)</f>
        <v>3.9386396884446055E-2</v>
      </c>
      <c r="D532" s="33">
        <f ca="1">Model!$F$16+RAND()*(Model!$G$16-Model!$F$16)</f>
        <v>52.580803983161147</v>
      </c>
      <c r="E532" s="33">
        <f>Model!$D$17</f>
        <v>800</v>
      </c>
      <c r="G532" s="36">
        <f t="shared" ca="1" si="10"/>
        <v>1027.1528846955011</v>
      </c>
    </row>
    <row r="533" spans="1:7" x14ac:dyDescent="0.2">
      <c r="A533" s="6">
        <f ca="1">Model!$F$13+RAND()*(Model!$G$13-Model!$F$13)</f>
        <v>1500.2770945654559</v>
      </c>
      <c r="B533" s="31">
        <f ca="1">Model!$F$14+RAND()*(Model!$G$14-Model!$F$14)</f>
        <v>0.58245395150760748</v>
      </c>
      <c r="C533" s="32">
        <f ca="1">Model!$F$15+RAND()*(Model!$G$15-Model!$F$15)</f>
        <v>1.7141168104395876E-2</v>
      </c>
      <c r="D533" s="33">
        <f ca="1">Model!$F$16+RAND()*(Model!$G$16-Model!$F$16)</f>
        <v>52.248409564374626</v>
      </c>
      <c r="E533" s="33">
        <f>Model!$D$17</f>
        <v>800</v>
      </c>
      <c r="G533" s="36">
        <f t="shared" ca="1" si="10"/>
        <v>-330.195999238176</v>
      </c>
    </row>
    <row r="534" spans="1:7" x14ac:dyDescent="0.2">
      <c r="A534" s="6">
        <f ca="1">Model!$F$13+RAND()*(Model!$G$13-Model!$F$13)</f>
        <v>1777.3444549753135</v>
      </c>
      <c r="B534" s="31">
        <f ca="1">Model!$F$14+RAND()*(Model!$G$14-Model!$F$14)</f>
        <v>0.66673322177536853</v>
      </c>
      <c r="C534" s="32">
        <f ca="1">Model!$F$15+RAND()*(Model!$G$15-Model!$F$15)</f>
        <v>2.2959640080051056E-2</v>
      </c>
      <c r="D534" s="33">
        <f ca="1">Model!$F$16+RAND()*(Model!$G$16-Model!$F$16)</f>
        <v>50.306350061309551</v>
      </c>
      <c r="E534" s="33">
        <f>Model!$D$17</f>
        <v>800</v>
      </c>
      <c r="G534" s="36">
        <f t="shared" ca="1" si="10"/>
        <v>67.846139402382732</v>
      </c>
    </row>
    <row r="535" spans="1:7" x14ac:dyDescent="0.2">
      <c r="A535" s="6">
        <f ca="1">Model!$F$13+RAND()*(Model!$G$13-Model!$F$13)</f>
        <v>1794.4768668487832</v>
      </c>
      <c r="B535" s="31">
        <f ca="1">Model!$F$14+RAND()*(Model!$G$14-Model!$F$14)</f>
        <v>0.45058877209099357</v>
      </c>
      <c r="C535" s="32">
        <f ca="1">Model!$F$15+RAND()*(Model!$G$15-Model!$F$15)</f>
        <v>4.6702698327825823E-2</v>
      </c>
      <c r="D535" s="33">
        <f ca="1">Model!$F$16+RAND()*(Model!$G$16-Model!$F$16)</f>
        <v>48.421373989647101</v>
      </c>
      <c r="E535" s="33">
        <f>Model!$D$17</f>
        <v>800</v>
      </c>
      <c r="G535" s="36">
        <f t="shared" ca="1" si="10"/>
        <v>2449.4746896905312</v>
      </c>
    </row>
    <row r="536" spans="1:7" x14ac:dyDescent="0.2">
      <c r="A536" s="6">
        <f ca="1">Model!$F$13+RAND()*(Model!$G$13-Model!$F$13)</f>
        <v>1255.647806412137</v>
      </c>
      <c r="B536" s="31">
        <f ca="1">Model!$F$14+RAND()*(Model!$G$14-Model!$F$14)</f>
        <v>0.25818683556234834</v>
      </c>
      <c r="C536" s="32">
        <f ca="1">Model!$F$15+RAND()*(Model!$G$15-Model!$F$15)</f>
        <v>1.6851825960408184E-2</v>
      </c>
      <c r="D536" s="33">
        <f ca="1">Model!$F$16+RAND()*(Model!$G$16-Model!$F$16)</f>
        <v>51.250721237984664</v>
      </c>
      <c r="E536" s="33">
        <f>Model!$D$17</f>
        <v>800</v>
      </c>
      <c r="G536" s="36">
        <f t="shared" ca="1" si="10"/>
        <v>-39.728609414858965</v>
      </c>
    </row>
    <row r="537" spans="1:7" x14ac:dyDescent="0.2">
      <c r="A537" s="6">
        <f ca="1">Model!$F$13+RAND()*(Model!$G$13-Model!$F$13)</f>
        <v>1710.9829690667891</v>
      </c>
      <c r="B537" s="31">
        <f ca="1">Model!$F$14+RAND()*(Model!$G$14-Model!$F$14)</f>
        <v>0.56989575168940665</v>
      </c>
      <c r="C537" s="32">
        <f ca="1">Model!$F$15+RAND()*(Model!$G$15-Model!$F$15)</f>
        <v>3.6659561354448068E-2</v>
      </c>
      <c r="D537" s="33">
        <f ca="1">Model!$F$16+RAND()*(Model!$G$16-Model!$F$16)</f>
        <v>48.438903842773911</v>
      </c>
      <c r="E537" s="33">
        <f>Model!$D$17</f>
        <v>800</v>
      </c>
      <c r="G537" s="36">
        <f t="shared" ca="1" si="10"/>
        <v>1263.1943152177237</v>
      </c>
    </row>
    <row r="538" spans="1:7" x14ac:dyDescent="0.2">
      <c r="A538" s="6">
        <f ca="1">Model!$F$13+RAND()*(Model!$G$13-Model!$F$13)</f>
        <v>1774.0329265183716</v>
      </c>
      <c r="B538" s="31">
        <f ca="1">Model!$F$14+RAND()*(Model!$G$14-Model!$F$14)</f>
        <v>0.42971107215489535</v>
      </c>
      <c r="C538" s="32">
        <f ca="1">Model!$F$15+RAND()*(Model!$G$15-Model!$F$15)</f>
        <v>4.7211343181649046E-2</v>
      </c>
      <c r="D538" s="33">
        <f ca="1">Model!$F$16+RAND()*(Model!$G$16-Model!$F$16)</f>
        <v>50.840022644233613</v>
      </c>
      <c r="E538" s="33">
        <f>Model!$D$17</f>
        <v>800</v>
      </c>
      <c r="G538" s="36">
        <f t="shared" ca="1" si="10"/>
        <v>2695.7579320737545</v>
      </c>
    </row>
    <row r="539" spans="1:7" x14ac:dyDescent="0.2">
      <c r="A539" s="6">
        <f ca="1">Model!$F$13+RAND()*(Model!$G$13-Model!$F$13)</f>
        <v>1544.6075299838062</v>
      </c>
      <c r="B539" s="31">
        <f ca="1">Model!$F$14+RAND()*(Model!$G$14-Model!$F$14)</f>
        <v>0.47992694914163914</v>
      </c>
      <c r="C539" s="32">
        <f ca="1">Model!$F$15+RAND()*(Model!$G$15-Model!$F$15)</f>
        <v>4.1683536090168581E-2</v>
      </c>
      <c r="D539" s="33">
        <f ca="1">Model!$F$16+RAND()*(Model!$G$16-Model!$F$16)</f>
        <v>47.291589647774153</v>
      </c>
      <c r="E539" s="33">
        <f>Model!$D$17</f>
        <v>800</v>
      </c>
      <c r="G539" s="36">
        <f t="shared" ca="1" si="10"/>
        <v>1503.5562084914127</v>
      </c>
    </row>
    <row r="540" spans="1:7" x14ac:dyDescent="0.2">
      <c r="A540" s="6">
        <f ca="1">Model!$F$13+RAND()*(Model!$G$13-Model!$F$13)</f>
        <v>1250.5935004859753</v>
      </c>
      <c r="B540" s="31">
        <f ca="1">Model!$F$14+RAND()*(Model!$G$14-Model!$F$14)</f>
        <v>0.34243869174302688</v>
      </c>
      <c r="C540" s="32">
        <f ca="1">Model!$F$15+RAND()*(Model!$G$15-Model!$F$15)</f>
        <v>3.9039782419186347E-2</v>
      </c>
      <c r="D540" s="33">
        <f ca="1">Model!$F$16+RAND()*(Model!$G$16-Model!$F$16)</f>
        <v>50.978072478850024</v>
      </c>
      <c r="E540" s="33">
        <f>Model!$D$17</f>
        <v>800</v>
      </c>
      <c r="G540" s="36">
        <f t="shared" ca="1" si="10"/>
        <v>1260.6456385042547</v>
      </c>
    </row>
    <row r="541" spans="1:7" x14ac:dyDescent="0.2">
      <c r="A541" s="6">
        <f ca="1">Model!$F$13+RAND()*(Model!$G$13-Model!$F$13)</f>
        <v>1539.3063085678884</v>
      </c>
      <c r="B541" s="31">
        <f ca="1">Model!$F$14+RAND()*(Model!$G$14-Model!$F$14)</f>
        <v>0.49773245695683438</v>
      </c>
      <c r="C541" s="32">
        <f ca="1">Model!$F$15+RAND()*(Model!$G$15-Model!$F$15)</f>
        <v>4.4657013629070139E-2</v>
      </c>
      <c r="D541" s="33">
        <f ca="1">Model!$F$16+RAND()*(Model!$G$16-Model!$F$16)</f>
        <v>49.68734903822638</v>
      </c>
      <c r="E541" s="33">
        <f>Model!$D$17</f>
        <v>800</v>
      </c>
      <c r="G541" s="36">
        <f t="shared" ca="1" si="10"/>
        <v>1849.3865447169896</v>
      </c>
    </row>
    <row r="542" spans="1:7" x14ac:dyDescent="0.2">
      <c r="A542" s="6">
        <f ca="1">Model!$F$13+RAND()*(Model!$G$13-Model!$F$13)</f>
        <v>1760.5837289990498</v>
      </c>
      <c r="B542" s="31">
        <f ca="1">Model!$F$14+RAND()*(Model!$G$14-Model!$F$14)</f>
        <v>0.36568602560795344</v>
      </c>
      <c r="C542" s="32">
        <f ca="1">Model!$F$15+RAND()*(Model!$G$15-Model!$F$15)</f>
        <v>4.5270142399081323E-2</v>
      </c>
      <c r="D542" s="33">
        <f ca="1">Model!$F$16+RAND()*(Model!$G$16-Model!$F$16)</f>
        <v>51.828079200205686</v>
      </c>
      <c r="E542" s="33">
        <f>Model!$D$17</f>
        <v>800</v>
      </c>
      <c r="G542" s="36">
        <f t="shared" ca="1" si="10"/>
        <v>2686.9742812043296</v>
      </c>
    </row>
    <row r="543" spans="1:7" x14ac:dyDescent="0.2">
      <c r="A543" s="6">
        <f ca="1">Model!$F$13+RAND()*(Model!$G$13-Model!$F$13)</f>
        <v>1717.314833048601</v>
      </c>
      <c r="B543" s="31">
        <f ca="1">Model!$F$14+RAND()*(Model!$G$14-Model!$F$14)</f>
        <v>0.75784902877853244</v>
      </c>
      <c r="C543" s="32">
        <f ca="1">Model!$F$15+RAND()*(Model!$G$15-Model!$F$15)</f>
        <v>4.9117895774596229E-2</v>
      </c>
      <c r="D543" s="33">
        <f ca="1">Model!$F$16+RAND()*(Model!$G$16-Model!$F$16)</f>
        <v>50.711496828015449</v>
      </c>
      <c r="E543" s="33">
        <f>Model!$D$17</f>
        <v>800</v>
      </c>
      <c r="G543" s="36">
        <f t="shared" ca="1" si="10"/>
        <v>2176.0945621334781</v>
      </c>
    </row>
    <row r="544" spans="1:7" x14ac:dyDescent="0.2">
      <c r="A544" s="6">
        <f ca="1">Model!$F$13+RAND()*(Model!$G$13-Model!$F$13)</f>
        <v>1548.5891073362748</v>
      </c>
      <c r="B544" s="31">
        <f ca="1">Model!$F$14+RAND()*(Model!$G$14-Model!$F$14)</f>
        <v>0.6586017674480622</v>
      </c>
      <c r="C544" s="32">
        <f ca="1">Model!$F$15+RAND()*(Model!$G$15-Model!$F$15)</f>
        <v>2.1848870347634594E-2</v>
      </c>
      <c r="D544" s="33">
        <f ca="1">Model!$F$16+RAND()*(Model!$G$16-Model!$F$16)</f>
        <v>50.128942442575266</v>
      </c>
      <c r="E544" s="33">
        <f>Model!$D$17</f>
        <v>800</v>
      </c>
      <c r="G544" s="36">
        <f t="shared" ca="1" si="10"/>
        <v>-123.79463417702141</v>
      </c>
    </row>
    <row r="545" spans="1:7" x14ac:dyDescent="0.2">
      <c r="A545" s="6">
        <f ca="1">Model!$F$13+RAND()*(Model!$G$13-Model!$F$13)</f>
        <v>1311.7574203386721</v>
      </c>
      <c r="B545" s="31">
        <f ca="1">Model!$F$14+RAND()*(Model!$G$14-Model!$F$14)</f>
        <v>0.60032070664904913</v>
      </c>
      <c r="C545" s="32">
        <f ca="1">Model!$F$15+RAND()*(Model!$G$15-Model!$F$15)</f>
        <v>1.0844354486586733E-2</v>
      </c>
      <c r="D545" s="33">
        <f ca="1">Model!$F$16+RAND()*(Model!$G$16-Model!$F$16)</f>
        <v>52.908931913241126</v>
      </c>
      <c r="E545" s="33">
        <f>Model!$D$17</f>
        <v>800</v>
      </c>
      <c r="G545" s="36">
        <f t="shared" ca="1" si="10"/>
        <v>-834.83698913166415</v>
      </c>
    </row>
    <row r="546" spans="1:7" x14ac:dyDescent="0.2">
      <c r="A546" s="6">
        <f ca="1">Model!$F$13+RAND()*(Model!$G$13-Model!$F$13)</f>
        <v>1547.0518774976149</v>
      </c>
      <c r="B546" s="31">
        <f ca="1">Model!$F$14+RAND()*(Model!$G$14-Model!$F$14)</f>
        <v>0.79319795208809696</v>
      </c>
      <c r="C546" s="32">
        <f ca="1">Model!$F$15+RAND()*(Model!$G$15-Model!$F$15)</f>
        <v>3.6925518274345481E-2</v>
      </c>
      <c r="D546" s="33">
        <f ca="1">Model!$F$16+RAND()*(Model!$G$16-Model!$F$16)</f>
        <v>52.806094357907206</v>
      </c>
      <c r="E546" s="33">
        <f>Model!$D$17</f>
        <v>800</v>
      </c>
      <c r="G546" s="36">
        <f t="shared" ca="1" si="10"/>
        <v>989.46632075171942</v>
      </c>
    </row>
    <row r="547" spans="1:7" x14ac:dyDescent="0.2">
      <c r="A547" s="6">
        <f ca="1">Model!$F$13+RAND()*(Model!$G$13-Model!$F$13)</f>
        <v>1638.1390587178576</v>
      </c>
      <c r="B547" s="31">
        <f ca="1">Model!$F$14+RAND()*(Model!$G$14-Model!$F$14)</f>
        <v>0.74881230832957946</v>
      </c>
      <c r="C547" s="32">
        <f ca="1">Model!$F$15+RAND()*(Model!$G$15-Model!$F$15)</f>
        <v>1.5177216940257497E-2</v>
      </c>
      <c r="D547" s="33">
        <f ca="1">Model!$F$16+RAND()*(Model!$G$16-Model!$F$16)</f>
        <v>50.627852736028196</v>
      </c>
      <c r="E547" s="33">
        <f>Model!$D$17</f>
        <v>800</v>
      </c>
      <c r="G547" s="36">
        <f t="shared" ca="1" si="10"/>
        <v>-767.92917553852112</v>
      </c>
    </row>
    <row r="548" spans="1:7" x14ac:dyDescent="0.2">
      <c r="A548" s="6">
        <f ca="1">Model!$F$13+RAND()*(Model!$G$13-Model!$F$13)</f>
        <v>1452.6461771892418</v>
      </c>
      <c r="B548" s="31">
        <f ca="1">Model!$F$14+RAND()*(Model!$G$14-Model!$F$14)</f>
        <v>0.43773830344104098</v>
      </c>
      <c r="C548" s="32">
        <f ca="1">Model!$F$15+RAND()*(Model!$G$15-Model!$F$15)</f>
        <v>1.9908765937163578E-2</v>
      </c>
      <c r="D548" s="33">
        <f ca="1">Model!$F$16+RAND()*(Model!$G$16-Model!$F$16)</f>
        <v>47.05191733930387</v>
      </c>
      <c r="E548" s="33">
        <f>Model!$D$17</f>
        <v>800</v>
      </c>
      <c r="G548" s="36">
        <f t="shared" ca="1" si="10"/>
        <v>-75.118944895431923</v>
      </c>
    </row>
    <row r="549" spans="1:7" x14ac:dyDescent="0.2">
      <c r="A549" s="6">
        <f ca="1">Model!$F$13+RAND()*(Model!$G$13-Model!$F$13)</f>
        <v>1477.9808535711329</v>
      </c>
      <c r="B549" s="31">
        <f ca="1">Model!$F$14+RAND()*(Model!$G$14-Model!$F$14)</f>
        <v>0.207829869302393</v>
      </c>
      <c r="C549" s="32">
        <f ca="1">Model!$F$15+RAND()*(Model!$G$15-Model!$F$15)</f>
        <v>2.58226461093417E-2</v>
      </c>
      <c r="D549" s="33">
        <f ca="1">Model!$F$16+RAND()*(Model!$G$16-Model!$F$16)</f>
        <v>52.81581974474279</v>
      </c>
      <c r="E549" s="33">
        <f>Model!$D$17</f>
        <v>800</v>
      </c>
      <c r="G549" s="36">
        <f t="shared" ca="1" si="10"/>
        <v>908.56708010004581</v>
      </c>
    </row>
    <row r="550" spans="1:7" x14ac:dyDescent="0.2">
      <c r="A550" s="6">
        <f ca="1">Model!$F$13+RAND()*(Model!$G$13-Model!$F$13)</f>
        <v>1482.8995430030741</v>
      </c>
      <c r="B550" s="31">
        <f ca="1">Model!$F$14+RAND()*(Model!$G$14-Model!$F$14)</f>
        <v>0.75056672760510157</v>
      </c>
      <c r="C550" s="32">
        <f ca="1">Model!$F$15+RAND()*(Model!$G$15-Model!$F$15)</f>
        <v>3.7685516151789139E-2</v>
      </c>
      <c r="D550" s="33">
        <f ca="1">Model!$F$16+RAND()*(Model!$G$16-Model!$F$16)</f>
        <v>47.91327284805886</v>
      </c>
      <c r="E550" s="33">
        <f>Model!$D$17</f>
        <v>800</v>
      </c>
      <c r="G550" s="36">
        <f t="shared" ca="1" si="10"/>
        <v>764.5623614273029</v>
      </c>
    </row>
    <row r="551" spans="1:7" x14ac:dyDescent="0.2">
      <c r="A551" s="6">
        <f ca="1">Model!$F$13+RAND()*(Model!$G$13-Model!$F$13)</f>
        <v>1246.1644263974383</v>
      </c>
      <c r="B551" s="31">
        <f ca="1">Model!$F$14+RAND()*(Model!$G$14-Model!$F$14)</f>
        <v>0.33333707765760523</v>
      </c>
      <c r="C551" s="32">
        <f ca="1">Model!$F$15+RAND()*(Model!$G$15-Model!$F$15)</f>
        <v>1.2022151775690052E-2</v>
      </c>
      <c r="D551" s="33">
        <f ca="1">Model!$F$16+RAND()*(Model!$G$16-Model!$F$16)</f>
        <v>52.96788428830299</v>
      </c>
      <c r="E551" s="33">
        <f>Model!$D$17</f>
        <v>800</v>
      </c>
      <c r="G551" s="36">
        <f t="shared" ca="1" si="10"/>
        <v>-421.85032501624505</v>
      </c>
    </row>
    <row r="552" spans="1:7" x14ac:dyDescent="0.2">
      <c r="A552" s="6">
        <f ca="1">Model!$F$13+RAND()*(Model!$G$13-Model!$F$13)</f>
        <v>1391.3704271981537</v>
      </c>
      <c r="B552" s="31">
        <f ca="1">Model!$F$14+RAND()*(Model!$G$14-Model!$F$14)</f>
        <v>0.43026662239793628</v>
      </c>
      <c r="C552" s="32">
        <f ca="1">Model!$F$15+RAND()*(Model!$G$15-Model!$F$15)</f>
        <v>1.8793209482767873E-2</v>
      </c>
      <c r="D552" s="33">
        <f ca="1">Model!$F$16+RAND()*(Model!$G$16-Model!$F$16)</f>
        <v>51.130868532283237</v>
      </c>
      <c r="E552" s="33">
        <f>Model!$D$17</f>
        <v>800</v>
      </c>
      <c r="G552" s="36">
        <f t="shared" ca="1" si="10"/>
        <v>-61.674151260946473</v>
      </c>
    </row>
    <row r="553" spans="1:7" x14ac:dyDescent="0.2">
      <c r="A553" s="6">
        <f ca="1">Model!$F$13+RAND()*(Model!$G$13-Model!$F$13)</f>
        <v>1766.8603146398991</v>
      </c>
      <c r="B553" s="31">
        <f ca="1">Model!$F$14+RAND()*(Model!$G$14-Model!$F$14)</f>
        <v>0.25581875955149297</v>
      </c>
      <c r="C553" s="32">
        <f ca="1">Model!$F$15+RAND()*(Model!$G$15-Model!$F$15)</f>
        <v>2.7381121969103021E-2</v>
      </c>
      <c r="D553" s="33">
        <f ca="1">Model!$F$16+RAND()*(Model!$G$16-Model!$F$16)</f>
        <v>52.337829955522075</v>
      </c>
      <c r="E553" s="33">
        <f>Model!$D$17</f>
        <v>800</v>
      </c>
      <c r="G553" s="36">
        <f t="shared" ca="1" si="10"/>
        <v>1280.0358567312473</v>
      </c>
    </row>
    <row r="554" spans="1:7" x14ac:dyDescent="0.2">
      <c r="A554" s="6">
        <f ca="1">Model!$F$13+RAND()*(Model!$G$13-Model!$F$13)</f>
        <v>1656.0486775631589</v>
      </c>
      <c r="B554" s="31">
        <f ca="1">Model!$F$14+RAND()*(Model!$G$14-Model!$F$14)</f>
        <v>0.55223308751872058</v>
      </c>
      <c r="C554" s="32">
        <f ca="1">Model!$F$15+RAND()*(Model!$G$15-Model!$F$15)</f>
        <v>2.8951826114352992E-2</v>
      </c>
      <c r="D554" s="33">
        <f ca="1">Model!$F$16+RAND()*(Model!$G$16-Model!$F$16)</f>
        <v>52.91384609531638</v>
      </c>
      <c r="E554" s="33">
        <f>Model!$D$17</f>
        <v>800</v>
      </c>
      <c r="G554" s="36">
        <f t="shared" ca="1" si="10"/>
        <v>822.46298971717397</v>
      </c>
    </row>
    <row r="555" spans="1:7" x14ac:dyDescent="0.2">
      <c r="A555" s="6">
        <f ca="1">Model!$F$13+RAND()*(Model!$G$13-Model!$F$13)</f>
        <v>1631.2991666882551</v>
      </c>
      <c r="B555" s="31">
        <f ca="1">Model!$F$14+RAND()*(Model!$G$14-Model!$F$14)</f>
        <v>0.68046685617782376</v>
      </c>
      <c r="C555" s="32">
        <f ca="1">Model!$F$15+RAND()*(Model!$G$15-Model!$F$15)</f>
        <v>1.8423182062843123E-2</v>
      </c>
      <c r="D555" s="33">
        <f ca="1">Model!$F$16+RAND()*(Model!$G$16-Model!$F$16)</f>
        <v>48.641474341570813</v>
      </c>
      <c r="E555" s="33">
        <f>Model!$D$17</f>
        <v>800</v>
      </c>
      <c r="G555" s="36">
        <f t="shared" ca="1" si="10"/>
        <v>-448.18768995145888</v>
      </c>
    </row>
    <row r="556" spans="1:7" x14ac:dyDescent="0.2">
      <c r="A556" s="6">
        <f ca="1">Model!$F$13+RAND()*(Model!$G$13-Model!$F$13)</f>
        <v>1702.2737261209363</v>
      </c>
      <c r="B556" s="31">
        <f ca="1">Model!$F$14+RAND()*(Model!$G$14-Model!$F$14)</f>
        <v>0.516263692448101</v>
      </c>
      <c r="C556" s="32">
        <f ca="1">Model!$F$15+RAND()*(Model!$G$15-Model!$F$15)</f>
        <v>2.2714364689116008E-2</v>
      </c>
      <c r="D556" s="33">
        <f ca="1">Model!$F$16+RAND()*(Model!$G$16-Model!$F$16)</f>
        <v>49.490921284129797</v>
      </c>
      <c r="E556" s="33">
        <f>Model!$D$17</f>
        <v>800</v>
      </c>
      <c r="G556" s="36">
        <f t="shared" ca="1" si="10"/>
        <v>234.79712004908697</v>
      </c>
    </row>
    <row r="557" spans="1:7" x14ac:dyDescent="0.2">
      <c r="A557" s="6">
        <f ca="1">Model!$F$13+RAND()*(Model!$G$13-Model!$F$13)</f>
        <v>1476.4193408547408</v>
      </c>
      <c r="B557" s="31">
        <f ca="1">Model!$F$14+RAND()*(Model!$G$14-Model!$F$14)</f>
        <v>0.72610719821138714</v>
      </c>
      <c r="C557" s="32">
        <f ca="1">Model!$F$15+RAND()*(Model!$G$15-Model!$F$15)</f>
        <v>2.7916556913098106E-2</v>
      </c>
      <c r="D557" s="33">
        <f ca="1">Model!$F$16+RAND()*(Model!$G$16-Model!$F$16)</f>
        <v>52.071974264360392</v>
      </c>
      <c r="E557" s="33">
        <f>Model!$D$17</f>
        <v>800</v>
      </c>
      <c r="G557" s="36">
        <f t="shared" ca="1" si="10"/>
        <v>274.18813644244597</v>
      </c>
    </row>
    <row r="558" spans="1:7" x14ac:dyDescent="0.2">
      <c r="A558" s="6">
        <f ca="1">Model!$F$13+RAND()*(Model!$G$13-Model!$F$13)</f>
        <v>1612.8939782597663</v>
      </c>
      <c r="B558" s="31">
        <f ca="1">Model!$F$14+RAND()*(Model!$G$14-Model!$F$14)</f>
        <v>0.56591790299398192</v>
      </c>
      <c r="C558" s="32">
        <f ca="1">Model!$F$15+RAND()*(Model!$G$15-Model!$F$15)</f>
        <v>4.2866415802246309E-2</v>
      </c>
      <c r="D558" s="33">
        <f ca="1">Model!$F$16+RAND()*(Model!$G$16-Model!$F$16)</f>
        <v>48.822285290264958</v>
      </c>
      <c r="E558" s="33">
        <f>Model!$D$17</f>
        <v>800</v>
      </c>
      <c r="G558" s="36">
        <f t="shared" ca="1" si="10"/>
        <v>1662.7576195475183</v>
      </c>
    </row>
    <row r="559" spans="1:7" x14ac:dyDescent="0.2">
      <c r="A559" s="6">
        <f ca="1">Model!$F$13+RAND()*(Model!$G$13-Model!$F$13)</f>
        <v>1757.884678798154</v>
      </c>
      <c r="B559" s="31">
        <f ca="1">Model!$F$14+RAND()*(Model!$G$14-Model!$F$14)</f>
        <v>0.48459620213009558</v>
      </c>
      <c r="C559" s="32">
        <f ca="1">Model!$F$15+RAND()*(Model!$G$15-Model!$F$15)</f>
        <v>3.5602267821751014E-2</v>
      </c>
      <c r="D559" s="33">
        <f ca="1">Model!$F$16+RAND()*(Model!$G$16-Model!$F$16)</f>
        <v>47.650589679945035</v>
      </c>
      <c r="E559" s="33">
        <f>Model!$D$17</f>
        <v>800</v>
      </c>
      <c r="G559" s="36">
        <f t="shared" ca="1" si="10"/>
        <v>1330.3327218536319</v>
      </c>
    </row>
    <row r="560" spans="1:7" x14ac:dyDescent="0.2">
      <c r="A560" s="6">
        <f ca="1">Model!$F$13+RAND()*(Model!$G$13-Model!$F$13)</f>
        <v>1639.4586974334331</v>
      </c>
      <c r="B560" s="31">
        <f ca="1">Model!$F$14+RAND()*(Model!$G$14-Model!$F$14)</f>
        <v>0.45988501092488682</v>
      </c>
      <c r="C560" s="32">
        <f ca="1">Model!$F$15+RAND()*(Model!$G$15-Model!$F$15)</f>
        <v>3.4959174193450578E-2</v>
      </c>
      <c r="D560" s="33">
        <f ca="1">Model!$F$16+RAND()*(Model!$G$16-Model!$F$16)</f>
        <v>51.326209931029723</v>
      </c>
      <c r="E560" s="33">
        <f>Model!$D$17</f>
        <v>800</v>
      </c>
      <c r="G560" s="36">
        <f t="shared" ca="1" si="10"/>
        <v>1387.7541863791175</v>
      </c>
    </row>
    <row r="561" spans="1:7" x14ac:dyDescent="0.2">
      <c r="A561" s="6">
        <f ca="1">Model!$F$13+RAND()*(Model!$G$13-Model!$F$13)</f>
        <v>1780.3697399687956</v>
      </c>
      <c r="B561" s="31">
        <f ca="1">Model!$F$14+RAND()*(Model!$G$14-Model!$F$14)</f>
        <v>0.23281840205554138</v>
      </c>
      <c r="C561" s="32">
        <f ca="1">Model!$F$15+RAND()*(Model!$G$15-Model!$F$15)</f>
        <v>1.2807564075877478E-2</v>
      </c>
      <c r="D561" s="33">
        <f ca="1">Model!$F$16+RAND()*(Model!$G$16-Model!$F$16)</f>
        <v>47.611737844918778</v>
      </c>
      <c r="E561" s="33">
        <f>Model!$D$17</f>
        <v>800</v>
      </c>
      <c r="G561" s="36">
        <f t="shared" ca="1" si="10"/>
        <v>-128.85049193174723</v>
      </c>
    </row>
    <row r="562" spans="1:7" x14ac:dyDescent="0.2">
      <c r="A562" s="6">
        <f ca="1">Model!$F$13+RAND()*(Model!$G$13-Model!$F$13)</f>
        <v>1295.7576604476726</v>
      </c>
      <c r="B562" s="31">
        <f ca="1">Model!$F$14+RAND()*(Model!$G$14-Model!$F$14)</f>
        <v>0.49385914559972133</v>
      </c>
      <c r="C562" s="32">
        <f ca="1">Model!$F$15+RAND()*(Model!$G$15-Model!$F$15)</f>
        <v>3.5866337267306606E-2</v>
      </c>
      <c r="D562" s="33">
        <f ca="1">Model!$F$16+RAND()*(Model!$G$16-Model!$F$16)</f>
        <v>52.416549374371073</v>
      </c>
      <c r="E562" s="33">
        <f>Model!$D$17</f>
        <v>800</v>
      </c>
      <c r="G562" s="36">
        <f t="shared" ca="1" si="10"/>
        <v>996.08920423121526</v>
      </c>
    </row>
    <row r="563" spans="1:7" x14ac:dyDescent="0.2">
      <c r="A563" s="6">
        <f ca="1">Model!$F$13+RAND()*(Model!$G$13-Model!$F$13)</f>
        <v>1200.0717384232669</v>
      </c>
      <c r="B563" s="31">
        <f ca="1">Model!$F$14+RAND()*(Model!$G$14-Model!$F$14)</f>
        <v>0.3549950808272625</v>
      </c>
      <c r="C563" s="32">
        <f ca="1">Model!$F$15+RAND()*(Model!$G$15-Model!$F$15)</f>
        <v>2.9942558906776745E-2</v>
      </c>
      <c r="D563" s="33">
        <f ca="1">Model!$F$16+RAND()*(Model!$G$16-Model!$F$16)</f>
        <v>48.910052156090543</v>
      </c>
      <c r="E563" s="33">
        <f>Model!$D$17</f>
        <v>800</v>
      </c>
      <c r="G563" s="36">
        <f t="shared" ca="1" si="10"/>
        <v>531.4760379560546</v>
      </c>
    </row>
    <row r="564" spans="1:7" x14ac:dyDescent="0.2">
      <c r="A564" s="6">
        <f ca="1">Model!$F$13+RAND()*(Model!$G$13-Model!$F$13)</f>
        <v>1479.1217497482776</v>
      </c>
      <c r="B564" s="31">
        <f ca="1">Model!$F$14+RAND()*(Model!$G$14-Model!$F$14)</f>
        <v>0.4414810988449161</v>
      </c>
      <c r="C564" s="32">
        <f ca="1">Model!$F$15+RAND()*(Model!$G$15-Model!$F$15)</f>
        <v>2.6711328425457398E-2</v>
      </c>
      <c r="D564" s="33">
        <f ca="1">Model!$F$16+RAND()*(Model!$G$16-Model!$F$16)</f>
        <v>51.227169805306609</v>
      </c>
      <c r="E564" s="33">
        <f>Model!$D$17</f>
        <v>800</v>
      </c>
      <c r="G564" s="36">
        <f t="shared" ca="1" si="10"/>
        <v>570.94567491501221</v>
      </c>
    </row>
    <row r="565" spans="1:7" x14ac:dyDescent="0.2">
      <c r="A565" s="6">
        <f ca="1">Model!$F$13+RAND()*(Model!$G$13-Model!$F$13)</f>
        <v>1456.6500564970347</v>
      </c>
      <c r="B565" s="31">
        <f ca="1">Model!$F$14+RAND()*(Model!$G$14-Model!$F$14)</f>
        <v>0.53303220666857554</v>
      </c>
      <c r="C565" s="32">
        <f ca="1">Model!$F$15+RAND()*(Model!$G$15-Model!$F$15)</f>
        <v>4.2815962311334492E-2</v>
      </c>
      <c r="D565" s="33">
        <f ca="1">Model!$F$16+RAND()*(Model!$G$16-Model!$F$16)</f>
        <v>50.690606541923607</v>
      </c>
      <c r="E565" s="33">
        <f>Model!$D$17</f>
        <v>800</v>
      </c>
      <c r="G565" s="36">
        <f t="shared" ca="1" si="10"/>
        <v>1585.0239637653622</v>
      </c>
    </row>
    <row r="566" spans="1:7" x14ac:dyDescent="0.2">
      <c r="A566" s="6">
        <f ca="1">Model!$F$13+RAND()*(Model!$G$13-Model!$F$13)</f>
        <v>1663.5914304103446</v>
      </c>
      <c r="B566" s="31">
        <f ca="1">Model!$F$14+RAND()*(Model!$G$14-Model!$F$14)</f>
        <v>0.64602726236416774</v>
      </c>
      <c r="C566" s="32">
        <f ca="1">Model!$F$15+RAND()*(Model!$G$15-Model!$F$15)</f>
        <v>2.2465631329719578E-2</v>
      </c>
      <c r="D566" s="33">
        <f ca="1">Model!$F$16+RAND()*(Model!$G$16-Model!$F$16)</f>
        <v>51.638289929771787</v>
      </c>
      <c r="E566" s="33">
        <f>Model!$D$17</f>
        <v>800</v>
      </c>
      <c r="G566" s="36">
        <f t="shared" ca="1" si="10"/>
        <v>55.185015013069005</v>
      </c>
    </row>
    <row r="567" spans="1:7" x14ac:dyDescent="0.2">
      <c r="A567" s="6">
        <f ca="1">Model!$F$13+RAND()*(Model!$G$13-Model!$F$13)</f>
        <v>1296.3820867616159</v>
      </c>
      <c r="B567" s="31">
        <f ca="1">Model!$F$14+RAND()*(Model!$G$14-Model!$F$14)</f>
        <v>0.50036113216203759</v>
      </c>
      <c r="C567" s="32">
        <f ca="1">Model!$F$15+RAND()*(Model!$G$15-Model!$F$15)</f>
        <v>2.896110798944531E-2</v>
      </c>
      <c r="D567" s="33">
        <f ca="1">Model!$F$16+RAND()*(Model!$G$16-Model!$F$16)</f>
        <v>47.290678412056621</v>
      </c>
      <c r="E567" s="33">
        <f>Model!$D$17</f>
        <v>800</v>
      </c>
      <c r="G567" s="36">
        <f t="shared" ca="1" si="10"/>
        <v>326.85330965487788</v>
      </c>
    </row>
    <row r="568" spans="1:7" x14ac:dyDescent="0.2">
      <c r="A568" s="6">
        <f ca="1">Model!$F$13+RAND()*(Model!$G$13-Model!$F$13)</f>
        <v>1306.4662024545291</v>
      </c>
      <c r="B568" s="31">
        <f ca="1">Model!$F$14+RAND()*(Model!$G$14-Model!$F$14)</f>
        <v>0.23379580491933538</v>
      </c>
      <c r="C568" s="32">
        <f ca="1">Model!$F$15+RAND()*(Model!$G$15-Model!$F$15)</f>
        <v>2.6849869833771571E-2</v>
      </c>
      <c r="D568" s="33">
        <f ca="1">Model!$F$16+RAND()*(Model!$G$16-Model!$F$16)</f>
        <v>48.318276839551906</v>
      </c>
      <c r="E568" s="33">
        <f>Model!$D$17</f>
        <v>800</v>
      </c>
      <c r="G568" s="36">
        <f t="shared" ca="1" si="10"/>
        <v>589.48381894700788</v>
      </c>
    </row>
    <row r="569" spans="1:7" x14ac:dyDescent="0.2">
      <c r="A569" s="6">
        <f ca="1">Model!$F$13+RAND()*(Model!$G$13-Model!$F$13)</f>
        <v>1542.4911231063188</v>
      </c>
      <c r="B569" s="31">
        <f ca="1">Model!$F$14+RAND()*(Model!$G$14-Model!$F$14)</f>
        <v>0.68326661826702328</v>
      </c>
      <c r="C569" s="32">
        <f ca="1">Model!$F$15+RAND()*(Model!$G$15-Model!$F$15)</f>
        <v>2.6871525602072996E-2</v>
      </c>
      <c r="D569" s="33">
        <f ca="1">Model!$F$16+RAND()*(Model!$G$16-Model!$F$16)</f>
        <v>48.336030345105009</v>
      </c>
      <c r="E569" s="33">
        <f>Model!$D$17</f>
        <v>800</v>
      </c>
      <c r="G569" s="36">
        <f t="shared" ca="1" si="10"/>
        <v>149.55176439132333</v>
      </c>
    </row>
    <row r="570" spans="1:7" x14ac:dyDescent="0.2">
      <c r="A570" s="6">
        <f ca="1">Model!$F$13+RAND()*(Model!$G$13-Model!$F$13)</f>
        <v>1312.1804228251817</v>
      </c>
      <c r="B570" s="31">
        <f ca="1">Model!$F$14+RAND()*(Model!$G$14-Model!$F$14)</f>
        <v>0.69552706055477254</v>
      </c>
      <c r="C570" s="32">
        <f ca="1">Model!$F$15+RAND()*(Model!$G$15-Model!$F$15)</f>
        <v>3.4324693674247675E-2</v>
      </c>
      <c r="D570" s="33">
        <f ca="1">Model!$F$16+RAND()*(Model!$G$16-Model!$F$16)</f>
        <v>51.0915340305733</v>
      </c>
      <c r="E570" s="33">
        <f>Model!$D$17</f>
        <v>800</v>
      </c>
      <c r="G570" s="36">
        <f t="shared" ca="1" si="10"/>
        <v>588.51546182006496</v>
      </c>
    </row>
    <row r="571" spans="1:7" x14ac:dyDescent="0.2">
      <c r="A571" s="6">
        <f ca="1">Model!$F$13+RAND()*(Model!$G$13-Model!$F$13)</f>
        <v>1328.2066872224004</v>
      </c>
      <c r="B571" s="31">
        <f ca="1">Model!$F$14+RAND()*(Model!$G$14-Model!$F$14)</f>
        <v>0.34476584893157708</v>
      </c>
      <c r="C571" s="32">
        <f ca="1">Model!$F$15+RAND()*(Model!$G$15-Model!$F$15)</f>
        <v>4.4161877569117824E-2</v>
      </c>
      <c r="D571" s="33">
        <f ca="1">Model!$F$16+RAND()*(Model!$G$16-Model!$F$16)</f>
        <v>50.663779910230232</v>
      </c>
      <c r="E571" s="33">
        <f>Model!$D$17</f>
        <v>800</v>
      </c>
      <c r="G571" s="36">
        <f t="shared" ca="1" si="10"/>
        <v>1713.8194908307901</v>
      </c>
    </row>
    <row r="572" spans="1:7" x14ac:dyDescent="0.2">
      <c r="A572" s="6">
        <f ca="1">Model!$F$13+RAND()*(Model!$G$13-Model!$F$13)</f>
        <v>1375.5401215727827</v>
      </c>
      <c r="B572" s="31">
        <f ca="1">Model!$F$14+RAND()*(Model!$G$14-Model!$F$14)</f>
        <v>0.34444043827570897</v>
      </c>
      <c r="C572" s="32">
        <f ca="1">Model!$F$15+RAND()*(Model!$G$15-Model!$F$15)</f>
        <v>2.2483238239003521E-2</v>
      </c>
      <c r="D572" s="33">
        <f ca="1">Model!$F$16+RAND()*(Model!$G$16-Model!$F$16)</f>
        <v>52.474742102744869</v>
      </c>
      <c r="E572" s="33">
        <f>Model!$D$17</f>
        <v>800</v>
      </c>
      <c r="G572" s="36">
        <f t="shared" ca="1" si="10"/>
        <v>349.07352055185584</v>
      </c>
    </row>
    <row r="573" spans="1:7" x14ac:dyDescent="0.2">
      <c r="A573" s="6">
        <f ca="1">Model!$F$13+RAND()*(Model!$G$13-Model!$F$13)</f>
        <v>1775.0248230387467</v>
      </c>
      <c r="B573" s="31">
        <f ca="1">Model!$F$14+RAND()*(Model!$G$14-Model!$F$14)</f>
        <v>0.49027568857538756</v>
      </c>
      <c r="C573" s="32">
        <f ca="1">Model!$F$15+RAND()*(Model!$G$15-Model!$F$15)</f>
        <v>1.3361199924172312E-2</v>
      </c>
      <c r="D573" s="33">
        <f ca="1">Model!$F$16+RAND()*(Model!$G$16-Model!$F$16)</f>
        <v>52.951371587001077</v>
      </c>
      <c r="E573" s="33">
        <f>Model!$D$17</f>
        <v>800</v>
      </c>
      <c r="G573" s="36">
        <f t="shared" ca="1" si="10"/>
        <v>-414.43235009749742</v>
      </c>
    </row>
    <row r="574" spans="1:7" x14ac:dyDescent="0.2">
      <c r="A574" s="6">
        <f ca="1">Model!$F$13+RAND()*(Model!$G$13-Model!$F$13)</f>
        <v>1707.4231106422214</v>
      </c>
      <c r="B574" s="31">
        <f ca="1">Model!$F$14+RAND()*(Model!$G$14-Model!$F$14)</f>
        <v>0.42787316264203679</v>
      </c>
      <c r="C574" s="32">
        <f ca="1">Model!$F$15+RAND()*(Model!$G$15-Model!$F$15)</f>
        <v>3.6384311508028469E-2</v>
      </c>
      <c r="D574" s="33">
        <f ca="1">Model!$F$16+RAND()*(Model!$G$16-Model!$F$16)</f>
        <v>49.702260743356085</v>
      </c>
      <c r="E574" s="33">
        <f>Model!$D$17</f>
        <v>800</v>
      </c>
      <c r="G574" s="36">
        <f t="shared" ca="1" si="10"/>
        <v>1557.1136111582136</v>
      </c>
    </row>
    <row r="575" spans="1:7" x14ac:dyDescent="0.2">
      <c r="A575" s="6">
        <f ca="1">Model!$F$13+RAND()*(Model!$G$13-Model!$F$13)</f>
        <v>1499.6248659395098</v>
      </c>
      <c r="B575" s="31">
        <f ca="1">Model!$F$14+RAND()*(Model!$G$14-Model!$F$14)</f>
        <v>0.4516224938405915</v>
      </c>
      <c r="C575" s="32">
        <f ca="1">Model!$F$15+RAND()*(Model!$G$15-Model!$F$15)</f>
        <v>2.1741634628767395E-2</v>
      </c>
      <c r="D575" s="33">
        <f ca="1">Model!$F$16+RAND()*(Model!$G$16-Model!$F$16)</f>
        <v>51.844640861916155</v>
      </c>
      <c r="E575" s="33">
        <f>Model!$D$17</f>
        <v>800</v>
      </c>
      <c r="G575" s="36">
        <f t="shared" ca="1" si="10"/>
        <v>213.09369051227554</v>
      </c>
    </row>
    <row r="576" spans="1:7" x14ac:dyDescent="0.2">
      <c r="A576" s="6">
        <f ca="1">Model!$F$13+RAND()*(Model!$G$13-Model!$F$13)</f>
        <v>1480.0546778235075</v>
      </c>
      <c r="B576" s="31">
        <f ca="1">Model!$F$14+RAND()*(Model!$G$14-Model!$F$14)</f>
        <v>0.48638963441684407</v>
      </c>
      <c r="C576" s="32">
        <f ca="1">Model!$F$15+RAND()*(Model!$G$15-Model!$F$15)</f>
        <v>2.5546354027786954E-2</v>
      </c>
      <c r="D576" s="33">
        <f ca="1">Model!$F$16+RAND()*(Model!$G$16-Model!$F$16)</f>
        <v>47.376602890988423</v>
      </c>
      <c r="E576" s="33">
        <f>Model!$D$17</f>
        <v>800</v>
      </c>
      <c r="G576" s="36">
        <f t="shared" ca="1" si="10"/>
        <v>271.42613860615711</v>
      </c>
    </row>
    <row r="577" spans="1:7" x14ac:dyDescent="0.2">
      <c r="A577" s="6">
        <f ca="1">Model!$F$13+RAND()*(Model!$G$13-Model!$F$13)</f>
        <v>1439.2219096927545</v>
      </c>
      <c r="B577" s="31">
        <f ca="1">Model!$F$14+RAND()*(Model!$G$14-Model!$F$14)</f>
        <v>0.54428729531200903</v>
      </c>
      <c r="C577" s="32">
        <f ca="1">Model!$F$15+RAND()*(Model!$G$15-Model!$F$15)</f>
        <v>1.5515530364383245E-2</v>
      </c>
      <c r="D577" s="33">
        <f ca="1">Model!$F$16+RAND()*(Model!$G$16-Model!$F$16)</f>
        <v>48.777800088192024</v>
      </c>
      <c r="E577" s="33">
        <f>Model!$D$17</f>
        <v>800</v>
      </c>
      <c r="G577" s="36">
        <f t="shared" ca="1" si="10"/>
        <v>-494.12771851957859</v>
      </c>
    </row>
    <row r="578" spans="1:7" x14ac:dyDescent="0.2">
      <c r="A578" s="6">
        <f ca="1">Model!$F$13+RAND()*(Model!$G$13-Model!$F$13)</f>
        <v>1734.3980881669991</v>
      </c>
      <c r="B578" s="31">
        <f ca="1">Model!$F$14+RAND()*(Model!$G$14-Model!$F$14)</f>
        <v>0.2560574613942207</v>
      </c>
      <c r="C578" s="32">
        <f ca="1">Model!$F$15+RAND()*(Model!$G$15-Model!$F$15)</f>
        <v>4.3827745949736957E-2</v>
      </c>
      <c r="D578" s="33">
        <f ca="1">Model!$F$16+RAND()*(Model!$G$16-Model!$F$16)</f>
        <v>48.746433678147</v>
      </c>
      <c r="E578" s="33">
        <f>Model!$D$17</f>
        <v>800</v>
      </c>
      <c r="G578" s="36">
        <f t="shared" ca="1" si="10"/>
        <v>2461.3428261163367</v>
      </c>
    </row>
    <row r="579" spans="1:7" x14ac:dyDescent="0.2">
      <c r="A579" s="6">
        <f ca="1">Model!$F$13+RAND()*(Model!$G$13-Model!$F$13)</f>
        <v>1762.2985398398205</v>
      </c>
      <c r="B579" s="31">
        <f ca="1">Model!$F$14+RAND()*(Model!$G$14-Model!$F$14)</f>
        <v>0.6261615682696291</v>
      </c>
      <c r="C579" s="32">
        <f ca="1">Model!$F$15+RAND()*(Model!$G$15-Model!$F$15)</f>
        <v>1.9742851467884234E-2</v>
      </c>
      <c r="D579" s="33">
        <f ca="1">Model!$F$16+RAND()*(Model!$G$16-Model!$F$16)</f>
        <v>48.654470734838405</v>
      </c>
      <c r="E579" s="33">
        <f>Model!$D$17</f>
        <v>800</v>
      </c>
      <c r="G579" s="36">
        <f t="shared" ref="G579:G642" ca="1" si="11">A579*C579*D579-(E579+A579*B579)</f>
        <v>-210.65843010755998</v>
      </c>
    </row>
    <row r="580" spans="1:7" x14ac:dyDescent="0.2">
      <c r="A580" s="6">
        <f ca="1">Model!$F$13+RAND()*(Model!$G$13-Model!$F$13)</f>
        <v>1711.439422606988</v>
      </c>
      <c r="B580" s="31">
        <f ca="1">Model!$F$14+RAND()*(Model!$G$14-Model!$F$14)</f>
        <v>0.52430449109807942</v>
      </c>
      <c r="C580" s="32">
        <f ca="1">Model!$F$15+RAND()*(Model!$G$15-Model!$F$15)</f>
        <v>1.6393261537881645E-2</v>
      </c>
      <c r="D580" s="33">
        <f ca="1">Model!$F$16+RAND()*(Model!$G$16-Model!$F$16)</f>
        <v>49.737469479208436</v>
      </c>
      <c r="E580" s="33">
        <f>Model!$D$17</f>
        <v>800</v>
      </c>
      <c r="G580" s="36">
        <f t="shared" ca="1" si="11"/>
        <v>-301.87724819788332</v>
      </c>
    </row>
    <row r="581" spans="1:7" x14ac:dyDescent="0.2">
      <c r="A581" s="6">
        <f ca="1">Model!$F$13+RAND()*(Model!$G$13-Model!$F$13)</f>
        <v>1704.756713307172</v>
      </c>
      <c r="B581" s="31">
        <f ca="1">Model!$F$14+RAND()*(Model!$G$14-Model!$F$14)</f>
        <v>0.38616653284543256</v>
      </c>
      <c r="C581" s="32">
        <f ca="1">Model!$F$15+RAND()*(Model!$G$15-Model!$F$15)</f>
        <v>3.5662470578709422E-2</v>
      </c>
      <c r="D581" s="33">
        <f ca="1">Model!$F$16+RAND()*(Model!$G$16-Model!$F$16)</f>
        <v>48.664443539621743</v>
      </c>
      <c r="E581" s="33">
        <f>Model!$D$17</f>
        <v>800</v>
      </c>
      <c r="G581" s="36">
        <f t="shared" ca="1" si="11"/>
        <v>1500.2755455754905</v>
      </c>
    </row>
    <row r="582" spans="1:7" x14ac:dyDescent="0.2">
      <c r="A582" s="6">
        <f ca="1">Model!$F$13+RAND()*(Model!$G$13-Model!$F$13)</f>
        <v>1338.5869438083678</v>
      </c>
      <c r="B582" s="31">
        <f ca="1">Model!$F$14+RAND()*(Model!$G$14-Model!$F$14)</f>
        <v>0.45829349289019877</v>
      </c>
      <c r="C582" s="32">
        <f ca="1">Model!$F$15+RAND()*(Model!$G$15-Model!$F$15)</f>
        <v>4.8814633458861105E-2</v>
      </c>
      <c r="D582" s="33">
        <f ca="1">Model!$F$16+RAND()*(Model!$G$16-Model!$F$16)</f>
        <v>51.365709852561224</v>
      </c>
      <c r="E582" s="33">
        <f>Model!$D$17</f>
        <v>800</v>
      </c>
      <c r="G582" s="36">
        <f t="shared" ca="1" si="11"/>
        <v>1942.9049396951918</v>
      </c>
    </row>
    <row r="583" spans="1:7" x14ac:dyDescent="0.2">
      <c r="A583" s="6">
        <f ca="1">Model!$F$13+RAND()*(Model!$G$13-Model!$F$13)</f>
        <v>1309.1112666502027</v>
      </c>
      <c r="B583" s="31">
        <f ca="1">Model!$F$14+RAND()*(Model!$G$14-Model!$F$14)</f>
        <v>0.68565818663441958</v>
      </c>
      <c r="C583" s="32">
        <f ca="1">Model!$F$15+RAND()*(Model!$G$15-Model!$F$15)</f>
        <v>3.9338242457462209E-2</v>
      </c>
      <c r="D583" s="33">
        <f ca="1">Model!$F$16+RAND()*(Model!$G$16-Model!$F$16)</f>
        <v>49.444753949011648</v>
      </c>
      <c r="E583" s="33">
        <f>Model!$D$17</f>
        <v>800</v>
      </c>
      <c r="G583" s="36">
        <f t="shared" ca="1" si="11"/>
        <v>848.70982649436701</v>
      </c>
    </row>
    <row r="584" spans="1:7" x14ac:dyDescent="0.2">
      <c r="A584" s="6">
        <f ca="1">Model!$F$13+RAND()*(Model!$G$13-Model!$F$13)</f>
        <v>1592.8374167250179</v>
      </c>
      <c r="B584" s="31">
        <f ca="1">Model!$F$14+RAND()*(Model!$G$14-Model!$F$14)</f>
        <v>0.70607319085546716</v>
      </c>
      <c r="C584" s="32">
        <f ca="1">Model!$F$15+RAND()*(Model!$G$15-Model!$F$15)</f>
        <v>1.2887170750856894E-2</v>
      </c>
      <c r="D584" s="33">
        <f ca="1">Model!$F$16+RAND()*(Model!$G$16-Model!$F$16)</f>
        <v>52.638430260495952</v>
      </c>
      <c r="E584" s="33">
        <f>Model!$D$17</f>
        <v>800</v>
      </c>
      <c r="G584" s="36">
        <f t="shared" ca="1" si="11"/>
        <v>-844.14190835600948</v>
      </c>
    </row>
    <row r="585" spans="1:7" x14ac:dyDescent="0.2">
      <c r="A585" s="6">
        <f ca="1">Model!$F$13+RAND()*(Model!$G$13-Model!$F$13)</f>
        <v>1302.7386729665725</v>
      </c>
      <c r="B585" s="31">
        <f ca="1">Model!$F$14+RAND()*(Model!$G$14-Model!$F$14)</f>
        <v>0.42680816468859617</v>
      </c>
      <c r="C585" s="32">
        <f ca="1">Model!$F$15+RAND()*(Model!$G$15-Model!$F$15)</f>
        <v>3.1521277168928379E-2</v>
      </c>
      <c r="D585" s="33">
        <f ca="1">Model!$F$16+RAND()*(Model!$G$16-Model!$F$16)</f>
        <v>50.45533950876402</v>
      </c>
      <c r="E585" s="33">
        <f>Model!$D$17</f>
        <v>800</v>
      </c>
      <c r="G585" s="36">
        <f t="shared" ca="1" si="11"/>
        <v>715.87789295785842</v>
      </c>
    </row>
    <row r="586" spans="1:7" x14ac:dyDescent="0.2">
      <c r="A586" s="6">
        <f ca="1">Model!$F$13+RAND()*(Model!$G$13-Model!$F$13)</f>
        <v>1237.6858143040793</v>
      </c>
      <c r="B586" s="31">
        <f ca="1">Model!$F$14+RAND()*(Model!$G$14-Model!$F$14)</f>
        <v>0.60210860086788298</v>
      </c>
      <c r="C586" s="32">
        <f ca="1">Model!$F$15+RAND()*(Model!$G$15-Model!$F$15)</f>
        <v>3.0036664430190395E-2</v>
      </c>
      <c r="D586" s="33">
        <f ca="1">Model!$F$16+RAND()*(Model!$G$16-Model!$F$16)</f>
        <v>51.146434538827904</v>
      </c>
      <c r="E586" s="33">
        <f>Model!$D$17</f>
        <v>800</v>
      </c>
      <c r="G586" s="36">
        <f t="shared" ca="1" si="11"/>
        <v>356.19619682502207</v>
      </c>
    </row>
    <row r="587" spans="1:7" x14ac:dyDescent="0.2">
      <c r="A587" s="6">
        <f ca="1">Model!$F$13+RAND()*(Model!$G$13-Model!$F$13)</f>
        <v>1427.6610764690174</v>
      </c>
      <c r="B587" s="31">
        <f ca="1">Model!$F$14+RAND()*(Model!$G$14-Model!$F$14)</f>
        <v>0.43336122725639181</v>
      </c>
      <c r="C587" s="32">
        <f ca="1">Model!$F$15+RAND()*(Model!$G$15-Model!$F$15)</f>
        <v>3.6586293020340312E-2</v>
      </c>
      <c r="D587" s="33">
        <f ca="1">Model!$F$16+RAND()*(Model!$G$16-Model!$F$16)</f>
        <v>48.061707059035108</v>
      </c>
      <c r="E587" s="33">
        <f>Model!$D$17</f>
        <v>800</v>
      </c>
      <c r="G587" s="36">
        <f t="shared" ca="1" si="11"/>
        <v>1091.7058488188559</v>
      </c>
    </row>
    <row r="588" spans="1:7" x14ac:dyDescent="0.2">
      <c r="A588" s="6">
        <f ca="1">Model!$F$13+RAND()*(Model!$G$13-Model!$F$13)</f>
        <v>1764.866407635795</v>
      </c>
      <c r="B588" s="31">
        <f ca="1">Model!$F$14+RAND()*(Model!$G$14-Model!$F$14)</f>
        <v>0.73529848402754783</v>
      </c>
      <c r="C588" s="32">
        <f ca="1">Model!$F$15+RAND()*(Model!$G$15-Model!$F$15)</f>
        <v>3.041911025695216E-2</v>
      </c>
      <c r="D588" s="33">
        <f ca="1">Model!$F$16+RAND()*(Model!$G$16-Model!$F$16)</f>
        <v>47.153110806949933</v>
      </c>
      <c r="E588" s="33">
        <f>Model!$D$17</f>
        <v>800</v>
      </c>
      <c r="G588" s="36">
        <f t="shared" ca="1" si="11"/>
        <v>433.7425561782934</v>
      </c>
    </row>
    <row r="589" spans="1:7" x14ac:dyDescent="0.2">
      <c r="A589" s="6">
        <f ca="1">Model!$F$13+RAND()*(Model!$G$13-Model!$F$13)</f>
        <v>1673.5063313343765</v>
      </c>
      <c r="B589" s="31">
        <f ca="1">Model!$F$14+RAND()*(Model!$G$14-Model!$F$14)</f>
        <v>0.52775066329929476</v>
      </c>
      <c r="C589" s="32">
        <f ca="1">Model!$F$15+RAND()*(Model!$G$15-Model!$F$15)</f>
        <v>1.9885253520007737E-2</v>
      </c>
      <c r="D589" s="33">
        <f ca="1">Model!$F$16+RAND()*(Model!$G$16-Model!$F$16)</f>
        <v>47.289417571103506</v>
      </c>
      <c r="E589" s="33">
        <f>Model!$D$17</f>
        <v>800</v>
      </c>
      <c r="G589" s="36">
        <f t="shared" ca="1" si="11"/>
        <v>-109.49221990152932</v>
      </c>
    </row>
    <row r="590" spans="1:7" x14ac:dyDescent="0.2">
      <c r="A590" s="6">
        <f ca="1">Model!$F$13+RAND()*(Model!$G$13-Model!$F$13)</f>
        <v>1774.7628610990823</v>
      </c>
      <c r="B590" s="31">
        <f ca="1">Model!$F$14+RAND()*(Model!$G$14-Model!$F$14)</f>
        <v>0.61943861717354243</v>
      </c>
      <c r="C590" s="32">
        <f ca="1">Model!$F$15+RAND()*(Model!$G$15-Model!$F$15)</f>
        <v>3.0115096275733146E-2</v>
      </c>
      <c r="D590" s="33">
        <f ca="1">Model!$F$16+RAND()*(Model!$G$16-Model!$F$16)</f>
        <v>51.144515932932272</v>
      </c>
      <c r="E590" s="33">
        <f>Model!$D$17</f>
        <v>800</v>
      </c>
      <c r="G590" s="36">
        <f t="shared" ca="1" si="11"/>
        <v>834.17218875296658</v>
      </c>
    </row>
    <row r="591" spans="1:7" x14ac:dyDescent="0.2">
      <c r="A591" s="6">
        <f ca="1">Model!$F$13+RAND()*(Model!$G$13-Model!$F$13)</f>
        <v>1744.075455498175</v>
      </c>
      <c r="B591" s="31">
        <f ca="1">Model!$F$14+RAND()*(Model!$G$14-Model!$F$14)</f>
        <v>0.5743798341265034</v>
      </c>
      <c r="C591" s="32">
        <f ca="1">Model!$F$15+RAND()*(Model!$G$15-Model!$F$15)</f>
        <v>2.3038427709122476E-2</v>
      </c>
      <c r="D591" s="33">
        <f ca="1">Model!$F$16+RAND()*(Model!$G$16-Model!$F$16)</f>
        <v>47.953010019398825</v>
      </c>
      <c r="E591" s="33">
        <f>Model!$D$17</f>
        <v>800</v>
      </c>
      <c r="G591" s="36">
        <f t="shared" ca="1" si="11"/>
        <v>125.02643864371839</v>
      </c>
    </row>
    <row r="592" spans="1:7" x14ac:dyDescent="0.2">
      <c r="A592" s="6">
        <f ca="1">Model!$F$13+RAND()*(Model!$G$13-Model!$F$13)</f>
        <v>1230.9569497048362</v>
      </c>
      <c r="B592" s="31">
        <f ca="1">Model!$F$14+RAND()*(Model!$G$14-Model!$F$14)</f>
        <v>0.27663432075023431</v>
      </c>
      <c r="C592" s="32">
        <f ca="1">Model!$F$15+RAND()*(Model!$G$15-Model!$F$15)</f>
        <v>1.6133859252108432E-2</v>
      </c>
      <c r="D592" s="33">
        <f ca="1">Model!$F$16+RAND()*(Model!$G$16-Model!$F$16)</f>
        <v>47.92356644193822</v>
      </c>
      <c r="E592" s="33">
        <f>Model!$D$17</f>
        <v>800</v>
      </c>
      <c r="G592" s="36">
        <f t="shared" ca="1" si="11"/>
        <v>-188.75878045067066</v>
      </c>
    </row>
    <row r="593" spans="1:7" x14ac:dyDescent="0.2">
      <c r="A593" s="6">
        <f ca="1">Model!$F$13+RAND()*(Model!$G$13-Model!$F$13)</f>
        <v>1397.443827425848</v>
      </c>
      <c r="B593" s="31">
        <f ca="1">Model!$F$14+RAND()*(Model!$G$14-Model!$F$14)</f>
        <v>0.7635390972239855</v>
      </c>
      <c r="C593" s="32">
        <f ca="1">Model!$F$15+RAND()*(Model!$G$15-Model!$F$15)</f>
        <v>3.3394656641292139E-2</v>
      </c>
      <c r="D593" s="33">
        <f ca="1">Model!$F$16+RAND()*(Model!$G$16-Model!$F$16)</f>
        <v>47.716226905979049</v>
      </c>
      <c r="E593" s="33">
        <f>Model!$D$17</f>
        <v>800</v>
      </c>
      <c r="G593" s="36">
        <f t="shared" ca="1" si="11"/>
        <v>359.77764414810895</v>
      </c>
    </row>
    <row r="594" spans="1:7" x14ac:dyDescent="0.2">
      <c r="A594" s="6">
        <f ca="1">Model!$F$13+RAND()*(Model!$G$13-Model!$F$13)</f>
        <v>1251.5831311721452</v>
      </c>
      <c r="B594" s="31">
        <f ca="1">Model!$F$14+RAND()*(Model!$G$14-Model!$F$14)</f>
        <v>0.60137984787118604</v>
      </c>
      <c r="C594" s="32">
        <f ca="1">Model!$F$15+RAND()*(Model!$G$15-Model!$F$15)</f>
        <v>1.8223443726901344E-2</v>
      </c>
      <c r="D594" s="33">
        <f ca="1">Model!$F$16+RAND()*(Model!$G$16-Model!$F$16)</f>
        <v>49.556773836593777</v>
      </c>
      <c r="E594" s="33">
        <f>Model!$D$17</f>
        <v>800</v>
      </c>
      <c r="G594" s="36">
        <f t="shared" ca="1" si="11"/>
        <v>-422.3783059285704</v>
      </c>
    </row>
    <row r="595" spans="1:7" x14ac:dyDescent="0.2">
      <c r="A595" s="6">
        <f ca="1">Model!$F$13+RAND()*(Model!$G$13-Model!$F$13)</f>
        <v>1694.1257089929559</v>
      </c>
      <c r="B595" s="31">
        <f ca="1">Model!$F$14+RAND()*(Model!$G$14-Model!$F$14)</f>
        <v>0.78293956714413371</v>
      </c>
      <c r="C595" s="32">
        <f ca="1">Model!$F$15+RAND()*(Model!$G$15-Model!$F$15)</f>
        <v>2.6766568153683411E-2</v>
      </c>
      <c r="D595" s="33">
        <f ca="1">Model!$F$16+RAND()*(Model!$G$16-Model!$F$16)</f>
        <v>52.99848200378176</v>
      </c>
      <c r="E595" s="33">
        <f>Model!$D$17</f>
        <v>800</v>
      </c>
      <c r="G595" s="36">
        <f t="shared" ca="1" si="11"/>
        <v>276.86747204651601</v>
      </c>
    </row>
    <row r="596" spans="1:7" x14ac:dyDescent="0.2">
      <c r="A596" s="6">
        <f ca="1">Model!$F$13+RAND()*(Model!$G$13-Model!$F$13)</f>
        <v>1687.1608274960474</v>
      </c>
      <c r="B596" s="31">
        <f ca="1">Model!$F$14+RAND()*(Model!$G$14-Model!$F$14)</f>
        <v>0.57150235337274746</v>
      </c>
      <c r="C596" s="32">
        <f ca="1">Model!$F$15+RAND()*(Model!$G$15-Model!$F$15)</f>
        <v>3.068508454695569E-2</v>
      </c>
      <c r="D596" s="33">
        <f ca="1">Model!$F$16+RAND()*(Model!$G$16-Model!$F$16)</f>
        <v>51.162280781210711</v>
      </c>
      <c r="E596" s="33">
        <f>Model!$D$17</f>
        <v>800</v>
      </c>
      <c r="G596" s="36">
        <f t="shared" ca="1" si="11"/>
        <v>884.48930620430019</v>
      </c>
    </row>
    <row r="597" spans="1:7" x14ac:dyDescent="0.2">
      <c r="A597" s="6">
        <f ca="1">Model!$F$13+RAND()*(Model!$G$13-Model!$F$13)</f>
        <v>1341.4825230161764</v>
      </c>
      <c r="B597" s="31">
        <f ca="1">Model!$F$14+RAND()*(Model!$G$14-Model!$F$14)</f>
        <v>0.21398053058636551</v>
      </c>
      <c r="C597" s="32">
        <f ca="1">Model!$F$15+RAND()*(Model!$G$15-Model!$F$15)</f>
        <v>4.7052030757613175E-2</v>
      </c>
      <c r="D597" s="33">
        <f ca="1">Model!$F$16+RAND()*(Model!$G$16-Model!$F$16)</f>
        <v>47.588167431306637</v>
      </c>
      <c r="E597" s="33">
        <f>Model!$D$17</f>
        <v>800</v>
      </c>
      <c r="G597" s="36">
        <f t="shared" ca="1" si="11"/>
        <v>1916.6890944528186</v>
      </c>
    </row>
    <row r="598" spans="1:7" x14ac:dyDescent="0.2">
      <c r="A598" s="6">
        <f ca="1">Model!$F$13+RAND()*(Model!$G$13-Model!$F$13)</f>
        <v>1211.288460768659</v>
      </c>
      <c r="B598" s="31">
        <f ca="1">Model!$F$14+RAND()*(Model!$G$14-Model!$F$14)</f>
        <v>0.70717496772492461</v>
      </c>
      <c r="C598" s="32">
        <f ca="1">Model!$F$15+RAND()*(Model!$G$15-Model!$F$15)</f>
        <v>3.1724255669621469E-2</v>
      </c>
      <c r="D598" s="33">
        <f ca="1">Model!$F$16+RAND()*(Model!$G$16-Model!$F$16)</f>
        <v>47.481715032681642</v>
      </c>
      <c r="E598" s="33">
        <f>Model!$D$17</f>
        <v>800</v>
      </c>
      <c r="G598" s="36">
        <f t="shared" ca="1" si="11"/>
        <v>167.99766020703942</v>
      </c>
    </row>
    <row r="599" spans="1:7" x14ac:dyDescent="0.2">
      <c r="A599" s="6">
        <f ca="1">Model!$F$13+RAND()*(Model!$G$13-Model!$F$13)</f>
        <v>1769.9886041023401</v>
      </c>
      <c r="B599" s="31">
        <f ca="1">Model!$F$14+RAND()*(Model!$G$14-Model!$F$14)</f>
        <v>0.35444982247525014</v>
      </c>
      <c r="C599" s="32">
        <f ca="1">Model!$F$15+RAND()*(Model!$G$15-Model!$F$15)</f>
        <v>1.0266324981624227E-2</v>
      </c>
      <c r="D599" s="33">
        <f ca="1">Model!$F$16+RAND()*(Model!$G$16-Model!$F$16)</f>
        <v>47.264160806067657</v>
      </c>
      <c r="E599" s="33">
        <f>Model!$D$17</f>
        <v>800</v>
      </c>
      <c r="G599" s="36">
        <f t="shared" ca="1" si="11"/>
        <v>-568.52193050065034</v>
      </c>
    </row>
    <row r="600" spans="1:7" x14ac:dyDescent="0.2">
      <c r="A600" s="6">
        <f ca="1">Model!$F$13+RAND()*(Model!$G$13-Model!$F$13)</f>
        <v>1332.5613207356423</v>
      </c>
      <c r="B600" s="31">
        <f ca="1">Model!$F$14+RAND()*(Model!$G$14-Model!$F$14)</f>
        <v>0.38216706485883883</v>
      </c>
      <c r="C600" s="32">
        <f ca="1">Model!$F$15+RAND()*(Model!$G$15-Model!$F$15)</f>
        <v>1.2964344390566925E-2</v>
      </c>
      <c r="D600" s="33">
        <f ca="1">Model!$F$16+RAND()*(Model!$G$16-Model!$F$16)</f>
        <v>48.932056480914127</v>
      </c>
      <c r="E600" s="33">
        <f>Model!$D$17</f>
        <v>800</v>
      </c>
      <c r="G600" s="36">
        <f t="shared" ca="1" si="11"/>
        <v>-463.92141594726138</v>
      </c>
    </row>
    <row r="601" spans="1:7" x14ac:dyDescent="0.2">
      <c r="A601" s="6">
        <f ca="1">Model!$F$13+RAND()*(Model!$G$13-Model!$F$13)</f>
        <v>1370.051596180843</v>
      </c>
      <c r="B601" s="31">
        <f ca="1">Model!$F$14+RAND()*(Model!$G$14-Model!$F$14)</f>
        <v>0.43721926262284838</v>
      </c>
      <c r="C601" s="32">
        <f ca="1">Model!$F$15+RAND()*(Model!$G$15-Model!$F$15)</f>
        <v>3.5184900857903434E-2</v>
      </c>
      <c r="D601" s="33">
        <f ca="1">Model!$F$16+RAND()*(Model!$G$16-Model!$F$16)</f>
        <v>52.666911927256798</v>
      </c>
      <c r="E601" s="33">
        <f>Model!$D$17</f>
        <v>800</v>
      </c>
      <c r="G601" s="36">
        <f t="shared" ca="1" si="11"/>
        <v>1139.8023654910774</v>
      </c>
    </row>
    <row r="602" spans="1:7" x14ac:dyDescent="0.2">
      <c r="A602" s="6">
        <f ca="1">Model!$F$13+RAND()*(Model!$G$13-Model!$F$13)</f>
        <v>1434.2908991053296</v>
      </c>
      <c r="B602" s="31">
        <f ca="1">Model!$F$14+RAND()*(Model!$G$14-Model!$F$14)</f>
        <v>0.33500757068838471</v>
      </c>
      <c r="C602" s="32">
        <f ca="1">Model!$F$15+RAND()*(Model!$G$15-Model!$F$15)</f>
        <v>3.1961536236516694E-2</v>
      </c>
      <c r="D602" s="33">
        <f ca="1">Model!$F$16+RAND()*(Model!$G$16-Model!$F$16)</f>
        <v>49.791924487589661</v>
      </c>
      <c r="E602" s="33">
        <f>Model!$D$17</f>
        <v>800</v>
      </c>
      <c r="G602" s="36">
        <f t="shared" ca="1" si="11"/>
        <v>1002.070090619336</v>
      </c>
    </row>
    <row r="603" spans="1:7" x14ac:dyDescent="0.2">
      <c r="A603" s="6">
        <f ca="1">Model!$F$13+RAND()*(Model!$G$13-Model!$F$13)</f>
        <v>1518.4249189865639</v>
      </c>
      <c r="B603" s="31">
        <f ca="1">Model!$F$14+RAND()*(Model!$G$14-Model!$F$14)</f>
        <v>0.60290848802608399</v>
      </c>
      <c r="C603" s="32">
        <f ca="1">Model!$F$15+RAND()*(Model!$G$15-Model!$F$15)</f>
        <v>4.2990744836229354E-2</v>
      </c>
      <c r="D603" s="33">
        <f ca="1">Model!$F$16+RAND()*(Model!$G$16-Model!$F$16)</f>
        <v>50.543366595800784</v>
      </c>
      <c r="E603" s="33">
        <f>Model!$D$17</f>
        <v>800</v>
      </c>
      <c r="G603" s="36">
        <f t="shared" ca="1" si="11"/>
        <v>1583.9096433966549</v>
      </c>
    </row>
    <row r="604" spans="1:7" x14ac:dyDescent="0.2">
      <c r="A604" s="6">
        <f ca="1">Model!$F$13+RAND()*(Model!$G$13-Model!$F$13)</f>
        <v>1538.0123828682122</v>
      </c>
      <c r="B604" s="31">
        <f ca="1">Model!$F$14+RAND()*(Model!$G$14-Model!$F$14)</f>
        <v>0.38551825591944427</v>
      </c>
      <c r="C604" s="32">
        <f ca="1">Model!$F$15+RAND()*(Model!$G$15-Model!$F$15)</f>
        <v>2.2624375959875792E-2</v>
      </c>
      <c r="D604" s="33">
        <f ca="1">Model!$F$16+RAND()*(Model!$G$16-Model!$F$16)</f>
        <v>48.607365213518143</v>
      </c>
      <c r="E604" s="33">
        <f>Model!$D$17</f>
        <v>800</v>
      </c>
      <c r="G604" s="36">
        <f t="shared" ca="1" si="11"/>
        <v>298.43775325909951</v>
      </c>
    </row>
    <row r="605" spans="1:7" x14ac:dyDescent="0.2">
      <c r="A605" s="6">
        <f ca="1">Model!$F$13+RAND()*(Model!$G$13-Model!$F$13)</f>
        <v>1596.8392570934391</v>
      </c>
      <c r="B605" s="31">
        <f ca="1">Model!$F$14+RAND()*(Model!$G$14-Model!$F$14)</f>
        <v>0.35613423285204543</v>
      </c>
      <c r="C605" s="32">
        <f ca="1">Model!$F$15+RAND()*(Model!$G$15-Model!$F$15)</f>
        <v>1.9435622500278249E-2</v>
      </c>
      <c r="D605" s="33">
        <f ca="1">Model!$F$16+RAND()*(Model!$G$16-Model!$F$16)</f>
        <v>50.5743102723155</v>
      </c>
      <c r="E605" s="33">
        <f>Model!$D$17</f>
        <v>800</v>
      </c>
      <c r="G605" s="36">
        <f t="shared" ca="1" si="11"/>
        <v>200.91316969509307</v>
      </c>
    </row>
    <row r="606" spans="1:7" x14ac:dyDescent="0.2">
      <c r="A606" s="6">
        <f ca="1">Model!$F$13+RAND()*(Model!$G$13-Model!$F$13)</f>
        <v>1477.6126061340137</v>
      </c>
      <c r="B606" s="31">
        <f ca="1">Model!$F$14+RAND()*(Model!$G$14-Model!$F$14)</f>
        <v>0.3406663739231176</v>
      </c>
      <c r="C606" s="32">
        <f ca="1">Model!$F$15+RAND()*(Model!$G$15-Model!$F$15)</f>
        <v>2.7479082761327968E-2</v>
      </c>
      <c r="D606" s="33">
        <f ca="1">Model!$F$16+RAND()*(Model!$G$16-Model!$F$16)</f>
        <v>48.40110393904186</v>
      </c>
      <c r="E606" s="33">
        <f>Model!$D$17</f>
        <v>800</v>
      </c>
      <c r="G606" s="36">
        <f t="shared" ca="1" si="11"/>
        <v>661.87834723476908</v>
      </c>
    </row>
    <row r="607" spans="1:7" x14ac:dyDescent="0.2">
      <c r="A607" s="6">
        <f ca="1">Model!$F$13+RAND()*(Model!$G$13-Model!$F$13)</f>
        <v>1621.885197842402</v>
      </c>
      <c r="B607" s="31">
        <f ca="1">Model!$F$14+RAND()*(Model!$G$14-Model!$F$14)</f>
        <v>0.45005945833497418</v>
      </c>
      <c r="C607" s="32">
        <f ca="1">Model!$F$15+RAND()*(Model!$G$15-Model!$F$15)</f>
        <v>2.1989378286643373E-2</v>
      </c>
      <c r="D607" s="33">
        <f ca="1">Model!$F$16+RAND()*(Model!$G$16-Model!$F$16)</f>
        <v>50.764741329274941</v>
      </c>
      <c r="E607" s="33">
        <f>Model!$D$17</f>
        <v>800</v>
      </c>
      <c r="G607" s="36">
        <f t="shared" ca="1" si="11"/>
        <v>280.54150779600786</v>
      </c>
    </row>
    <row r="608" spans="1:7" x14ac:dyDescent="0.2">
      <c r="A608" s="6">
        <f ca="1">Model!$F$13+RAND()*(Model!$G$13-Model!$F$13)</f>
        <v>1237.9842045560822</v>
      </c>
      <c r="B608" s="31">
        <f ca="1">Model!$F$14+RAND()*(Model!$G$14-Model!$F$14)</f>
        <v>0.70095911634242358</v>
      </c>
      <c r="C608" s="32">
        <f ca="1">Model!$F$15+RAND()*(Model!$G$15-Model!$F$15)</f>
        <v>3.4044583976994336E-2</v>
      </c>
      <c r="D608" s="33">
        <f ca="1">Model!$F$16+RAND()*(Model!$G$16-Model!$F$16)</f>
        <v>51.005121217774857</v>
      </c>
      <c r="E608" s="33">
        <f>Model!$D$17</f>
        <v>800</v>
      </c>
      <c r="G608" s="36">
        <f t="shared" ca="1" si="11"/>
        <v>481.91904606287198</v>
      </c>
    </row>
    <row r="609" spans="1:7" x14ac:dyDescent="0.2">
      <c r="A609" s="6">
        <f ca="1">Model!$F$13+RAND()*(Model!$G$13-Model!$F$13)</f>
        <v>1279.5796672502895</v>
      </c>
      <c r="B609" s="31">
        <f ca="1">Model!$F$14+RAND()*(Model!$G$14-Model!$F$14)</f>
        <v>0.76212866026336057</v>
      </c>
      <c r="C609" s="32">
        <f ca="1">Model!$F$15+RAND()*(Model!$G$15-Model!$F$15)</f>
        <v>3.9805914199428208E-2</v>
      </c>
      <c r="D609" s="33">
        <f ca="1">Model!$F$16+RAND()*(Model!$G$16-Model!$F$16)</f>
        <v>47.325959579997743</v>
      </c>
      <c r="E609" s="33">
        <f>Model!$D$17</f>
        <v>800</v>
      </c>
      <c r="G609" s="36">
        <f t="shared" ca="1" si="11"/>
        <v>635.33576800258015</v>
      </c>
    </row>
    <row r="610" spans="1:7" x14ac:dyDescent="0.2">
      <c r="A610" s="6">
        <f ca="1">Model!$F$13+RAND()*(Model!$G$13-Model!$F$13)</f>
        <v>1404.731161517079</v>
      </c>
      <c r="B610" s="31">
        <f ca="1">Model!$F$14+RAND()*(Model!$G$14-Model!$F$14)</f>
        <v>0.46615300531529069</v>
      </c>
      <c r="C610" s="32">
        <f ca="1">Model!$F$15+RAND()*(Model!$G$15-Model!$F$15)</f>
        <v>1.1292309052246839E-2</v>
      </c>
      <c r="D610" s="33">
        <f ca="1">Model!$F$16+RAND()*(Model!$G$16-Model!$F$16)</f>
        <v>51.992891349885184</v>
      </c>
      <c r="E610" s="33">
        <f>Model!$D$17</f>
        <v>800</v>
      </c>
      <c r="G610" s="36">
        <f t="shared" ca="1" si="11"/>
        <v>-630.0741773087899</v>
      </c>
    </row>
    <row r="611" spans="1:7" x14ac:dyDescent="0.2">
      <c r="A611" s="6">
        <f ca="1">Model!$F$13+RAND()*(Model!$G$13-Model!$F$13)</f>
        <v>1741.2647180293138</v>
      </c>
      <c r="B611" s="31">
        <f ca="1">Model!$F$14+RAND()*(Model!$G$14-Model!$F$14)</f>
        <v>0.63852763641033872</v>
      </c>
      <c r="C611" s="32">
        <f ca="1">Model!$F$15+RAND()*(Model!$G$15-Model!$F$15)</f>
        <v>4.7826674591667499E-2</v>
      </c>
      <c r="D611" s="33">
        <f ca="1">Model!$F$16+RAND()*(Model!$G$16-Model!$F$16)</f>
        <v>50.374907025153931</v>
      </c>
      <c r="E611" s="33">
        <f>Model!$D$17</f>
        <v>800</v>
      </c>
      <c r="G611" s="36">
        <f t="shared" ca="1" si="11"/>
        <v>2283.3212526386815</v>
      </c>
    </row>
    <row r="612" spans="1:7" x14ac:dyDescent="0.2">
      <c r="A612" s="6">
        <f ca="1">Model!$F$13+RAND()*(Model!$G$13-Model!$F$13)</f>
        <v>1525.9022608288469</v>
      </c>
      <c r="B612" s="31">
        <f ca="1">Model!$F$14+RAND()*(Model!$G$14-Model!$F$14)</f>
        <v>0.66379161039592693</v>
      </c>
      <c r="C612" s="32">
        <f ca="1">Model!$F$15+RAND()*(Model!$G$15-Model!$F$15)</f>
        <v>3.5664042821159404E-2</v>
      </c>
      <c r="D612" s="33">
        <f ca="1">Model!$F$16+RAND()*(Model!$G$16-Model!$F$16)</f>
        <v>49.557435034170076</v>
      </c>
      <c r="E612" s="33">
        <f>Model!$D$17</f>
        <v>800</v>
      </c>
      <c r="G612" s="36">
        <f t="shared" ca="1" si="11"/>
        <v>884.02674332231572</v>
      </c>
    </row>
    <row r="613" spans="1:7" x14ac:dyDescent="0.2">
      <c r="A613" s="6">
        <f ca="1">Model!$F$13+RAND()*(Model!$G$13-Model!$F$13)</f>
        <v>1743.7192620151609</v>
      </c>
      <c r="B613" s="31">
        <f ca="1">Model!$F$14+RAND()*(Model!$G$14-Model!$F$14)</f>
        <v>0.52343844537219919</v>
      </c>
      <c r="C613" s="32">
        <f ca="1">Model!$F$15+RAND()*(Model!$G$15-Model!$F$15)</f>
        <v>3.6033893807119126E-2</v>
      </c>
      <c r="D613" s="33">
        <f ca="1">Model!$F$16+RAND()*(Model!$G$16-Model!$F$16)</f>
        <v>47.833439547705233</v>
      </c>
      <c r="E613" s="33">
        <f>Model!$D$17</f>
        <v>800</v>
      </c>
      <c r="G613" s="36">
        <f t="shared" ca="1" si="11"/>
        <v>1292.788554716504</v>
      </c>
    </row>
    <row r="614" spans="1:7" x14ac:dyDescent="0.2">
      <c r="A614" s="6">
        <f ca="1">Model!$F$13+RAND()*(Model!$G$13-Model!$F$13)</f>
        <v>1478.0766516688582</v>
      </c>
      <c r="B614" s="31">
        <f ca="1">Model!$F$14+RAND()*(Model!$G$14-Model!$F$14)</f>
        <v>0.47536137462018929</v>
      </c>
      <c r="C614" s="32">
        <f ca="1">Model!$F$15+RAND()*(Model!$G$15-Model!$F$15)</f>
        <v>2.9157565833149282E-2</v>
      </c>
      <c r="D614" s="33">
        <f ca="1">Model!$F$16+RAND()*(Model!$G$16-Model!$F$16)</f>
        <v>52.991701797501847</v>
      </c>
      <c r="E614" s="33">
        <f>Model!$D$17</f>
        <v>800</v>
      </c>
      <c r="G614" s="36">
        <f t="shared" ca="1" si="11"/>
        <v>781.16903816863578</v>
      </c>
    </row>
    <row r="615" spans="1:7" x14ac:dyDescent="0.2">
      <c r="A615" s="6">
        <f ca="1">Model!$F$13+RAND()*(Model!$G$13-Model!$F$13)</f>
        <v>1645.1423145611084</v>
      </c>
      <c r="B615" s="31">
        <f ca="1">Model!$F$14+RAND()*(Model!$G$14-Model!$F$14)</f>
        <v>0.7564010535195318</v>
      </c>
      <c r="C615" s="32">
        <f ca="1">Model!$F$15+RAND()*(Model!$G$15-Model!$F$15)</f>
        <v>4.0835405084527217E-2</v>
      </c>
      <c r="D615" s="33">
        <f ca="1">Model!$F$16+RAND()*(Model!$G$16-Model!$F$16)</f>
        <v>50.651419464827704</v>
      </c>
      <c r="E615" s="33">
        <f>Model!$D$17</f>
        <v>800</v>
      </c>
      <c r="G615" s="36">
        <f t="shared" ca="1" si="11"/>
        <v>1358.3776559824398</v>
      </c>
    </row>
    <row r="616" spans="1:7" x14ac:dyDescent="0.2">
      <c r="A616" s="6">
        <f ca="1">Model!$F$13+RAND()*(Model!$G$13-Model!$F$13)</f>
        <v>1788.3564457111402</v>
      </c>
      <c r="B616" s="31">
        <f ca="1">Model!$F$14+RAND()*(Model!$G$14-Model!$F$14)</f>
        <v>0.74595385367076084</v>
      </c>
      <c r="C616" s="32">
        <f ca="1">Model!$F$15+RAND()*(Model!$G$15-Model!$F$15)</f>
        <v>2.7696341443791357E-2</v>
      </c>
      <c r="D616" s="33">
        <f ca="1">Model!$F$16+RAND()*(Model!$G$16-Model!$F$16)</f>
        <v>50.994886389907379</v>
      </c>
      <c r="E616" s="33">
        <f>Model!$D$17</f>
        <v>800</v>
      </c>
      <c r="G616" s="36">
        <f t="shared" ca="1" si="11"/>
        <v>391.79280364214628</v>
      </c>
    </row>
    <row r="617" spans="1:7" x14ac:dyDescent="0.2">
      <c r="A617" s="6">
        <f ca="1">Model!$F$13+RAND()*(Model!$G$13-Model!$F$13)</f>
        <v>1791.3809663164193</v>
      </c>
      <c r="B617" s="31">
        <f ca="1">Model!$F$14+RAND()*(Model!$G$14-Model!$F$14)</f>
        <v>0.3272719218725208</v>
      </c>
      <c r="C617" s="32">
        <f ca="1">Model!$F$15+RAND()*(Model!$G$15-Model!$F$15)</f>
        <v>2.1890893397471099E-2</v>
      </c>
      <c r="D617" s="33">
        <f ca="1">Model!$F$16+RAND()*(Model!$G$16-Model!$F$16)</f>
        <v>47.535811433971062</v>
      </c>
      <c r="E617" s="33">
        <f>Model!$D$17</f>
        <v>800</v>
      </c>
      <c r="G617" s="36">
        <f t="shared" ca="1" si="11"/>
        <v>477.84481519068095</v>
      </c>
    </row>
    <row r="618" spans="1:7" x14ac:dyDescent="0.2">
      <c r="A618" s="6">
        <f ca="1">Model!$F$13+RAND()*(Model!$G$13-Model!$F$13)</f>
        <v>1763.8468658412139</v>
      </c>
      <c r="B618" s="31">
        <f ca="1">Model!$F$14+RAND()*(Model!$G$14-Model!$F$14)</f>
        <v>0.79176637414269879</v>
      </c>
      <c r="C618" s="32">
        <f ca="1">Model!$F$15+RAND()*(Model!$G$15-Model!$F$15)</f>
        <v>1.0225933750952985E-2</v>
      </c>
      <c r="D618" s="33">
        <f ca="1">Model!$F$16+RAND()*(Model!$G$16-Model!$F$16)</f>
        <v>49.837250012132245</v>
      </c>
      <c r="E618" s="33">
        <f>Model!$D$17</f>
        <v>800</v>
      </c>
      <c r="G618" s="36">
        <f t="shared" ca="1" si="11"/>
        <v>-1297.6410961351148</v>
      </c>
    </row>
    <row r="619" spans="1:7" x14ac:dyDescent="0.2">
      <c r="A619" s="6">
        <f ca="1">Model!$F$13+RAND()*(Model!$G$13-Model!$F$13)</f>
        <v>1751.9853910059032</v>
      </c>
      <c r="B619" s="31">
        <f ca="1">Model!$F$14+RAND()*(Model!$G$14-Model!$F$14)</f>
        <v>0.56478204917879826</v>
      </c>
      <c r="C619" s="32">
        <f ca="1">Model!$F$15+RAND()*(Model!$G$15-Model!$F$15)</f>
        <v>2.7017381813196954E-2</v>
      </c>
      <c r="D619" s="33">
        <f ca="1">Model!$F$16+RAND()*(Model!$G$16-Model!$F$16)</f>
        <v>48.07162719498271</v>
      </c>
      <c r="E619" s="33">
        <f>Model!$D$17</f>
        <v>800</v>
      </c>
      <c r="G619" s="36">
        <f t="shared" ca="1" si="11"/>
        <v>485.93530207282674</v>
      </c>
    </row>
    <row r="620" spans="1:7" x14ac:dyDescent="0.2">
      <c r="A620" s="6">
        <f ca="1">Model!$F$13+RAND()*(Model!$G$13-Model!$F$13)</f>
        <v>1748.9603165018136</v>
      </c>
      <c r="B620" s="31">
        <f ca="1">Model!$F$14+RAND()*(Model!$G$14-Model!$F$14)</f>
        <v>0.22075115778418924</v>
      </c>
      <c r="C620" s="32">
        <f ca="1">Model!$F$15+RAND()*(Model!$G$15-Model!$F$15)</f>
        <v>2.4803917387702809E-2</v>
      </c>
      <c r="D620" s="33">
        <f ca="1">Model!$F$16+RAND()*(Model!$G$16-Model!$F$16)</f>
        <v>49.136678335275747</v>
      </c>
      <c r="E620" s="33">
        <f>Model!$D$17</f>
        <v>800</v>
      </c>
      <c r="G620" s="36">
        <f t="shared" ca="1" si="11"/>
        <v>945.51653030086663</v>
      </c>
    </row>
    <row r="621" spans="1:7" x14ac:dyDescent="0.2">
      <c r="A621" s="6">
        <f ca="1">Model!$F$13+RAND()*(Model!$G$13-Model!$F$13)</f>
        <v>1215.0586911378227</v>
      </c>
      <c r="B621" s="31">
        <f ca="1">Model!$F$14+RAND()*(Model!$G$14-Model!$F$14)</f>
        <v>0.27527841963374572</v>
      </c>
      <c r="C621" s="32">
        <f ca="1">Model!$F$15+RAND()*(Model!$G$15-Model!$F$15)</f>
        <v>2.068566313614071E-2</v>
      </c>
      <c r="D621" s="33">
        <f ca="1">Model!$F$16+RAND()*(Model!$G$16-Model!$F$16)</f>
        <v>47.705987726690765</v>
      </c>
      <c r="E621" s="33">
        <f>Model!$D$17</f>
        <v>800</v>
      </c>
      <c r="G621" s="36">
        <f t="shared" ca="1" si="11"/>
        <v>64.576921821176256</v>
      </c>
    </row>
    <row r="622" spans="1:7" x14ac:dyDescent="0.2">
      <c r="A622" s="6">
        <f ca="1">Model!$F$13+RAND()*(Model!$G$13-Model!$F$13)</f>
        <v>1778.8979174568947</v>
      </c>
      <c r="B622" s="31">
        <f ca="1">Model!$F$14+RAND()*(Model!$G$14-Model!$F$14)</f>
        <v>0.40291927695650109</v>
      </c>
      <c r="C622" s="32">
        <f ca="1">Model!$F$15+RAND()*(Model!$G$15-Model!$F$15)</f>
        <v>1.2558875412825752E-2</v>
      </c>
      <c r="D622" s="33">
        <f ca="1">Model!$F$16+RAND()*(Model!$G$16-Model!$F$16)</f>
        <v>48.934641188410339</v>
      </c>
      <c r="E622" s="33">
        <f>Model!$D$17</f>
        <v>800</v>
      </c>
      <c r="G622" s="36">
        <f t="shared" ca="1" si="11"/>
        <v>-423.50553254486317</v>
      </c>
    </row>
    <row r="623" spans="1:7" x14ac:dyDescent="0.2">
      <c r="A623" s="6">
        <f ca="1">Model!$F$13+RAND()*(Model!$G$13-Model!$F$13)</f>
        <v>1553.7921854439262</v>
      </c>
      <c r="B623" s="31">
        <f ca="1">Model!$F$14+RAND()*(Model!$G$14-Model!$F$14)</f>
        <v>0.7638352524808214</v>
      </c>
      <c r="C623" s="32">
        <f ca="1">Model!$F$15+RAND()*(Model!$G$15-Model!$F$15)</f>
        <v>1.2247530533456744E-2</v>
      </c>
      <c r="D623" s="33">
        <f ca="1">Model!$F$16+RAND()*(Model!$G$16-Model!$F$16)</f>
        <v>49.930765689912675</v>
      </c>
      <c r="E623" s="33">
        <f>Model!$D$17</f>
        <v>800</v>
      </c>
      <c r="G623" s="36">
        <f t="shared" ca="1" si="11"/>
        <v>-1036.6529216153081</v>
      </c>
    </row>
    <row r="624" spans="1:7" x14ac:dyDescent="0.2">
      <c r="A624" s="6">
        <f ca="1">Model!$F$13+RAND()*(Model!$G$13-Model!$F$13)</f>
        <v>1598.5826540882813</v>
      </c>
      <c r="B624" s="31">
        <f ca="1">Model!$F$14+RAND()*(Model!$G$14-Model!$F$14)</f>
        <v>0.64291158839213991</v>
      </c>
      <c r="C624" s="32">
        <f ca="1">Model!$F$15+RAND()*(Model!$G$15-Model!$F$15)</f>
        <v>2.9808611954519032E-2</v>
      </c>
      <c r="D624" s="33">
        <f ca="1">Model!$F$16+RAND()*(Model!$G$16-Model!$F$16)</f>
        <v>50.335580235852149</v>
      </c>
      <c r="E624" s="33">
        <f>Model!$D$17</f>
        <v>800</v>
      </c>
      <c r="G624" s="36">
        <f t="shared" ca="1" si="11"/>
        <v>570.82009901157471</v>
      </c>
    </row>
    <row r="625" spans="1:7" x14ac:dyDescent="0.2">
      <c r="A625" s="6">
        <f ca="1">Model!$F$13+RAND()*(Model!$G$13-Model!$F$13)</f>
        <v>1327.521338343561</v>
      </c>
      <c r="B625" s="31">
        <f ca="1">Model!$F$14+RAND()*(Model!$G$14-Model!$F$14)</f>
        <v>0.77443699980778224</v>
      </c>
      <c r="C625" s="32">
        <f ca="1">Model!$F$15+RAND()*(Model!$G$15-Model!$F$15)</f>
        <v>2.531868846801574E-2</v>
      </c>
      <c r="D625" s="33">
        <f ca="1">Model!$F$16+RAND()*(Model!$G$16-Model!$F$16)</f>
        <v>47.750919660382216</v>
      </c>
      <c r="E625" s="33">
        <f>Model!$D$17</f>
        <v>800</v>
      </c>
      <c r="G625" s="36">
        <f t="shared" ca="1" si="11"/>
        <v>-223.12074484343407</v>
      </c>
    </row>
    <row r="626" spans="1:7" x14ac:dyDescent="0.2">
      <c r="A626" s="6">
        <f ca="1">Model!$F$13+RAND()*(Model!$G$13-Model!$F$13)</f>
        <v>1515.9710195170617</v>
      </c>
      <c r="B626" s="31">
        <f ca="1">Model!$F$14+RAND()*(Model!$G$14-Model!$F$14)</f>
        <v>0.23242151937790734</v>
      </c>
      <c r="C626" s="32">
        <f ca="1">Model!$F$15+RAND()*(Model!$G$15-Model!$F$15)</f>
        <v>4.1134891783955678E-2</v>
      </c>
      <c r="D626" s="33">
        <f ca="1">Model!$F$16+RAND()*(Model!$G$16-Model!$F$16)</f>
        <v>51.331487145093526</v>
      </c>
      <c r="E626" s="33">
        <f>Model!$D$17</f>
        <v>800</v>
      </c>
      <c r="G626" s="36">
        <f t="shared" ca="1" si="11"/>
        <v>2048.6515155172133</v>
      </c>
    </row>
    <row r="627" spans="1:7" x14ac:dyDescent="0.2">
      <c r="A627" s="6">
        <f ca="1">Model!$F$13+RAND()*(Model!$G$13-Model!$F$13)</f>
        <v>1559.7677284039057</v>
      </c>
      <c r="B627" s="31">
        <f ca="1">Model!$F$14+RAND()*(Model!$G$14-Model!$F$14)</f>
        <v>0.44629700814711415</v>
      </c>
      <c r="C627" s="32">
        <f ca="1">Model!$F$15+RAND()*(Model!$G$15-Model!$F$15)</f>
        <v>4.8050300701883084E-2</v>
      </c>
      <c r="D627" s="33">
        <f ca="1">Model!$F$16+RAND()*(Model!$G$16-Model!$F$16)</f>
        <v>49.908221124599081</v>
      </c>
      <c r="E627" s="33">
        <f>Model!$D$17</f>
        <v>800</v>
      </c>
      <c r="G627" s="36">
        <f t="shared" ca="1" si="11"/>
        <v>2244.3671684769806</v>
      </c>
    </row>
    <row r="628" spans="1:7" x14ac:dyDescent="0.2">
      <c r="A628" s="6">
        <f ca="1">Model!$F$13+RAND()*(Model!$G$13-Model!$F$13)</f>
        <v>1350.5646290857246</v>
      </c>
      <c r="B628" s="31">
        <f ca="1">Model!$F$14+RAND()*(Model!$G$14-Model!$F$14)</f>
        <v>0.2042418252781002</v>
      </c>
      <c r="C628" s="32">
        <f ca="1">Model!$F$15+RAND()*(Model!$G$15-Model!$F$15)</f>
        <v>3.390491310979378E-2</v>
      </c>
      <c r="D628" s="33">
        <f ca="1">Model!$F$16+RAND()*(Model!$G$16-Model!$F$16)</f>
        <v>52.869410786396308</v>
      </c>
      <c r="E628" s="33">
        <f>Model!$D$17</f>
        <v>800</v>
      </c>
      <c r="G628" s="36">
        <f t="shared" ca="1" si="11"/>
        <v>1345.0895826298881</v>
      </c>
    </row>
    <row r="629" spans="1:7" x14ac:dyDescent="0.2">
      <c r="A629" s="6">
        <f ca="1">Model!$F$13+RAND()*(Model!$G$13-Model!$F$13)</f>
        <v>1329.2510531865917</v>
      </c>
      <c r="B629" s="31">
        <f ca="1">Model!$F$14+RAND()*(Model!$G$14-Model!$F$14)</f>
        <v>0.2733688727930676</v>
      </c>
      <c r="C629" s="32">
        <f ca="1">Model!$F$15+RAND()*(Model!$G$15-Model!$F$15)</f>
        <v>3.2353636611368995E-2</v>
      </c>
      <c r="D629" s="33">
        <f ca="1">Model!$F$16+RAND()*(Model!$G$16-Model!$F$16)</f>
        <v>47.503115173401838</v>
      </c>
      <c r="E629" s="33">
        <f>Model!$D$17</f>
        <v>800</v>
      </c>
      <c r="G629" s="36">
        <f t="shared" ca="1" si="11"/>
        <v>879.54812256120772</v>
      </c>
    </row>
    <row r="630" spans="1:7" x14ac:dyDescent="0.2">
      <c r="A630" s="6">
        <f ca="1">Model!$F$13+RAND()*(Model!$G$13-Model!$F$13)</f>
        <v>1267.4136687912271</v>
      </c>
      <c r="B630" s="31">
        <f ca="1">Model!$F$14+RAND()*(Model!$G$14-Model!$F$14)</f>
        <v>0.79737207055180503</v>
      </c>
      <c r="C630" s="32">
        <f ca="1">Model!$F$15+RAND()*(Model!$G$15-Model!$F$15)</f>
        <v>4.9533206660081208E-2</v>
      </c>
      <c r="D630" s="33">
        <f ca="1">Model!$F$16+RAND()*(Model!$G$16-Model!$F$16)</f>
        <v>51.418599147151035</v>
      </c>
      <c r="E630" s="33">
        <f>Model!$D$17</f>
        <v>800</v>
      </c>
      <c r="G630" s="36">
        <f t="shared" ca="1" si="11"/>
        <v>1417.4112231588147</v>
      </c>
    </row>
    <row r="631" spans="1:7" x14ac:dyDescent="0.2">
      <c r="A631" s="6">
        <f ca="1">Model!$F$13+RAND()*(Model!$G$13-Model!$F$13)</f>
        <v>1203.8385124659951</v>
      </c>
      <c r="B631" s="31">
        <f ca="1">Model!$F$14+RAND()*(Model!$G$14-Model!$F$14)</f>
        <v>0.25654853555045121</v>
      </c>
      <c r="C631" s="32">
        <f ca="1">Model!$F$15+RAND()*(Model!$G$15-Model!$F$15)</f>
        <v>4.0179136311043188E-2</v>
      </c>
      <c r="D631" s="33">
        <f ca="1">Model!$F$16+RAND()*(Model!$G$16-Model!$F$16)</f>
        <v>48.831194643608676</v>
      </c>
      <c r="E631" s="33">
        <f>Model!$D$17</f>
        <v>800</v>
      </c>
      <c r="G631" s="36">
        <f t="shared" ca="1" si="11"/>
        <v>1253.0824067000974</v>
      </c>
    </row>
    <row r="632" spans="1:7" x14ac:dyDescent="0.2">
      <c r="A632" s="6">
        <f ca="1">Model!$F$13+RAND()*(Model!$G$13-Model!$F$13)</f>
        <v>1789.664424967511</v>
      </c>
      <c r="B632" s="31">
        <f ca="1">Model!$F$14+RAND()*(Model!$G$14-Model!$F$14)</f>
        <v>0.25076441459658305</v>
      </c>
      <c r="C632" s="32">
        <f ca="1">Model!$F$15+RAND()*(Model!$G$15-Model!$F$15)</f>
        <v>4.7763592795418752E-2</v>
      </c>
      <c r="D632" s="33">
        <f ca="1">Model!$F$16+RAND()*(Model!$G$16-Model!$F$16)</f>
        <v>51.372925921797531</v>
      </c>
      <c r="E632" s="33">
        <f>Model!$D$17</f>
        <v>800</v>
      </c>
      <c r="G632" s="36">
        <f t="shared" ca="1" si="11"/>
        <v>3142.6147999061445</v>
      </c>
    </row>
    <row r="633" spans="1:7" x14ac:dyDescent="0.2">
      <c r="A633" s="6">
        <f ca="1">Model!$F$13+RAND()*(Model!$G$13-Model!$F$13)</f>
        <v>1366.1099000726799</v>
      </c>
      <c r="B633" s="31">
        <f ca="1">Model!$F$14+RAND()*(Model!$G$14-Model!$F$14)</f>
        <v>0.68928542574182838</v>
      </c>
      <c r="C633" s="32">
        <f ca="1">Model!$F$15+RAND()*(Model!$G$15-Model!$F$15)</f>
        <v>2.9527051181136382E-2</v>
      </c>
      <c r="D633" s="33">
        <f ca="1">Model!$F$16+RAND()*(Model!$G$16-Model!$F$16)</f>
        <v>52.828346523093046</v>
      </c>
      <c r="E633" s="33">
        <f>Model!$D$17</f>
        <v>800</v>
      </c>
      <c r="G633" s="36">
        <f t="shared" ca="1" si="11"/>
        <v>389.3077735557672</v>
      </c>
    </row>
    <row r="634" spans="1:7" x14ac:dyDescent="0.2">
      <c r="A634" s="6">
        <f ca="1">Model!$F$13+RAND()*(Model!$G$13-Model!$F$13)</f>
        <v>1253.1105439513835</v>
      </c>
      <c r="B634" s="31">
        <f ca="1">Model!$F$14+RAND()*(Model!$G$14-Model!$F$14)</f>
        <v>0.61394581499304013</v>
      </c>
      <c r="C634" s="32">
        <f ca="1">Model!$F$15+RAND()*(Model!$G$15-Model!$F$15)</f>
        <v>1.3535187470950553E-2</v>
      </c>
      <c r="D634" s="33">
        <f ca="1">Model!$F$16+RAND()*(Model!$G$16-Model!$F$16)</f>
        <v>52.615805657778573</v>
      </c>
      <c r="E634" s="33">
        <f>Model!$D$17</f>
        <v>800</v>
      </c>
      <c r="G634" s="36">
        <f t="shared" ca="1" si="11"/>
        <v>-676.92076240033623</v>
      </c>
    </row>
    <row r="635" spans="1:7" x14ac:dyDescent="0.2">
      <c r="A635" s="6">
        <f ca="1">Model!$F$13+RAND()*(Model!$G$13-Model!$F$13)</f>
        <v>1618.8594250067063</v>
      </c>
      <c r="B635" s="31">
        <f ca="1">Model!$F$14+RAND()*(Model!$G$14-Model!$F$14)</f>
        <v>0.5811639043067035</v>
      </c>
      <c r="C635" s="32">
        <f ca="1">Model!$F$15+RAND()*(Model!$G$15-Model!$F$15)</f>
        <v>1.2105799996042409E-2</v>
      </c>
      <c r="D635" s="33">
        <f ca="1">Model!$F$16+RAND()*(Model!$G$16-Model!$F$16)</f>
        <v>49.927012105688</v>
      </c>
      <c r="E635" s="33">
        <f>Model!$D$17</f>
        <v>800</v>
      </c>
      <c r="G635" s="36">
        <f t="shared" ca="1" si="11"/>
        <v>-762.37362963106284</v>
      </c>
    </row>
    <row r="636" spans="1:7" x14ac:dyDescent="0.2">
      <c r="A636" s="6">
        <f ca="1">Model!$F$13+RAND()*(Model!$G$13-Model!$F$13)</f>
        <v>1352.7316094239936</v>
      </c>
      <c r="B636" s="31">
        <f ca="1">Model!$F$14+RAND()*(Model!$G$14-Model!$F$14)</f>
        <v>0.27093793813373163</v>
      </c>
      <c r="C636" s="32">
        <f ca="1">Model!$F$15+RAND()*(Model!$G$15-Model!$F$15)</f>
        <v>1.1776304805929536E-2</v>
      </c>
      <c r="D636" s="33">
        <f ca="1">Model!$F$16+RAND()*(Model!$G$16-Model!$F$16)</f>
        <v>47.837325209418353</v>
      </c>
      <c r="E636" s="33">
        <f>Model!$D$17</f>
        <v>800</v>
      </c>
      <c r="G636" s="36">
        <f t="shared" ca="1" si="11"/>
        <v>-404.44912360769649</v>
      </c>
    </row>
    <row r="637" spans="1:7" x14ac:dyDescent="0.2">
      <c r="A637" s="6">
        <f ca="1">Model!$F$13+RAND()*(Model!$G$13-Model!$F$13)</f>
        <v>1708.4665984197782</v>
      </c>
      <c r="B637" s="31">
        <f ca="1">Model!$F$14+RAND()*(Model!$G$14-Model!$F$14)</f>
        <v>0.41259666862933775</v>
      </c>
      <c r="C637" s="32">
        <f ca="1">Model!$F$15+RAND()*(Model!$G$15-Model!$F$15)</f>
        <v>3.1799535344005869E-2</v>
      </c>
      <c r="D637" s="33">
        <f ca="1">Model!$F$16+RAND()*(Model!$G$16-Model!$F$16)</f>
        <v>50.955626641556293</v>
      </c>
      <c r="E637" s="33">
        <f>Model!$D$17</f>
        <v>800</v>
      </c>
      <c r="G637" s="36">
        <f t="shared" ca="1" si="11"/>
        <v>1263.4322805147312</v>
      </c>
    </row>
    <row r="638" spans="1:7" x14ac:dyDescent="0.2">
      <c r="A638" s="6">
        <f ca="1">Model!$F$13+RAND()*(Model!$G$13-Model!$F$13)</f>
        <v>1549.9336684417531</v>
      </c>
      <c r="B638" s="31">
        <f ca="1">Model!$F$14+RAND()*(Model!$G$14-Model!$F$14)</f>
        <v>0.30532688879286585</v>
      </c>
      <c r="C638" s="32">
        <f ca="1">Model!$F$15+RAND()*(Model!$G$15-Model!$F$15)</f>
        <v>2.9423022874671217E-2</v>
      </c>
      <c r="D638" s="33">
        <f ca="1">Model!$F$16+RAND()*(Model!$G$16-Model!$F$16)</f>
        <v>50.97688441841165</v>
      </c>
      <c r="E638" s="33">
        <f>Model!$D$17</f>
        <v>800</v>
      </c>
      <c r="G638" s="36">
        <f t="shared" ca="1" si="11"/>
        <v>1051.4998411704466</v>
      </c>
    </row>
    <row r="639" spans="1:7" x14ac:dyDescent="0.2">
      <c r="A639" s="6">
        <f ca="1">Model!$F$13+RAND()*(Model!$G$13-Model!$F$13)</f>
        <v>1464.6117666181306</v>
      </c>
      <c r="B639" s="31">
        <f ca="1">Model!$F$14+RAND()*(Model!$G$14-Model!$F$14)</f>
        <v>0.68144781669695387</v>
      </c>
      <c r="C639" s="32">
        <f ca="1">Model!$F$15+RAND()*(Model!$G$15-Model!$F$15)</f>
        <v>3.2496836869355242E-2</v>
      </c>
      <c r="D639" s="33">
        <f ca="1">Model!$F$16+RAND()*(Model!$G$16-Model!$F$16)</f>
        <v>52.794940500448519</v>
      </c>
      <c r="E639" s="33">
        <f>Model!$D$17</f>
        <v>800</v>
      </c>
      <c r="G639" s="36">
        <f t="shared" ca="1" si="11"/>
        <v>714.73188306033171</v>
      </c>
    </row>
    <row r="640" spans="1:7" x14ac:dyDescent="0.2">
      <c r="A640" s="6">
        <f ca="1">Model!$F$13+RAND()*(Model!$G$13-Model!$F$13)</f>
        <v>1684.6342561176025</v>
      </c>
      <c r="B640" s="31">
        <f ca="1">Model!$F$14+RAND()*(Model!$G$14-Model!$F$14)</f>
        <v>0.66942035237403652</v>
      </c>
      <c r="C640" s="32">
        <f ca="1">Model!$F$15+RAND()*(Model!$G$15-Model!$F$15)</f>
        <v>1.971383343544398E-2</v>
      </c>
      <c r="D640" s="33">
        <f ca="1">Model!$F$16+RAND()*(Model!$G$16-Model!$F$16)</f>
        <v>51.078602570825815</v>
      </c>
      <c r="E640" s="33">
        <f>Model!$D$17</f>
        <v>800</v>
      </c>
      <c r="G640" s="36">
        <f t="shared" ca="1" si="11"/>
        <v>-231.37746351972805</v>
      </c>
    </row>
    <row r="641" spans="1:7" x14ac:dyDescent="0.2">
      <c r="A641" s="6">
        <f ca="1">Model!$F$13+RAND()*(Model!$G$13-Model!$F$13)</f>
        <v>1727.9569388965037</v>
      </c>
      <c r="B641" s="31">
        <f ca="1">Model!$F$14+RAND()*(Model!$G$14-Model!$F$14)</f>
        <v>0.7908284962922556</v>
      </c>
      <c r="C641" s="32">
        <f ca="1">Model!$F$15+RAND()*(Model!$G$15-Model!$F$15)</f>
        <v>2.6846695574710609E-2</v>
      </c>
      <c r="D641" s="33">
        <f ca="1">Model!$F$16+RAND()*(Model!$G$16-Model!$F$16)</f>
        <v>47.293930180675005</v>
      </c>
      <c r="E641" s="33">
        <f>Model!$D$17</f>
        <v>800</v>
      </c>
      <c r="G641" s="36">
        <f t="shared" ca="1" si="11"/>
        <v>27.444707532710709</v>
      </c>
    </row>
    <row r="642" spans="1:7" x14ac:dyDescent="0.2">
      <c r="A642" s="6">
        <f ca="1">Model!$F$13+RAND()*(Model!$G$13-Model!$F$13)</f>
        <v>1246.1849531189675</v>
      </c>
      <c r="B642" s="31">
        <f ca="1">Model!$F$14+RAND()*(Model!$G$14-Model!$F$14)</f>
        <v>0.48400780978163793</v>
      </c>
      <c r="C642" s="32">
        <f ca="1">Model!$F$15+RAND()*(Model!$G$15-Model!$F$15)</f>
        <v>2.1947429173286768E-2</v>
      </c>
      <c r="D642" s="33">
        <f ca="1">Model!$F$16+RAND()*(Model!$G$16-Model!$F$16)</f>
        <v>51.829036271133674</v>
      </c>
      <c r="E642" s="33">
        <f>Model!$D$17</f>
        <v>800</v>
      </c>
      <c r="G642" s="36">
        <f t="shared" ca="1" si="11"/>
        <v>14.389708979015495</v>
      </c>
    </row>
    <row r="643" spans="1:7" x14ac:dyDescent="0.2">
      <c r="A643" s="6">
        <f ca="1">Model!$F$13+RAND()*(Model!$G$13-Model!$F$13)</f>
        <v>1498.7497260814071</v>
      </c>
      <c r="B643" s="31">
        <f ca="1">Model!$F$14+RAND()*(Model!$G$14-Model!$F$14)</f>
        <v>0.7355624125970166</v>
      </c>
      <c r="C643" s="32">
        <f ca="1">Model!$F$15+RAND()*(Model!$G$15-Model!$F$15)</f>
        <v>2.4453092146979175E-2</v>
      </c>
      <c r="D643" s="33">
        <f ca="1">Model!$F$16+RAND()*(Model!$G$16-Model!$F$16)</f>
        <v>52.399937719665516</v>
      </c>
      <c r="E643" s="33">
        <f>Model!$D$17</f>
        <v>800</v>
      </c>
      <c r="G643" s="36">
        <f t="shared" ref="G643:G706" ca="1" si="12">A643*C643*D643-(E643+A643*B643)</f>
        <v>17.984767321936715</v>
      </c>
    </row>
    <row r="644" spans="1:7" x14ac:dyDescent="0.2">
      <c r="A644" s="6">
        <f ca="1">Model!$F$13+RAND()*(Model!$G$13-Model!$F$13)</f>
        <v>1500.9173697674007</v>
      </c>
      <c r="B644" s="31">
        <f ca="1">Model!$F$14+RAND()*(Model!$G$14-Model!$F$14)</f>
        <v>0.67047428701335354</v>
      </c>
      <c r="C644" s="32">
        <f ca="1">Model!$F$15+RAND()*(Model!$G$15-Model!$F$15)</f>
        <v>4.4488120263484573E-2</v>
      </c>
      <c r="D644" s="33">
        <f ca="1">Model!$F$16+RAND()*(Model!$G$16-Model!$F$16)</f>
        <v>48.604685456739496</v>
      </c>
      <c r="E644" s="33">
        <f>Model!$D$17</f>
        <v>800</v>
      </c>
      <c r="G644" s="36">
        <f t="shared" ca="1" si="12"/>
        <v>1439.1537917625255</v>
      </c>
    </row>
    <row r="645" spans="1:7" x14ac:dyDescent="0.2">
      <c r="A645" s="6">
        <f ca="1">Model!$F$13+RAND()*(Model!$G$13-Model!$F$13)</f>
        <v>1631.7674988587785</v>
      </c>
      <c r="B645" s="31">
        <f ca="1">Model!$F$14+RAND()*(Model!$G$14-Model!$F$14)</f>
        <v>0.64120324614005741</v>
      </c>
      <c r="C645" s="32">
        <f ca="1">Model!$F$15+RAND()*(Model!$G$15-Model!$F$15)</f>
        <v>1.7297656340526255E-2</v>
      </c>
      <c r="D645" s="33">
        <f ca="1">Model!$F$16+RAND()*(Model!$G$16-Model!$F$16)</f>
        <v>49.973027839507544</v>
      </c>
      <c r="E645" s="33">
        <f>Model!$D$17</f>
        <v>800</v>
      </c>
      <c r="G645" s="36">
        <f t="shared" ca="1" si="12"/>
        <v>-435.76825562047316</v>
      </c>
    </row>
    <row r="646" spans="1:7" x14ac:dyDescent="0.2">
      <c r="A646" s="6">
        <f ca="1">Model!$F$13+RAND()*(Model!$G$13-Model!$F$13)</f>
        <v>1283.1054084807358</v>
      </c>
      <c r="B646" s="31">
        <f ca="1">Model!$F$14+RAND()*(Model!$G$14-Model!$F$14)</f>
        <v>0.32009697306446089</v>
      </c>
      <c r="C646" s="32">
        <f ca="1">Model!$F$15+RAND()*(Model!$G$15-Model!$F$15)</f>
        <v>3.5635329689169874E-2</v>
      </c>
      <c r="D646" s="33">
        <f ca="1">Model!$F$16+RAND()*(Model!$G$16-Model!$F$16)</f>
        <v>51.644914544686557</v>
      </c>
      <c r="E646" s="33">
        <f>Model!$D$17</f>
        <v>800</v>
      </c>
      <c r="G646" s="36">
        <f t="shared" ca="1" si="12"/>
        <v>1150.6879377352579</v>
      </c>
    </row>
    <row r="647" spans="1:7" x14ac:dyDescent="0.2">
      <c r="A647" s="6">
        <f ca="1">Model!$F$13+RAND()*(Model!$G$13-Model!$F$13)</f>
        <v>1646.402944044316</v>
      </c>
      <c r="B647" s="31">
        <f ca="1">Model!$F$14+RAND()*(Model!$G$14-Model!$F$14)</f>
        <v>0.72069825809709886</v>
      </c>
      <c r="C647" s="32">
        <f ca="1">Model!$F$15+RAND()*(Model!$G$15-Model!$F$15)</f>
        <v>1.8854635423550006E-2</v>
      </c>
      <c r="D647" s="33">
        <f ca="1">Model!$F$16+RAND()*(Model!$G$16-Model!$F$16)</f>
        <v>51.697335275419881</v>
      </c>
      <c r="E647" s="33">
        <f>Model!$D$17</f>
        <v>800</v>
      </c>
      <c r="G647" s="36">
        <f t="shared" ca="1" si="12"/>
        <v>-381.7541332810606</v>
      </c>
    </row>
    <row r="648" spans="1:7" x14ac:dyDescent="0.2">
      <c r="A648" s="6">
        <f ca="1">Model!$F$13+RAND()*(Model!$G$13-Model!$F$13)</f>
        <v>1528.9186630376148</v>
      </c>
      <c r="B648" s="31">
        <f ca="1">Model!$F$14+RAND()*(Model!$G$14-Model!$F$14)</f>
        <v>0.72346249678694163</v>
      </c>
      <c r="C648" s="32">
        <f ca="1">Model!$F$15+RAND()*(Model!$G$15-Model!$F$15)</f>
        <v>3.6256688921050322E-2</v>
      </c>
      <c r="D648" s="33">
        <f ca="1">Model!$F$16+RAND()*(Model!$G$16-Model!$F$16)</f>
        <v>51.58853102812553</v>
      </c>
      <c r="E648" s="33">
        <f>Model!$D$17</f>
        <v>800</v>
      </c>
      <c r="G648" s="36">
        <f t="shared" ca="1" si="12"/>
        <v>953.61898400638688</v>
      </c>
    </row>
    <row r="649" spans="1:7" x14ac:dyDescent="0.2">
      <c r="A649" s="6">
        <f ca="1">Model!$F$13+RAND()*(Model!$G$13-Model!$F$13)</f>
        <v>1670.9282166909343</v>
      </c>
      <c r="B649" s="31">
        <f ca="1">Model!$F$14+RAND()*(Model!$G$14-Model!$F$14)</f>
        <v>0.67908759029012844</v>
      </c>
      <c r="C649" s="32">
        <f ca="1">Model!$F$15+RAND()*(Model!$G$15-Model!$F$15)</f>
        <v>4.5434056557009328E-2</v>
      </c>
      <c r="D649" s="33">
        <f ca="1">Model!$F$16+RAND()*(Model!$G$16-Model!$F$16)</f>
        <v>51.040954794027421</v>
      </c>
      <c r="E649" s="33">
        <f>Model!$D$17</f>
        <v>800</v>
      </c>
      <c r="G649" s="36">
        <f t="shared" ca="1" si="12"/>
        <v>1940.1719528984866</v>
      </c>
    </row>
    <row r="650" spans="1:7" x14ac:dyDescent="0.2">
      <c r="A650" s="6">
        <f ca="1">Model!$F$13+RAND()*(Model!$G$13-Model!$F$13)</f>
        <v>1587.6235044603195</v>
      </c>
      <c r="B650" s="31">
        <f ca="1">Model!$F$14+RAND()*(Model!$G$14-Model!$F$14)</f>
        <v>0.53431298581248066</v>
      </c>
      <c r="C650" s="32">
        <f ca="1">Model!$F$15+RAND()*(Model!$G$15-Model!$F$15)</f>
        <v>2.5015167875101614E-2</v>
      </c>
      <c r="D650" s="33">
        <f ca="1">Model!$F$16+RAND()*(Model!$G$16-Model!$F$16)</f>
        <v>51.815062791319576</v>
      </c>
      <c r="E650" s="33">
        <f>Model!$D$17</f>
        <v>800</v>
      </c>
      <c r="G650" s="36">
        <f t="shared" ca="1" si="12"/>
        <v>409.53018635183048</v>
      </c>
    </row>
    <row r="651" spans="1:7" x14ac:dyDescent="0.2">
      <c r="A651" s="6">
        <f ca="1">Model!$F$13+RAND()*(Model!$G$13-Model!$F$13)</f>
        <v>1227.6905741087094</v>
      </c>
      <c r="B651" s="31">
        <f ca="1">Model!$F$14+RAND()*(Model!$G$14-Model!$F$14)</f>
        <v>0.23178907712282609</v>
      </c>
      <c r="C651" s="32">
        <f ca="1">Model!$F$15+RAND()*(Model!$G$15-Model!$F$15)</f>
        <v>1.5509853986484447E-2</v>
      </c>
      <c r="D651" s="33">
        <f ca="1">Model!$F$16+RAND()*(Model!$G$16-Model!$F$16)</f>
        <v>51.891475358808009</v>
      </c>
      <c r="E651" s="33">
        <f>Model!$D$17</f>
        <v>800</v>
      </c>
      <c r="G651" s="36">
        <f t="shared" ca="1" si="12"/>
        <v>-96.484035242564914</v>
      </c>
    </row>
    <row r="652" spans="1:7" x14ac:dyDescent="0.2">
      <c r="A652" s="6">
        <f ca="1">Model!$F$13+RAND()*(Model!$G$13-Model!$F$13)</f>
        <v>1315.2694032025522</v>
      </c>
      <c r="B652" s="31">
        <f ca="1">Model!$F$14+RAND()*(Model!$G$14-Model!$F$14)</f>
        <v>0.72099195336816035</v>
      </c>
      <c r="C652" s="32">
        <f ca="1">Model!$F$15+RAND()*(Model!$G$15-Model!$F$15)</f>
        <v>4.504578442129939E-2</v>
      </c>
      <c r="D652" s="33">
        <f ca="1">Model!$F$16+RAND()*(Model!$G$16-Model!$F$16)</f>
        <v>52.013659494262733</v>
      </c>
      <c r="E652" s="33">
        <f>Model!$D$17</f>
        <v>800</v>
      </c>
      <c r="G652" s="36">
        <f t="shared" ca="1" si="12"/>
        <v>1333.3724161224973</v>
      </c>
    </row>
    <row r="653" spans="1:7" x14ac:dyDescent="0.2">
      <c r="A653" s="6">
        <f ca="1">Model!$F$13+RAND()*(Model!$G$13-Model!$F$13)</f>
        <v>1590.5629001097334</v>
      </c>
      <c r="B653" s="31">
        <f ca="1">Model!$F$14+RAND()*(Model!$G$14-Model!$F$14)</f>
        <v>0.40328587479155492</v>
      </c>
      <c r="C653" s="32">
        <f ca="1">Model!$F$15+RAND()*(Model!$G$15-Model!$F$15)</f>
        <v>4.6055761496007631E-2</v>
      </c>
      <c r="D653" s="33">
        <f ca="1">Model!$F$16+RAND()*(Model!$G$16-Model!$F$16)</f>
        <v>52.547444772461517</v>
      </c>
      <c r="E653" s="33">
        <f>Model!$D$17</f>
        <v>800</v>
      </c>
      <c r="G653" s="36">
        <f t="shared" ca="1" si="12"/>
        <v>2407.8897390847078</v>
      </c>
    </row>
    <row r="654" spans="1:7" x14ac:dyDescent="0.2">
      <c r="A654" s="6">
        <f ca="1">Model!$F$13+RAND()*(Model!$G$13-Model!$F$13)</f>
        <v>1646.1160057594732</v>
      </c>
      <c r="B654" s="31">
        <f ca="1">Model!$F$14+RAND()*(Model!$G$14-Model!$F$14)</f>
        <v>0.76489930151785201</v>
      </c>
      <c r="C654" s="32">
        <f ca="1">Model!$F$15+RAND()*(Model!$G$15-Model!$F$15)</f>
        <v>3.1569297276152694E-2</v>
      </c>
      <c r="D654" s="33">
        <f ca="1">Model!$F$16+RAND()*(Model!$G$16-Model!$F$16)</f>
        <v>47.562860889691045</v>
      </c>
      <c r="E654" s="33">
        <f>Model!$D$17</f>
        <v>800</v>
      </c>
      <c r="G654" s="36">
        <f t="shared" ca="1" si="12"/>
        <v>412.5731545793592</v>
      </c>
    </row>
    <row r="655" spans="1:7" x14ac:dyDescent="0.2">
      <c r="A655" s="6">
        <f ca="1">Model!$F$13+RAND()*(Model!$G$13-Model!$F$13)</f>
        <v>1703.0129310136017</v>
      </c>
      <c r="B655" s="31">
        <f ca="1">Model!$F$14+RAND()*(Model!$G$14-Model!$F$14)</f>
        <v>0.33230375088637987</v>
      </c>
      <c r="C655" s="32">
        <f ca="1">Model!$F$15+RAND()*(Model!$G$15-Model!$F$15)</f>
        <v>3.7079091034565907E-2</v>
      </c>
      <c r="D655" s="33">
        <f ca="1">Model!$F$16+RAND()*(Model!$G$16-Model!$F$16)</f>
        <v>51.711486869887551</v>
      </c>
      <c r="E655" s="33">
        <f>Model!$D$17</f>
        <v>800</v>
      </c>
      <c r="G655" s="36">
        <f t="shared" ca="1" si="12"/>
        <v>1899.46483373049</v>
      </c>
    </row>
    <row r="656" spans="1:7" x14ac:dyDescent="0.2">
      <c r="A656" s="6">
        <f ca="1">Model!$F$13+RAND()*(Model!$G$13-Model!$F$13)</f>
        <v>1289.716615798508</v>
      </c>
      <c r="B656" s="31">
        <f ca="1">Model!$F$14+RAND()*(Model!$G$14-Model!$F$14)</f>
        <v>0.68814179795774288</v>
      </c>
      <c r="C656" s="32">
        <f ca="1">Model!$F$15+RAND()*(Model!$G$15-Model!$F$15)</f>
        <v>2.5184988136903959E-2</v>
      </c>
      <c r="D656" s="33">
        <f ca="1">Model!$F$16+RAND()*(Model!$G$16-Model!$F$16)</f>
        <v>52.144054909460543</v>
      </c>
      <c r="E656" s="33">
        <f>Model!$D$17</f>
        <v>800</v>
      </c>
      <c r="G656" s="36">
        <f t="shared" ca="1" si="12"/>
        <v>6.2090871346426866</v>
      </c>
    </row>
    <row r="657" spans="1:7" x14ac:dyDescent="0.2">
      <c r="A657" s="6">
        <f ca="1">Model!$F$13+RAND()*(Model!$G$13-Model!$F$13)</f>
        <v>1713.2190371602273</v>
      </c>
      <c r="B657" s="31">
        <f ca="1">Model!$F$14+RAND()*(Model!$G$14-Model!$F$14)</f>
        <v>0.48996990345553554</v>
      </c>
      <c r="C657" s="32">
        <f ca="1">Model!$F$15+RAND()*(Model!$G$15-Model!$F$15)</f>
        <v>2.186482922844564E-2</v>
      </c>
      <c r="D657" s="33">
        <f ca="1">Model!$F$16+RAND()*(Model!$G$16-Model!$F$16)</f>
        <v>50.244813162794827</v>
      </c>
      <c r="E657" s="33">
        <f>Model!$D$17</f>
        <v>800</v>
      </c>
      <c r="G657" s="36">
        <f t="shared" ca="1" si="12"/>
        <v>242.70683311713219</v>
      </c>
    </row>
    <row r="658" spans="1:7" x14ac:dyDescent="0.2">
      <c r="A658" s="6">
        <f ca="1">Model!$F$13+RAND()*(Model!$G$13-Model!$F$13)</f>
        <v>1621.2162337877962</v>
      </c>
      <c r="B658" s="31">
        <f ca="1">Model!$F$14+RAND()*(Model!$G$14-Model!$F$14)</f>
        <v>0.42234773627222422</v>
      </c>
      <c r="C658" s="32">
        <f ca="1">Model!$F$15+RAND()*(Model!$G$15-Model!$F$15)</f>
        <v>2.4769786844561013E-2</v>
      </c>
      <c r="D658" s="33">
        <f ca="1">Model!$F$16+RAND()*(Model!$G$16-Model!$F$16)</f>
        <v>49.474839310020947</v>
      </c>
      <c r="E658" s="33">
        <f>Model!$D$17</f>
        <v>800</v>
      </c>
      <c r="G658" s="36">
        <f t="shared" ca="1" si="12"/>
        <v>502.05304800529939</v>
      </c>
    </row>
    <row r="659" spans="1:7" x14ac:dyDescent="0.2">
      <c r="A659" s="6">
        <f ca="1">Model!$F$13+RAND()*(Model!$G$13-Model!$F$13)</f>
        <v>1719.519533544209</v>
      </c>
      <c r="B659" s="31">
        <f ca="1">Model!$F$14+RAND()*(Model!$G$14-Model!$F$14)</f>
        <v>0.7162400441982375</v>
      </c>
      <c r="C659" s="32">
        <f ca="1">Model!$F$15+RAND()*(Model!$G$15-Model!$F$15)</f>
        <v>2.0837636318974596E-2</v>
      </c>
      <c r="D659" s="33">
        <f ca="1">Model!$F$16+RAND()*(Model!$G$16-Model!$F$16)</f>
        <v>50.820598694583957</v>
      </c>
      <c r="E659" s="33">
        <f>Model!$D$17</f>
        <v>800</v>
      </c>
      <c r="G659" s="36">
        <f t="shared" ca="1" si="12"/>
        <v>-210.64996827711298</v>
      </c>
    </row>
    <row r="660" spans="1:7" x14ac:dyDescent="0.2">
      <c r="A660" s="6">
        <f ca="1">Model!$F$13+RAND()*(Model!$G$13-Model!$F$13)</f>
        <v>1330.3229700546631</v>
      </c>
      <c r="B660" s="31">
        <f ca="1">Model!$F$14+RAND()*(Model!$G$14-Model!$F$14)</f>
        <v>0.47016910123435235</v>
      </c>
      <c r="C660" s="32">
        <f ca="1">Model!$F$15+RAND()*(Model!$G$15-Model!$F$15)</f>
        <v>3.8963919378230814E-2</v>
      </c>
      <c r="D660" s="33">
        <f ca="1">Model!$F$16+RAND()*(Model!$G$16-Model!$F$16)</f>
        <v>47.980507537147112</v>
      </c>
      <c r="E660" s="33">
        <f>Model!$D$17</f>
        <v>800</v>
      </c>
      <c r="G660" s="36">
        <f t="shared" ca="1" si="12"/>
        <v>1061.5735145688855</v>
      </c>
    </row>
    <row r="661" spans="1:7" x14ac:dyDescent="0.2">
      <c r="A661" s="6">
        <f ca="1">Model!$F$13+RAND()*(Model!$G$13-Model!$F$13)</f>
        <v>1301.1494279200292</v>
      </c>
      <c r="B661" s="31">
        <f ca="1">Model!$F$14+RAND()*(Model!$G$14-Model!$F$14)</f>
        <v>0.47394108866261059</v>
      </c>
      <c r="C661" s="32">
        <f ca="1">Model!$F$15+RAND()*(Model!$G$15-Model!$F$15)</f>
        <v>4.5440098222865717E-2</v>
      </c>
      <c r="D661" s="33">
        <f ca="1">Model!$F$16+RAND()*(Model!$G$16-Model!$F$16)</f>
        <v>47.410113010129599</v>
      </c>
      <c r="E661" s="33">
        <f>Model!$D$17</f>
        <v>800</v>
      </c>
      <c r="G661" s="36">
        <f t="shared" ca="1" si="12"/>
        <v>1386.4243089148326</v>
      </c>
    </row>
    <row r="662" spans="1:7" x14ac:dyDescent="0.2">
      <c r="A662" s="6">
        <f ca="1">Model!$F$13+RAND()*(Model!$G$13-Model!$F$13)</f>
        <v>1642.1822732383139</v>
      </c>
      <c r="B662" s="31">
        <f ca="1">Model!$F$14+RAND()*(Model!$G$14-Model!$F$14)</f>
        <v>0.48861135013931462</v>
      </c>
      <c r="C662" s="32">
        <f ca="1">Model!$F$15+RAND()*(Model!$G$15-Model!$F$15)</f>
        <v>3.9575245903841594E-2</v>
      </c>
      <c r="D662" s="33">
        <f ca="1">Model!$F$16+RAND()*(Model!$G$16-Model!$F$16)</f>
        <v>50.850848913428344</v>
      </c>
      <c r="E662" s="33">
        <f>Model!$D$17</f>
        <v>800</v>
      </c>
      <c r="G662" s="36">
        <f t="shared" ca="1" si="12"/>
        <v>1702.3959392911079</v>
      </c>
    </row>
    <row r="663" spans="1:7" x14ac:dyDescent="0.2">
      <c r="A663" s="6">
        <f ca="1">Model!$F$13+RAND()*(Model!$G$13-Model!$F$13)</f>
        <v>1239.2053821597813</v>
      </c>
      <c r="B663" s="31">
        <f ca="1">Model!$F$14+RAND()*(Model!$G$14-Model!$F$14)</f>
        <v>0.55299430925546322</v>
      </c>
      <c r="C663" s="32">
        <f ca="1">Model!$F$15+RAND()*(Model!$G$15-Model!$F$15)</f>
        <v>1.8119982979295568E-2</v>
      </c>
      <c r="D663" s="33">
        <f ca="1">Model!$F$16+RAND()*(Model!$G$16-Model!$F$16)</f>
        <v>49.774558337040524</v>
      </c>
      <c r="E663" s="33">
        <f>Model!$D$17</f>
        <v>800</v>
      </c>
      <c r="G663" s="36">
        <f t="shared" ca="1" si="12"/>
        <v>-367.61665556921275</v>
      </c>
    </row>
    <row r="664" spans="1:7" x14ac:dyDescent="0.2">
      <c r="A664" s="6">
        <f ca="1">Model!$F$13+RAND()*(Model!$G$13-Model!$F$13)</f>
        <v>1676.7352297963689</v>
      </c>
      <c r="B664" s="31">
        <f ca="1">Model!$F$14+RAND()*(Model!$G$14-Model!$F$14)</f>
        <v>0.74361744253541406</v>
      </c>
      <c r="C664" s="32">
        <f ca="1">Model!$F$15+RAND()*(Model!$G$15-Model!$F$15)</f>
        <v>4.4386335807890517E-2</v>
      </c>
      <c r="D664" s="33">
        <f ca="1">Model!$F$16+RAND()*(Model!$G$16-Model!$F$16)</f>
        <v>52.467139978582466</v>
      </c>
      <c r="E664" s="33">
        <f>Model!$D$17</f>
        <v>800</v>
      </c>
      <c r="G664" s="36">
        <f t="shared" ca="1" si="12"/>
        <v>1857.9718389661571</v>
      </c>
    </row>
    <row r="665" spans="1:7" x14ac:dyDescent="0.2">
      <c r="A665" s="6">
        <f ca="1">Model!$F$13+RAND()*(Model!$G$13-Model!$F$13)</f>
        <v>1315.6500464883109</v>
      </c>
      <c r="B665" s="31">
        <f ca="1">Model!$F$14+RAND()*(Model!$G$14-Model!$F$14)</f>
        <v>0.62692088281482361</v>
      </c>
      <c r="C665" s="32">
        <f ca="1">Model!$F$15+RAND()*(Model!$G$15-Model!$F$15)</f>
        <v>2.6410935922792277E-2</v>
      </c>
      <c r="D665" s="33">
        <f ca="1">Model!$F$16+RAND()*(Model!$G$16-Model!$F$16)</f>
        <v>47.542413156339286</v>
      </c>
      <c r="E665" s="33">
        <f>Model!$D$17</f>
        <v>800</v>
      </c>
      <c r="G665" s="36">
        <f t="shared" ca="1" si="12"/>
        <v>27.173845656012872</v>
      </c>
    </row>
    <row r="666" spans="1:7" x14ac:dyDescent="0.2">
      <c r="A666" s="6">
        <f ca="1">Model!$F$13+RAND()*(Model!$G$13-Model!$F$13)</f>
        <v>1464.5835265396775</v>
      </c>
      <c r="B666" s="31">
        <f ca="1">Model!$F$14+RAND()*(Model!$G$14-Model!$F$14)</f>
        <v>0.69963103618554479</v>
      </c>
      <c r="C666" s="32">
        <f ca="1">Model!$F$15+RAND()*(Model!$G$15-Model!$F$15)</f>
        <v>4.8470110401894029E-2</v>
      </c>
      <c r="D666" s="33">
        <f ca="1">Model!$F$16+RAND()*(Model!$G$16-Model!$F$16)</f>
        <v>48.821594354977087</v>
      </c>
      <c r="E666" s="33">
        <f>Model!$D$17</f>
        <v>800</v>
      </c>
      <c r="G666" s="36">
        <f t="shared" ca="1" si="12"/>
        <v>1641.1048920994217</v>
      </c>
    </row>
    <row r="667" spans="1:7" x14ac:dyDescent="0.2">
      <c r="A667" s="6">
        <f ca="1">Model!$F$13+RAND()*(Model!$G$13-Model!$F$13)</f>
        <v>1642.2770140807452</v>
      </c>
      <c r="B667" s="31">
        <f ca="1">Model!$F$14+RAND()*(Model!$G$14-Model!$F$14)</f>
        <v>0.38121164742648217</v>
      </c>
      <c r="C667" s="32">
        <f ca="1">Model!$F$15+RAND()*(Model!$G$15-Model!$F$15)</f>
        <v>4.1106523990760667E-2</v>
      </c>
      <c r="D667" s="33">
        <f ca="1">Model!$F$16+RAND()*(Model!$G$16-Model!$F$16)</f>
        <v>47.453735888746223</v>
      </c>
      <c r="E667" s="33">
        <f>Model!$D$17</f>
        <v>800</v>
      </c>
      <c r="G667" s="36">
        <f t="shared" ca="1" si="12"/>
        <v>1777.4658876962806</v>
      </c>
    </row>
    <row r="668" spans="1:7" x14ac:dyDescent="0.2">
      <c r="A668" s="6">
        <f ca="1">Model!$F$13+RAND()*(Model!$G$13-Model!$F$13)</f>
        <v>1455.7546173730109</v>
      </c>
      <c r="B668" s="31">
        <f ca="1">Model!$F$14+RAND()*(Model!$G$14-Model!$F$14)</f>
        <v>0.26687802267363581</v>
      </c>
      <c r="C668" s="32">
        <f ca="1">Model!$F$15+RAND()*(Model!$G$15-Model!$F$15)</f>
        <v>1.9380578892306349E-2</v>
      </c>
      <c r="D668" s="33">
        <f ca="1">Model!$F$16+RAND()*(Model!$G$16-Model!$F$16)</f>
        <v>52.365362154743458</v>
      </c>
      <c r="E668" s="33">
        <f>Model!$D$17</f>
        <v>800</v>
      </c>
      <c r="G668" s="36">
        <f t="shared" ca="1" si="12"/>
        <v>288.89427776534785</v>
      </c>
    </row>
    <row r="669" spans="1:7" x14ac:dyDescent="0.2">
      <c r="A669" s="6">
        <f ca="1">Model!$F$13+RAND()*(Model!$G$13-Model!$F$13)</f>
        <v>1492.1364632754271</v>
      </c>
      <c r="B669" s="31">
        <f ca="1">Model!$F$14+RAND()*(Model!$G$14-Model!$F$14)</f>
        <v>0.64749885774408789</v>
      </c>
      <c r="C669" s="32">
        <f ca="1">Model!$F$15+RAND()*(Model!$G$15-Model!$F$15)</f>
        <v>4.36952519685272E-2</v>
      </c>
      <c r="D669" s="33">
        <f ca="1">Model!$F$16+RAND()*(Model!$G$16-Model!$F$16)</f>
        <v>50.2629746575263</v>
      </c>
      <c r="E669" s="33">
        <f>Model!$D$17</f>
        <v>800</v>
      </c>
      <c r="G669" s="36">
        <f t="shared" ca="1" si="12"/>
        <v>1510.9530391392989</v>
      </c>
    </row>
    <row r="670" spans="1:7" x14ac:dyDescent="0.2">
      <c r="A670" s="6">
        <f ca="1">Model!$F$13+RAND()*(Model!$G$13-Model!$F$13)</f>
        <v>1338.0024779172538</v>
      </c>
      <c r="B670" s="31">
        <f ca="1">Model!$F$14+RAND()*(Model!$G$14-Model!$F$14)</f>
        <v>0.26313791582552104</v>
      </c>
      <c r="C670" s="32">
        <f ca="1">Model!$F$15+RAND()*(Model!$G$15-Model!$F$15)</f>
        <v>3.2302334921970689E-2</v>
      </c>
      <c r="D670" s="33">
        <f ca="1">Model!$F$16+RAND()*(Model!$G$16-Model!$F$16)</f>
        <v>49.186304682372153</v>
      </c>
      <c r="E670" s="33">
        <f>Model!$D$17</f>
        <v>800</v>
      </c>
      <c r="G670" s="36">
        <f t="shared" ca="1" si="12"/>
        <v>973.78262176032467</v>
      </c>
    </row>
    <row r="671" spans="1:7" x14ac:dyDescent="0.2">
      <c r="A671" s="6">
        <f ca="1">Model!$F$13+RAND()*(Model!$G$13-Model!$F$13)</f>
        <v>1329.2884426035866</v>
      </c>
      <c r="B671" s="31">
        <f ca="1">Model!$F$14+RAND()*(Model!$G$14-Model!$F$14)</f>
        <v>0.25953799376572828</v>
      </c>
      <c r="C671" s="32">
        <f ca="1">Model!$F$15+RAND()*(Model!$G$15-Model!$F$15)</f>
        <v>1.2238635437941407E-2</v>
      </c>
      <c r="D671" s="33">
        <f ca="1">Model!$F$16+RAND()*(Model!$G$16-Model!$F$16)</f>
        <v>49.959672898982618</v>
      </c>
      <c r="E671" s="33">
        <f>Model!$D$17</f>
        <v>800</v>
      </c>
      <c r="G671" s="36">
        <f t="shared" ca="1" si="12"/>
        <v>-332.22309205091096</v>
      </c>
    </row>
    <row r="672" spans="1:7" x14ac:dyDescent="0.2">
      <c r="A672" s="6">
        <f ca="1">Model!$F$13+RAND()*(Model!$G$13-Model!$F$13)</f>
        <v>1615.3039619057031</v>
      </c>
      <c r="B672" s="31">
        <f ca="1">Model!$F$14+RAND()*(Model!$G$14-Model!$F$14)</f>
        <v>0.3208790271298394</v>
      </c>
      <c r="C672" s="32">
        <f ca="1">Model!$F$15+RAND()*(Model!$G$15-Model!$F$15)</f>
        <v>4.2325484054067983E-2</v>
      </c>
      <c r="D672" s="33">
        <f ca="1">Model!$F$16+RAND()*(Model!$G$16-Model!$F$16)</f>
        <v>51.817372965243919</v>
      </c>
      <c r="E672" s="33">
        <f>Model!$D$17</f>
        <v>800</v>
      </c>
      <c r="G672" s="36">
        <f t="shared" ca="1" si="12"/>
        <v>2224.3600439960701</v>
      </c>
    </row>
    <row r="673" spans="1:7" x14ac:dyDescent="0.2">
      <c r="A673" s="6">
        <f ca="1">Model!$F$13+RAND()*(Model!$G$13-Model!$F$13)</f>
        <v>1417.0019896010635</v>
      </c>
      <c r="B673" s="31">
        <f ca="1">Model!$F$14+RAND()*(Model!$G$14-Model!$F$14)</f>
        <v>0.25698892872128093</v>
      </c>
      <c r="C673" s="32">
        <f ca="1">Model!$F$15+RAND()*(Model!$G$15-Model!$F$15)</f>
        <v>3.6061964844625906E-2</v>
      </c>
      <c r="D673" s="33">
        <f ca="1">Model!$F$16+RAND()*(Model!$G$16-Model!$F$16)</f>
        <v>51.798970760660893</v>
      </c>
      <c r="E673" s="33">
        <f>Model!$D$17</f>
        <v>800</v>
      </c>
      <c r="G673" s="36">
        <f t="shared" ca="1" si="12"/>
        <v>1482.7671560626557</v>
      </c>
    </row>
    <row r="674" spans="1:7" x14ac:dyDescent="0.2">
      <c r="A674" s="6">
        <f ca="1">Model!$F$13+RAND()*(Model!$G$13-Model!$F$13)</f>
        <v>1750.9177524143511</v>
      </c>
      <c r="B674" s="31">
        <f ca="1">Model!$F$14+RAND()*(Model!$G$14-Model!$F$14)</f>
        <v>0.35786818188494629</v>
      </c>
      <c r="C674" s="32">
        <f ca="1">Model!$F$15+RAND()*(Model!$G$15-Model!$F$15)</f>
        <v>4.7919502667322124E-2</v>
      </c>
      <c r="D674" s="33">
        <f ca="1">Model!$F$16+RAND()*(Model!$G$16-Model!$F$16)</f>
        <v>47.153034349763793</v>
      </c>
      <c r="E674" s="33">
        <f>Model!$D$17</f>
        <v>800</v>
      </c>
      <c r="G674" s="36">
        <f t="shared" ca="1" si="12"/>
        <v>2529.6883765079351</v>
      </c>
    </row>
    <row r="675" spans="1:7" x14ac:dyDescent="0.2">
      <c r="A675" s="6">
        <f ca="1">Model!$F$13+RAND()*(Model!$G$13-Model!$F$13)</f>
        <v>1592.4257543434253</v>
      </c>
      <c r="B675" s="31">
        <f ca="1">Model!$F$14+RAND()*(Model!$G$14-Model!$F$14)</f>
        <v>0.36309049863746717</v>
      </c>
      <c r="C675" s="32">
        <f ca="1">Model!$F$15+RAND()*(Model!$G$15-Model!$F$15)</f>
        <v>4.2252177134723498E-2</v>
      </c>
      <c r="D675" s="33">
        <f ca="1">Model!$F$16+RAND()*(Model!$G$16-Model!$F$16)</f>
        <v>47.380346737439886</v>
      </c>
      <c r="E675" s="33">
        <f>Model!$D$17</f>
        <v>800</v>
      </c>
      <c r="G675" s="36">
        <f t="shared" ca="1" si="12"/>
        <v>1809.7187686043499</v>
      </c>
    </row>
    <row r="676" spans="1:7" x14ac:dyDescent="0.2">
      <c r="A676" s="6">
        <f ca="1">Model!$F$13+RAND()*(Model!$G$13-Model!$F$13)</f>
        <v>1444.0937131198145</v>
      </c>
      <c r="B676" s="31">
        <f ca="1">Model!$F$14+RAND()*(Model!$G$14-Model!$F$14)</f>
        <v>0.44859543360103815</v>
      </c>
      <c r="C676" s="32">
        <f ca="1">Model!$F$15+RAND()*(Model!$G$15-Model!$F$15)</f>
        <v>1.2455881384831389E-2</v>
      </c>
      <c r="D676" s="33">
        <f ca="1">Model!$F$16+RAND()*(Model!$G$16-Model!$F$16)</f>
        <v>49.056804372514961</v>
      </c>
      <c r="E676" s="33">
        <f>Model!$D$17</f>
        <v>800</v>
      </c>
      <c r="G676" s="36">
        <f t="shared" ca="1" si="12"/>
        <v>-565.40653905826798</v>
      </c>
    </row>
    <row r="677" spans="1:7" x14ac:dyDescent="0.2">
      <c r="A677" s="6">
        <f ca="1">Model!$F$13+RAND()*(Model!$G$13-Model!$F$13)</f>
        <v>1333.2828073089906</v>
      </c>
      <c r="B677" s="31">
        <f ca="1">Model!$F$14+RAND()*(Model!$G$14-Model!$F$14)</f>
        <v>0.35672577928516469</v>
      </c>
      <c r="C677" s="32">
        <f ca="1">Model!$F$15+RAND()*(Model!$G$15-Model!$F$15)</f>
        <v>4.4544178000522364E-2</v>
      </c>
      <c r="D677" s="33">
        <f ca="1">Model!$F$16+RAND()*(Model!$G$16-Model!$F$16)</f>
        <v>51.542551861626421</v>
      </c>
      <c r="E677" s="33">
        <f>Model!$D$17</f>
        <v>800</v>
      </c>
      <c r="G677" s="36">
        <f t="shared" ca="1" si="12"/>
        <v>1785.495120782082</v>
      </c>
    </row>
    <row r="678" spans="1:7" x14ac:dyDescent="0.2">
      <c r="A678" s="6">
        <f ca="1">Model!$F$13+RAND()*(Model!$G$13-Model!$F$13)</f>
        <v>1574.3944369593003</v>
      </c>
      <c r="B678" s="31">
        <f ca="1">Model!$F$14+RAND()*(Model!$G$14-Model!$F$14)</f>
        <v>0.3250997193341526</v>
      </c>
      <c r="C678" s="32">
        <f ca="1">Model!$F$15+RAND()*(Model!$G$15-Model!$F$15)</f>
        <v>4.7245727133381349E-2</v>
      </c>
      <c r="D678" s="33">
        <f ca="1">Model!$F$16+RAND()*(Model!$G$16-Model!$F$16)</f>
        <v>52.762677442787307</v>
      </c>
      <c r="E678" s="33">
        <f>Model!$D$17</f>
        <v>800</v>
      </c>
      <c r="G678" s="36">
        <f t="shared" ca="1" si="12"/>
        <v>2612.832677706574</v>
      </c>
    </row>
    <row r="679" spans="1:7" x14ac:dyDescent="0.2">
      <c r="A679" s="6">
        <f ca="1">Model!$F$13+RAND()*(Model!$G$13-Model!$F$13)</f>
        <v>1414.1615020935053</v>
      </c>
      <c r="B679" s="31">
        <f ca="1">Model!$F$14+RAND()*(Model!$G$14-Model!$F$14)</f>
        <v>0.44594564325265795</v>
      </c>
      <c r="C679" s="32">
        <f ca="1">Model!$F$15+RAND()*(Model!$G$15-Model!$F$15)</f>
        <v>4.9571329311765222E-2</v>
      </c>
      <c r="D679" s="33">
        <f ca="1">Model!$F$16+RAND()*(Model!$G$16-Model!$F$16)</f>
        <v>47.858784065967868</v>
      </c>
      <c r="E679" s="33">
        <f>Model!$D$17</f>
        <v>800</v>
      </c>
      <c r="G679" s="36">
        <f t="shared" ca="1" si="12"/>
        <v>1924.3508838432135</v>
      </c>
    </row>
    <row r="680" spans="1:7" x14ac:dyDescent="0.2">
      <c r="A680" s="6">
        <f ca="1">Model!$F$13+RAND()*(Model!$G$13-Model!$F$13)</f>
        <v>1677.6037201385423</v>
      </c>
      <c r="B680" s="31">
        <f ca="1">Model!$F$14+RAND()*(Model!$G$14-Model!$F$14)</f>
        <v>0.67251244072155791</v>
      </c>
      <c r="C680" s="32">
        <f ca="1">Model!$F$15+RAND()*(Model!$G$15-Model!$F$15)</f>
        <v>2.0904102271685383E-2</v>
      </c>
      <c r="D680" s="33">
        <f ca="1">Model!$F$16+RAND()*(Model!$G$16-Model!$F$16)</f>
        <v>50.835668174338664</v>
      </c>
      <c r="E680" s="33">
        <f>Model!$D$17</f>
        <v>800</v>
      </c>
      <c r="G680" s="36">
        <f t="shared" ca="1" si="12"/>
        <v>-145.46350568455819</v>
      </c>
    </row>
    <row r="681" spans="1:7" x14ac:dyDescent="0.2">
      <c r="A681" s="6">
        <f ca="1">Model!$F$13+RAND()*(Model!$G$13-Model!$F$13)</f>
        <v>1506.6235244843137</v>
      </c>
      <c r="B681" s="31">
        <f ca="1">Model!$F$14+RAND()*(Model!$G$14-Model!$F$14)</f>
        <v>0.30027981537275755</v>
      </c>
      <c r="C681" s="32">
        <f ca="1">Model!$F$15+RAND()*(Model!$G$15-Model!$F$15)</f>
        <v>3.7024126156951824E-2</v>
      </c>
      <c r="D681" s="33">
        <f ca="1">Model!$F$16+RAND()*(Model!$G$16-Model!$F$16)</f>
        <v>51.572469978655334</v>
      </c>
      <c r="E681" s="33">
        <f>Model!$D$17</f>
        <v>800</v>
      </c>
      <c r="G681" s="36">
        <f t="shared" ca="1" si="12"/>
        <v>1624.3769457471285</v>
      </c>
    </row>
    <row r="682" spans="1:7" x14ac:dyDescent="0.2">
      <c r="A682" s="6">
        <f ca="1">Model!$F$13+RAND()*(Model!$G$13-Model!$F$13)</f>
        <v>1618.6529075834026</v>
      </c>
      <c r="B682" s="31">
        <f ca="1">Model!$F$14+RAND()*(Model!$G$14-Model!$F$14)</f>
        <v>0.79287261604296089</v>
      </c>
      <c r="C682" s="32">
        <f ca="1">Model!$F$15+RAND()*(Model!$G$15-Model!$F$15)</f>
        <v>1.7284374435950798E-2</v>
      </c>
      <c r="D682" s="33">
        <f ca="1">Model!$F$16+RAND()*(Model!$G$16-Model!$F$16)</f>
        <v>52.489980862013986</v>
      </c>
      <c r="E682" s="33">
        <f>Model!$D$17</f>
        <v>800</v>
      </c>
      <c r="G682" s="36">
        <f t="shared" ca="1" si="12"/>
        <v>-614.85222059482908</v>
      </c>
    </row>
    <row r="683" spans="1:7" x14ac:dyDescent="0.2">
      <c r="A683" s="6">
        <f ca="1">Model!$F$13+RAND()*(Model!$G$13-Model!$F$13)</f>
        <v>1605.4051320184387</v>
      </c>
      <c r="B683" s="31">
        <f ca="1">Model!$F$14+RAND()*(Model!$G$14-Model!$F$14)</f>
        <v>0.2157861607641032</v>
      </c>
      <c r="C683" s="32">
        <f ca="1">Model!$F$15+RAND()*(Model!$G$15-Model!$F$15)</f>
        <v>4.5581344093642159E-2</v>
      </c>
      <c r="D683" s="33">
        <f ca="1">Model!$F$16+RAND()*(Model!$G$16-Model!$F$16)</f>
        <v>51.187141610884936</v>
      </c>
      <c r="E683" s="33">
        <f>Model!$D$17</f>
        <v>800</v>
      </c>
      <c r="G683" s="36">
        <f t="shared" ca="1" si="12"/>
        <v>2599.2728729647674</v>
      </c>
    </row>
    <row r="684" spans="1:7" x14ac:dyDescent="0.2">
      <c r="A684" s="6">
        <f ca="1">Model!$F$13+RAND()*(Model!$G$13-Model!$F$13)</f>
        <v>1561.7933100673897</v>
      </c>
      <c r="B684" s="31">
        <f ca="1">Model!$F$14+RAND()*(Model!$G$14-Model!$F$14)</f>
        <v>0.61817916654473692</v>
      </c>
      <c r="C684" s="32">
        <f ca="1">Model!$F$15+RAND()*(Model!$G$15-Model!$F$15)</f>
        <v>1.1684366571312176E-2</v>
      </c>
      <c r="D684" s="33">
        <f ca="1">Model!$F$16+RAND()*(Model!$G$16-Model!$F$16)</f>
        <v>51.715772593484502</v>
      </c>
      <c r="E684" s="33">
        <f>Model!$D$17</f>
        <v>800</v>
      </c>
      <c r="G684" s="36">
        <f t="shared" ca="1" si="12"/>
        <v>-821.72942093022709</v>
      </c>
    </row>
    <row r="685" spans="1:7" x14ac:dyDescent="0.2">
      <c r="A685" s="6">
        <f ca="1">Model!$F$13+RAND()*(Model!$G$13-Model!$F$13)</f>
        <v>1474.2133417214559</v>
      </c>
      <c r="B685" s="31">
        <f ca="1">Model!$F$14+RAND()*(Model!$G$14-Model!$F$14)</f>
        <v>0.37466167336717671</v>
      </c>
      <c r="C685" s="32">
        <f ca="1">Model!$F$15+RAND()*(Model!$G$15-Model!$F$15)</f>
        <v>1.1386742293176414E-2</v>
      </c>
      <c r="D685" s="33">
        <f ca="1">Model!$F$16+RAND()*(Model!$G$16-Model!$F$16)</f>
        <v>48.3600926988059</v>
      </c>
      <c r="E685" s="33">
        <f>Model!$D$17</f>
        <v>800</v>
      </c>
      <c r="G685" s="36">
        <f t="shared" ca="1" si="12"/>
        <v>-540.53515040305376</v>
      </c>
    </row>
    <row r="686" spans="1:7" x14ac:dyDescent="0.2">
      <c r="A686" s="6">
        <f ca="1">Model!$F$13+RAND()*(Model!$G$13-Model!$F$13)</f>
        <v>1516.7665229540655</v>
      </c>
      <c r="B686" s="31">
        <f ca="1">Model!$F$14+RAND()*(Model!$G$14-Model!$F$14)</f>
        <v>0.65295820581065245</v>
      </c>
      <c r="C686" s="32">
        <f ca="1">Model!$F$15+RAND()*(Model!$G$15-Model!$F$15)</f>
        <v>3.8555282122292076E-2</v>
      </c>
      <c r="D686" s="33">
        <f ca="1">Model!$F$16+RAND()*(Model!$G$16-Model!$F$16)</f>
        <v>48.497323989412052</v>
      </c>
      <c r="E686" s="33">
        <f>Model!$D$17</f>
        <v>800</v>
      </c>
      <c r="G686" s="36">
        <f t="shared" ca="1" si="12"/>
        <v>1045.7073796463744</v>
      </c>
    </row>
    <row r="687" spans="1:7" x14ac:dyDescent="0.2">
      <c r="A687" s="6">
        <f ca="1">Model!$F$13+RAND()*(Model!$G$13-Model!$F$13)</f>
        <v>1765.5404794538713</v>
      </c>
      <c r="B687" s="31">
        <f ca="1">Model!$F$14+RAND()*(Model!$G$14-Model!$F$14)</f>
        <v>0.53919369419597019</v>
      </c>
      <c r="C687" s="32">
        <f ca="1">Model!$F$15+RAND()*(Model!$G$15-Model!$F$15)</f>
        <v>4.8600666228703009E-2</v>
      </c>
      <c r="D687" s="33">
        <f ca="1">Model!$F$16+RAND()*(Model!$G$16-Model!$F$16)</f>
        <v>52.288485078554359</v>
      </c>
      <c r="E687" s="33">
        <f>Model!$D$17</f>
        <v>800</v>
      </c>
      <c r="G687" s="36">
        <f t="shared" ca="1" si="12"/>
        <v>2734.720650110733</v>
      </c>
    </row>
    <row r="688" spans="1:7" x14ac:dyDescent="0.2">
      <c r="A688" s="6">
        <f ca="1">Model!$F$13+RAND()*(Model!$G$13-Model!$F$13)</f>
        <v>1254.786221885636</v>
      </c>
      <c r="B688" s="31">
        <f ca="1">Model!$F$14+RAND()*(Model!$G$14-Model!$F$14)</f>
        <v>0.2207450614636346</v>
      </c>
      <c r="C688" s="32">
        <f ca="1">Model!$F$15+RAND()*(Model!$G$15-Model!$F$15)</f>
        <v>2.2754690872482962E-2</v>
      </c>
      <c r="D688" s="33">
        <f ca="1">Model!$F$16+RAND()*(Model!$G$16-Model!$F$16)</f>
        <v>47.315743850329646</v>
      </c>
      <c r="E688" s="33">
        <f>Model!$D$17</f>
        <v>800</v>
      </c>
      <c r="G688" s="36">
        <f t="shared" ca="1" si="12"/>
        <v>273.98415454212773</v>
      </c>
    </row>
    <row r="689" spans="1:7" x14ac:dyDescent="0.2">
      <c r="A689" s="6">
        <f ca="1">Model!$F$13+RAND()*(Model!$G$13-Model!$F$13)</f>
        <v>1441.642149148408</v>
      </c>
      <c r="B689" s="31">
        <f ca="1">Model!$F$14+RAND()*(Model!$G$14-Model!$F$14)</f>
        <v>0.78143645228736358</v>
      </c>
      <c r="C689" s="32">
        <f ca="1">Model!$F$15+RAND()*(Model!$G$15-Model!$F$15)</f>
        <v>3.404456249634219E-2</v>
      </c>
      <c r="D689" s="33">
        <f ca="1">Model!$F$16+RAND()*(Model!$G$16-Model!$F$16)</f>
        <v>49.351950589146149</v>
      </c>
      <c r="E689" s="33">
        <f>Model!$D$17</f>
        <v>800</v>
      </c>
      <c r="G689" s="36">
        <f t="shared" ca="1" si="12"/>
        <v>495.64577120912531</v>
      </c>
    </row>
    <row r="690" spans="1:7" x14ac:dyDescent="0.2">
      <c r="A690" s="6">
        <f ca="1">Model!$F$13+RAND()*(Model!$G$13-Model!$F$13)</f>
        <v>1314.5156313718007</v>
      </c>
      <c r="B690" s="31">
        <f ca="1">Model!$F$14+RAND()*(Model!$G$14-Model!$F$14)</f>
        <v>0.22420532893866535</v>
      </c>
      <c r="C690" s="32">
        <f ca="1">Model!$F$15+RAND()*(Model!$G$15-Model!$F$15)</f>
        <v>2.7253081366117066E-2</v>
      </c>
      <c r="D690" s="33">
        <f ca="1">Model!$F$16+RAND()*(Model!$G$16-Model!$F$16)</f>
        <v>52.04195623717851</v>
      </c>
      <c r="E690" s="33">
        <f>Model!$D$17</f>
        <v>800</v>
      </c>
      <c r="G690" s="36">
        <f t="shared" ca="1" si="12"/>
        <v>769.6609318069377</v>
      </c>
    </row>
    <row r="691" spans="1:7" x14ac:dyDescent="0.2">
      <c r="A691" s="6">
        <f ca="1">Model!$F$13+RAND()*(Model!$G$13-Model!$F$13)</f>
        <v>1371.8395226953089</v>
      </c>
      <c r="B691" s="31">
        <f ca="1">Model!$F$14+RAND()*(Model!$G$14-Model!$F$14)</f>
        <v>0.49421243033164641</v>
      </c>
      <c r="C691" s="32">
        <f ca="1">Model!$F$15+RAND()*(Model!$G$15-Model!$F$15)</f>
        <v>4.840751739769604E-2</v>
      </c>
      <c r="D691" s="33">
        <f ca="1">Model!$F$16+RAND()*(Model!$G$16-Model!$F$16)</f>
        <v>49.684079610628679</v>
      </c>
      <c r="E691" s="33">
        <f>Model!$D$17</f>
        <v>800</v>
      </c>
      <c r="G691" s="36">
        <f t="shared" ca="1" si="12"/>
        <v>1821.4076990827807</v>
      </c>
    </row>
    <row r="692" spans="1:7" x14ac:dyDescent="0.2">
      <c r="A692" s="6">
        <f ca="1">Model!$F$13+RAND()*(Model!$G$13-Model!$F$13)</f>
        <v>1268.1357317227339</v>
      </c>
      <c r="B692" s="31">
        <f ca="1">Model!$F$14+RAND()*(Model!$G$14-Model!$F$14)</f>
        <v>0.66169523684825882</v>
      </c>
      <c r="C692" s="32">
        <f ca="1">Model!$F$15+RAND()*(Model!$G$15-Model!$F$15)</f>
        <v>3.1186886919026637E-2</v>
      </c>
      <c r="D692" s="33">
        <f ca="1">Model!$F$16+RAND()*(Model!$G$16-Model!$F$16)</f>
        <v>51.111370824014884</v>
      </c>
      <c r="E692" s="33">
        <f>Model!$D$17</f>
        <v>800</v>
      </c>
      <c r="G692" s="36">
        <f t="shared" ca="1" si="12"/>
        <v>382.29474308974613</v>
      </c>
    </row>
    <row r="693" spans="1:7" x14ac:dyDescent="0.2">
      <c r="A693" s="6">
        <f ca="1">Model!$F$13+RAND()*(Model!$G$13-Model!$F$13)</f>
        <v>1247.3149537299371</v>
      </c>
      <c r="B693" s="31">
        <f ca="1">Model!$F$14+RAND()*(Model!$G$14-Model!$F$14)</f>
        <v>0.64357286315374163</v>
      </c>
      <c r="C693" s="32">
        <f ca="1">Model!$F$15+RAND()*(Model!$G$15-Model!$F$15)</f>
        <v>2.7099260536390758E-2</v>
      </c>
      <c r="D693" s="33">
        <f ca="1">Model!$F$16+RAND()*(Model!$G$16-Model!$F$16)</f>
        <v>51.759645150419381</v>
      </c>
      <c r="E693" s="33">
        <f>Model!$D$17</f>
        <v>800</v>
      </c>
      <c r="G693" s="36">
        <f t="shared" ca="1" si="12"/>
        <v>146.80590540265962</v>
      </c>
    </row>
    <row r="694" spans="1:7" x14ac:dyDescent="0.2">
      <c r="A694" s="6">
        <f ca="1">Model!$F$13+RAND()*(Model!$G$13-Model!$F$13)</f>
        <v>1450.4168569892204</v>
      </c>
      <c r="B694" s="31">
        <f ca="1">Model!$F$14+RAND()*(Model!$G$14-Model!$F$14)</f>
        <v>0.36066088030897103</v>
      </c>
      <c r="C694" s="32">
        <f ca="1">Model!$F$15+RAND()*(Model!$G$15-Model!$F$15)</f>
        <v>4.4967837907524309E-2</v>
      </c>
      <c r="D694" s="33">
        <f ca="1">Model!$F$16+RAND()*(Model!$G$16-Model!$F$16)</f>
        <v>50.741911122635798</v>
      </c>
      <c r="E694" s="33">
        <f>Model!$D$17</f>
        <v>800</v>
      </c>
      <c r="G694" s="36">
        <f t="shared" ca="1" si="12"/>
        <v>1986.3858946572545</v>
      </c>
    </row>
    <row r="695" spans="1:7" x14ac:dyDescent="0.2">
      <c r="A695" s="6">
        <f ca="1">Model!$F$13+RAND()*(Model!$G$13-Model!$F$13)</f>
        <v>1484.3446980520966</v>
      </c>
      <c r="B695" s="31">
        <f ca="1">Model!$F$14+RAND()*(Model!$G$14-Model!$F$14)</f>
        <v>0.69734053703667476</v>
      </c>
      <c r="C695" s="32">
        <f ca="1">Model!$F$15+RAND()*(Model!$G$15-Model!$F$15)</f>
        <v>4.5496788857398419E-2</v>
      </c>
      <c r="D695" s="33">
        <f ca="1">Model!$F$16+RAND()*(Model!$G$16-Model!$F$16)</f>
        <v>49.242476698918644</v>
      </c>
      <c r="E695" s="33">
        <f>Model!$D$17</f>
        <v>800</v>
      </c>
      <c r="G695" s="36">
        <f t="shared" ca="1" si="12"/>
        <v>1490.3943785975141</v>
      </c>
    </row>
    <row r="696" spans="1:7" x14ac:dyDescent="0.2">
      <c r="A696" s="6">
        <f ca="1">Model!$F$13+RAND()*(Model!$G$13-Model!$F$13)</f>
        <v>1668.8452903909783</v>
      </c>
      <c r="B696" s="31">
        <f ca="1">Model!$F$14+RAND()*(Model!$G$14-Model!$F$14)</f>
        <v>0.36782331986290251</v>
      </c>
      <c r="C696" s="32">
        <f ca="1">Model!$F$15+RAND()*(Model!$G$15-Model!$F$15)</f>
        <v>2.0478386999916699E-2</v>
      </c>
      <c r="D696" s="33">
        <f ca="1">Model!$F$16+RAND()*(Model!$G$16-Model!$F$16)</f>
        <v>48.195086681676628</v>
      </c>
      <c r="E696" s="33">
        <f>Model!$D$17</f>
        <v>800</v>
      </c>
      <c r="G696" s="36">
        <f t="shared" ca="1" si="12"/>
        <v>233.23938854256699</v>
      </c>
    </row>
    <row r="697" spans="1:7" x14ac:dyDescent="0.2">
      <c r="A697" s="6">
        <f ca="1">Model!$F$13+RAND()*(Model!$G$13-Model!$F$13)</f>
        <v>1667.2676539317283</v>
      </c>
      <c r="B697" s="31">
        <f ca="1">Model!$F$14+RAND()*(Model!$G$14-Model!$F$14)</f>
        <v>0.35389833214085697</v>
      </c>
      <c r="C697" s="32">
        <f ca="1">Model!$F$15+RAND()*(Model!$G$15-Model!$F$15)</f>
        <v>2.0137142382788437E-2</v>
      </c>
      <c r="D697" s="33">
        <f ca="1">Model!$F$16+RAND()*(Model!$G$16-Model!$F$16)</f>
        <v>50.85573772974373</v>
      </c>
      <c r="E697" s="33">
        <f>Model!$D$17</f>
        <v>800</v>
      </c>
      <c r="G697" s="36">
        <f t="shared" ca="1" si="12"/>
        <v>317.38760870365968</v>
      </c>
    </row>
    <row r="698" spans="1:7" x14ac:dyDescent="0.2">
      <c r="A698" s="6">
        <f ca="1">Model!$F$13+RAND()*(Model!$G$13-Model!$F$13)</f>
        <v>1679.0948906814215</v>
      </c>
      <c r="B698" s="31">
        <f ca="1">Model!$F$14+RAND()*(Model!$G$14-Model!$F$14)</f>
        <v>0.20048875179347081</v>
      </c>
      <c r="C698" s="32">
        <f ca="1">Model!$F$15+RAND()*(Model!$G$15-Model!$F$15)</f>
        <v>3.5778056317198451E-2</v>
      </c>
      <c r="D698" s="33">
        <f ca="1">Model!$F$16+RAND()*(Model!$G$16-Model!$F$16)</f>
        <v>50.007905456114159</v>
      </c>
      <c r="E698" s="33">
        <f>Model!$D$17</f>
        <v>800</v>
      </c>
      <c r="G698" s="36">
        <f t="shared" ca="1" si="12"/>
        <v>1867.5728575725234</v>
      </c>
    </row>
    <row r="699" spans="1:7" x14ac:dyDescent="0.2">
      <c r="A699" s="6">
        <f ca="1">Model!$F$13+RAND()*(Model!$G$13-Model!$F$13)</f>
        <v>1781.8751243139459</v>
      </c>
      <c r="B699" s="31">
        <f ca="1">Model!$F$14+RAND()*(Model!$G$14-Model!$F$14)</f>
        <v>0.47463063778719278</v>
      </c>
      <c r="C699" s="32">
        <f ca="1">Model!$F$15+RAND()*(Model!$G$15-Model!$F$15)</f>
        <v>4.2535176661087325E-2</v>
      </c>
      <c r="D699" s="33">
        <f ca="1">Model!$F$16+RAND()*(Model!$G$16-Model!$F$16)</f>
        <v>52.161459060866903</v>
      </c>
      <c r="E699" s="33">
        <f>Model!$D$17</f>
        <v>800</v>
      </c>
      <c r="G699" s="36">
        <f t="shared" ca="1" si="12"/>
        <v>2307.7082451235087</v>
      </c>
    </row>
    <row r="700" spans="1:7" x14ac:dyDescent="0.2">
      <c r="A700" s="6">
        <f ca="1">Model!$F$13+RAND()*(Model!$G$13-Model!$F$13)</f>
        <v>1766.1006419523364</v>
      </c>
      <c r="B700" s="31">
        <f ca="1">Model!$F$14+RAND()*(Model!$G$14-Model!$F$14)</f>
        <v>0.73102639443442463</v>
      </c>
      <c r="C700" s="32">
        <f ca="1">Model!$F$15+RAND()*(Model!$G$15-Model!$F$15)</f>
        <v>4.6309816245467393E-2</v>
      </c>
      <c r="D700" s="33">
        <f ca="1">Model!$F$16+RAND()*(Model!$G$16-Model!$F$16)</f>
        <v>51.383638151983547</v>
      </c>
      <c r="E700" s="33">
        <f>Model!$D$17</f>
        <v>800</v>
      </c>
      <c r="G700" s="36">
        <f t="shared" ca="1" si="12"/>
        <v>2111.4883406847148</v>
      </c>
    </row>
    <row r="701" spans="1:7" x14ac:dyDescent="0.2">
      <c r="A701" s="6">
        <f ca="1">Model!$F$13+RAND()*(Model!$G$13-Model!$F$13)</f>
        <v>1264.8562344569052</v>
      </c>
      <c r="B701" s="31">
        <f ca="1">Model!$F$14+RAND()*(Model!$G$14-Model!$F$14)</f>
        <v>0.48567985177261352</v>
      </c>
      <c r="C701" s="32">
        <f ca="1">Model!$F$15+RAND()*(Model!$G$15-Model!$F$15)</f>
        <v>4.328295349381249E-2</v>
      </c>
      <c r="D701" s="33">
        <f ca="1">Model!$F$16+RAND()*(Model!$G$16-Model!$F$16)</f>
        <v>50.455790867417889</v>
      </c>
      <c r="E701" s="33">
        <f>Model!$D$17</f>
        <v>800</v>
      </c>
      <c r="G701" s="36">
        <f t="shared" ca="1" si="12"/>
        <v>1347.9735422205781</v>
      </c>
    </row>
    <row r="702" spans="1:7" x14ac:dyDescent="0.2">
      <c r="A702" s="6">
        <f ca="1">Model!$F$13+RAND()*(Model!$G$13-Model!$F$13)</f>
        <v>1672.6703024310091</v>
      </c>
      <c r="B702" s="31">
        <f ca="1">Model!$F$14+RAND()*(Model!$G$14-Model!$F$14)</f>
        <v>0.23826159501315547</v>
      </c>
      <c r="C702" s="32">
        <f ca="1">Model!$F$15+RAND()*(Model!$G$15-Model!$F$15)</f>
        <v>3.4213359213982657E-2</v>
      </c>
      <c r="D702" s="33">
        <f ca="1">Model!$F$16+RAND()*(Model!$G$16-Model!$F$16)</f>
        <v>51.496427773589581</v>
      </c>
      <c r="E702" s="33">
        <f>Model!$D$17</f>
        <v>800</v>
      </c>
      <c r="G702" s="36">
        <f t="shared" ca="1" si="12"/>
        <v>1748.4874756549198</v>
      </c>
    </row>
    <row r="703" spans="1:7" x14ac:dyDescent="0.2">
      <c r="A703" s="6">
        <f ca="1">Model!$F$13+RAND()*(Model!$G$13-Model!$F$13)</f>
        <v>1538.032747612232</v>
      </c>
      <c r="B703" s="31">
        <f ca="1">Model!$F$14+RAND()*(Model!$G$14-Model!$F$14)</f>
        <v>0.30762204563141193</v>
      </c>
      <c r="C703" s="32">
        <f ca="1">Model!$F$15+RAND()*(Model!$G$15-Model!$F$15)</f>
        <v>2.7036173648021376E-2</v>
      </c>
      <c r="D703" s="33">
        <f ca="1">Model!$F$16+RAND()*(Model!$G$16-Model!$F$16)</f>
        <v>47.401950422118595</v>
      </c>
      <c r="E703" s="33">
        <f>Model!$D$17</f>
        <v>800</v>
      </c>
      <c r="G703" s="36">
        <f t="shared" ca="1" si="12"/>
        <v>697.95979229237764</v>
      </c>
    </row>
    <row r="704" spans="1:7" x14ac:dyDescent="0.2">
      <c r="A704" s="6">
        <f ca="1">Model!$F$13+RAND()*(Model!$G$13-Model!$F$13)</f>
        <v>1289.2712177148776</v>
      </c>
      <c r="B704" s="31">
        <f ca="1">Model!$F$14+RAND()*(Model!$G$14-Model!$F$14)</f>
        <v>0.75568533929372417</v>
      </c>
      <c r="C704" s="32">
        <f ca="1">Model!$F$15+RAND()*(Model!$G$15-Model!$F$15)</f>
        <v>2.9299419370949653E-2</v>
      </c>
      <c r="D704" s="33">
        <f ca="1">Model!$F$16+RAND()*(Model!$G$16-Model!$F$16)</f>
        <v>52.151303064611255</v>
      </c>
      <c r="E704" s="33">
        <f>Model!$D$17</f>
        <v>800</v>
      </c>
      <c r="G704" s="36">
        <f t="shared" ca="1" si="12"/>
        <v>195.72680096360727</v>
      </c>
    </row>
    <row r="705" spans="1:7" x14ac:dyDescent="0.2">
      <c r="A705" s="6">
        <f ca="1">Model!$F$13+RAND()*(Model!$G$13-Model!$F$13)</f>
        <v>1408.9602511669716</v>
      </c>
      <c r="B705" s="31">
        <f ca="1">Model!$F$14+RAND()*(Model!$G$14-Model!$F$14)</f>
        <v>0.264632236623212</v>
      </c>
      <c r="C705" s="32">
        <f ca="1">Model!$F$15+RAND()*(Model!$G$15-Model!$F$15)</f>
        <v>3.8785496870162452E-2</v>
      </c>
      <c r="D705" s="33">
        <f ca="1">Model!$F$16+RAND()*(Model!$G$16-Model!$F$16)</f>
        <v>49.23715840606657</v>
      </c>
      <c r="E705" s="33">
        <f>Model!$D$17</f>
        <v>800</v>
      </c>
      <c r="G705" s="36">
        <f t="shared" ca="1" si="12"/>
        <v>1517.8176929999668</v>
      </c>
    </row>
    <row r="706" spans="1:7" x14ac:dyDescent="0.2">
      <c r="A706" s="6">
        <f ca="1">Model!$F$13+RAND()*(Model!$G$13-Model!$F$13)</f>
        <v>1482.3960034247698</v>
      </c>
      <c r="B706" s="31">
        <f ca="1">Model!$F$14+RAND()*(Model!$G$14-Model!$F$14)</f>
        <v>0.56902535467519832</v>
      </c>
      <c r="C706" s="32">
        <f ca="1">Model!$F$15+RAND()*(Model!$G$15-Model!$F$15)</f>
        <v>1.9938866794984425E-2</v>
      </c>
      <c r="D706" s="33">
        <f ca="1">Model!$F$16+RAND()*(Model!$G$16-Model!$F$16)</f>
        <v>50.061768403016004</v>
      </c>
      <c r="E706" s="33">
        <f>Model!$D$17</f>
        <v>800</v>
      </c>
      <c r="G706" s="36">
        <f t="shared" ca="1" si="12"/>
        <v>-163.83038213351938</v>
      </c>
    </row>
    <row r="707" spans="1:7" x14ac:dyDescent="0.2">
      <c r="A707" s="6">
        <f ca="1">Model!$F$13+RAND()*(Model!$G$13-Model!$F$13)</f>
        <v>1746.4616915363681</v>
      </c>
      <c r="B707" s="31">
        <f ca="1">Model!$F$14+RAND()*(Model!$G$14-Model!$F$14)</f>
        <v>0.38675922525246886</v>
      </c>
      <c r="C707" s="32">
        <f ca="1">Model!$F$15+RAND()*(Model!$G$15-Model!$F$15)</f>
        <v>3.2840233685018136E-2</v>
      </c>
      <c r="D707" s="33">
        <f ca="1">Model!$F$16+RAND()*(Model!$G$16-Model!$F$16)</f>
        <v>47.953587184530605</v>
      </c>
      <c r="E707" s="33">
        <f>Model!$D$17</f>
        <v>800</v>
      </c>
      <c r="G707" s="36">
        <f t="shared" ref="G707:G770" ca="1" si="13">A707*C707*D707-(E707+A707*B707)</f>
        <v>1274.8799423351604</v>
      </c>
    </row>
    <row r="708" spans="1:7" x14ac:dyDescent="0.2">
      <c r="A708" s="6">
        <f ca="1">Model!$F$13+RAND()*(Model!$G$13-Model!$F$13)</f>
        <v>1594.637423406273</v>
      </c>
      <c r="B708" s="31">
        <f ca="1">Model!$F$14+RAND()*(Model!$G$14-Model!$F$14)</f>
        <v>0.51528017596463749</v>
      </c>
      <c r="C708" s="32">
        <f ca="1">Model!$F$15+RAND()*(Model!$G$15-Model!$F$15)</f>
        <v>1.1557627979260894E-2</v>
      </c>
      <c r="D708" s="33">
        <f ca="1">Model!$F$16+RAND()*(Model!$G$16-Model!$F$16)</f>
        <v>52.118086565946975</v>
      </c>
      <c r="E708" s="33">
        <f>Model!$D$17</f>
        <v>800</v>
      </c>
      <c r="G708" s="36">
        <f t="shared" ca="1" si="13"/>
        <v>-661.13693274270793</v>
      </c>
    </row>
    <row r="709" spans="1:7" x14ac:dyDescent="0.2">
      <c r="A709" s="6">
        <f ca="1">Model!$F$13+RAND()*(Model!$G$13-Model!$F$13)</f>
        <v>1312.3451920810753</v>
      </c>
      <c r="B709" s="31">
        <f ca="1">Model!$F$14+RAND()*(Model!$G$14-Model!$F$14)</f>
        <v>0.59132987577120411</v>
      </c>
      <c r="C709" s="32">
        <f ca="1">Model!$F$15+RAND()*(Model!$G$15-Model!$F$15)</f>
        <v>2.2692567132407936E-2</v>
      </c>
      <c r="D709" s="33">
        <f ca="1">Model!$F$16+RAND()*(Model!$G$16-Model!$F$16)</f>
        <v>50.455552818149904</v>
      </c>
      <c r="E709" s="33">
        <f>Model!$D$17</f>
        <v>800</v>
      </c>
      <c r="G709" s="36">
        <f t="shared" ca="1" si="13"/>
        <v>-73.438268577646795</v>
      </c>
    </row>
    <row r="710" spans="1:7" x14ac:dyDescent="0.2">
      <c r="A710" s="6">
        <f ca="1">Model!$F$13+RAND()*(Model!$G$13-Model!$F$13)</f>
        <v>1220.4330453914638</v>
      </c>
      <c r="B710" s="31">
        <f ca="1">Model!$F$14+RAND()*(Model!$G$14-Model!$F$14)</f>
        <v>0.45337833622549661</v>
      </c>
      <c r="C710" s="32">
        <f ca="1">Model!$F$15+RAND()*(Model!$G$15-Model!$F$15)</f>
        <v>3.7828989321103505E-2</v>
      </c>
      <c r="D710" s="33">
        <f ca="1">Model!$F$16+RAND()*(Model!$G$16-Model!$F$16)</f>
        <v>50.52847981673311</v>
      </c>
      <c r="E710" s="33">
        <f>Model!$D$17</f>
        <v>800</v>
      </c>
      <c r="G710" s="36">
        <f t="shared" ca="1" si="13"/>
        <v>979.4682518084785</v>
      </c>
    </row>
    <row r="711" spans="1:7" x14ac:dyDescent="0.2">
      <c r="A711" s="6">
        <f ca="1">Model!$F$13+RAND()*(Model!$G$13-Model!$F$13)</f>
        <v>1701.3083226433273</v>
      </c>
      <c r="B711" s="31">
        <f ca="1">Model!$F$14+RAND()*(Model!$G$14-Model!$F$14)</f>
        <v>0.79351168696866092</v>
      </c>
      <c r="C711" s="32">
        <f ca="1">Model!$F$15+RAND()*(Model!$G$15-Model!$F$15)</f>
        <v>4.6527973046236078E-2</v>
      </c>
      <c r="D711" s="33">
        <f ca="1">Model!$F$16+RAND()*(Model!$G$16-Model!$F$16)</f>
        <v>48.527419027850563</v>
      </c>
      <c r="E711" s="33">
        <f>Model!$D$17</f>
        <v>800</v>
      </c>
      <c r="G711" s="36">
        <f t="shared" ca="1" si="13"/>
        <v>1691.346157276721</v>
      </c>
    </row>
    <row r="712" spans="1:7" x14ac:dyDescent="0.2">
      <c r="A712" s="6">
        <f ca="1">Model!$F$13+RAND()*(Model!$G$13-Model!$F$13)</f>
        <v>1660.7850314826228</v>
      </c>
      <c r="B712" s="31">
        <f ca="1">Model!$F$14+RAND()*(Model!$G$14-Model!$F$14)</f>
        <v>0.51497175413435659</v>
      </c>
      <c r="C712" s="32">
        <f ca="1">Model!$F$15+RAND()*(Model!$G$15-Model!$F$15)</f>
        <v>4.8287104036631952E-2</v>
      </c>
      <c r="D712" s="33">
        <f ca="1">Model!$F$16+RAND()*(Model!$G$16-Model!$F$16)</f>
        <v>52.124637028683949</v>
      </c>
      <c r="E712" s="33">
        <f>Model!$D$17</f>
        <v>800</v>
      </c>
      <c r="G712" s="36">
        <f t="shared" ca="1" si="13"/>
        <v>2524.851802323451</v>
      </c>
    </row>
    <row r="713" spans="1:7" x14ac:dyDescent="0.2">
      <c r="A713" s="6">
        <f ca="1">Model!$F$13+RAND()*(Model!$G$13-Model!$F$13)</f>
        <v>1281.3196653713017</v>
      </c>
      <c r="B713" s="31">
        <f ca="1">Model!$F$14+RAND()*(Model!$G$14-Model!$F$14)</f>
        <v>0.5303801624966662</v>
      </c>
      <c r="C713" s="32">
        <f ca="1">Model!$F$15+RAND()*(Model!$G$15-Model!$F$15)</f>
        <v>4.4685486497809387E-2</v>
      </c>
      <c r="D713" s="33">
        <f ca="1">Model!$F$16+RAND()*(Model!$G$16-Model!$F$16)</f>
        <v>51.157307646969841</v>
      </c>
      <c r="E713" s="33">
        <f>Model!$D$17</f>
        <v>800</v>
      </c>
      <c r="G713" s="36">
        <f t="shared" ca="1" si="13"/>
        <v>1449.4963589877516</v>
      </c>
    </row>
    <row r="714" spans="1:7" x14ac:dyDescent="0.2">
      <c r="A714" s="6">
        <f ca="1">Model!$F$13+RAND()*(Model!$G$13-Model!$F$13)</f>
        <v>1206.3107234417926</v>
      </c>
      <c r="B714" s="31">
        <f ca="1">Model!$F$14+RAND()*(Model!$G$14-Model!$F$14)</f>
        <v>0.42416553063673013</v>
      </c>
      <c r="C714" s="32">
        <f ca="1">Model!$F$15+RAND()*(Model!$G$15-Model!$F$15)</f>
        <v>1.0314007405234547E-2</v>
      </c>
      <c r="D714" s="33">
        <f ca="1">Model!$F$16+RAND()*(Model!$G$16-Model!$F$16)</f>
        <v>51.041187055401679</v>
      </c>
      <c r="E714" s="33">
        <f>Model!$D$17</f>
        <v>800</v>
      </c>
      <c r="G714" s="36">
        <f t="shared" ca="1" si="13"/>
        <v>-676.62619852595196</v>
      </c>
    </row>
    <row r="715" spans="1:7" x14ac:dyDescent="0.2">
      <c r="A715" s="6">
        <f ca="1">Model!$F$13+RAND()*(Model!$G$13-Model!$F$13)</f>
        <v>1374.6132427840075</v>
      </c>
      <c r="B715" s="31">
        <f ca="1">Model!$F$14+RAND()*(Model!$G$14-Model!$F$14)</f>
        <v>0.23647840754980437</v>
      </c>
      <c r="C715" s="32">
        <f ca="1">Model!$F$15+RAND()*(Model!$G$15-Model!$F$15)</f>
        <v>2.7527258676624505E-2</v>
      </c>
      <c r="D715" s="33">
        <f ca="1">Model!$F$16+RAND()*(Model!$G$16-Model!$F$16)</f>
        <v>47.097242014073885</v>
      </c>
      <c r="E715" s="33">
        <f>Model!$D$17</f>
        <v>800</v>
      </c>
      <c r="G715" s="36">
        <f t="shared" ca="1" si="13"/>
        <v>657.0619352076792</v>
      </c>
    </row>
    <row r="716" spans="1:7" x14ac:dyDescent="0.2">
      <c r="A716" s="6">
        <f ca="1">Model!$F$13+RAND()*(Model!$G$13-Model!$F$13)</f>
        <v>1544.4174478897542</v>
      </c>
      <c r="B716" s="31">
        <f ca="1">Model!$F$14+RAND()*(Model!$G$14-Model!$F$14)</f>
        <v>0.34698996939967519</v>
      </c>
      <c r="C716" s="32">
        <f ca="1">Model!$F$15+RAND()*(Model!$G$15-Model!$F$15)</f>
        <v>1.9417562451705409E-2</v>
      </c>
      <c r="D716" s="33">
        <f ca="1">Model!$F$16+RAND()*(Model!$G$16-Model!$F$16)</f>
        <v>50.117566400025119</v>
      </c>
      <c r="E716" s="33">
        <f>Model!$D$17</f>
        <v>800</v>
      </c>
      <c r="G716" s="36">
        <f t="shared" ca="1" si="13"/>
        <v>167.06942718399296</v>
      </c>
    </row>
    <row r="717" spans="1:7" x14ac:dyDescent="0.2">
      <c r="A717" s="6">
        <f ca="1">Model!$F$13+RAND()*(Model!$G$13-Model!$F$13)</f>
        <v>1580.2443296849333</v>
      </c>
      <c r="B717" s="31">
        <f ca="1">Model!$F$14+RAND()*(Model!$G$14-Model!$F$14)</f>
        <v>0.5937985538964875</v>
      </c>
      <c r="C717" s="32">
        <f ca="1">Model!$F$15+RAND()*(Model!$G$15-Model!$F$15)</f>
        <v>1.0805592901096209E-2</v>
      </c>
      <c r="D717" s="33">
        <f ca="1">Model!$F$16+RAND()*(Model!$G$16-Model!$F$16)</f>
        <v>51.188888538992536</v>
      </c>
      <c r="E717" s="33">
        <f>Model!$D$17</f>
        <v>800</v>
      </c>
      <c r="G717" s="36">
        <f t="shared" ca="1" si="13"/>
        <v>-864.27211343085412</v>
      </c>
    </row>
    <row r="718" spans="1:7" x14ac:dyDescent="0.2">
      <c r="A718" s="6">
        <f ca="1">Model!$F$13+RAND()*(Model!$G$13-Model!$F$13)</f>
        <v>1546.6304774540581</v>
      </c>
      <c r="B718" s="31">
        <f ca="1">Model!$F$14+RAND()*(Model!$G$14-Model!$F$14)</f>
        <v>0.46378432451720214</v>
      </c>
      <c r="C718" s="32">
        <f ca="1">Model!$F$15+RAND()*(Model!$G$15-Model!$F$15)</f>
        <v>2.2090462399325828E-2</v>
      </c>
      <c r="D718" s="33">
        <f ca="1">Model!$F$16+RAND()*(Model!$G$16-Model!$F$16)</f>
        <v>48.227166614958499</v>
      </c>
      <c r="E718" s="33">
        <f>Model!$D$17</f>
        <v>800</v>
      </c>
      <c r="G718" s="36">
        <f t="shared" ca="1" si="13"/>
        <v>130.4159094500626</v>
      </c>
    </row>
    <row r="719" spans="1:7" x14ac:dyDescent="0.2">
      <c r="A719" s="6">
        <f ca="1">Model!$F$13+RAND()*(Model!$G$13-Model!$F$13)</f>
        <v>1478.8889209134729</v>
      </c>
      <c r="B719" s="31">
        <f ca="1">Model!$F$14+RAND()*(Model!$G$14-Model!$F$14)</f>
        <v>0.41722367741226907</v>
      </c>
      <c r="C719" s="32">
        <f ca="1">Model!$F$15+RAND()*(Model!$G$15-Model!$F$15)</f>
        <v>2.3316872295496897E-2</v>
      </c>
      <c r="D719" s="33">
        <f ca="1">Model!$F$16+RAND()*(Model!$G$16-Model!$F$16)</f>
        <v>49.692212401513899</v>
      </c>
      <c r="E719" s="33">
        <f>Model!$D$17</f>
        <v>800</v>
      </c>
      <c r="G719" s="36">
        <f t="shared" ca="1" si="13"/>
        <v>296.51227185015705</v>
      </c>
    </row>
    <row r="720" spans="1:7" x14ac:dyDescent="0.2">
      <c r="A720" s="6">
        <f ca="1">Model!$F$13+RAND()*(Model!$G$13-Model!$F$13)</f>
        <v>1616.8985483814477</v>
      </c>
      <c r="B720" s="31">
        <f ca="1">Model!$F$14+RAND()*(Model!$G$14-Model!$F$14)</f>
        <v>0.70602694435421931</v>
      </c>
      <c r="C720" s="32">
        <f ca="1">Model!$F$15+RAND()*(Model!$G$15-Model!$F$15)</f>
        <v>2.4184564862806845E-2</v>
      </c>
      <c r="D720" s="33">
        <f ca="1">Model!$F$16+RAND()*(Model!$G$16-Model!$F$16)</f>
        <v>51.784658517906614</v>
      </c>
      <c r="E720" s="33">
        <f>Model!$D$17</f>
        <v>800</v>
      </c>
      <c r="G720" s="36">
        <f t="shared" ca="1" si="13"/>
        <v>83.41271449785927</v>
      </c>
    </row>
    <row r="721" spans="1:7" x14ac:dyDescent="0.2">
      <c r="A721" s="6">
        <f ca="1">Model!$F$13+RAND()*(Model!$G$13-Model!$F$13)</f>
        <v>1591.7076349558643</v>
      </c>
      <c r="B721" s="31">
        <f ca="1">Model!$F$14+RAND()*(Model!$G$14-Model!$F$14)</f>
        <v>0.52037216544580045</v>
      </c>
      <c r="C721" s="32">
        <f ca="1">Model!$F$15+RAND()*(Model!$G$15-Model!$F$15)</f>
        <v>3.9855788439002858E-2</v>
      </c>
      <c r="D721" s="33">
        <f ca="1">Model!$F$16+RAND()*(Model!$G$16-Model!$F$16)</f>
        <v>52.243395158431852</v>
      </c>
      <c r="E721" s="33">
        <f>Model!$D$17</f>
        <v>800</v>
      </c>
      <c r="G721" s="36">
        <f t="shared" ca="1" si="13"/>
        <v>1685.9760022414289</v>
      </c>
    </row>
    <row r="722" spans="1:7" x14ac:dyDescent="0.2">
      <c r="A722" s="6">
        <f ca="1">Model!$F$13+RAND()*(Model!$G$13-Model!$F$13)</f>
        <v>1350.7450354800353</v>
      </c>
      <c r="B722" s="31">
        <f ca="1">Model!$F$14+RAND()*(Model!$G$14-Model!$F$14)</f>
        <v>0.40051432333538656</v>
      </c>
      <c r="C722" s="32">
        <f ca="1">Model!$F$15+RAND()*(Model!$G$15-Model!$F$15)</f>
        <v>3.0813439067877126E-2</v>
      </c>
      <c r="D722" s="33">
        <f ca="1">Model!$F$16+RAND()*(Model!$G$16-Model!$F$16)</f>
        <v>48.364013915646247</v>
      </c>
      <c r="E722" s="33">
        <f>Model!$D$17</f>
        <v>800</v>
      </c>
      <c r="G722" s="36">
        <f t="shared" ca="1" si="13"/>
        <v>671.97071830096797</v>
      </c>
    </row>
    <row r="723" spans="1:7" x14ac:dyDescent="0.2">
      <c r="A723" s="6">
        <f ca="1">Model!$F$13+RAND()*(Model!$G$13-Model!$F$13)</f>
        <v>1320.0550863458225</v>
      </c>
      <c r="B723" s="31">
        <f ca="1">Model!$F$14+RAND()*(Model!$G$14-Model!$F$14)</f>
        <v>0.70441712339583118</v>
      </c>
      <c r="C723" s="32">
        <f ca="1">Model!$F$15+RAND()*(Model!$G$15-Model!$F$15)</f>
        <v>2.1549406459011471E-2</v>
      </c>
      <c r="D723" s="33">
        <f ca="1">Model!$F$16+RAND()*(Model!$G$16-Model!$F$16)</f>
        <v>50.141635285881392</v>
      </c>
      <c r="E723" s="33">
        <f>Model!$D$17</f>
        <v>800</v>
      </c>
      <c r="G723" s="36">
        <f t="shared" ca="1" si="13"/>
        <v>-303.52021194343592</v>
      </c>
    </row>
    <row r="724" spans="1:7" x14ac:dyDescent="0.2">
      <c r="A724" s="6">
        <f ca="1">Model!$F$13+RAND()*(Model!$G$13-Model!$F$13)</f>
        <v>1578.8218707600095</v>
      </c>
      <c r="B724" s="31">
        <f ca="1">Model!$F$14+RAND()*(Model!$G$14-Model!$F$14)</f>
        <v>0.27923796705768039</v>
      </c>
      <c r="C724" s="32">
        <f ca="1">Model!$F$15+RAND()*(Model!$G$15-Model!$F$15)</f>
        <v>4.1300052671006053E-2</v>
      </c>
      <c r="D724" s="33">
        <f ca="1">Model!$F$16+RAND()*(Model!$G$16-Model!$F$16)</f>
        <v>51.89681143682887</v>
      </c>
      <c r="E724" s="33">
        <f>Model!$D$17</f>
        <v>800</v>
      </c>
      <c r="G724" s="36">
        <f t="shared" ca="1" si="13"/>
        <v>2143.086710066761</v>
      </c>
    </row>
    <row r="725" spans="1:7" x14ac:dyDescent="0.2">
      <c r="A725" s="6">
        <f ca="1">Model!$F$13+RAND()*(Model!$G$13-Model!$F$13)</f>
        <v>1272.3687280310878</v>
      </c>
      <c r="B725" s="31">
        <f ca="1">Model!$F$14+RAND()*(Model!$G$14-Model!$F$14)</f>
        <v>0.58332611914245613</v>
      </c>
      <c r="C725" s="32">
        <f ca="1">Model!$F$15+RAND()*(Model!$G$15-Model!$F$15)</f>
        <v>1.8731204387843439E-2</v>
      </c>
      <c r="D725" s="33">
        <f ca="1">Model!$F$16+RAND()*(Model!$G$16-Model!$F$16)</f>
        <v>47.640166032639073</v>
      </c>
      <c r="E725" s="33">
        <f>Model!$D$17</f>
        <v>800</v>
      </c>
      <c r="G725" s="36">
        <f t="shared" ca="1" si="13"/>
        <v>-406.79789704781547</v>
      </c>
    </row>
    <row r="726" spans="1:7" x14ac:dyDescent="0.2">
      <c r="A726" s="6">
        <f ca="1">Model!$F$13+RAND()*(Model!$G$13-Model!$F$13)</f>
        <v>1671.2998621415197</v>
      </c>
      <c r="B726" s="31">
        <f ca="1">Model!$F$14+RAND()*(Model!$G$14-Model!$F$14)</f>
        <v>0.65660013239630488</v>
      </c>
      <c r="C726" s="32">
        <f ca="1">Model!$F$15+RAND()*(Model!$G$15-Model!$F$15)</f>
        <v>2.7743520238074505E-2</v>
      </c>
      <c r="D726" s="33">
        <f ca="1">Model!$F$16+RAND()*(Model!$G$16-Model!$F$16)</f>
        <v>48.123120422632319</v>
      </c>
      <c r="E726" s="33">
        <f>Model!$D$17</f>
        <v>800</v>
      </c>
      <c r="G726" s="36">
        <f t="shared" ca="1" si="13"/>
        <v>333.9846995422879</v>
      </c>
    </row>
    <row r="727" spans="1:7" x14ac:dyDescent="0.2">
      <c r="A727" s="6">
        <f ca="1">Model!$F$13+RAND()*(Model!$G$13-Model!$F$13)</f>
        <v>1453.3620407247786</v>
      </c>
      <c r="B727" s="31">
        <f ca="1">Model!$F$14+RAND()*(Model!$G$14-Model!$F$14)</f>
        <v>0.60894315008802435</v>
      </c>
      <c r="C727" s="32">
        <f ca="1">Model!$F$15+RAND()*(Model!$G$15-Model!$F$15)</f>
        <v>1.0140511616977092E-2</v>
      </c>
      <c r="D727" s="33">
        <f ca="1">Model!$F$16+RAND()*(Model!$G$16-Model!$F$16)</f>
        <v>51.36079750999221</v>
      </c>
      <c r="E727" s="33">
        <f>Model!$D$17</f>
        <v>800</v>
      </c>
      <c r="G727" s="36">
        <f t="shared" ca="1" si="13"/>
        <v>-928.06791771035091</v>
      </c>
    </row>
    <row r="728" spans="1:7" x14ac:dyDescent="0.2">
      <c r="A728" s="6">
        <f ca="1">Model!$F$13+RAND()*(Model!$G$13-Model!$F$13)</f>
        <v>1380.8405086442717</v>
      </c>
      <c r="B728" s="31">
        <f ca="1">Model!$F$14+RAND()*(Model!$G$14-Model!$F$14)</f>
        <v>0.44325801691548905</v>
      </c>
      <c r="C728" s="32">
        <f ca="1">Model!$F$15+RAND()*(Model!$G$15-Model!$F$15)</f>
        <v>1.3933084855004982E-2</v>
      </c>
      <c r="D728" s="33">
        <f ca="1">Model!$F$16+RAND()*(Model!$G$16-Model!$F$16)</f>
        <v>49.871698997060108</v>
      </c>
      <c r="E728" s="33">
        <f>Model!$D$17</f>
        <v>800</v>
      </c>
      <c r="G728" s="36">
        <f t="shared" ca="1" si="13"/>
        <v>-452.56865683731996</v>
      </c>
    </row>
    <row r="729" spans="1:7" x14ac:dyDescent="0.2">
      <c r="A729" s="6">
        <f ca="1">Model!$F$13+RAND()*(Model!$G$13-Model!$F$13)</f>
        <v>1599.7913535317575</v>
      </c>
      <c r="B729" s="31">
        <f ca="1">Model!$F$14+RAND()*(Model!$G$14-Model!$F$14)</f>
        <v>0.60674221090292768</v>
      </c>
      <c r="C729" s="32">
        <f ca="1">Model!$F$15+RAND()*(Model!$G$15-Model!$F$15)</f>
        <v>1.4283054219562174E-2</v>
      </c>
      <c r="D729" s="33">
        <f ca="1">Model!$F$16+RAND()*(Model!$G$16-Model!$F$16)</f>
        <v>49.848526706295949</v>
      </c>
      <c r="E729" s="33">
        <f>Model!$D$17</f>
        <v>800</v>
      </c>
      <c r="G729" s="36">
        <f t="shared" ca="1" si="13"/>
        <v>-631.62676132117008</v>
      </c>
    </row>
    <row r="730" spans="1:7" x14ac:dyDescent="0.2">
      <c r="A730" s="6">
        <f ca="1">Model!$F$13+RAND()*(Model!$G$13-Model!$F$13)</f>
        <v>1299.8886822857546</v>
      </c>
      <c r="B730" s="31">
        <f ca="1">Model!$F$14+RAND()*(Model!$G$14-Model!$F$14)</f>
        <v>0.61330434387100108</v>
      </c>
      <c r="C730" s="32">
        <f ca="1">Model!$F$15+RAND()*(Model!$G$15-Model!$F$15)</f>
        <v>3.8694958614324246E-2</v>
      </c>
      <c r="D730" s="33">
        <f ca="1">Model!$F$16+RAND()*(Model!$G$16-Model!$F$16)</f>
        <v>48.574829496335894</v>
      </c>
      <c r="E730" s="33">
        <f>Model!$D$17</f>
        <v>800</v>
      </c>
      <c r="G730" s="36">
        <f t="shared" ca="1" si="13"/>
        <v>846.04471389262903</v>
      </c>
    </row>
    <row r="731" spans="1:7" x14ac:dyDescent="0.2">
      <c r="A731" s="6">
        <f ca="1">Model!$F$13+RAND()*(Model!$G$13-Model!$F$13)</f>
        <v>1662.5669877998589</v>
      </c>
      <c r="B731" s="31">
        <f ca="1">Model!$F$14+RAND()*(Model!$G$14-Model!$F$14)</f>
        <v>0.20142092109942586</v>
      </c>
      <c r="C731" s="32">
        <f ca="1">Model!$F$15+RAND()*(Model!$G$15-Model!$F$15)</f>
        <v>2.7226990180788335E-2</v>
      </c>
      <c r="D731" s="33">
        <f ca="1">Model!$F$16+RAND()*(Model!$G$16-Model!$F$16)</f>
        <v>48.610932559442702</v>
      </c>
      <c r="E731" s="33">
        <f>Model!$D$17</f>
        <v>800</v>
      </c>
      <c r="G731" s="36">
        <f t="shared" ca="1" si="13"/>
        <v>1065.5804862763405</v>
      </c>
    </row>
    <row r="732" spans="1:7" x14ac:dyDescent="0.2">
      <c r="A732" s="6">
        <f ca="1">Model!$F$13+RAND()*(Model!$G$13-Model!$F$13)</f>
        <v>1415.5804581618406</v>
      </c>
      <c r="B732" s="31">
        <f ca="1">Model!$F$14+RAND()*(Model!$G$14-Model!$F$14)</f>
        <v>0.72679049677678442</v>
      </c>
      <c r="C732" s="32">
        <f ca="1">Model!$F$15+RAND()*(Model!$G$15-Model!$F$15)</f>
        <v>2.1180098372779919E-2</v>
      </c>
      <c r="D732" s="33">
        <f ca="1">Model!$F$16+RAND()*(Model!$G$16-Model!$F$16)</f>
        <v>52.07062069952719</v>
      </c>
      <c r="E732" s="33">
        <f>Model!$D$17</f>
        <v>800</v>
      </c>
      <c r="G732" s="36">
        <f t="shared" ca="1" si="13"/>
        <v>-267.64213054432275</v>
      </c>
    </row>
    <row r="733" spans="1:7" x14ac:dyDescent="0.2">
      <c r="A733" s="6">
        <f ca="1">Model!$F$13+RAND()*(Model!$G$13-Model!$F$13)</f>
        <v>1233.312313271219</v>
      </c>
      <c r="B733" s="31">
        <f ca="1">Model!$F$14+RAND()*(Model!$G$14-Model!$F$14)</f>
        <v>0.69291896516784179</v>
      </c>
      <c r="C733" s="32">
        <f ca="1">Model!$F$15+RAND()*(Model!$G$15-Model!$F$15)</f>
        <v>4.4656525854385169E-2</v>
      </c>
      <c r="D733" s="33">
        <f ca="1">Model!$F$16+RAND()*(Model!$G$16-Model!$F$16)</f>
        <v>47.512844981023164</v>
      </c>
      <c r="E733" s="33">
        <f>Model!$D$17</f>
        <v>800</v>
      </c>
      <c r="G733" s="36">
        <f t="shared" ca="1" si="13"/>
        <v>962.20550337821805</v>
      </c>
    </row>
    <row r="734" spans="1:7" x14ac:dyDescent="0.2">
      <c r="A734" s="6">
        <f ca="1">Model!$F$13+RAND()*(Model!$G$13-Model!$F$13)</f>
        <v>1542.932778376341</v>
      </c>
      <c r="B734" s="31">
        <f ca="1">Model!$F$14+RAND()*(Model!$G$14-Model!$F$14)</f>
        <v>0.25727179918734</v>
      </c>
      <c r="C734" s="32">
        <f ca="1">Model!$F$15+RAND()*(Model!$G$15-Model!$F$15)</f>
        <v>3.4968239708318145E-2</v>
      </c>
      <c r="D734" s="33">
        <f ca="1">Model!$F$16+RAND()*(Model!$G$16-Model!$F$16)</f>
        <v>48.402454579528438</v>
      </c>
      <c r="E734" s="33">
        <f>Model!$D$17</f>
        <v>800</v>
      </c>
      <c r="G734" s="36">
        <f t="shared" ca="1" si="13"/>
        <v>1414.5356747975227</v>
      </c>
    </row>
    <row r="735" spans="1:7" x14ac:dyDescent="0.2">
      <c r="A735" s="6">
        <f ca="1">Model!$F$13+RAND()*(Model!$G$13-Model!$F$13)</f>
        <v>1555.5940720442948</v>
      </c>
      <c r="B735" s="31">
        <f ca="1">Model!$F$14+RAND()*(Model!$G$14-Model!$F$14)</f>
        <v>0.27960737887318776</v>
      </c>
      <c r="C735" s="32">
        <f ca="1">Model!$F$15+RAND()*(Model!$G$15-Model!$F$15)</f>
        <v>3.1745965265485357E-2</v>
      </c>
      <c r="D735" s="33">
        <f ca="1">Model!$F$16+RAND()*(Model!$G$16-Model!$F$16)</f>
        <v>52.254855355271943</v>
      </c>
      <c r="E735" s="33">
        <f>Model!$D$17</f>
        <v>800</v>
      </c>
      <c r="G735" s="36">
        <f t="shared" ca="1" si="13"/>
        <v>1345.5895935073388</v>
      </c>
    </row>
    <row r="736" spans="1:7" x14ac:dyDescent="0.2">
      <c r="A736" s="6">
        <f ca="1">Model!$F$13+RAND()*(Model!$G$13-Model!$F$13)</f>
        <v>1778.0777667736131</v>
      </c>
      <c r="B736" s="31">
        <f ca="1">Model!$F$14+RAND()*(Model!$G$14-Model!$F$14)</f>
        <v>0.62086804198968726</v>
      </c>
      <c r="C736" s="32">
        <f ca="1">Model!$F$15+RAND()*(Model!$G$15-Model!$F$15)</f>
        <v>4.7817525652824516E-2</v>
      </c>
      <c r="D736" s="33">
        <f ca="1">Model!$F$16+RAND()*(Model!$G$16-Model!$F$16)</f>
        <v>47.568865671553709</v>
      </c>
      <c r="E736" s="33">
        <f>Model!$D$17</f>
        <v>800</v>
      </c>
      <c r="G736" s="36">
        <f t="shared" ca="1" si="13"/>
        <v>2140.5092868666006</v>
      </c>
    </row>
    <row r="737" spans="1:7" x14ac:dyDescent="0.2">
      <c r="A737" s="6">
        <f ca="1">Model!$F$13+RAND()*(Model!$G$13-Model!$F$13)</f>
        <v>1618.1615775928069</v>
      </c>
      <c r="B737" s="31">
        <f ca="1">Model!$F$14+RAND()*(Model!$G$14-Model!$F$14)</f>
        <v>0.42606972154823508</v>
      </c>
      <c r="C737" s="32">
        <f ca="1">Model!$F$15+RAND()*(Model!$G$15-Model!$F$15)</f>
        <v>3.706371454027961E-2</v>
      </c>
      <c r="D737" s="33">
        <f ca="1">Model!$F$16+RAND()*(Model!$G$16-Model!$F$16)</f>
        <v>49.96377560792353</v>
      </c>
      <c r="E737" s="33">
        <f>Model!$D$17</f>
        <v>800</v>
      </c>
      <c r="G737" s="36">
        <f t="shared" ca="1" si="13"/>
        <v>1507.1317260434189</v>
      </c>
    </row>
    <row r="738" spans="1:7" x14ac:dyDescent="0.2">
      <c r="A738" s="6">
        <f ca="1">Model!$F$13+RAND()*(Model!$G$13-Model!$F$13)</f>
        <v>1584.1153637301736</v>
      </c>
      <c r="B738" s="31">
        <f ca="1">Model!$F$14+RAND()*(Model!$G$14-Model!$F$14)</f>
        <v>0.31368919798334899</v>
      </c>
      <c r="C738" s="32">
        <f ca="1">Model!$F$15+RAND()*(Model!$G$15-Model!$F$15)</f>
        <v>2.5900363212840199E-2</v>
      </c>
      <c r="D738" s="33">
        <f ca="1">Model!$F$16+RAND()*(Model!$G$16-Model!$F$16)</f>
        <v>49.680185814403551</v>
      </c>
      <c r="E738" s="33">
        <f>Model!$D$17</f>
        <v>800</v>
      </c>
      <c r="G738" s="36">
        <f t="shared" ca="1" si="13"/>
        <v>741.41657817715554</v>
      </c>
    </row>
    <row r="739" spans="1:7" x14ac:dyDescent="0.2">
      <c r="A739" s="6">
        <f ca="1">Model!$F$13+RAND()*(Model!$G$13-Model!$F$13)</f>
        <v>1246.4158217166751</v>
      </c>
      <c r="B739" s="31">
        <f ca="1">Model!$F$14+RAND()*(Model!$G$14-Model!$F$14)</f>
        <v>0.43348912104939613</v>
      </c>
      <c r="C739" s="32">
        <f ca="1">Model!$F$15+RAND()*(Model!$G$15-Model!$F$15)</f>
        <v>3.0116522766844581E-2</v>
      </c>
      <c r="D739" s="33">
        <f ca="1">Model!$F$16+RAND()*(Model!$G$16-Model!$F$16)</f>
        <v>47.441248526679914</v>
      </c>
      <c r="E739" s="33">
        <f>Model!$D$17</f>
        <v>800</v>
      </c>
      <c r="G739" s="36">
        <f t="shared" ca="1" si="13"/>
        <v>440.52815259176668</v>
      </c>
    </row>
    <row r="740" spans="1:7" x14ac:dyDescent="0.2">
      <c r="A740" s="6">
        <f ca="1">Model!$F$13+RAND()*(Model!$G$13-Model!$F$13)</f>
        <v>1603.1207781889907</v>
      </c>
      <c r="B740" s="31">
        <f ca="1">Model!$F$14+RAND()*(Model!$G$14-Model!$F$14)</f>
        <v>0.47733125717816322</v>
      </c>
      <c r="C740" s="32">
        <f ca="1">Model!$F$15+RAND()*(Model!$G$15-Model!$F$15)</f>
        <v>3.0542934898890872E-2</v>
      </c>
      <c r="D740" s="33">
        <f ca="1">Model!$F$16+RAND()*(Model!$G$16-Model!$F$16)</f>
        <v>49.048931054597105</v>
      </c>
      <c r="E740" s="33">
        <f>Model!$D$17</f>
        <v>800</v>
      </c>
      <c r="G740" s="36">
        <f t="shared" ca="1" si="13"/>
        <v>836.41286896056727</v>
      </c>
    </row>
    <row r="741" spans="1:7" x14ac:dyDescent="0.2">
      <c r="A741" s="6">
        <f ca="1">Model!$F$13+RAND()*(Model!$G$13-Model!$F$13)</f>
        <v>1370.5794590302892</v>
      </c>
      <c r="B741" s="31">
        <f ca="1">Model!$F$14+RAND()*(Model!$G$14-Model!$F$14)</f>
        <v>0.75789488912831482</v>
      </c>
      <c r="C741" s="32">
        <f ca="1">Model!$F$15+RAND()*(Model!$G$15-Model!$F$15)</f>
        <v>4.5441370232645321E-2</v>
      </c>
      <c r="D741" s="33">
        <f ca="1">Model!$F$16+RAND()*(Model!$G$16-Model!$F$16)</f>
        <v>47.467474678915188</v>
      </c>
      <c r="E741" s="33">
        <f>Model!$D$17</f>
        <v>800</v>
      </c>
      <c r="G741" s="36">
        <f t="shared" ca="1" si="13"/>
        <v>1117.5670330285529</v>
      </c>
    </row>
    <row r="742" spans="1:7" x14ac:dyDescent="0.2">
      <c r="A742" s="6">
        <f ca="1">Model!$F$13+RAND()*(Model!$G$13-Model!$F$13)</f>
        <v>1640.8238906377692</v>
      </c>
      <c r="B742" s="31">
        <f ca="1">Model!$F$14+RAND()*(Model!$G$14-Model!$F$14)</f>
        <v>0.77689056236316945</v>
      </c>
      <c r="C742" s="32">
        <f ca="1">Model!$F$15+RAND()*(Model!$G$15-Model!$F$15)</f>
        <v>3.1160870395347137E-2</v>
      </c>
      <c r="D742" s="33">
        <f ca="1">Model!$F$16+RAND()*(Model!$G$16-Model!$F$16)</f>
        <v>50.526251850033937</v>
      </c>
      <c r="E742" s="33">
        <f>Model!$D$17</f>
        <v>800</v>
      </c>
      <c r="G742" s="36">
        <f t="shared" ca="1" si="13"/>
        <v>508.64142903201764</v>
      </c>
    </row>
    <row r="743" spans="1:7" x14ac:dyDescent="0.2">
      <c r="A743" s="6">
        <f ca="1">Model!$F$13+RAND()*(Model!$G$13-Model!$F$13)</f>
        <v>1275.1683320873415</v>
      </c>
      <c r="B743" s="31">
        <f ca="1">Model!$F$14+RAND()*(Model!$G$14-Model!$F$14)</f>
        <v>0.54438900932217793</v>
      </c>
      <c r="C743" s="32">
        <f ca="1">Model!$F$15+RAND()*(Model!$G$15-Model!$F$15)</f>
        <v>4.2155817201443214E-2</v>
      </c>
      <c r="D743" s="33">
        <f ca="1">Model!$F$16+RAND()*(Model!$G$16-Model!$F$16)</f>
        <v>51.284858196046947</v>
      </c>
      <c r="E743" s="33">
        <f>Model!$D$17</f>
        <v>800</v>
      </c>
      <c r="G743" s="36">
        <f t="shared" ca="1" si="13"/>
        <v>1262.6690632178882</v>
      </c>
    </row>
    <row r="744" spans="1:7" x14ac:dyDescent="0.2">
      <c r="A744" s="6">
        <f ca="1">Model!$F$13+RAND()*(Model!$G$13-Model!$F$13)</f>
        <v>1709.6476619647544</v>
      </c>
      <c r="B744" s="31">
        <f ca="1">Model!$F$14+RAND()*(Model!$G$14-Model!$F$14)</f>
        <v>0.34451185993229239</v>
      </c>
      <c r="C744" s="32">
        <f ca="1">Model!$F$15+RAND()*(Model!$G$15-Model!$F$15)</f>
        <v>2.4632405104836535E-2</v>
      </c>
      <c r="D744" s="33">
        <f ca="1">Model!$F$16+RAND()*(Model!$G$16-Model!$F$16)</f>
        <v>50.461567786686267</v>
      </c>
      <c r="E744" s="33">
        <f>Model!$D$17</f>
        <v>800</v>
      </c>
      <c r="G744" s="36">
        <f t="shared" ca="1" si="13"/>
        <v>736.08067527980256</v>
      </c>
    </row>
    <row r="745" spans="1:7" x14ac:dyDescent="0.2">
      <c r="A745" s="6">
        <f ca="1">Model!$F$13+RAND()*(Model!$G$13-Model!$F$13)</f>
        <v>1222.711643881493</v>
      </c>
      <c r="B745" s="31">
        <f ca="1">Model!$F$14+RAND()*(Model!$G$14-Model!$F$14)</f>
        <v>0.49283871340524166</v>
      </c>
      <c r="C745" s="32">
        <f ca="1">Model!$F$15+RAND()*(Model!$G$15-Model!$F$15)</f>
        <v>4.8451940992290297E-2</v>
      </c>
      <c r="D745" s="33">
        <f ca="1">Model!$F$16+RAND()*(Model!$G$16-Model!$F$16)</f>
        <v>50.929550231918242</v>
      </c>
      <c r="E745" s="33">
        <f>Model!$D$17</f>
        <v>800</v>
      </c>
      <c r="G745" s="36">
        <f t="shared" ca="1" si="13"/>
        <v>1614.6071018118782</v>
      </c>
    </row>
    <row r="746" spans="1:7" x14ac:dyDescent="0.2">
      <c r="A746" s="6">
        <f ca="1">Model!$F$13+RAND()*(Model!$G$13-Model!$F$13)</f>
        <v>1483.8124041422825</v>
      </c>
      <c r="B746" s="31">
        <f ca="1">Model!$F$14+RAND()*(Model!$G$14-Model!$F$14)</f>
        <v>0.29763285086479691</v>
      </c>
      <c r="C746" s="32">
        <f ca="1">Model!$F$15+RAND()*(Model!$G$15-Model!$F$15)</f>
        <v>1.4351792466742386E-2</v>
      </c>
      <c r="D746" s="33">
        <f ca="1">Model!$F$16+RAND()*(Model!$G$16-Model!$F$16)</f>
        <v>52.293277627026512</v>
      </c>
      <c r="E746" s="33">
        <f>Model!$D$17</f>
        <v>800</v>
      </c>
      <c r="G746" s="36">
        <f t="shared" ca="1" si="13"/>
        <v>-128.0267415333833</v>
      </c>
    </row>
    <row r="747" spans="1:7" x14ac:dyDescent="0.2">
      <c r="A747" s="6">
        <f ca="1">Model!$F$13+RAND()*(Model!$G$13-Model!$F$13)</f>
        <v>1239.4537876629568</v>
      </c>
      <c r="B747" s="31">
        <f ca="1">Model!$F$14+RAND()*(Model!$G$14-Model!$F$14)</f>
        <v>0.35885369262729294</v>
      </c>
      <c r="C747" s="32">
        <f ca="1">Model!$F$15+RAND()*(Model!$G$15-Model!$F$15)</f>
        <v>1.8298433387712178E-2</v>
      </c>
      <c r="D747" s="33">
        <f ca="1">Model!$F$16+RAND()*(Model!$G$16-Model!$F$16)</f>
        <v>49.751005286642638</v>
      </c>
      <c r="E747" s="33">
        <f>Model!$D$17</f>
        <v>800</v>
      </c>
      <c r="G747" s="36">
        <f t="shared" ca="1" si="13"/>
        <v>-116.42665568754637</v>
      </c>
    </row>
    <row r="748" spans="1:7" x14ac:dyDescent="0.2">
      <c r="A748" s="6">
        <f ca="1">Model!$F$13+RAND()*(Model!$G$13-Model!$F$13)</f>
        <v>1790.4377129422639</v>
      </c>
      <c r="B748" s="31">
        <f ca="1">Model!$F$14+RAND()*(Model!$G$14-Model!$F$14)</f>
        <v>0.73566633745224563</v>
      </c>
      <c r="C748" s="32">
        <f ca="1">Model!$F$15+RAND()*(Model!$G$15-Model!$F$15)</f>
        <v>2.9829375852858317E-2</v>
      </c>
      <c r="D748" s="33">
        <f ca="1">Model!$F$16+RAND()*(Model!$G$16-Model!$F$16)</f>
        <v>50.886615738159861</v>
      </c>
      <c r="E748" s="33">
        <f>Model!$D$17</f>
        <v>800</v>
      </c>
      <c r="G748" s="36">
        <f t="shared" ca="1" si="13"/>
        <v>600.56927300909911</v>
      </c>
    </row>
    <row r="749" spans="1:7" x14ac:dyDescent="0.2">
      <c r="A749" s="6">
        <f ca="1">Model!$F$13+RAND()*(Model!$G$13-Model!$F$13)</f>
        <v>1625.7013046561763</v>
      </c>
      <c r="B749" s="31">
        <f ca="1">Model!$F$14+RAND()*(Model!$G$14-Model!$F$14)</f>
        <v>0.66068484972783303</v>
      </c>
      <c r="C749" s="32">
        <f ca="1">Model!$F$15+RAND()*(Model!$G$15-Model!$F$15)</f>
        <v>2.2297199424349205E-2</v>
      </c>
      <c r="D749" s="33">
        <f ca="1">Model!$F$16+RAND()*(Model!$G$16-Model!$F$16)</f>
        <v>51.746291822372413</v>
      </c>
      <c r="E749" s="33">
        <f>Model!$D$17</f>
        <v>800</v>
      </c>
      <c r="G749" s="36">
        <f t="shared" ca="1" si="13"/>
        <v>1.6536971918078507</v>
      </c>
    </row>
    <row r="750" spans="1:7" x14ac:dyDescent="0.2">
      <c r="A750" s="6">
        <f ca="1">Model!$F$13+RAND()*(Model!$G$13-Model!$F$13)</f>
        <v>1324.3286795234362</v>
      </c>
      <c r="B750" s="31">
        <f ca="1">Model!$F$14+RAND()*(Model!$G$14-Model!$F$14)</f>
        <v>0.59133871637777058</v>
      </c>
      <c r="C750" s="32">
        <f ca="1">Model!$F$15+RAND()*(Model!$G$15-Model!$F$15)</f>
        <v>4.5374083736936889E-2</v>
      </c>
      <c r="D750" s="33">
        <f ca="1">Model!$F$16+RAND()*(Model!$G$16-Model!$F$16)</f>
        <v>52.037897310450226</v>
      </c>
      <c r="E750" s="33">
        <f>Model!$D$17</f>
        <v>800</v>
      </c>
      <c r="G750" s="36">
        <f t="shared" ca="1" si="13"/>
        <v>1543.840856363935</v>
      </c>
    </row>
    <row r="751" spans="1:7" x14ac:dyDescent="0.2">
      <c r="A751" s="6">
        <f ca="1">Model!$F$13+RAND()*(Model!$G$13-Model!$F$13)</f>
        <v>1272.9568319256657</v>
      </c>
      <c r="B751" s="31">
        <f ca="1">Model!$F$14+RAND()*(Model!$G$14-Model!$F$14)</f>
        <v>0.4347668267319667</v>
      </c>
      <c r="C751" s="32">
        <f ca="1">Model!$F$15+RAND()*(Model!$G$15-Model!$F$15)</f>
        <v>1.3858718341809415E-2</v>
      </c>
      <c r="D751" s="33">
        <f ca="1">Model!$F$16+RAND()*(Model!$G$16-Model!$F$16)</f>
        <v>49.882702306333002</v>
      </c>
      <c r="E751" s="33">
        <f>Model!$D$17</f>
        <v>800</v>
      </c>
      <c r="G751" s="36">
        <f t="shared" ca="1" si="13"/>
        <v>-473.43120578668481</v>
      </c>
    </row>
    <row r="752" spans="1:7" x14ac:dyDescent="0.2">
      <c r="A752" s="6">
        <f ca="1">Model!$F$13+RAND()*(Model!$G$13-Model!$F$13)</f>
        <v>1642.1039752539068</v>
      </c>
      <c r="B752" s="31">
        <f ca="1">Model!$F$14+RAND()*(Model!$G$14-Model!$F$14)</f>
        <v>0.48216340371960853</v>
      </c>
      <c r="C752" s="32">
        <f ca="1">Model!$F$15+RAND()*(Model!$G$15-Model!$F$15)</f>
        <v>2.7605668640505614E-2</v>
      </c>
      <c r="D752" s="33">
        <f ca="1">Model!$F$16+RAND()*(Model!$G$16-Model!$F$16)</f>
        <v>51.124414181371165</v>
      </c>
      <c r="E752" s="33">
        <f>Model!$D$17</f>
        <v>800</v>
      </c>
      <c r="G752" s="36">
        <f t="shared" ca="1" si="13"/>
        <v>725.77771326094808</v>
      </c>
    </row>
    <row r="753" spans="1:7" x14ac:dyDescent="0.2">
      <c r="A753" s="6">
        <f ca="1">Model!$F$13+RAND()*(Model!$G$13-Model!$F$13)</f>
        <v>1207.2909990237631</v>
      </c>
      <c r="B753" s="31">
        <f ca="1">Model!$F$14+RAND()*(Model!$G$14-Model!$F$14)</f>
        <v>0.45336321496913223</v>
      </c>
      <c r="C753" s="32">
        <f ca="1">Model!$F$15+RAND()*(Model!$G$15-Model!$F$15)</f>
        <v>1.932725035698616E-2</v>
      </c>
      <c r="D753" s="33">
        <f ca="1">Model!$F$16+RAND()*(Model!$G$16-Model!$F$16)</f>
        <v>47.094514434373764</v>
      </c>
      <c r="E753" s="33">
        <f>Model!$D$17</f>
        <v>800</v>
      </c>
      <c r="G753" s="36">
        <f t="shared" ca="1" si="13"/>
        <v>-248.45604184224567</v>
      </c>
    </row>
    <row r="754" spans="1:7" x14ac:dyDescent="0.2">
      <c r="A754" s="6">
        <f ca="1">Model!$F$13+RAND()*(Model!$G$13-Model!$F$13)</f>
        <v>1644.0832453983687</v>
      </c>
      <c r="B754" s="31">
        <f ca="1">Model!$F$14+RAND()*(Model!$G$14-Model!$F$14)</f>
        <v>0.61130994602108613</v>
      </c>
      <c r="C754" s="32">
        <f ca="1">Model!$F$15+RAND()*(Model!$G$15-Model!$F$15)</f>
        <v>2.9376015089579099E-2</v>
      </c>
      <c r="D754" s="33">
        <f ca="1">Model!$F$16+RAND()*(Model!$G$16-Model!$F$16)</f>
        <v>47.097511666471512</v>
      </c>
      <c r="E754" s="33">
        <f>Model!$D$17</f>
        <v>800</v>
      </c>
      <c r="G754" s="36">
        <f t="shared" ca="1" si="13"/>
        <v>469.60591193068944</v>
      </c>
    </row>
    <row r="755" spans="1:7" x14ac:dyDescent="0.2">
      <c r="A755" s="6">
        <f ca="1">Model!$F$13+RAND()*(Model!$G$13-Model!$F$13)</f>
        <v>1248.8259839411439</v>
      </c>
      <c r="B755" s="31">
        <f ca="1">Model!$F$14+RAND()*(Model!$G$14-Model!$F$14)</f>
        <v>0.27004546386726719</v>
      </c>
      <c r="C755" s="32">
        <f ca="1">Model!$F$15+RAND()*(Model!$G$15-Model!$F$15)</f>
        <v>2.8653104535083275E-2</v>
      </c>
      <c r="D755" s="33">
        <f ca="1">Model!$F$16+RAND()*(Model!$G$16-Model!$F$16)</f>
        <v>51.153738189855233</v>
      </c>
      <c r="E755" s="33">
        <f>Model!$D$17</f>
        <v>800</v>
      </c>
      <c r="G755" s="36">
        <f t="shared" ca="1" si="13"/>
        <v>693.18119644153444</v>
      </c>
    </row>
    <row r="756" spans="1:7" x14ac:dyDescent="0.2">
      <c r="A756" s="6">
        <f ca="1">Model!$F$13+RAND()*(Model!$G$13-Model!$F$13)</f>
        <v>1453.0692908611109</v>
      </c>
      <c r="B756" s="31">
        <f ca="1">Model!$F$14+RAND()*(Model!$G$14-Model!$F$14)</f>
        <v>0.73733919200062936</v>
      </c>
      <c r="C756" s="32">
        <f ca="1">Model!$F$15+RAND()*(Model!$G$15-Model!$F$15)</f>
        <v>4.3980765223825498E-2</v>
      </c>
      <c r="D756" s="33">
        <f ca="1">Model!$F$16+RAND()*(Model!$G$16-Model!$F$16)</f>
        <v>52.144218308089293</v>
      </c>
      <c r="E756" s="33">
        <f>Model!$D$17</f>
        <v>800</v>
      </c>
      <c r="G756" s="36">
        <f t="shared" ca="1" si="13"/>
        <v>1460.9808023328565</v>
      </c>
    </row>
    <row r="757" spans="1:7" x14ac:dyDescent="0.2">
      <c r="A757" s="6">
        <f ca="1">Model!$F$13+RAND()*(Model!$G$13-Model!$F$13)</f>
        <v>1296.7345637022186</v>
      </c>
      <c r="B757" s="31">
        <f ca="1">Model!$F$14+RAND()*(Model!$G$14-Model!$F$14)</f>
        <v>0.24487556992061368</v>
      </c>
      <c r="C757" s="32">
        <f ca="1">Model!$F$15+RAND()*(Model!$G$15-Model!$F$15)</f>
        <v>1.1308712699180519E-2</v>
      </c>
      <c r="D757" s="33">
        <f ca="1">Model!$F$16+RAND()*(Model!$G$16-Model!$F$16)</f>
        <v>47.927727137557191</v>
      </c>
      <c r="E757" s="33">
        <f>Model!$D$17</f>
        <v>800</v>
      </c>
      <c r="G757" s="36">
        <f t="shared" ca="1" si="13"/>
        <v>-414.70731924291931</v>
      </c>
    </row>
    <row r="758" spans="1:7" x14ac:dyDescent="0.2">
      <c r="A758" s="6">
        <f ca="1">Model!$F$13+RAND()*(Model!$G$13-Model!$F$13)</f>
        <v>1320.9920688464297</v>
      </c>
      <c r="B758" s="31">
        <f ca="1">Model!$F$14+RAND()*(Model!$G$14-Model!$F$14)</f>
        <v>0.41403652922647433</v>
      </c>
      <c r="C758" s="32">
        <f ca="1">Model!$F$15+RAND()*(Model!$G$15-Model!$F$15)</f>
        <v>4.5013584329847471E-2</v>
      </c>
      <c r="D758" s="33">
        <f ca="1">Model!$F$16+RAND()*(Model!$G$16-Model!$F$16)</f>
        <v>47.341897967928581</v>
      </c>
      <c r="E758" s="33">
        <f>Model!$D$17</f>
        <v>800</v>
      </c>
      <c r="G758" s="36">
        <f t="shared" ca="1" si="13"/>
        <v>1468.1327974802034</v>
      </c>
    </row>
    <row r="759" spans="1:7" x14ac:dyDescent="0.2">
      <c r="A759" s="6">
        <f ca="1">Model!$F$13+RAND()*(Model!$G$13-Model!$F$13)</f>
        <v>1645.3645188748631</v>
      </c>
      <c r="B759" s="31">
        <f ca="1">Model!$F$14+RAND()*(Model!$G$14-Model!$F$14)</f>
        <v>0.45364923457543954</v>
      </c>
      <c r="C759" s="32">
        <f ca="1">Model!$F$15+RAND()*(Model!$G$15-Model!$F$15)</f>
        <v>4.7568802352728153E-2</v>
      </c>
      <c r="D759" s="33">
        <f ca="1">Model!$F$16+RAND()*(Model!$G$16-Model!$F$16)</f>
        <v>50.618684864196595</v>
      </c>
      <c r="E759" s="33">
        <f>Model!$D$17</f>
        <v>800</v>
      </c>
      <c r="G759" s="36">
        <f t="shared" ca="1" si="13"/>
        <v>2415.4058643173603</v>
      </c>
    </row>
    <row r="760" spans="1:7" x14ac:dyDescent="0.2">
      <c r="A760" s="6">
        <f ca="1">Model!$F$13+RAND()*(Model!$G$13-Model!$F$13)</f>
        <v>1503.150076906383</v>
      </c>
      <c r="B760" s="31">
        <f ca="1">Model!$F$14+RAND()*(Model!$G$14-Model!$F$14)</f>
        <v>0.75890827886933354</v>
      </c>
      <c r="C760" s="32">
        <f ca="1">Model!$F$15+RAND()*(Model!$G$15-Model!$F$15)</f>
        <v>3.8690570342089989E-2</v>
      </c>
      <c r="D760" s="33">
        <f ca="1">Model!$F$16+RAND()*(Model!$G$16-Model!$F$16)</f>
        <v>51.659094420157629</v>
      </c>
      <c r="E760" s="33">
        <f>Model!$D$17</f>
        <v>800</v>
      </c>
      <c r="G760" s="36">
        <f t="shared" ca="1" si="13"/>
        <v>1063.6228231280352</v>
      </c>
    </row>
    <row r="761" spans="1:7" x14ac:dyDescent="0.2">
      <c r="A761" s="6">
        <f ca="1">Model!$F$13+RAND()*(Model!$G$13-Model!$F$13)</f>
        <v>1255.5583998382531</v>
      </c>
      <c r="B761" s="31">
        <f ca="1">Model!$F$14+RAND()*(Model!$G$14-Model!$F$14)</f>
        <v>0.71692307833894642</v>
      </c>
      <c r="C761" s="32">
        <f ca="1">Model!$F$15+RAND()*(Model!$G$15-Model!$F$15)</f>
        <v>2.8578635053331601E-2</v>
      </c>
      <c r="D761" s="33">
        <f ca="1">Model!$F$16+RAND()*(Model!$G$16-Model!$F$16)</f>
        <v>47.007503500916734</v>
      </c>
      <c r="E761" s="33">
        <f>Model!$D$17</f>
        <v>800</v>
      </c>
      <c r="G761" s="36">
        <f t="shared" ca="1" si="13"/>
        <v>-13.408722371476188</v>
      </c>
    </row>
    <row r="762" spans="1:7" x14ac:dyDescent="0.2">
      <c r="A762" s="6">
        <f ca="1">Model!$F$13+RAND()*(Model!$G$13-Model!$F$13)</f>
        <v>1539.4361298430942</v>
      </c>
      <c r="B762" s="31">
        <f ca="1">Model!$F$14+RAND()*(Model!$G$14-Model!$F$14)</f>
        <v>0.28915420658713864</v>
      </c>
      <c r="C762" s="32">
        <f ca="1">Model!$F$15+RAND()*(Model!$G$15-Model!$F$15)</f>
        <v>1.3277322868483972E-2</v>
      </c>
      <c r="D762" s="33">
        <f ca="1">Model!$F$16+RAND()*(Model!$G$16-Model!$F$16)</f>
        <v>48.722947192256477</v>
      </c>
      <c r="E762" s="33">
        <f>Model!$D$17</f>
        <v>800</v>
      </c>
      <c r="G762" s="36">
        <f t="shared" ca="1" si="13"/>
        <v>-249.2573426267171</v>
      </c>
    </row>
    <row r="763" spans="1:7" x14ac:dyDescent="0.2">
      <c r="A763" s="6">
        <f ca="1">Model!$F$13+RAND()*(Model!$G$13-Model!$F$13)</f>
        <v>1585.3340940619833</v>
      </c>
      <c r="B763" s="31">
        <f ca="1">Model!$F$14+RAND()*(Model!$G$14-Model!$F$14)</f>
        <v>0.55766212595501763</v>
      </c>
      <c r="C763" s="32">
        <f ca="1">Model!$F$15+RAND()*(Model!$G$15-Model!$F$15)</f>
        <v>3.8402892981135868E-2</v>
      </c>
      <c r="D763" s="33">
        <f ca="1">Model!$F$16+RAND()*(Model!$G$16-Model!$F$16)</f>
        <v>48.053735433613653</v>
      </c>
      <c r="E763" s="33">
        <f>Model!$D$17</f>
        <v>800</v>
      </c>
      <c r="G763" s="36">
        <f t="shared" ca="1" si="13"/>
        <v>1241.4986545934084</v>
      </c>
    </row>
    <row r="764" spans="1:7" x14ac:dyDescent="0.2">
      <c r="A764" s="6">
        <f ca="1">Model!$F$13+RAND()*(Model!$G$13-Model!$F$13)</f>
        <v>1777.0778133333838</v>
      </c>
      <c r="B764" s="31">
        <f ca="1">Model!$F$14+RAND()*(Model!$G$14-Model!$F$14)</f>
        <v>0.78843985692587348</v>
      </c>
      <c r="C764" s="32">
        <f ca="1">Model!$F$15+RAND()*(Model!$G$15-Model!$F$15)</f>
        <v>2.6642750885642705E-2</v>
      </c>
      <c r="D764" s="33">
        <f ca="1">Model!$F$16+RAND()*(Model!$G$16-Model!$F$16)</f>
        <v>48.110588398536358</v>
      </c>
      <c r="E764" s="33">
        <f>Model!$D$17</f>
        <v>800</v>
      </c>
      <c r="G764" s="36">
        <f t="shared" ca="1" si="13"/>
        <v>76.736559413942359</v>
      </c>
    </row>
    <row r="765" spans="1:7" x14ac:dyDescent="0.2">
      <c r="A765" s="6">
        <f ca="1">Model!$F$13+RAND()*(Model!$G$13-Model!$F$13)</f>
        <v>1661.739907290488</v>
      </c>
      <c r="B765" s="31">
        <f ca="1">Model!$F$14+RAND()*(Model!$G$14-Model!$F$14)</f>
        <v>0.31992273214568712</v>
      </c>
      <c r="C765" s="32">
        <f ca="1">Model!$F$15+RAND()*(Model!$G$15-Model!$F$15)</f>
        <v>2.0069928727784306E-2</v>
      </c>
      <c r="D765" s="33">
        <f ca="1">Model!$F$16+RAND()*(Model!$G$16-Model!$F$16)</f>
        <v>48.278782732051894</v>
      </c>
      <c r="E765" s="33">
        <f>Model!$D$17</f>
        <v>800</v>
      </c>
      <c r="G765" s="36">
        <f t="shared" ca="1" si="13"/>
        <v>278.51738422478024</v>
      </c>
    </row>
    <row r="766" spans="1:7" x14ac:dyDescent="0.2">
      <c r="A766" s="6">
        <f ca="1">Model!$F$13+RAND()*(Model!$G$13-Model!$F$13)</f>
        <v>1660.0690441426641</v>
      </c>
      <c r="B766" s="31">
        <f ca="1">Model!$F$14+RAND()*(Model!$G$14-Model!$F$14)</f>
        <v>0.72987914461632464</v>
      </c>
      <c r="C766" s="32">
        <f ca="1">Model!$F$15+RAND()*(Model!$G$15-Model!$F$15)</f>
        <v>3.2893912554659017E-2</v>
      </c>
      <c r="D766" s="33">
        <f ca="1">Model!$F$16+RAND()*(Model!$G$16-Model!$F$16)</f>
        <v>48.666280799067486</v>
      </c>
      <c r="E766" s="33">
        <f>Model!$D$17</f>
        <v>800</v>
      </c>
      <c r="G766" s="36">
        <f t="shared" ca="1" si="13"/>
        <v>645.82923264624014</v>
      </c>
    </row>
    <row r="767" spans="1:7" x14ac:dyDescent="0.2">
      <c r="A767" s="6">
        <f ca="1">Model!$F$13+RAND()*(Model!$G$13-Model!$F$13)</f>
        <v>1634.7372077402381</v>
      </c>
      <c r="B767" s="31">
        <f ca="1">Model!$F$14+RAND()*(Model!$G$14-Model!$F$14)</f>
        <v>0.24161044590596512</v>
      </c>
      <c r="C767" s="32">
        <f ca="1">Model!$F$15+RAND()*(Model!$G$15-Model!$F$15)</f>
        <v>2.3910611377660922E-2</v>
      </c>
      <c r="D767" s="33">
        <f ca="1">Model!$F$16+RAND()*(Model!$G$16-Model!$F$16)</f>
        <v>49.718361760996842</v>
      </c>
      <c r="E767" s="33">
        <f>Model!$D$17</f>
        <v>800</v>
      </c>
      <c r="G767" s="36">
        <f t="shared" ca="1" si="13"/>
        <v>748.40016496540284</v>
      </c>
    </row>
    <row r="768" spans="1:7" x14ac:dyDescent="0.2">
      <c r="A768" s="6">
        <f ca="1">Model!$F$13+RAND()*(Model!$G$13-Model!$F$13)</f>
        <v>1732.1748699534994</v>
      </c>
      <c r="B768" s="31">
        <f ca="1">Model!$F$14+RAND()*(Model!$G$14-Model!$F$14)</f>
        <v>0.43282065069132586</v>
      </c>
      <c r="C768" s="32">
        <f ca="1">Model!$F$15+RAND()*(Model!$G$15-Model!$F$15)</f>
        <v>1.9037323747366892E-2</v>
      </c>
      <c r="D768" s="33">
        <f ca="1">Model!$F$16+RAND()*(Model!$G$16-Model!$F$16)</f>
        <v>52.046728551604282</v>
      </c>
      <c r="E768" s="33">
        <f>Model!$D$17</f>
        <v>800</v>
      </c>
      <c r="G768" s="36">
        <f t="shared" ca="1" si="13"/>
        <v>166.57050205895234</v>
      </c>
    </row>
    <row r="769" spans="1:7" x14ac:dyDescent="0.2">
      <c r="A769" s="6">
        <f ca="1">Model!$F$13+RAND()*(Model!$G$13-Model!$F$13)</f>
        <v>1457.9740807017743</v>
      </c>
      <c r="B769" s="31">
        <f ca="1">Model!$F$14+RAND()*(Model!$G$14-Model!$F$14)</f>
        <v>0.59623757406851463</v>
      </c>
      <c r="C769" s="32">
        <f ca="1">Model!$F$15+RAND()*(Model!$G$15-Model!$F$15)</f>
        <v>1.0847345300795808E-2</v>
      </c>
      <c r="D769" s="33">
        <f ca="1">Model!$F$16+RAND()*(Model!$G$16-Model!$F$16)</f>
        <v>52.927755157560796</v>
      </c>
      <c r="E769" s="33">
        <f>Model!$D$17</f>
        <v>800</v>
      </c>
      <c r="G769" s="36">
        <f t="shared" ca="1" si="13"/>
        <v>-832.23863230090637</v>
      </c>
    </row>
    <row r="770" spans="1:7" x14ac:dyDescent="0.2">
      <c r="A770" s="6">
        <f ca="1">Model!$F$13+RAND()*(Model!$G$13-Model!$F$13)</f>
        <v>1453.5595421788285</v>
      </c>
      <c r="B770" s="31">
        <f ca="1">Model!$F$14+RAND()*(Model!$G$14-Model!$F$14)</f>
        <v>0.6639963302552071</v>
      </c>
      <c r="C770" s="32">
        <f ca="1">Model!$F$15+RAND()*(Model!$G$15-Model!$F$15)</f>
        <v>1.0801386781577644E-2</v>
      </c>
      <c r="D770" s="33">
        <f ca="1">Model!$F$16+RAND()*(Model!$G$16-Model!$F$16)</f>
        <v>47.00333568811218</v>
      </c>
      <c r="E770" s="33">
        <f>Model!$D$17</f>
        <v>800</v>
      </c>
      <c r="G770" s="36">
        <f t="shared" ca="1" si="13"/>
        <v>-1027.1842651993791</v>
      </c>
    </row>
    <row r="771" spans="1:7" x14ac:dyDescent="0.2">
      <c r="A771" s="6">
        <f ca="1">Model!$F$13+RAND()*(Model!$G$13-Model!$F$13)</f>
        <v>1408.6234921611137</v>
      </c>
      <c r="B771" s="31">
        <f ca="1">Model!$F$14+RAND()*(Model!$G$14-Model!$F$14)</f>
        <v>0.73137685919294704</v>
      </c>
      <c r="C771" s="32">
        <f ca="1">Model!$F$15+RAND()*(Model!$G$15-Model!$F$15)</f>
        <v>4.5385809151464174E-2</v>
      </c>
      <c r="D771" s="33">
        <f ca="1">Model!$F$16+RAND()*(Model!$G$16-Model!$F$16)</f>
        <v>49.462858642060972</v>
      </c>
      <c r="E771" s="33">
        <f>Model!$D$17</f>
        <v>800</v>
      </c>
      <c r="G771" s="36">
        <f t="shared" ref="G771:G834" ca="1" si="14">A771*C771*D771-(E771+A771*B771)</f>
        <v>1332.0009617459275</v>
      </c>
    </row>
    <row r="772" spans="1:7" x14ac:dyDescent="0.2">
      <c r="A772" s="6">
        <f ca="1">Model!$F$13+RAND()*(Model!$G$13-Model!$F$13)</f>
        <v>1213.246127572962</v>
      </c>
      <c r="B772" s="31">
        <f ca="1">Model!$F$14+RAND()*(Model!$G$14-Model!$F$14)</f>
        <v>0.28484027007518198</v>
      </c>
      <c r="C772" s="32">
        <f ca="1">Model!$F$15+RAND()*(Model!$G$15-Model!$F$15)</f>
        <v>4.2178464448713426E-2</v>
      </c>
      <c r="D772" s="33">
        <f ca="1">Model!$F$16+RAND()*(Model!$G$16-Model!$F$16)</f>
        <v>48.928851247816418</v>
      </c>
      <c r="E772" s="33">
        <f>Model!$D$17</f>
        <v>800</v>
      </c>
      <c r="G772" s="36">
        <f t="shared" ca="1" si="14"/>
        <v>1358.247834624563</v>
      </c>
    </row>
    <row r="773" spans="1:7" x14ac:dyDescent="0.2">
      <c r="A773" s="6">
        <f ca="1">Model!$F$13+RAND()*(Model!$G$13-Model!$F$13)</f>
        <v>1396.708057716756</v>
      </c>
      <c r="B773" s="31">
        <f ca="1">Model!$F$14+RAND()*(Model!$G$14-Model!$F$14)</f>
        <v>0.79748322190419785</v>
      </c>
      <c r="C773" s="32">
        <f ca="1">Model!$F$15+RAND()*(Model!$G$15-Model!$F$15)</f>
        <v>3.7715280893057999E-2</v>
      </c>
      <c r="D773" s="33">
        <f ca="1">Model!$F$16+RAND()*(Model!$G$16-Model!$F$16)</f>
        <v>47.293005159332758</v>
      </c>
      <c r="E773" s="33">
        <f>Model!$D$17</f>
        <v>800</v>
      </c>
      <c r="G773" s="36">
        <f t="shared" ca="1" si="14"/>
        <v>577.41358616363004</v>
      </c>
    </row>
    <row r="774" spans="1:7" x14ac:dyDescent="0.2">
      <c r="A774" s="6">
        <f ca="1">Model!$F$13+RAND()*(Model!$G$13-Model!$F$13)</f>
        <v>1650.0967049003564</v>
      </c>
      <c r="B774" s="31">
        <f ca="1">Model!$F$14+RAND()*(Model!$G$14-Model!$F$14)</f>
        <v>0.33856597299446212</v>
      </c>
      <c r="C774" s="32">
        <f ca="1">Model!$F$15+RAND()*(Model!$G$15-Model!$F$15)</f>
        <v>3.5949887887200827E-2</v>
      </c>
      <c r="D774" s="33">
        <f ca="1">Model!$F$16+RAND()*(Model!$G$16-Model!$F$16)</f>
        <v>47.313093719749823</v>
      </c>
      <c r="E774" s="33">
        <f>Model!$D$17</f>
        <v>800</v>
      </c>
      <c r="G774" s="36">
        <f t="shared" ca="1" si="14"/>
        <v>1447.9835734312787</v>
      </c>
    </row>
    <row r="775" spans="1:7" x14ac:dyDescent="0.2">
      <c r="A775" s="6">
        <f ca="1">Model!$F$13+RAND()*(Model!$G$13-Model!$F$13)</f>
        <v>1304.4138252508558</v>
      </c>
      <c r="B775" s="31">
        <f ca="1">Model!$F$14+RAND()*(Model!$G$14-Model!$F$14)</f>
        <v>0.62398016254052369</v>
      </c>
      <c r="C775" s="32">
        <f ca="1">Model!$F$15+RAND()*(Model!$G$15-Model!$F$15)</f>
        <v>4.0679387559509145E-2</v>
      </c>
      <c r="D775" s="33">
        <f ca="1">Model!$F$16+RAND()*(Model!$G$16-Model!$F$16)</f>
        <v>48.664646200908841</v>
      </c>
      <c r="E775" s="33">
        <f>Model!$D$17</f>
        <v>800</v>
      </c>
      <c r="G775" s="36">
        <f t="shared" ca="1" si="14"/>
        <v>968.35187387354449</v>
      </c>
    </row>
    <row r="776" spans="1:7" x14ac:dyDescent="0.2">
      <c r="A776" s="6">
        <f ca="1">Model!$F$13+RAND()*(Model!$G$13-Model!$F$13)</f>
        <v>1273.8365500857544</v>
      </c>
      <c r="B776" s="31">
        <f ca="1">Model!$F$14+RAND()*(Model!$G$14-Model!$F$14)</f>
        <v>0.51667290296814805</v>
      </c>
      <c r="C776" s="32">
        <f ca="1">Model!$F$15+RAND()*(Model!$G$15-Model!$F$15)</f>
        <v>4.3647995501849425E-2</v>
      </c>
      <c r="D776" s="33">
        <f ca="1">Model!$F$16+RAND()*(Model!$G$16-Model!$F$16)</f>
        <v>49.513874312462676</v>
      </c>
      <c r="E776" s="33">
        <f>Model!$D$17</f>
        <v>800</v>
      </c>
      <c r="G776" s="36">
        <f t="shared" ca="1" si="14"/>
        <v>1294.834983657121</v>
      </c>
    </row>
    <row r="777" spans="1:7" x14ac:dyDescent="0.2">
      <c r="A777" s="6">
        <f ca="1">Model!$F$13+RAND()*(Model!$G$13-Model!$F$13)</f>
        <v>1357.4041818359083</v>
      </c>
      <c r="B777" s="31">
        <f ca="1">Model!$F$14+RAND()*(Model!$G$14-Model!$F$14)</f>
        <v>0.26747639871530993</v>
      </c>
      <c r="C777" s="32">
        <f ca="1">Model!$F$15+RAND()*(Model!$G$15-Model!$F$15)</f>
        <v>1.0088213036099743E-2</v>
      </c>
      <c r="D777" s="33">
        <f ca="1">Model!$F$16+RAND()*(Model!$G$16-Model!$F$16)</f>
        <v>52.88243617321811</v>
      </c>
      <c r="E777" s="33">
        <f>Model!$D$17</f>
        <v>800</v>
      </c>
      <c r="G777" s="36">
        <f t="shared" ca="1" si="14"/>
        <v>-438.91299982970577</v>
      </c>
    </row>
    <row r="778" spans="1:7" x14ac:dyDescent="0.2">
      <c r="A778" s="6">
        <f ca="1">Model!$F$13+RAND()*(Model!$G$13-Model!$F$13)</f>
        <v>1454.2026394199429</v>
      </c>
      <c r="B778" s="31">
        <f ca="1">Model!$F$14+RAND()*(Model!$G$14-Model!$F$14)</f>
        <v>0.71401318840618444</v>
      </c>
      <c r="C778" s="32">
        <f ca="1">Model!$F$15+RAND()*(Model!$G$15-Model!$F$15)</f>
        <v>4.7834470321216835E-2</v>
      </c>
      <c r="D778" s="33">
        <f ca="1">Model!$F$16+RAND()*(Model!$G$16-Model!$F$16)</f>
        <v>51.047650936868706</v>
      </c>
      <c r="E778" s="33">
        <f>Model!$D$17</f>
        <v>800</v>
      </c>
      <c r="G778" s="36">
        <f t="shared" ca="1" si="14"/>
        <v>1712.6064470926815</v>
      </c>
    </row>
    <row r="779" spans="1:7" x14ac:dyDescent="0.2">
      <c r="A779" s="6">
        <f ca="1">Model!$F$13+RAND()*(Model!$G$13-Model!$F$13)</f>
        <v>1280.5011290506279</v>
      </c>
      <c r="B779" s="31">
        <f ca="1">Model!$F$14+RAND()*(Model!$G$14-Model!$F$14)</f>
        <v>0.38391561055642465</v>
      </c>
      <c r="C779" s="32">
        <f ca="1">Model!$F$15+RAND()*(Model!$G$15-Model!$F$15)</f>
        <v>4.3671712902970429E-2</v>
      </c>
      <c r="D779" s="33">
        <f ca="1">Model!$F$16+RAND()*(Model!$G$16-Model!$F$16)</f>
        <v>47.822099962839744</v>
      </c>
      <c r="E779" s="33">
        <f>Model!$D$17</f>
        <v>800</v>
      </c>
      <c r="G779" s="36">
        <f t="shared" ca="1" si="14"/>
        <v>1382.6876873168001</v>
      </c>
    </row>
    <row r="780" spans="1:7" x14ac:dyDescent="0.2">
      <c r="A780" s="6">
        <f ca="1">Model!$F$13+RAND()*(Model!$G$13-Model!$F$13)</f>
        <v>1221.6553778174493</v>
      </c>
      <c r="B780" s="31">
        <f ca="1">Model!$F$14+RAND()*(Model!$G$14-Model!$F$14)</f>
        <v>0.70090245781659055</v>
      </c>
      <c r="C780" s="32">
        <f ca="1">Model!$F$15+RAND()*(Model!$G$15-Model!$F$15)</f>
        <v>1.5274069935175549E-2</v>
      </c>
      <c r="D780" s="33">
        <f ca="1">Model!$F$16+RAND()*(Model!$G$16-Model!$F$16)</f>
        <v>48.793271767484569</v>
      </c>
      <c r="E780" s="33">
        <f>Model!$D$17</f>
        <v>800</v>
      </c>
      <c r="G780" s="36">
        <f t="shared" ca="1" si="14"/>
        <v>-745.79589911840128</v>
      </c>
    </row>
    <row r="781" spans="1:7" x14ac:dyDescent="0.2">
      <c r="A781" s="6">
        <f ca="1">Model!$F$13+RAND()*(Model!$G$13-Model!$F$13)</f>
        <v>1682.2928834183979</v>
      </c>
      <c r="B781" s="31">
        <f ca="1">Model!$F$14+RAND()*(Model!$G$14-Model!$F$14)</f>
        <v>0.74971338596101855</v>
      </c>
      <c r="C781" s="32">
        <f ca="1">Model!$F$15+RAND()*(Model!$G$15-Model!$F$15)</f>
        <v>3.6773223118916086E-2</v>
      </c>
      <c r="D781" s="33">
        <f ca="1">Model!$F$16+RAND()*(Model!$G$16-Model!$F$16)</f>
        <v>50.355073190774348</v>
      </c>
      <c r="E781" s="33">
        <f>Model!$D$17</f>
        <v>800</v>
      </c>
      <c r="G781" s="36">
        <f t="shared" ca="1" si="14"/>
        <v>1053.8950943863051</v>
      </c>
    </row>
    <row r="782" spans="1:7" x14ac:dyDescent="0.2">
      <c r="A782" s="6">
        <f ca="1">Model!$F$13+RAND()*(Model!$G$13-Model!$F$13)</f>
        <v>1771.365811559916</v>
      </c>
      <c r="B782" s="31">
        <f ca="1">Model!$F$14+RAND()*(Model!$G$14-Model!$F$14)</f>
        <v>0.50942525434815644</v>
      </c>
      <c r="C782" s="32">
        <f ca="1">Model!$F$15+RAND()*(Model!$G$15-Model!$F$15)</f>
        <v>2.0109411287058052E-2</v>
      </c>
      <c r="D782" s="33">
        <f ca="1">Model!$F$16+RAND()*(Model!$G$16-Model!$F$16)</f>
        <v>47.066653099456701</v>
      </c>
      <c r="E782" s="33">
        <f>Model!$D$17</f>
        <v>800</v>
      </c>
      <c r="G782" s="36">
        <f t="shared" ca="1" si="14"/>
        <v>-25.811409509392206</v>
      </c>
    </row>
    <row r="783" spans="1:7" x14ac:dyDescent="0.2">
      <c r="A783" s="6">
        <f ca="1">Model!$F$13+RAND()*(Model!$G$13-Model!$F$13)</f>
        <v>1296.1300661261544</v>
      </c>
      <c r="B783" s="31">
        <f ca="1">Model!$F$14+RAND()*(Model!$G$14-Model!$F$14)</f>
        <v>0.68231914643049363</v>
      </c>
      <c r="C783" s="32">
        <f ca="1">Model!$F$15+RAND()*(Model!$G$15-Model!$F$15)</f>
        <v>4.4890752478849195E-2</v>
      </c>
      <c r="D783" s="33">
        <f ca="1">Model!$F$16+RAND()*(Model!$G$16-Model!$F$16)</f>
        <v>52.712494420964717</v>
      </c>
      <c r="E783" s="33">
        <f>Model!$D$17</f>
        <v>800</v>
      </c>
      <c r="G783" s="36">
        <f t="shared" ca="1" si="14"/>
        <v>1382.6628028667467</v>
      </c>
    </row>
    <row r="784" spans="1:7" x14ac:dyDescent="0.2">
      <c r="A784" s="6">
        <f ca="1">Model!$F$13+RAND()*(Model!$G$13-Model!$F$13)</f>
        <v>1462.5950213572462</v>
      </c>
      <c r="B784" s="31">
        <f ca="1">Model!$F$14+RAND()*(Model!$G$14-Model!$F$14)</f>
        <v>0.72179582327753167</v>
      </c>
      <c r="C784" s="32">
        <f ca="1">Model!$F$15+RAND()*(Model!$G$15-Model!$F$15)</f>
        <v>4.9763891838978787E-2</v>
      </c>
      <c r="D784" s="33">
        <f ca="1">Model!$F$16+RAND()*(Model!$G$16-Model!$F$16)</f>
        <v>52.933751732116228</v>
      </c>
      <c r="E784" s="33">
        <f>Model!$D$17</f>
        <v>800</v>
      </c>
      <c r="G784" s="36">
        <f t="shared" ca="1" si="14"/>
        <v>1997.0574643479822</v>
      </c>
    </row>
    <row r="785" spans="1:7" x14ac:dyDescent="0.2">
      <c r="A785" s="6">
        <f ca="1">Model!$F$13+RAND()*(Model!$G$13-Model!$F$13)</f>
        <v>1543.6924978685556</v>
      </c>
      <c r="B785" s="31">
        <f ca="1">Model!$F$14+RAND()*(Model!$G$14-Model!$F$14)</f>
        <v>0.39010495598298711</v>
      </c>
      <c r="C785" s="32">
        <f ca="1">Model!$F$15+RAND()*(Model!$G$15-Model!$F$15)</f>
        <v>2.307585884568452E-2</v>
      </c>
      <c r="D785" s="33">
        <f ca="1">Model!$F$16+RAND()*(Model!$G$16-Model!$F$16)</f>
        <v>47.424202783170571</v>
      </c>
      <c r="E785" s="33">
        <f>Model!$D$17</f>
        <v>800</v>
      </c>
      <c r="G785" s="36">
        <f t="shared" ca="1" si="14"/>
        <v>287.14428896506843</v>
      </c>
    </row>
    <row r="786" spans="1:7" x14ac:dyDescent="0.2">
      <c r="A786" s="6">
        <f ca="1">Model!$F$13+RAND()*(Model!$G$13-Model!$F$13)</f>
        <v>1655.4924782280439</v>
      </c>
      <c r="B786" s="31">
        <f ca="1">Model!$F$14+RAND()*(Model!$G$14-Model!$F$14)</f>
        <v>0.40307457354205778</v>
      </c>
      <c r="C786" s="32">
        <f ca="1">Model!$F$15+RAND()*(Model!$G$15-Model!$F$15)</f>
        <v>3.5188292551311985E-2</v>
      </c>
      <c r="D786" s="33">
        <f ca="1">Model!$F$16+RAND()*(Model!$G$16-Model!$F$16)</f>
        <v>49.543223061818338</v>
      </c>
      <c r="E786" s="33">
        <f>Model!$D$17</f>
        <v>800</v>
      </c>
      <c r="G786" s="36">
        <f t="shared" ca="1" si="14"/>
        <v>1418.8016947745598</v>
      </c>
    </row>
    <row r="787" spans="1:7" x14ac:dyDescent="0.2">
      <c r="A787" s="6">
        <f ca="1">Model!$F$13+RAND()*(Model!$G$13-Model!$F$13)</f>
        <v>1326.2120245639364</v>
      </c>
      <c r="B787" s="31">
        <f ca="1">Model!$F$14+RAND()*(Model!$G$14-Model!$F$14)</f>
        <v>0.67161591030843959</v>
      </c>
      <c r="C787" s="32">
        <f ca="1">Model!$F$15+RAND()*(Model!$G$15-Model!$F$15)</f>
        <v>4.2341706576431402E-2</v>
      </c>
      <c r="D787" s="33">
        <f ca="1">Model!$F$16+RAND()*(Model!$G$16-Model!$F$16)</f>
        <v>48.059950891601318</v>
      </c>
      <c r="E787" s="33">
        <f>Model!$D$17</f>
        <v>800</v>
      </c>
      <c r="G787" s="36">
        <f t="shared" ca="1" si="14"/>
        <v>1008.0572503542774</v>
      </c>
    </row>
    <row r="788" spans="1:7" x14ac:dyDescent="0.2">
      <c r="A788" s="6">
        <f ca="1">Model!$F$13+RAND()*(Model!$G$13-Model!$F$13)</f>
        <v>1331.7082451931719</v>
      </c>
      <c r="B788" s="31">
        <f ca="1">Model!$F$14+RAND()*(Model!$G$14-Model!$F$14)</f>
        <v>0.43287378004836385</v>
      </c>
      <c r="C788" s="32">
        <f ca="1">Model!$F$15+RAND()*(Model!$G$15-Model!$F$15)</f>
        <v>2.3523903894020638E-2</v>
      </c>
      <c r="D788" s="33">
        <f ca="1">Model!$F$16+RAND()*(Model!$G$16-Model!$F$16)</f>
        <v>52.637106309195218</v>
      </c>
      <c r="E788" s="33">
        <f>Model!$D$17</f>
        <v>800</v>
      </c>
      <c r="G788" s="36">
        <f t="shared" ca="1" si="14"/>
        <v>272.49982482244536</v>
      </c>
    </row>
    <row r="789" spans="1:7" x14ac:dyDescent="0.2">
      <c r="A789" s="6">
        <f ca="1">Model!$F$13+RAND()*(Model!$G$13-Model!$F$13)</f>
        <v>1291.8266252336798</v>
      </c>
      <c r="B789" s="31">
        <f ca="1">Model!$F$14+RAND()*(Model!$G$14-Model!$F$14)</f>
        <v>0.5355055474814947</v>
      </c>
      <c r="C789" s="32">
        <f ca="1">Model!$F$15+RAND()*(Model!$G$15-Model!$F$15)</f>
        <v>3.4474047710176065E-2</v>
      </c>
      <c r="D789" s="33">
        <f ca="1">Model!$F$16+RAND()*(Model!$G$16-Model!$F$16)</f>
        <v>48.546082790117246</v>
      </c>
      <c r="E789" s="33">
        <f>Model!$D$17</f>
        <v>800</v>
      </c>
      <c r="G789" s="36">
        <f t="shared" ca="1" si="14"/>
        <v>670.19484599538077</v>
      </c>
    </row>
    <row r="790" spans="1:7" x14ac:dyDescent="0.2">
      <c r="A790" s="6">
        <f ca="1">Model!$F$13+RAND()*(Model!$G$13-Model!$F$13)</f>
        <v>1249.5764389944966</v>
      </c>
      <c r="B790" s="31">
        <f ca="1">Model!$F$14+RAND()*(Model!$G$14-Model!$F$14)</f>
        <v>0.41753620065955593</v>
      </c>
      <c r="C790" s="32">
        <f ca="1">Model!$F$15+RAND()*(Model!$G$15-Model!$F$15)</f>
        <v>3.8456339122400637E-2</v>
      </c>
      <c r="D790" s="33">
        <f ca="1">Model!$F$16+RAND()*(Model!$G$16-Model!$F$16)</f>
        <v>50.452086463629783</v>
      </c>
      <c r="E790" s="33">
        <f>Model!$D$17</f>
        <v>800</v>
      </c>
      <c r="G790" s="36">
        <f t="shared" ca="1" si="14"/>
        <v>1102.6879901846064</v>
      </c>
    </row>
    <row r="791" spans="1:7" x14ac:dyDescent="0.2">
      <c r="A791" s="6">
        <f ca="1">Model!$F$13+RAND()*(Model!$G$13-Model!$F$13)</f>
        <v>1787.5568877163137</v>
      </c>
      <c r="B791" s="31">
        <f ca="1">Model!$F$14+RAND()*(Model!$G$14-Model!$F$14)</f>
        <v>0.49114880445512732</v>
      </c>
      <c r="C791" s="32">
        <f ca="1">Model!$F$15+RAND()*(Model!$G$15-Model!$F$15)</f>
        <v>2.9679188762232092E-2</v>
      </c>
      <c r="D791" s="33">
        <f ca="1">Model!$F$16+RAND()*(Model!$G$16-Model!$F$16)</f>
        <v>51.22551818059631</v>
      </c>
      <c r="E791" s="33">
        <f>Model!$D$17</f>
        <v>800</v>
      </c>
      <c r="G791" s="36">
        <f t="shared" ca="1" si="14"/>
        <v>1039.7231944591458</v>
      </c>
    </row>
    <row r="792" spans="1:7" x14ac:dyDescent="0.2">
      <c r="A792" s="6">
        <f ca="1">Model!$F$13+RAND()*(Model!$G$13-Model!$F$13)</f>
        <v>1662.9762146208877</v>
      </c>
      <c r="B792" s="31">
        <f ca="1">Model!$F$14+RAND()*(Model!$G$14-Model!$F$14)</f>
        <v>0.45534826668849582</v>
      </c>
      <c r="C792" s="32">
        <f ca="1">Model!$F$15+RAND()*(Model!$G$15-Model!$F$15)</f>
        <v>3.9253042267608722E-2</v>
      </c>
      <c r="D792" s="33">
        <f ca="1">Model!$F$16+RAND()*(Model!$G$16-Model!$F$16)</f>
        <v>48.88606530121848</v>
      </c>
      <c r="E792" s="33">
        <f>Model!$D$17</f>
        <v>800</v>
      </c>
      <c r="G792" s="36">
        <f t="shared" ca="1" si="14"/>
        <v>1633.896268448992</v>
      </c>
    </row>
    <row r="793" spans="1:7" x14ac:dyDescent="0.2">
      <c r="A793" s="6">
        <f ca="1">Model!$F$13+RAND()*(Model!$G$13-Model!$F$13)</f>
        <v>1294.6796826728682</v>
      </c>
      <c r="B793" s="31">
        <f ca="1">Model!$F$14+RAND()*(Model!$G$14-Model!$F$14)</f>
        <v>0.60987049962644169</v>
      </c>
      <c r="C793" s="32">
        <f ca="1">Model!$F$15+RAND()*(Model!$G$15-Model!$F$15)</f>
        <v>3.4418040207733133E-2</v>
      </c>
      <c r="D793" s="33">
        <f ca="1">Model!$F$16+RAND()*(Model!$G$16-Model!$F$16)</f>
        <v>51.491483252059453</v>
      </c>
      <c r="E793" s="33">
        <f>Model!$D$17</f>
        <v>800</v>
      </c>
      <c r="G793" s="36">
        <f t="shared" ca="1" si="14"/>
        <v>704.89092069058415</v>
      </c>
    </row>
    <row r="794" spans="1:7" x14ac:dyDescent="0.2">
      <c r="A794" s="6">
        <f ca="1">Model!$F$13+RAND()*(Model!$G$13-Model!$F$13)</f>
        <v>1328.0777130639071</v>
      </c>
      <c r="B794" s="31">
        <f ca="1">Model!$F$14+RAND()*(Model!$G$14-Model!$F$14)</f>
        <v>0.59126152632955553</v>
      </c>
      <c r="C794" s="32">
        <f ca="1">Model!$F$15+RAND()*(Model!$G$15-Model!$F$15)</f>
        <v>3.2947128833002853E-2</v>
      </c>
      <c r="D794" s="33">
        <f ca="1">Model!$F$16+RAND()*(Model!$G$16-Model!$F$16)</f>
        <v>48.307502027080325</v>
      </c>
      <c r="E794" s="33">
        <f>Model!$D$17</f>
        <v>800</v>
      </c>
      <c r="G794" s="36">
        <f t="shared" ca="1" si="14"/>
        <v>528.51859045001538</v>
      </c>
    </row>
    <row r="795" spans="1:7" x14ac:dyDescent="0.2">
      <c r="A795" s="6">
        <f ca="1">Model!$F$13+RAND()*(Model!$G$13-Model!$F$13)</f>
        <v>1689.5942795096669</v>
      </c>
      <c r="B795" s="31">
        <f ca="1">Model!$F$14+RAND()*(Model!$G$14-Model!$F$14)</f>
        <v>0.73362057201287612</v>
      </c>
      <c r="C795" s="32">
        <f ca="1">Model!$F$15+RAND()*(Model!$G$15-Model!$F$15)</f>
        <v>3.0464342419649099E-2</v>
      </c>
      <c r="D795" s="33">
        <f ca="1">Model!$F$16+RAND()*(Model!$G$16-Model!$F$16)</f>
        <v>50.11561370543992</v>
      </c>
      <c r="E795" s="33">
        <f>Model!$D$17</f>
        <v>800</v>
      </c>
      <c r="G795" s="36">
        <f t="shared" ca="1" si="14"/>
        <v>540.04872468672238</v>
      </c>
    </row>
    <row r="796" spans="1:7" x14ac:dyDescent="0.2">
      <c r="A796" s="6">
        <f ca="1">Model!$F$13+RAND()*(Model!$G$13-Model!$F$13)</f>
        <v>1696.5611841451671</v>
      </c>
      <c r="B796" s="31">
        <f ca="1">Model!$F$14+RAND()*(Model!$G$14-Model!$F$14)</f>
        <v>0.21065854592940617</v>
      </c>
      <c r="C796" s="32">
        <f ca="1">Model!$F$15+RAND()*(Model!$G$15-Model!$F$15)</f>
        <v>3.6315386427913154E-2</v>
      </c>
      <c r="D796" s="33">
        <f ca="1">Model!$F$16+RAND()*(Model!$G$16-Model!$F$16)</f>
        <v>50.769698710173415</v>
      </c>
      <c r="E796" s="33">
        <f>Model!$D$17</f>
        <v>800</v>
      </c>
      <c r="G796" s="36">
        <f t="shared" ca="1" si="14"/>
        <v>1970.5907568094694</v>
      </c>
    </row>
    <row r="797" spans="1:7" x14ac:dyDescent="0.2">
      <c r="A797" s="6">
        <f ca="1">Model!$F$13+RAND()*(Model!$G$13-Model!$F$13)</f>
        <v>1383.9560336639456</v>
      </c>
      <c r="B797" s="31">
        <f ca="1">Model!$F$14+RAND()*(Model!$G$14-Model!$F$14)</f>
        <v>0.55502581345283875</v>
      </c>
      <c r="C797" s="32">
        <f ca="1">Model!$F$15+RAND()*(Model!$G$15-Model!$F$15)</f>
        <v>2.4601005667761338E-2</v>
      </c>
      <c r="D797" s="33">
        <f ca="1">Model!$F$16+RAND()*(Model!$G$16-Model!$F$16)</f>
        <v>49.3010372813252</v>
      </c>
      <c r="E797" s="33">
        <f>Model!$D$17</f>
        <v>800</v>
      </c>
      <c r="G797" s="36">
        <f t="shared" ca="1" si="14"/>
        <v>110.40680689470037</v>
      </c>
    </row>
    <row r="798" spans="1:7" x14ac:dyDescent="0.2">
      <c r="A798" s="6">
        <f ca="1">Model!$F$13+RAND()*(Model!$G$13-Model!$F$13)</f>
        <v>1405.7243474629977</v>
      </c>
      <c r="B798" s="31">
        <f ca="1">Model!$F$14+RAND()*(Model!$G$14-Model!$F$14)</f>
        <v>0.59221085786830385</v>
      </c>
      <c r="C798" s="32">
        <f ca="1">Model!$F$15+RAND()*(Model!$G$15-Model!$F$15)</f>
        <v>1.5673576686555592E-2</v>
      </c>
      <c r="D798" s="33">
        <f ca="1">Model!$F$16+RAND()*(Model!$G$16-Model!$F$16)</f>
        <v>47.971552132540808</v>
      </c>
      <c r="E798" s="33">
        <f>Model!$D$17</f>
        <v>800</v>
      </c>
      <c r="G798" s="36">
        <f t="shared" ca="1" si="14"/>
        <v>-575.54104458783536</v>
      </c>
    </row>
    <row r="799" spans="1:7" x14ac:dyDescent="0.2">
      <c r="A799" s="6">
        <f ca="1">Model!$F$13+RAND()*(Model!$G$13-Model!$F$13)</f>
        <v>1573.7582111849754</v>
      </c>
      <c r="B799" s="31">
        <f ca="1">Model!$F$14+RAND()*(Model!$G$14-Model!$F$14)</f>
        <v>0.68597040802371512</v>
      </c>
      <c r="C799" s="32">
        <f ca="1">Model!$F$15+RAND()*(Model!$G$15-Model!$F$15)</f>
        <v>4.31551747355189E-2</v>
      </c>
      <c r="D799" s="33">
        <f ca="1">Model!$F$16+RAND()*(Model!$G$16-Model!$F$16)</f>
        <v>49.840125402671639</v>
      </c>
      <c r="E799" s="33">
        <f>Model!$D$17</f>
        <v>800</v>
      </c>
      <c r="G799" s="36">
        <f t="shared" ca="1" si="14"/>
        <v>1505.380954628906</v>
      </c>
    </row>
    <row r="800" spans="1:7" x14ac:dyDescent="0.2">
      <c r="A800" s="6">
        <f ca="1">Model!$F$13+RAND()*(Model!$G$13-Model!$F$13)</f>
        <v>1755.2754846482362</v>
      </c>
      <c r="B800" s="31">
        <f ca="1">Model!$F$14+RAND()*(Model!$G$14-Model!$F$14)</f>
        <v>0.625002104464218</v>
      </c>
      <c r="C800" s="32">
        <f ca="1">Model!$F$15+RAND()*(Model!$G$15-Model!$F$15)</f>
        <v>3.1860051298198591E-2</v>
      </c>
      <c r="D800" s="33">
        <f ca="1">Model!$F$16+RAND()*(Model!$G$16-Model!$F$16)</f>
        <v>51.253586070046268</v>
      </c>
      <c r="E800" s="33">
        <f>Model!$D$17</f>
        <v>800</v>
      </c>
      <c r="G800" s="36">
        <f t="shared" ca="1" si="14"/>
        <v>969.21198047177768</v>
      </c>
    </row>
    <row r="801" spans="1:7" x14ac:dyDescent="0.2">
      <c r="A801" s="6">
        <f ca="1">Model!$F$13+RAND()*(Model!$G$13-Model!$F$13)</f>
        <v>1358.0299764267927</v>
      </c>
      <c r="B801" s="31">
        <f ca="1">Model!$F$14+RAND()*(Model!$G$14-Model!$F$14)</f>
        <v>0.48130958640225441</v>
      </c>
      <c r="C801" s="32">
        <f ca="1">Model!$F$15+RAND()*(Model!$G$15-Model!$F$15)</f>
        <v>3.5165767992739343E-2</v>
      </c>
      <c r="D801" s="33">
        <f ca="1">Model!$F$16+RAND()*(Model!$G$16-Model!$F$16)</f>
        <v>52.799792510072315</v>
      </c>
      <c r="E801" s="33">
        <f>Model!$D$17</f>
        <v>800</v>
      </c>
      <c r="G801" s="36">
        <f t="shared" ca="1" si="14"/>
        <v>1067.8828665299848</v>
      </c>
    </row>
    <row r="802" spans="1:7" x14ac:dyDescent="0.2">
      <c r="A802" s="6">
        <f ca="1">Model!$F$13+RAND()*(Model!$G$13-Model!$F$13)</f>
        <v>1557.3712350921646</v>
      </c>
      <c r="B802" s="31">
        <f ca="1">Model!$F$14+RAND()*(Model!$G$14-Model!$F$14)</f>
        <v>0.71201157092306389</v>
      </c>
      <c r="C802" s="32">
        <f ca="1">Model!$F$15+RAND()*(Model!$G$15-Model!$F$15)</f>
        <v>3.2655868403105894E-2</v>
      </c>
      <c r="D802" s="33">
        <f ca="1">Model!$F$16+RAND()*(Model!$G$16-Model!$F$16)</f>
        <v>47.293633213249187</v>
      </c>
      <c r="E802" s="33">
        <f>Model!$D$17</f>
        <v>800</v>
      </c>
      <c r="G802" s="36">
        <f t="shared" ca="1" si="14"/>
        <v>496.36063084959824</v>
      </c>
    </row>
    <row r="803" spans="1:7" x14ac:dyDescent="0.2">
      <c r="A803" s="6">
        <f ca="1">Model!$F$13+RAND()*(Model!$G$13-Model!$F$13)</f>
        <v>1296.0138534895088</v>
      </c>
      <c r="B803" s="31">
        <f ca="1">Model!$F$14+RAND()*(Model!$G$14-Model!$F$14)</f>
        <v>0.39995721389642624</v>
      </c>
      <c r="C803" s="32">
        <f ca="1">Model!$F$15+RAND()*(Model!$G$15-Model!$F$15)</f>
        <v>1.2884284135510007E-2</v>
      </c>
      <c r="D803" s="33">
        <f ca="1">Model!$F$16+RAND()*(Model!$G$16-Model!$F$16)</f>
        <v>50.156810840848514</v>
      </c>
      <c r="E803" s="33">
        <f>Model!$D$17</f>
        <v>800</v>
      </c>
      <c r="G803" s="36">
        <f t="shared" ca="1" si="14"/>
        <v>-480.82109295149417</v>
      </c>
    </row>
    <row r="804" spans="1:7" x14ac:dyDescent="0.2">
      <c r="A804" s="6">
        <f ca="1">Model!$F$13+RAND()*(Model!$G$13-Model!$F$13)</f>
        <v>1722.3889744415255</v>
      </c>
      <c r="B804" s="31">
        <f ca="1">Model!$F$14+RAND()*(Model!$G$14-Model!$F$14)</f>
        <v>0.44035948533321023</v>
      </c>
      <c r="C804" s="32">
        <f ca="1">Model!$F$15+RAND()*(Model!$G$15-Model!$F$15)</f>
        <v>4.7675826386526829E-2</v>
      </c>
      <c r="D804" s="33">
        <f ca="1">Model!$F$16+RAND()*(Model!$G$16-Model!$F$16)</f>
        <v>50.70477913582927</v>
      </c>
      <c r="E804" s="33">
        <f>Model!$D$17</f>
        <v>800</v>
      </c>
      <c r="G804" s="36">
        <f t="shared" ca="1" si="14"/>
        <v>2605.2194308854841</v>
      </c>
    </row>
    <row r="805" spans="1:7" x14ac:dyDescent="0.2">
      <c r="A805" s="6">
        <f ca="1">Model!$F$13+RAND()*(Model!$G$13-Model!$F$13)</f>
        <v>1663.406411812025</v>
      </c>
      <c r="B805" s="31">
        <f ca="1">Model!$F$14+RAND()*(Model!$G$14-Model!$F$14)</f>
        <v>0.54595197623661218</v>
      </c>
      <c r="C805" s="32">
        <f ca="1">Model!$F$15+RAND()*(Model!$G$15-Model!$F$15)</f>
        <v>4.4018779652212882E-2</v>
      </c>
      <c r="D805" s="33">
        <f ca="1">Model!$F$16+RAND()*(Model!$G$16-Model!$F$16)</f>
        <v>50.180815147865175</v>
      </c>
      <c r="E805" s="33">
        <f>Model!$D$17</f>
        <v>800</v>
      </c>
      <c r="G805" s="36">
        <f t="shared" ca="1" si="14"/>
        <v>1966.1554855645161</v>
      </c>
    </row>
    <row r="806" spans="1:7" x14ac:dyDescent="0.2">
      <c r="A806" s="6">
        <f ca="1">Model!$F$13+RAND()*(Model!$G$13-Model!$F$13)</f>
        <v>1434.8171572978192</v>
      </c>
      <c r="B806" s="31">
        <f ca="1">Model!$F$14+RAND()*(Model!$G$14-Model!$F$14)</f>
        <v>0.25516375341402919</v>
      </c>
      <c r="C806" s="32">
        <f ca="1">Model!$F$15+RAND()*(Model!$G$15-Model!$F$15)</f>
        <v>2.6964892563419739E-2</v>
      </c>
      <c r="D806" s="33">
        <f ca="1">Model!$F$16+RAND()*(Model!$G$16-Model!$F$16)</f>
        <v>47.145430884971326</v>
      </c>
      <c r="E806" s="33">
        <f>Model!$D$17</f>
        <v>800</v>
      </c>
      <c r="G806" s="36">
        <f t="shared" ca="1" si="14"/>
        <v>657.92879785923947</v>
      </c>
    </row>
    <row r="807" spans="1:7" x14ac:dyDescent="0.2">
      <c r="A807" s="6">
        <f ca="1">Model!$F$13+RAND()*(Model!$G$13-Model!$F$13)</f>
        <v>1292.656019716643</v>
      </c>
      <c r="B807" s="31">
        <f ca="1">Model!$F$14+RAND()*(Model!$G$14-Model!$F$14)</f>
        <v>0.67956853548028584</v>
      </c>
      <c r="C807" s="32">
        <f ca="1">Model!$F$15+RAND()*(Model!$G$15-Model!$F$15)</f>
        <v>4.2074694458442127E-2</v>
      </c>
      <c r="D807" s="33">
        <f ca="1">Model!$F$16+RAND()*(Model!$G$16-Model!$F$16)</f>
        <v>48.460289726553789</v>
      </c>
      <c r="E807" s="33">
        <f>Model!$D$17</f>
        <v>800</v>
      </c>
      <c r="G807" s="36">
        <f t="shared" ca="1" si="14"/>
        <v>957.21506806545494</v>
      </c>
    </row>
    <row r="808" spans="1:7" x14ac:dyDescent="0.2">
      <c r="A808" s="6">
        <f ca="1">Model!$F$13+RAND()*(Model!$G$13-Model!$F$13)</f>
        <v>1465.1792095314895</v>
      </c>
      <c r="B808" s="31">
        <f ca="1">Model!$F$14+RAND()*(Model!$G$14-Model!$F$14)</f>
        <v>0.77561524085580724</v>
      </c>
      <c r="C808" s="32">
        <f ca="1">Model!$F$15+RAND()*(Model!$G$15-Model!$F$15)</f>
        <v>1.3443337351274724E-2</v>
      </c>
      <c r="D808" s="33">
        <f ca="1">Model!$F$16+RAND()*(Model!$G$16-Model!$F$16)</f>
        <v>47.607420262366304</v>
      </c>
      <c r="E808" s="33">
        <f>Model!$D$17</f>
        <v>800</v>
      </c>
      <c r="G808" s="36">
        <f t="shared" ca="1" si="14"/>
        <v>-998.69680579864462</v>
      </c>
    </row>
    <row r="809" spans="1:7" x14ac:dyDescent="0.2">
      <c r="A809" s="6">
        <f ca="1">Model!$F$13+RAND()*(Model!$G$13-Model!$F$13)</f>
        <v>1624.1247762358976</v>
      </c>
      <c r="B809" s="31">
        <f ca="1">Model!$F$14+RAND()*(Model!$G$14-Model!$F$14)</f>
        <v>0.6308506500147939</v>
      </c>
      <c r="C809" s="32">
        <f ca="1">Model!$F$15+RAND()*(Model!$G$15-Model!$F$15)</f>
        <v>4.5994450940281782E-2</v>
      </c>
      <c r="D809" s="33">
        <f ca="1">Model!$F$16+RAND()*(Model!$G$16-Model!$F$16)</f>
        <v>49.054621194761239</v>
      </c>
      <c r="E809" s="33">
        <f>Model!$D$17</f>
        <v>800</v>
      </c>
      <c r="G809" s="36">
        <f t="shared" ca="1" si="14"/>
        <v>1839.8357119158052</v>
      </c>
    </row>
    <row r="810" spans="1:7" x14ac:dyDescent="0.2">
      <c r="A810" s="6">
        <f ca="1">Model!$F$13+RAND()*(Model!$G$13-Model!$F$13)</f>
        <v>1442.055563263265</v>
      </c>
      <c r="B810" s="31">
        <f ca="1">Model!$F$14+RAND()*(Model!$G$14-Model!$F$14)</f>
        <v>0.79099078399189815</v>
      </c>
      <c r="C810" s="32">
        <f ca="1">Model!$F$15+RAND()*(Model!$G$15-Model!$F$15)</f>
        <v>4.4364871113042291E-2</v>
      </c>
      <c r="D810" s="33">
        <f ca="1">Model!$F$16+RAND()*(Model!$G$16-Model!$F$16)</f>
        <v>52.90173813884266</v>
      </c>
      <c r="E810" s="33">
        <f>Model!$D$17</f>
        <v>800</v>
      </c>
      <c r="G810" s="36">
        <f t="shared" ca="1" si="14"/>
        <v>1443.8211664708642</v>
      </c>
    </row>
    <row r="811" spans="1:7" x14ac:dyDescent="0.2">
      <c r="A811" s="6">
        <f ca="1">Model!$F$13+RAND()*(Model!$G$13-Model!$F$13)</f>
        <v>1662.7446823192538</v>
      </c>
      <c r="B811" s="31">
        <f ca="1">Model!$F$14+RAND()*(Model!$G$14-Model!$F$14)</f>
        <v>0.46445851195017657</v>
      </c>
      <c r="C811" s="32">
        <f ca="1">Model!$F$15+RAND()*(Model!$G$15-Model!$F$15)</f>
        <v>4.2799239761604033E-2</v>
      </c>
      <c r="D811" s="33">
        <f ca="1">Model!$F$16+RAND()*(Model!$G$16-Model!$F$16)</f>
        <v>47.810240790521526</v>
      </c>
      <c r="E811" s="33">
        <f>Model!$D$17</f>
        <v>800</v>
      </c>
      <c r="G811" s="36">
        <f t="shared" ca="1" si="14"/>
        <v>1830.1020145866582</v>
      </c>
    </row>
    <row r="812" spans="1:7" x14ac:dyDescent="0.2">
      <c r="A812" s="6">
        <f ca="1">Model!$F$13+RAND()*(Model!$G$13-Model!$F$13)</f>
        <v>1630.4967729125888</v>
      </c>
      <c r="B812" s="31">
        <f ca="1">Model!$F$14+RAND()*(Model!$G$14-Model!$F$14)</f>
        <v>0.73954311331165323</v>
      </c>
      <c r="C812" s="32">
        <f ca="1">Model!$F$15+RAND()*(Model!$G$15-Model!$F$15)</f>
        <v>3.4376666544869254E-2</v>
      </c>
      <c r="D812" s="33">
        <f ca="1">Model!$F$16+RAND()*(Model!$G$16-Model!$F$16)</f>
        <v>48.217590971536836</v>
      </c>
      <c r="E812" s="33">
        <f>Model!$D$17</f>
        <v>800</v>
      </c>
      <c r="G812" s="36">
        <f t="shared" ca="1" si="14"/>
        <v>696.823646921109</v>
      </c>
    </row>
    <row r="813" spans="1:7" x14ac:dyDescent="0.2">
      <c r="A813" s="6">
        <f ca="1">Model!$F$13+RAND()*(Model!$G$13-Model!$F$13)</f>
        <v>1597.4808780412068</v>
      </c>
      <c r="B813" s="31">
        <f ca="1">Model!$F$14+RAND()*(Model!$G$14-Model!$F$14)</f>
        <v>0.76715785827304006</v>
      </c>
      <c r="C813" s="32">
        <f ca="1">Model!$F$15+RAND()*(Model!$G$15-Model!$F$15)</f>
        <v>1.3845330457935869E-2</v>
      </c>
      <c r="D813" s="33">
        <f ca="1">Model!$F$16+RAND()*(Model!$G$16-Model!$F$16)</f>
        <v>52.357758373074113</v>
      </c>
      <c r="E813" s="33">
        <f>Model!$D$17</f>
        <v>800</v>
      </c>
      <c r="G813" s="36">
        <f t="shared" ca="1" si="14"/>
        <v>-867.48940016592928</v>
      </c>
    </row>
    <row r="814" spans="1:7" x14ac:dyDescent="0.2">
      <c r="A814" s="6">
        <f ca="1">Model!$F$13+RAND()*(Model!$G$13-Model!$F$13)</f>
        <v>1680.3996480017113</v>
      </c>
      <c r="B814" s="31">
        <f ca="1">Model!$F$14+RAND()*(Model!$G$14-Model!$F$14)</f>
        <v>0.28393076430796743</v>
      </c>
      <c r="C814" s="32">
        <f ca="1">Model!$F$15+RAND()*(Model!$G$15-Model!$F$15)</f>
        <v>1.9070051754715191E-2</v>
      </c>
      <c r="D814" s="33">
        <f ca="1">Model!$F$16+RAND()*(Model!$G$16-Model!$F$16)</f>
        <v>50.405281587678211</v>
      </c>
      <c r="E814" s="33">
        <f>Model!$D$17</f>
        <v>800</v>
      </c>
      <c r="G814" s="36">
        <f t="shared" ca="1" si="14"/>
        <v>338.13562980755432</v>
      </c>
    </row>
    <row r="815" spans="1:7" x14ac:dyDescent="0.2">
      <c r="A815" s="6">
        <f ca="1">Model!$F$13+RAND()*(Model!$G$13-Model!$F$13)</f>
        <v>1385.7837676767676</v>
      </c>
      <c r="B815" s="31">
        <f ca="1">Model!$F$14+RAND()*(Model!$G$14-Model!$F$14)</f>
        <v>0.47539707191299485</v>
      </c>
      <c r="C815" s="32">
        <f ca="1">Model!$F$15+RAND()*(Model!$G$15-Model!$F$15)</f>
        <v>3.8626290007353473E-2</v>
      </c>
      <c r="D815" s="33">
        <f ca="1">Model!$F$16+RAND()*(Model!$G$16-Model!$F$16)</f>
        <v>47.728308888109119</v>
      </c>
      <c r="E815" s="33">
        <f>Model!$D$17</f>
        <v>800</v>
      </c>
      <c r="G815" s="36">
        <f t="shared" ca="1" si="14"/>
        <v>1095.9883715904925</v>
      </c>
    </row>
    <row r="816" spans="1:7" x14ac:dyDescent="0.2">
      <c r="A816" s="6">
        <f ca="1">Model!$F$13+RAND()*(Model!$G$13-Model!$F$13)</f>
        <v>1786.6818811939634</v>
      </c>
      <c r="B816" s="31">
        <f ca="1">Model!$F$14+RAND()*(Model!$G$14-Model!$F$14)</f>
        <v>0.21476921605440741</v>
      </c>
      <c r="C816" s="32">
        <f ca="1">Model!$F$15+RAND()*(Model!$G$15-Model!$F$15)</f>
        <v>3.8612899066186972E-2</v>
      </c>
      <c r="D816" s="33">
        <f ca="1">Model!$F$16+RAND()*(Model!$G$16-Model!$F$16)</f>
        <v>50.624723543580828</v>
      </c>
      <c r="E816" s="33">
        <f>Model!$D$17</f>
        <v>800</v>
      </c>
      <c r="G816" s="36">
        <f t="shared" ca="1" si="14"/>
        <v>2308.8231221546239</v>
      </c>
    </row>
    <row r="817" spans="1:7" x14ac:dyDescent="0.2">
      <c r="A817" s="6">
        <f ca="1">Model!$F$13+RAND()*(Model!$G$13-Model!$F$13)</f>
        <v>1351.3833568162913</v>
      </c>
      <c r="B817" s="31">
        <f ca="1">Model!$F$14+RAND()*(Model!$G$14-Model!$F$14)</f>
        <v>0.73149283466271919</v>
      </c>
      <c r="C817" s="32">
        <f ca="1">Model!$F$15+RAND()*(Model!$G$15-Model!$F$15)</f>
        <v>2.6526407606624676E-2</v>
      </c>
      <c r="D817" s="33">
        <f ca="1">Model!$F$16+RAND()*(Model!$G$16-Model!$F$16)</f>
        <v>51.308234602472574</v>
      </c>
      <c r="E817" s="33">
        <f>Model!$D$17</f>
        <v>800</v>
      </c>
      <c r="G817" s="36">
        <f t="shared" ca="1" si="14"/>
        <v>50.736783516741525</v>
      </c>
    </row>
    <row r="818" spans="1:7" x14ac:dyDescent="0.2">
      <c r="A818" s="6">
        <f ca="1">Model!$F$13+RAND()*(Model!$G$13-Model!$F$13)</f>
        <v>1265.4825441169594</v>
      </c>
      <c r="B818" s="31">
        <f ca="1">Model!$F$14+RAND()*(Model!$G$14-Model!$F$14)</f>
        <v>0.33046078408523261</v>
      </c>
      <c r="C818" s="32">
        <f ca="1">Model!$F$15+RAND()*(Model!$G$15-Model!$F$15)</f>
        <v>3.0990970206355148E-2</v>
      </c>
      <c r="D818" s="33">
        <f ca="1">Model!$F$16+RAND()*(Model!$G$16-Model!$F$16)</f>
        <v>47.293706630033014</v>
      </c>
      <c r="E818" s="33">
        <f>Model!$D$17</f>
        <v>800</v>
      </c>
      <c r="G818" s="36">
        <f t="shared" ca="1" si="14"/>
        <v>636.59738464642442</v>
      </c>
    </row>
    <row r="819" spans="1:7" x14ac:dyDescent="0.2">
      <c r="A819" s="6">
        <f ca="1">Model!$F$13+RAND()*(Model!$G$13-Model!$F$13)</f>
        <v>1591.0973671451052</v>
      </c>
      <c r="B819" s="31">
        <f ca="1">Model!$F$14+RAND()*(Model!$G$14-Model!$F$14)</f>
        <v>0.61863598682020204</v>
      </c>
      <c r="C819" s="32">
        <f ca="1">Model!$F$15+RAND()*(Model!$G$15-Model!$F$15)</f>
        <v>2.107924674294407E-2</v>
      </c>
      <c r="D819" s="33">
        <f ca="1">Model!$F$16+RAND()*(Model!$G$16-Model!$F$16)</f>
        <v>52.761659389062615</v>
      </c>
      <c r="E819" s="33">
        <f>Model!$D$17</f>
        <v>800</v>
      </c>
      <c r="G819" s="36">
        <f t="shared" ca="1" si="14"/>
        <v>-14.729725849983652</v>
      </c>
    </row>
    <row r="820" spans="1:7" x14ac:dyDescent="0.2">
      <c r="A820" s="6">
        <f ca="1">Model!$F$13+RAND()*(Model!$G$13-Model!$F$13)</f>
        <v>1772.2667531450404</v>
      </c>
      <c r="B820" s="31">
        <f ca="1">Model!$F$14+RAND()*(Model!$G$14-Model!$F$14)</f>
        <v>0.55867915165468551</v>
      </c>
      <c r="C820" s="32">
        <f ca="1">Model!$F$15+RAND()*(Model!$G$15-Model!$F$15)</f>
        <v>2.9474576086754509E-2</v>
      </c>
      <c r="D820" s="33">
        <f ca="1">Model!$F$16+RAND()*(Model!$G$16-Model!$F$16)</f>
        <v>49.399827668505523</v>
      </c>
      <c r="E820" s="33">
        <f>Model!$D$17</f>
        <v>800</v>
      </c>
      <c r="G820" s="36">
        <f t="shared" ca="1" si="14"/>
        <v>790.36098812235741</v>
      </c>
    </row>
    <row r="821" spans="1:7" x14ac:dyDescent="0.2">
      <c r="A821" s="6">
        <f ca="1">Model!$F$13+RAND()*(Model!$G$13-Model!$F$13)</f>
        <v>1685.0666515642438</v>
      </c>
      <c r="B821" s="31">
        <f ca="1">Model!$F$14+RAND()*(Model!$G$14-Model!$F$14)</f>
        <v>0.78506681811272472</v>
      </c>
      <c r="C821" s="32">
        <f ca="1">Model!$F$15+RAND()*(Model!$G$15-Model!$F$15)</f>
        <v>4.7490588639820155E-2</v>
      </c>
      <c r="D821" s="33">
        <f ca="1">Model!$F$16+RAND()*(Model!$G$16-Model!$F$16)</f>
        <v>48.097919494770949</v>
      </c>
      <c r="E821" s="33">
        <f>Model!$D$17</f>
        <v>800</v>
      </c>
      <c r="G821" s="36">
        <f t="shared" ca="1" si="14"/>
        <v>1726.1368188824154</v>
      </c>
    </row>
    <row r="822" spans="1:7" x14ac:dyDescent="0.2">
      <c r="A822" s="6">
        <f ca="1">Model!$F$13+RAND()*(Model!$G$13-Model!$F$13)</f>
        <v>1546.9074167253796</v>
      </c>
      <c r="B822" s="31">
        <f ca="1">Model!$F$14+RAND()*(Model!$G$14-Model!$F$14)</f>
        <v>0.53425439297997845</v>
      </c>
      <c r="C822" s="32">
        <f ca="1">Model!$F$15+RAND()*(Model!$G$15-Model!$F$15)</f>
        <v>3.3542853153145813E-2</v>
      </c>
      <c r="D822" s="33">
        <f ca="1">Model!$F$16+RAND()*(Model!$G$16-Model!$F$16)</f>
        <v>47.737843546992494</v>
      </c>
      <c r="E822" s="33">
        <f>Model!$D$17</f>
        <v>800</v>
      </c>
      <c r="G822" s="36">
        <f t="shared" ca="1" si="14"/>
        <v>850.56426415134774</v>
      </c>
    </row>
    <row r="823" spans="1:7" x14ac:dyDescent="0.2">
      <c r="A823" s="6">
        <f ca="1">Model!$F$13+RAND()*(Model!$G$13-Model!$F$13)</f>
        <v>1502.0331075122704</v>
      </c>
      <c r="B823" s="31">
        <f ca="1">Model!$F$14+RAND()*(Model!$G$14-Model!$F$14)</f>
        <v>0.33912690444181715</v>
      </c>
      <c r="C823" s="32">
        <f ca="1">Model!$F$15+RAND()*(Model!$G$15-Model!$F$15)</f>
        <v>2.9725752925876633E-2</v>
      </c>
      <c r="D823" s="33">
        <f ca="1">Model!$F$16+RAND()*(Model!$G$16-Model!$F$16)</f>
        <v>50.064820998822178</v>
      </c>
      <c r="E823" s="33">
        <f>Model!$D$17</f>
        <v>800</v>
      </c>
      <c r="G823" s="36">
        <f t="shared" ca="1" si="14"/>
        <v>925.96761089245774</v>
      </c>
    </row>
    <row r="824" spans="1:7" x14ac:dyDescent="0.2">
      <c r="A824" s="6">
        <f ca="1">Model!$F$13+RAND()*(Model!$G$13-Model!$F$13)</f>
        <v>1604.1327631239033</v>
      </c>
      <c r="B824" s="31">
        <f ca="1">Model!$F$14+RAND()*(Model!$G$14-Model!$F$14)</f>
        <v>0.20403866072831242</v>
      </c>
      <c r="C824" s="32">
        <f ca="1">Model!$F$15+RAND()*(Model!$G$15-Model!$F$15)</f>
        <v>1.4055662959490185E-2</v>
      </c>
      <c r="D824" s="33">
        <f ca="1">Model!$F$16+RAND()*(Model!$G$16-Model!$F$16)</f>
        <v>51.996616553226644</v>
      </c>
      <c r="E824" s="33">
        <f>Model!$D$17</f>
        <v>800</v>
      </c>
      <c r="G824" s="36">
        <f t="shared" ca="1" si="14"/>
        <v>45.070384260455512</v>
      </c>
    </row>
    <row r="825" spans="1:7" x14ac:dyDescent="0.2">
      <c r="A825" s="6">
        <f ca="1">Model!$F$13+RAND()*(Model!$G$13-Model!$F$13)</f>
        <v>1480.1797457547837</v>
      </c>
      <c r="B825" s="31">
        <f ca="1">Model!$F$14+RAND()*(Model!$G$14-Model!$F$14)</f>
        <v>0.69869603117102463</v>
      </c>
      <c r="C825" s="32">
        <f ca="1">Model!$F$15+RAND()*(Model!$G$15-Model!$F$15)</f>
        <v>2.349556799664795E-2</v>
      </c>
      <c r="D825" s="33">
        <f ca="1">Model!$F$16+RAND()*(Model!$G$16-Model!$F$16)</f>
        <v>48.002124980906572</v>
      </c>
      <c r="E825" s="33">
        <f>Model!$D$17</f>
        <v>800</v>
      </c>
      <c r="G825" s="36">
        <f t="shared" ca="1" si="14"/>
        <v>-164.79394645207367</v>
      </c>
    </row>
    <row r="826" spans="1:7" x14ac:dyDescent="0.2">
      <c r="A826" s="6">
        <f ca="1">Model!$F$13+RAND()*(Model!$G$13-Model!$F$13)</f>
        <v>1338.0179632253792</v>
      </c>
      <c r="B826" s="31">
        <f ca="1">Model!$F$14+RAND()*(Model!$G$14-Model!$F$14)</f>
        <v>0.78498728085126035</v>
      </c>
      <c r="C826" s="32">
        <f ca="1">Model!$F$15+RAND()*(Model!$G$15-Model!$F$15)</f>
        <v>1.4011970179654552E-2</v>
      </c>
      <c r="D826" s="33">
        <f ca="1">Model!$F$16+RAND()*(Model!$G$16-Model!$F$16)</f>
        <v>51.047318045124371</v>
      </c>
      <c r="E826" s="33">
        <f>Model!$D$17</f>
        <v>800</v>
      </c>
      <c r="G826" s="36">
        <f t="shared" ca="1" si="14"/>
        <v>-893.27829347227873</v>
      </c>
    </row>
    <row r="827" spans="1:7" x14ac:dyDescent="0.2">
      <c r="A827" s="6">
        <f ca="1">Model!$F$13+RAND()*(Model!$G$13-Model!$F$13)</f>
        <v>1796.4779604226374</v>
      </c>
      <c r="B827" s="31">
        <f ca="1">Model!$F$14+RAND()*(Model!$G$14-Model!$F$14)</f>
        <v>0.32582560068604877</v>
      </c>
      <c r="C827" s="32">
        <f ca="1">Model!$F$15+RAND()*(Model!$G$15-Model!$F$15)</f>
        <v>4.3228949193113944E-2</v>
      </c>
      <c r="D827" s="33">
        <f ca="1">Model!$F$16+RAND()*(Model!$G$16-Model!$F$16)</f>
        <v>48.267036826709457</v>
      </c>
      <c r="E827" s="33">
        <f>Model!$D$17</f>
        <v>800</v>
      </c>
      <c r="G827" s="36">
        <f t="shared" ca="1" si="14"/>
        <v>2363.072545456118</v>
      </c>
    </row>
    <row r="828" spans="1:7" x14ac:dyDescent="0.2">
      <c r="A828" s="6">
        <f ca="1">Model!$F$13+RAND()*(Model!$G$13-Model!$F$13)</f>
        <v>1409.6423229457712</v>
      </c>
      <c r="B828" s="31">
        <f ca="1">Model!$F$14+RAND()*(Model!$G$14-Model!$F$14)</f>
        <v>0.35842889237214315</v>
      </c>
      <c r="C828" s="32">
        <f ca="1">Model!$F$15+RAND()*(Model!$G$15-Model!$F$15)</f>
        <v>1.6344398093729978E-2</v>
      </c>
      <c r="D828" s="33">
        <f ca="1">Model!$F$16+RAND()*(Model!$G$16-Model!$F$16)</f>
        <v>49.900957582180055</v>
      </c>
      <c r="E828" s="33">
        <f>Model!$D$17</f>
        <v>800</v>
      </c>
      <c r="G828" s="36">
        <f t="shared" ca="1" si="14"/>
        <v>-155.55068472504513</v>
      </c>
    </row>
    <row r="829" spans="1:7" x14ac:dyDescent="0.2">
      <c r="A829" s="6">
        <f ca="1">Model!$F$13+RAND()*(Model!$G$13-Model!$F$13)</f>
        <v>1717.4781792462079</v>
      </c>
      <c r="B829" s="31">
        <f ca="1">Model!$F$14+RAND()*(Model!$G$14-Model!$F$14)</f>
        <v>0.24431603420435094</v>
      </c>
      <c r="C829" s="32">
        <f ca="1">Model!$F$15+RAND()*(Model!$G$15-Model!$F$15)</f>
        <v>3.6526780798565972E-2</v>
      </c>
      <c r="D829" s="33">
        <f ca="1">Model!$F$16+RAND()*(Model!$G$16-Model!$F$16)</f>
        <v>49.252965939385497</v>
      </c>
      <c r="E829" s="33">
        <f>Model!$D$17</f>
        <v>800</v>
      </c>
      <c r="G829" s="36">
        <f t="shared" ca="1" si="14"/>
        <v>1870.2255947517306</v>
      </c>
    </row>
    <row r="830" spans="1:7" x14ac:dyDescent="0.2">
      <c r="A830" s="6">
        <f ca="1">Model!$F$13+RAND()*(Model!$G$13-Model!$F$13)</f>
        <v>1424.5701215681127</v>
      </c>
      <c r="B830" s="31">
        <f ca="1">Model!$F$14+RAND()*(Model!$G$14-Model!$F$14)</f>
        <v>0.56282515909302866</v>
      </c>
      <c r="C830" s="32">
        <f ca="1">Model!$F$15+RAND()*(Model!$G$15-Model!$F$15)</f>
        <v>3.1924468888384253E-2</v>
      </c>
      <c r="D830" s="33">
        <f ca="1">Model!$F$16+RAND()*(Model!$G$16-Model!$F$16)</f>
        <v>52.837434843412481</v>
      </c>
      <c r="E830" s="33">
        <f>Model!$D$17</f>
        <v>800</v>
      </c>
      <c r="G830" s="36">
        <f t="shared" ca="1" si="14"/>
        <v>801.19101156272291</v>
      </c>
    </row>
    <row r="831" spans="1:7" x14ac:dyDescent="0.2">
      <c r="A831" s="6">
        <f ca="1">Model!$F$13+RAND()*(Model!$G$13-Model!$F$13)</f>
        <v>1654.8397117735897</v>
      </c>
      <c r="B831" s="31">
        <f ca="1">Model!$F$14+RAND()*(Model!$G$14-Model!$F$14)</f>
        <v>0.51584995547644419</v>
      </c>
      <c r="C831" s="32">
        <f ca="1">Model!$F$15+RAND()*(Model!$G$15-Model!$F$15)</f>
        <v>3.5163632504698825E-2</v>
      </c>
      <c r="D831" s="33">
        <f ca="1">Model!$F$16+RAND()*(Model!$G$16-Model!$F$16)</f>
        <v>52.505259743792038</v>
      </c>
      <c r="E831" s="33">
        <f>Model!$D$17</f>
        <v>800</v>
      </c>
      <c r="G831" s="36">
        <f t="shared" ca="1" si="14"/>
        <v>1401.6412864220574</v>
      </c>
    </row>
    <row r="832" spans="1:7" x14ac:dyDescent="0.2">
      <c r="A832" s="6">
        <f ca="1">Model!$F$13+RAND()*(Model!$G$13-Model!$F$13)</f>
        <v>1611.3520294017787</v>
      </c>
      <c r="B832" s="31">
        <f ca="1">Model!$F$14+RAND()*(Model!$G$14-Model!$F$14)</f>
        <v>0.71446253986440911</v>
      </c>
      <c r="C832" s="32">
        <f ca="1">Model!$F$15+RAND()*(Model!$G$15-Model!$F$15)</f>
        <v>3.689241067759292E-2</v>
      </c>
      <c r="D832" s="33">
        <f ca="1">Model!$F$16+RAND()*(Model!$G$16-Model!$F$16)</f>
        <v>51.629863106180949</v>
      </c>
      <c r="E832" s="33">
        <f>Model!$D$17</f>
        <v>800</v>
      </c>
      <c r="G832" s="36">
        <f t="shared" ca="1" si="14"/>
        <v>1117.9722964488935</v>
      </c>
    </row>
    <row r="833" spans="1:7" x14ac:dyDescent="0.2">
      <c r="A833" s="6">
        <f ca="1">Model!$F$13+RAND()*(Model!$G$13-Model!$F$13)</f>
        <v>1574.9326536287074</v>
      </c>
      <c r="B833" s="31">
        <f ca="1">Model!$F$14+RAND()*(Model!$G$14-Model!$F$14)</f>
        <v>0.6390662802061069</v>
      </c>
      <c r="C833" s="32">
        <f ca="1">Model!$F$15+RAND()*(Model!$G$15-Model!$F$15)</f>
        <v>3.0561633738498017E-2</v>
      </c>
      <c r="D833" s="33">
        <f ca="1">Model!$F$16+RAND()*(Model!$G$16-Model!$F$16)</f>
        <v>52.522449607134654</v>
      </c>
      <c r="E833" s="33">
        <f>Model!$D$17</f>
        <v>800</v>
      </c>
      <c r="G833" s="36">
        <f t="shared" ca="1" si="14"/>
        <v>721.55123697836234</v>
      </c>
    </row>
    <row r="834" spans="1:7" x14ac:dyDescent="0.2">
      <c r="A834" s="6">
        <f ca="1">Model!$F$13+RAND()*(Model!$G$13-Model!$F$13)</f>
        <v>1701.5894015187723</v>
      </c>
      <c r="B834" s="31">
        <f ca="1">Model!$F$14+RAND()*(Model!$G$14-Model!$F$14)</f>
        <v>0.61506018093701575</v>
      </c>
      <c r="C834" s="32">
        <f ca="1">Model!$F$15+RAND()*(Model!$G$15-Model!$F$15)</f>
        <v>4.7169186262437837E-2</v>
      </c>
      <c r="D834" s="33">
        <f ca="1">Model!$F$16+RAND()*(Model!$G$16-Model!$F$16)</f>
        <v>52.149631821167468</v>
      </c>
      <c r="E834" s="33">
        <f>Model!$D$17</f>
        <v>800</v>
      </c>
      <c r="G834" s="36">
        <f t="shared" ca="1" si="14"/>
        <v>2339.0844979152994</v>
      </c>
    </row>
    <row r="835" spans="1:7" x14ac:dyDescent="0.2">
      <c r="A835" s="6">
        <f ca="1">Model!$F$13+RAND()*(Model!$G$13-Model!$F$13)</f>
        <v>1509.4592932592993</v>
      </c>
      <c r="B835" s="31">
        <f ca="1">Model!$F$14+RAND()*(Model!$G$14-Model!$F$14)</f>
        <v>0.65081282011115804</v>
      </c>
      <c r="C835" s="32">
        <f ca="1">Model!$F$15+RAND()*(Model!$G$15-Model!$F$15)</f>
        <v>2.303249954318054E-2</v>
      </c>
      <c r="D835" s="33">
        <f ca="1">Model!$F$16+RAND()*(Model!$G$16-Model!$F$16)</f>
        <v>50.283321398958151</v>
      </c>
      <c r="E835" s="33">
        <f>Model!$D$17</f>
        <v>800</v>
      </c>
      <c r="G835" s="36">
        <f t="shared" ref="G835:G898" ca="1" si="15">A835*C835*D835-(E835+A835*B835)</f>
        <v>-34.194307814725335</v>
      </c>
    </row>
    <row r="836" spans="1:7" x14ac:dyDescent="0.2">
      <c r="A836" s="6">
        <f ca="1">Model!$F$13+RAND()*(Model!$G$13-Model!$F$13)</f>
        <v>1564.4112176447352</v>
      </c>
      <c r="B836" s="31">
        <f ca="1">Model!$F$14+RAND()*(Model!$G$14-Model!$F$14)</f>
        <v>0.49824623439861515</v>
      </c>
      <c r="C836" s="32">
        <f ca="1">Model!$F$15+RAND()*(Model!$G$15-Model!$F$15)</f>
        <v>3.7456105785941711E-2</v>
      </c>
      <c r="D836" s="33">
        <f ca="1">Model!$F$16+RAND()*(Model!$G$16-Model!$F$16)</f>
        <v>48.487851273963294</v>
      </c>
      <c r="E836" s="33">
        <f>Model!$D$17</f>
        <v>800</v>
      </c>
      <c r="G836" s="36">
        <f t="shared" ca="1" si="15"/>
        <v>1261.7686008196622</v>
      </c>
    </row>
    <row r="837" spans="1:7" x14ac:dyDescent="0.2">
      <c r="A837" s="6">
        <f ca="1">Model!$F$13+RAND()*(Model!$G$13-Model!$F$13)</f>
        <v>1678.5870773195538</v>
      </c>
      <c r="B837" s="31">
        <f ca="1">Model!$F$14+RAND()*(Model!$G$14-Model!$F$14)</f>
        <v>0.39721922215902938</v>
      </c>
      <c r="C837" s="32">
        <f ca="1">Model!$F$15+RAND()*(Model!$G$15-Model!$F$15)</f>
        <v>2.1296455068480685E-2</v>
      </c>
      <c r="D837" s="33">
        <f ca="1">Model!$F$16+RAND()*(Model!$G$16-Model!$F$16)</f>
        <v>47.551100776340164</v>
      </c>
      <c r="E837" s="33">
        <f>Model!$D$17</f>
        <v>800</v>
      </c>
      <c r="G837" s="36">
        <f t="shared" ca="1" si="15"/>
        <v>233.08752289347126</v>
      </c>
    </row>
    <row r="838" spans="1:7" x14ac:dyDescent="0.2">
      <c r="A838" s="6">
        <f ca="1">Model!$F$13+RAND()*(Model!$G$13-Model!$F$13)</f>
        <v>1560.1939483568417</v>
      </c>
      <c r="B838" s="31">
        <f ca="1">Model!$F$14+RAND()*(Model!$G$14-Model!$F$14)</f>
        <v>0.22692728845666038</v>
      </c>
      <c r="C838" s="32">
        <f ca="1">Model!$F$15+RAND()*(Model!$G$15-Model!$F$15)</f>
        <v>4.5577956871598463E-2</v>
      </c>
      <c r="D838" s="33">
        <f ca="1">Model!$F$16+RAND()*(Model!$G$16-Model!$F$16)</f>
        <v>50.091552478413007</v>
      </c>
      <c r="E838" s="33">
        <f>Model!$D$17</f>
        <v>800</v>
      </c>
      <c r="G838" s="36">
        <f t="shared" ca="1" si="15"/>
        <v>2407.9823804762309</v>
      </c>
    </row>
    <row r="839" spans="1:7" x14ac:dyDescent="0.2">
      <c r="A839" s="6">
        <f ca="1">Model!$F$13+RAND()*(Model!$G$13-Model!$F$13)</f>
        <v>1772.8220808716105</v>
      </c>
      <c r="B839" s="31">
        <f ca="1">Model!$F$14+RAND()*(Model!$G$14-Model!$F$14)</f>
        <v>0.56204938579502006</v>
      </c>
      <c r="C839" s="32">
        <f ca="1">Model!$F$15+RAND()*(Model!$G$15-Model!$F$15)</f>
        <v>2.3469318820095987E-2</v>
      </c>
      <c r="D839" s="33">
        <f ca="1">Model!$F$16+RAND()*(Model!$G$16-Model!$F$16)</f>
        <v>48.292659650460728</v>
      </c>
      <c r="E839" s="33">
        <f>Model!$D$17</f>
        <v>800</v>
      </c>
      <c r="G839" s="36">
        <f t="shared" ca="1" si="15"/>
        <v>212.89558503527451</v>
      </c>
    </row>
    <row r="840" spans="1:7" x14ac:dyDescent="0.2">
      <c r="A840" s="6">
        <f ca="1">Model!$F$13+RAND()*(Model!$G$13-Model!$F$13)</f>
        <v>1596.6064507044132</v>
      </c>
      <c r="B840" s="31">
        <f ca="1">Model!$F$14+RAND()*(Model!$G$14-Model!$F$14)</f>
        <v>0.43620336230597245</v>
      </c>
      <c r="C840" s="32">
        <f ca="1">Model!$F$15+RAND()*(Model!$G$15-Model!$F$15)</f>
        <v>4.0805156980758144E-2</v>
      </c>
      <c r="D840" s="33">
        <f ca="1">Model!$F$16+RAND()*(Model!$G$16-Model!$F$16)</f>
        <v>51.947864486883027</v>
      </c>
      <c r="E840" s="33">
        <f>Model!$D$17</f>
        <v>800</v>
      </c>
      <c r="G840" s="36">
        <f t="shared" ca="1" si="15"/>
        <v>1887.9466774666114</v>
      </c>
    </row>
    <row r="841" spans="1:7" x14ac:dyDescent="0.2">
      <c r="A841" s="6">
        <f ca="1">Model!$F$13+RAND()*(Model!$G$13-Model!$F$13)</f>
        <v>1482.3018177946053</v>
      </c>
      <c r="B841" s="31">
        <f ca="1">Model!$F$14+RAND()*(Model!$G$14-Model!$F$14)</f>
        <v>0.60348289122139742</v>
      </c>
      <c r="C841" s="32">
        <f ca="1">Model!$F$15+RAND()*(Model!$G$15-Model!$F$15)</f>
        <v>3.8637178100363823E-2</v>
      </c>
      <c r="D841" s="33">
        <f ca="1">Model!$F$16+RAND()*(Model!$G$16-Model!$F$16)</f>
        <v>50.039198380427166</v>
      </c>
      <c r="E841" s="33">
        <f>Model!$D$17</f>
        <v>800</v>
      </c>
      <c r="G841" s="36">
        <f t="shared" ca="1" si="15"/>
        <v>1171.2991480154683</v>
      </c>
    </row>
    <row r="842" spans="1:7" x14ac:dyDescent="0.2">
      <c r="A842" s="6">
        <f ca="1">Model!$F$13+RAND()*(Model!$G$13-Model!$F$13)</f>
        <v>1253.634804116615</v>
      </c>
      <c r="B842" s="31">
        <f ca="1">Model!$F$14+RAND()*(Model!$G$14-Model!$F$14)</f>
        <v>0.47897225606379851</v>
      </c>
      <c r="C842" s="32">
        <f ca="1">Model!$F$15+RAND()*(Model!$G$15-Model!$F$15)</f>
        <v>4.9054789050299835E-2</v>
      </c>
      <c r="D842" s="33">
        <f ca="1">Model!$F$16+RAND()*(Model!$G$16-Model!$F$16)</f>
        <v>52.314879560017253</v>
      </c>
      <c r="E842" s="33">
        <f>Model!$D$17</f>
        <v>800</v>
      </c>
      <c r="G842" s="36">
        <f t="shared" ca="1" si="15"/>
        <v>1816.7409168681177</v>
      </c>
    </row>
    <row r="843" spans="1:7" x14ac:dyDescent="0.2">
      <c r="A843" s="6">
        <f ca="1">Model!$F$13+RAND()*(Model!$G$13-Model!$F$13)</f>
        <v>1724.2733575682628</v>
      </c>
      <c r="B843" s="31">
        <f ca="1">Model!$F$14+RAND()*(Model!$G$14-Model!$F$14)</f>
        <v>0.37808475360843635</v>
      </c>
      <c r="C843" s="32">
        <f ca="1">Model!$F$15+RAND()*(Model!$G$15-Model!$F$15)</f>
        <v>3.3988145909792038E-2</v>
      </c>
      <c r="D843" s="33">
        <f ca="1">Model!$F$16+RAND()*(Model!$G$16-Model!$F$16)</f>
        <v>48.014950687901162</v>
      </c>
      <c r="E843" s="33">
        <f>Model!$D$17</f>
        <v>800</v>
      </c>
      <c r="G843" s="36">
        <f t="shared" ca="1" si="15"/>
        <v>1361.9877296778795</v>
      </c>
    </row>
    <row r="844" spans="1:7" x14ac:dyDescent="0.2">
      <c r="A844" s="6">
        <f ca="1">Model!$F$13+RAND()*(Model!$G$13-Model!$F$13)</f>
        <v>1607.5505259114959</v>
      </c>
      <c r="B844" s="31">
        <f ca="1">Model!$F$14+RAND()*(Model!$G$14-Model!$F$14)</f>
        <v>0.51993064104135345</v>
      </c>
      <c r="C844" s="32">
        <f ca="1">Model!$F$15+RAND()*(Model!$G$15-Model!$F$15)</f>
        <v>2.8850180379279285E-2</v>
      </c>
      <c r="D844" s="33">
        <f ca="1">Model!$F$16+RAND()*(Model!$G$16-Model!$F$16)</f>
        <v>52.724001571108182</v>
      </c>
      <c r="E844" s="33">
        <f>Model!$D$17</f>
        <v>800</v>
      </c>
      <c r="G844" s="36">
        <f t="shared" ca="1" si="15"/>
        <v>809.42543556415831</v>
      </c>
    </row>
    <row r="845" spans="1:7" x14ac:dyDescent="0.2">
      <c r="A845" s="6">
        <f ca="1">Model!$F$13+RAND()*(Model!$G$13-Model!$F$13)</f>
        <v>1207.2767897556539</v>
      </c>
      <c r="B845" s="31">
        <f ca="1">Model!$F$14+RAND()*(Model!$G$14-Model!$F$14)</f>
        <v>0.6464982648912343</v>
      </c>
      <c r="C845" s="32">
        <f ca="1">Model!$F$15+RAND()*(Model!$G$15-Model!$F$15)</f>
        <v>4.7193605793389215E-2</v>
      </c>
      <c r="D845" s="33">
        <f ca="1">Model!$F$16+RAND()*(Model!$G$16-Model!$F$16)</f>
        <v>48.666492066385928</v>
      </c>
      <c r="E845" s="33">
        <f>Model!$D$17</f>
        <v>800</v>
      </c>
      <c r="G845" s="36">
        <f t="shared" ca="1" si="15"/>
        <v>1192.3072872946445</v>
      </c>
    </row>
    <row r="846" spans="1:7" x14ac:dyDescent="0.2">
      <c r="A846" s="6">
        <f ca="1">Model!$F$13+RAND()*(Model!$G$13-Model!$F$13)</f>
        <v>1474.392998061734</v>
      </c>
      <c r="B846" s="31">
        <f ca="1">Model!$F$14+RAND()*(Model!$G$14-Model!$F$14)</f>
        <v>0.39486724909160731</v>
      </c>
      <c r="C846" s="32">
        <f ca="1">Model!$F$15+RAND()*(Model!$G$15-Model!$F$15)</f>
        <v>1.6025843664919076E-2</v>
      </c>
      <c r="D846" s="33">
        <f ca="1">Model!$F$16+RAND()*(Model!$G$16-Model!$F$16)</f>
        <v>51.682367493626522</v>
      </c>
      <c r="E846" s="33">
        <f>Model!$D$17</f>
        <v>800</v>
      </c>
      <c r="G846" s="36">
        <f t="shared" ca="1" si="15"/>
        <v>-161.01828474325566</v>
      </c>
    </row>
    <row r="847" spans="1:7" x14ac:dyDescent="0.2">
      <c r="A847" s="6">
        <f ca="1">Model!$F$13+RAND()*(Model!$G$13-Model!$F$13)</f>
        <v>1300.0019064671737</v>
      </c>
      <c r="B847" s="31">
        <f ca="1">Model!$F$14+RAND()*(Model!$G$14-Model!$F$14)</f>
        <v>0.36497761613155744</v>
      </c>
      <c r="C847" s="32">
        <f ca="1">Model!$F$15+RAND()*(Model!$G$15-Model!$F$15)</f>
        <v>1.160540573161414E-2</v>
      </c>
      <c r="D847" s="33">
        <f ca="1">Model!$F$16+RAND()*(Model!$G$16-Model!$F$16)</f>
        <v>48.060383391121732</v>
      </c>
      <c r="E847" s="33">
        <f>Model!$D$17</f>
        <v>800</v>
      </c>
      <c r="G847" s="36">
        <f t="shared" ca="1" si="15"/>
        <v>-549.38220990509728</v>
      </c>
    </row>
    <row r="848" spans="1:7" x14ac:dyDescent="0.2">
      <c r="A848" s="6">
        <f ca="1">Model!$F$13+RAND()*(Model!$G$13-Model!$F$13)</f>
        <v>1579.2528681075012</v>
      </c>
      <c r="B848" s="31">
        <f ca="1">Model!$F$14+RAND()*(Model!$G$14-Model!$F$14)</f>
        <v>0.37096709596983646</v>
      </c>
      <c r="C848" s="32">
        <f ca="1">Model!$F$15+RAND()*(Model!$G$15-Model!$F$15)</f>
        <v>2.985552120893431E-2</v>
      </c>
      <c r="D848" s="33">
        <f ca="1">Model!$F$16+RAND()*(Model!$G$16-Model!$F$16)</f>
        <v>52.275094357583768</v>
      </c>
      <c r="E848" s="33">
        <f>Model!$D$17</f>
        <v>800</v>
      </c>
      <c r="G848" s="36">
        <f t="shared" ca="1" si="15"/>
        <v>1078.8893983320008</v>
      </c>
    </row>
    <row r="849" spans="1:7" x14ac:dyDescent="0.2">
      <c r="A849" s="6">
        <f ca="1">Model!$F$13+RAND()*(Model!$G$13-Model!$F$13)</f>
        <v>1306.25189536061</v>
      </c>
      <c r="B849" s="31">
        <f ca="1">Model!$F$14+RAND()*(Model!$G$14-Model!$F$14)</f>
        <v>0.69207593091005593</v>
      </c>
      <c r="C849" s="32">
        <f ca="1">Model!$F$15+RAND()*(Model!$G$15-Model!$F$15)</f>
        <v>3.2652647334859591E-2</v>
      </c>
      <c r="D849" s="33">
        <f ca="1">Model!$F$16+RAND()*(Model!$G$16-Model!$F$16)</f>
        <v>49.169375651386559</v>
      </c>
      <c r="E849" s="33">
        <f>Model!$D$17</f>
        <v>800</v>
      </c>
      <c r="G849" s="36">
        <f t="shared" ca="1" si="15"/>
        <v>393.17535346979912</v>
      </c>
    </row>
    <row r="850" spans="1:7" x14ac:dyDescent="0.2">
      <c r="A850" s="6">
        <f ca="1">Model!$F$13+RAND()*(Model!$G$13-Model!$F$13)</f>
        <v>1486.0747240491912</v>
      </c>
      <c r="B850" s="31">
        <f ca="1">Model!$F$14+RAND()*(Model!$G$14-Model!$F$14)</f>
        <v>0.28582686105514254</v>
      </c>
      <c r="C850" s="32">
        <f ca="1">Model!$F$15+RAND()*(Model!$G$15-Model!$F$15)</f>
        <v>2.6536163596130403E-2</v>
      </c>
      <c r="D850" s="33">
        <f ca="1">Model!$F$16+RAND()*(Model!$G$16-Model!$F$16)</f>
        <v>48.386891883881354</v>
      </c>
      <c r="E850" s="33">
        <f>Model!$D$17</f>
        <v>800</v>
      </c>
      <c r="G850" s="36">
        <f t="shared" ca="1" si="15"/>
        <v>683.36355589931009</v>
      </c>
    </row>
    <row r="851" spans="1:7" x14ac:dyDescent="0.2">
      <c r="A851" s="6">
        <f ca="1">Model!$F$13+RAND()*(Model!$G$13-Model!$F$13)</f>
        <v>1389.5148031481683</v>
      </c>
      <c r="B851" s="31">
        <f ca="1">Model!$F$14+RAND()*(Model!$G$14-Model!$F$14)</f>
        <v>0.33326179306051273</v>
      </c>
      <c r="C851" s="32">
        <f ca="1">Model!$F$15+RAND()*(Model!$G$15-Model!$F$15)</f>
        <v>3.0202297529873551E-2</v>
      </c>
      <c r="D851" s="33">
        <f ca="1">Model!$F$16+RAND()*(Model!$G$16-Model!$F$16)</f>
        <v>50.097101387095314</v>
      </c>
      <c r="E851" s="33">
        <f>Model!$D$17</f>
        <v>800</v>
      </c>
      <c r="G851" s="36">
        <f t="shared" ca="1" si="15"/>
        <v>839.32978975865353</v>
      </c>
    </row>
    <row r="852" spans="1:7" x14ac:dyDescent="0.2">
      <c r="A852" s="6">
        <f ca="1">Model!$F$13+RAND()*(Model!$G$13-Model!$F$13)</f>
        <v>1774.4617185903521</v>
      </c>
      <c r="B852" s="31">
        <f ca="1">Model!$F$14+RAND()*(Model!$G$14-Model!$F$14)</f>
        <v>0.47903108236730124</v>
      </c>
      <c r="C852" s="32">
        <f ca="1">Model!$F$15+RAND()*(Model!$G$15-Model!$F$15)</f>
        <v>4.1154853368402938E-2</v>
      </c>
      <c r="D852" s="33">
        <f ca="1">Model!$F$16+RAND()*(Model!$G$16-Model!$F$16)</f>
        <v>50.922332775141015</v>
      </c>
      <c r="E852" s="33">
        <f>Model!$D$17</f>
        <v>800</v>
      </c>
      <c r="G852" s="36">
        <f t="shared" ca="1" si="15"/>
        <v>2068.7191262661263</v>
      </c>
    </row>
    <row r="853" spans="1:7" x14ac:dyDescent="0.2">
      <c r="A853" s="6">
        <f ca="1">Model!$F$13+RAND()*(Model!$G$13-Model!$F$13)</f>
        <v>1447.1635765301471</v>
      </c>
      <c r="B853" s="31">
        <f ca="1">Model!$F$14+RAND()*(Model!$G$14-Model!$F$14)</f>
        <v>0.55685350768454089</v>
      </c>
      <c r="C853" s="32">
        <f ca="1">Model!$F$15+RAND()*(Model!$G$15-Model!$F$15)</f>
        <v>3.1161336143535015E-2</v>
      </c>
      <c r="D853" s="33">
        <f ca="1">Model!$F$16+RAND()*(Model!$G$16-Model!$F$16)</f>
        <v>52.820697258807577</v>
      </c>
      <c r="E853" s="33">
        <f>Model!$D$17</f>
        <v>800</v>
      </c>
      <c r="G853" s="36">
        <f t="shared" ca="1" si="15"/>
        <v>776.12031550205847</v>
      </c>
    </row>
    <row r="854" spans="1:7" x14ac:dyDescent="0.2">
      <c r="A854" s="6">
        <f ca="1">Model!$F$13+RAND()*(Model!$G$13-Model!$F$13)</f>
        <v>1646.4827838127289</v>
      </c>
      <c r="B854" s="31">
        <f ca="1">Model!$F$14+RAND()*(Model!$G$14-Model!$F$14)</f>
        <v>0.32661157297667692</v>
      </c>
      <c r="C854" s="32">
        <f ca="1">Model!$F$15+RAND()*(Model!$G$15-Model!$F$15)</f>
        <v>4.9678332547613981E-2</v>
      </c>
      <c r="D854" s="33">
        <f ca="1">Model!$F$16+RAND()*(Model!$G$16-Model!$F$16)</f>
        <v>52.362057047717883</v>
      </c>
      <c r="E854" s="33">
        <f>Model!$D$17</f>
        <v>800</v>
      </c>
      <c r="G854" s="36">
        <f t="shared" ca="1" si="15"/>
        <v>2945.1689522104821</v>
      </c>
    </row>
    <row r="855" spans="1:7" x14ac:dyDescent="0.2">
      <c r="A855" s="6">
        <f ca="1">Model!$F$13+RAND()*(Model!$G$13-Model!$F$13)</f>
        <v>1205.7644119075999</v>
      </c>
      <c r="B855" s="31">
        <f ca="1">Model!$F$14+RAND()*(Model!$G$14-Model!$F$14)</f>
        <v>0.37632150061587377</v>
      </c>
      <c r="C855" s="32">
        <f ca="1">Model!$F$15+RAND()*(Model!$G$15-Model!$F$15)</f>
        <v>3.1213541801620941E-2</v>
      </c>
      <c r="D855" s="33">
        <f ca="1">Model!$F$16+RAND()*(Model!$G$16-Model!$F$16)</f>
        <v>48.928443830271796</v>
      </c>
      <c r="E855" s="33">
        <f>Model!$D$17</f>
        <v>800</v>
      </c>
      <c r="G855" s="36">
        <f t="shared" ca="1" si="15"/>
        <v>587.72454221509702</v>
      </c>
    </row>
    <row r="856" spans="1:7" x14ac:dyDescent="0.2">
      <c r="A856" s="6">
        <f ca="1">Model!$F$13+RAND()*(Model!$G$13-Model!$F$13)</f>
        <v>1444.880036575006</v>
      </c>
      <c r="B856" s="31">
        <f ca="1">Model!$F$14+RAND()*(Model!$G$14-Model!$F$14)</f>
        <v>0.70613453721526032</v>
      </c>
      <c r="C856" s="32">
        <f ca="1">Model!$F$15+RAND()*(Model!$G$15-Model!$F$15)</f>
        <v>3.4576812597456673E-2</v>
      </c>
      <c r="D856" s="33">
        <f ca="1">Model!$F$16+RAND()*(Model!$G$16-Model!$F$16)</f>
        <v>50.280631040697827</v>
      </c>
      <c r="E856" s="33">
        <f>Model!$D$17</f>
        <v>800</v>
      </c>
      <c r="G856" s="36">
        <f t="shared" ca="1" si="15"/>
        <v>691.70775989540607</v>
      </c>
    </row>
    <row r="857" spans="1:7" x14ac:dyDescent="0.2">
      <c r="A857" s="6">
        <f ca="1">Model!$F$13+RAND()*(Model!$G$13-Model!$F$13)</f>
        <v>1733.6982695436809</v>
      </c>
      <c r="B857" s="31">
        <f ca="1">Model!$F$14+RAND()*(Model!$G$14-Model!$F$14)</f>
        <v>0.24943620001355232</v>
      </c>
      <c r="C857" s="32">
        <f ca="1">Model!$F$15+RAND()*(Model!$G$15-Model!$F$15)</f>
        <v>2.5119653721602724E-2</v>
      </c>
      <c r="D857" s="33">
        <f ca="1">Model!$F$16+RAND()*(Model!$G$16-Model!$F$16)</f>
        <v>49.577666593353086</v>
      </c>
      <c r="E857" s="33">
        <f>Model!$D$17</f>
        <v>800</v>
      </c>
      <c r="G857" s="36">
        <f t="shared" ca="1" si="15"/>
        <v>926.65532340309142</v>
      </c>
    </row>
    <row r="858" spans="1:7" x14ac:dyDescent="0.2">
      <c r="A858" s="6">
        <f ca="1">Model!$F$13+RAND()*(Model!$G$13-Model!$F$13)</f>
        <v>1668.6272730513315</v>
      </c>
      <c r="B858" s="31">
        <f ca="1">Model!$F$14+RAND()*(Model!$G$14-Model!$F$14)</f>
        <v>0.50411507780807741</v>
      </c>
      <c r="C858" s="32">
        <f ca="1">Model!$F$15+RAND()*(Model!$G$15-Model!$F$15)</f>
        <v>2.4895466047500148E-2</v>
      </c>
      <c r="D858" s="33">
        <f ca="1">Model!$F$16+RAND()*(Model!$G$16-Model!$F$16)</f>
        <v>51.433511373699808</v>
      </c>
      <c r="E858" s="33">
        <f>Model!$D$17</f>
        <v>800</v>
      </c>
      <c r="G858" s="36">
        <f t="shared" ca="1" si="15"/>
        <v>495.43237306730362</v>
      </c>
    </row>
    <row r="859" spans="1:7" x14ac:dyDescent="0.2">
      <c r="A859" s="6">
        <f ca="1">Model!$F$13+RAND()*(Model!$G$13-Model!$F$13)</f>
        <v>1507.1354383201683</v>
      </c>
      <c r="B859" s="31">
        <f ca="1">Model!$F$14+RAND()*(Model!$G$14-Model!$F$14)</f>
        <v>0.49173257177716778</v>
      </c>
      <c r="C859" s="32">
        <f ca="1">Model!$F$15+RAND()*(Model!$G$15-Model!$F$15)</f>
        <v>3.8561385085210842E-2</v>
      </c>
      <c r="D859" s="33">
        <f ca="1">Model!$F$16+RAND()*(Model!$G$16-Model!$F$16)</f>
        <v>47.587705185033364</v>
      </c>
      <c r="E859" s="33">
        <f>Model!$D$17</f>
        <v>800</v>
      </c>
      <c r="G859" s="36">
        <f t="shared" ca="1" si="15"/>
        <v>1224.5580229102211</v>
      </c>
    </row>
    <row r="860" spans="1:7" x14ac:dyDescent="0.2">
      <c r="A860" s="6">
        <f ca="1">Model!$F$13+RAND()*(Model!$G$13-Model!$F$13)</f>
        <v>1679.0826489615138</v>
      </c>
      <c r="B860" s="31">
        <f ca="1">Model!$F$14+RAND()*(Model!$G$14-Model!$F$14)</f>
        <v>0.65411879774627313</v>
      </c>
      <c r="C860" s="32">
        <f ca="1">Model!$F$15+RAND()*(Model!$G$15-Model!$F$15)</f>
        <v>2.5726215471278749E-2</v>
      </c>
      <c r="D860" s="33">
        <f ca="1">Model!$F$16+RAND()*(Model!$G$16-Model!$F$16)</f>
        <v>52.31166658589617</v>
      </c>
      <c r="E860" s="33">
        <f>Model!$D$17</f>
        <v>800</v>
      </c>
      <c r="G860" s="36">
        <f t="shared" ca="1" si="15"/>
        <v>361.35834905830689</v>
      </c>
    </row>
    <row r="861" spans="1:7" x14ac:dyDescent="0.2">
      <c r="A861" s="6">
        <f ca="1">Model!$F$13+RAND()*(Model!$G$13-Model!$F$13)</f>
        <v>1270.3481074052788</v>
      </c>
      <c r="B861" s="31">
        <f ca="1">Model!$F$14+RAND()*(Model!$G$14-Model!$F$14)</f>
        <v>0.33689845863002182</v>
      </c>
      <c r="C861" s="32">
        <f ca="1">Model!$F$15+RAND()*(Model!$G$15-Model!$F$15)</f>
        <v>3.3429995464310455E-2</v>
      </c>
      <c r="D861" s="33">
        <f ca="1">Model!$F$16+RAND()*(Model!$G$16-Model!$F$16)</f>
        <v>51.764299326006103</v>
      </c>
      <c r="E861" s="33">
        <f>Model!$D$17</f>
        <v>800</v>
      </c>
      <c r="G861" s="36">
        <f t="shared" ca="1" si="15"/>
        <v>970.3340441314424</v>
      </c>
    </row>
    <row r="862" spans="1:7" x14ac:dyDescent="0.2">
      <c r="A862" s="6">
        <f ca="1">Model!$F$13+RAND()*(Model!$G$13-Model!$F$13)</f>
        <v>1677.2148713632605</v>
      </c>
      <c r="B862" s="31">
        <f ca="1">Model!$F$14+RAND()*(Model!$G$14-Model!$F$14)</f>
        <v>0.3887393352745051</v>
      </c>
      <c r="C862" s="32">
        <f ca="1">Model!$F$15+RAND()*(Model!$G$15-Model!$F$15)</f>
        <v>2.7643834055984196E-2</v>
      </c>
      <c r="D862" s="33">
        <f ca="1">Model!$F$16+RAND()*(Model!$G$16-Model!$F$16)</f>
        <v>50.278135000503553</v>
      </c>
      <c r="E862" s="33">
        <f>Model!$D$17</f>
        <v>800</v>
      </c>
      <c r="G862" s="36">
        <f t="shared" ca="1" si="15"/>
        <v>879.12871663780879</v>
      </c>
    </row>
    <row r="863" spans="1:7" x14ac:dyDescent="0.2">
      <c r="A863" s="6">
        <f ca="1">Model!$F$13+RAND()*(Model!$G$13-Model!$F$13)</f>
        <v>1448.0871127833168</v>
      </c>
      <c r="B863" s="31">
        <f ca="1">Model!$F$14+RAND()*(Model!$G$14-Model!$F$14)</f>
        <v>0.5399265646511</v>
      </c>
      <c r="C863" s="32">
        <f ca="1">Model!$F$15+RAND()*(Model!$G$15-Model!$F$15)</f>
        <v>3.0224115328190464E-2</v>
      </c>
      <c r="D863" s="33">
        <f ca="1">Model!$F$16+RAND()*(Model!$G$16-Model!$F$16)</f>
        <v>52.911242030356831</v>
      </c>
      <c r="E863" s="33">
        <f>Model!$D$17</f>
        <v>800</v>
      </c>
      <c r="G863" s="36">
        <f t="shared" ca="1" si="15"/>
        <v>733.9136671470394</v>
      </c>
    </row>
    <row r="864" spans="1:7" x14ac:dyDescent="0.2">
      <c r="A864" s="6">
        <f ca="1">Model!$F$13+RAND()*(Model!$G$13-Model!$F$13)</f>
        <v>1314.3894016010447</v>
      </c>
      <c r="B864" s="31">
        <f ca="1">Model!$F$14+RAND()*(Model!$G$14-Model!$F$14)</f>
        <v>0.4638512849794969</v>
      </c>
      <c r="C864" s="32">
        <f ca="1">Model!$F$15+RAND()*(Model!$G$15-Model!$F$15)</f>
        <v>1.0475228354193532E-2</v>
      </c>
      <c r="D864" s="33">
        <f ca="1">Model!$F$16+RAND()*(Model!$G$16-Model!$F$16)</f>
        <v>47.844548884790555</v>
      </c>
      <c r="E864" s="33">
        <f>Model!$D$17</f>
        <v>800</v>
      </c>
      <c r="G864" s="36">
        <f t="shared" ca="1" si="15"/>
        <v>-750.93214795490258</v>
      </c>
    </row>
    <row r="865" spans="1:7" x14ac:dyDescent="0.2">
      <c r="A865" s="6">
        <f ca="1">Model!$F$13+RAND()*(Model!$G$13-Model!$F$13)</f>
        <v>1563.5216023497251</v>
      </c>
      <c r="B865" s="31">
        <f ca="1">Model!$F$14+RAND()*(Model!$G$14-Model!$F$14)</f>
        <v>0.69660631434136466</v>
      </c>
      <c r="C865" s="32">
        <f ca="1">Model!$F$15+RAND()*(Model!$G$15-Model!$F$15)</f>
        <v>1.5743322015648046E-2</v>
      </c>
      <c r="D865" s="33">
        <f ca="1">Model!$F$16+RAND()*(Model!$G$16-Model!$F$16)</f>
        <v>52.120794327922304</v>
      </c>
      <c r="E865" s="33">
        <f>Model!$D$17</f>
        <v>800</v>
      </c>
      <c r="G865" s="36">
        <f t="shared" ca="1" si="15"/>
        <v>-606.20441417820439</v>
      </c>
    </row>
    <row r="866" spans="1:7" x14ac:dyDescent="0.2">
      <c r="A866" s="6">
        <f ca="1">Model!$F$13+RAND()*(Model!$G$13-Model!$F$13)</f>
        <v>1212.7665788849033</v>
      </c>
      <c r="B866" s="31">
        <f ca="1">Model!$F$14+RAND()*(Model!$G$14-Model!$F$14)</f>
        <v>0.78400431746252797</v>
      </c>
      <c r="C866" s="32">
        <f ca="1">Model!$F$15+RAND()*(Model!$G$15-Model!$F$15)</f>
        <v>4.3526633521116728E-2</v>
      </c>
      <c r="D866" s="33">
        <f ca="1">Model!$F$16+RAND()*(Model!$G$16-Model!$F$16)</f>
        <v>48.018357441746531</v>
      </c>
      <c r="E866" s="33">
        <f>Model!$D$17</f>
        <v>800</v>
      </c>
      <c r="G866" s="36">
        <f t="shared" ca="1" si="15"/>
        <v>783.96184066169485</v>
      </c>
    </row>
    <row r="867" spans="1:7" x14ac:dyDescent="0.2">
      <c r="A867" s="6">
        <f ca="1">Model!$F$13+RAND()*(Model!$G$13-Model!$F$13)</f>
        <v>1500.7534046698024</v>
      </c>
      <c r="B867" s="31">
        <f ca="1">Model!$F$14+RAND()*(Model!$G$14-Model!$F$14)</f>
        <v>0.68632892587823147</v>
      </c>
      <c r="C867" s="32">
        <f ca="1">Model!$F$15+RAND()*(Model!$G$15-Model!$F$15)</f>
        <v>2.6002797308394207E-2</v>
      </c>
      <c r="D867" s="33">
        <f ca="1">Model!$F$16+RAND()*(Model!$G$16-Model!$F$16)</f>
        <v>48.035858588566846</v>
      </c>
      <c r="E867" s="33">
        <f>Model!$D$17</f>
        <v>800</v>
      </c>
      <c r="G867" s="36">
        <f t="shared" ca="1" si="15"/>
        <v>44.530622065127318</v>
      </c>
    </row>
    <row r="868" spans="1:7" x14ac:dyDescent="0.2">
      <c r="A868" s="6">
        <f ca="1">Model!$F$13+RAND()*(Model!$G$13-Model!$F$13)</f>
        <v>1277.8963003557985</v>
      </c>
      <c r="B868" s="31">
        <f ca="1">Model!$F$14+RAND()*(Model!$G$14-Model!$F$14)</f>
        <v>0.44986211262287579</v>
      </c>
      <c r="C868" s="32">
        <f ca="1">Model!$F$15+RAND()*(Model!$G$15-Model!$F$15)</f>
        <v>1.7467818919884203E-2</v>
      </c>
      <c r="D868" s="33">
        <f ca="1">Model!$F$16+RAND()*(Model!$G$16-Model!$F$16)</f>
        <v>49.479029956979964</v>
      </c>
      <c r="E868" s="33">
        <f>Model!$D$17</f>
        <v>800</v>
      </c>
      <c r="G868" s="36">
        <f t="shared" ca="1" si="15"/>
        <v>-270.40319591036064</v>
      </c>
    </row>
    <row r="869" spans="1:7" x14ac:dyDescent="0.2">
      <c r="A869" s="6">
        <f ca="1">Model!$F$13+RAND()*(Model!$G$13-Model!$F$13)</f>
        <v>1780.1624308305545</v>
      </c>
      <c r="B869" s="31">
        <f ca="1">Model!$F$14+RAND()*(Model!$G$14-Model!$F$14)</f>
        <v>0.30490181573694763</v>
      </c>
      <c r="C869" s="32">
        <f ca="1">Model!$F$15+RAND()*(Model!$G$15-Model!$F$15)</f>
        <v>1.8972054720411288E-2</v>
      </c>
      <c r="D869" s="33">
        <f ca="1">Model!$F$16+RAND()*(Model!$G$16-Model!$F$16)</f>
        <v>48.177887289779996</v>
      </c>
      <c r="E869" s="33">
        <f>Model!$D$17</f>
        <v>800</v>
      </c>
      <c r="G869" s="36">
        <f t="shared" ca="1" si="15"/>
        <v>284.35336463230942</v>
      </c>
    </row>
    <row r="870" spans="1:7" x14ac:dyDescent="0.2">
      <c r="A870" s="6">
        <f ca="1">Model!$F$13+RAND()*(Model!$G$13-Model!$F$13)</f>
        <v>1439.7233505791792</v>
      </c>
      <c r="B870" s="31">
        <f ca="1">Model!$F$14+RAND()*(Model!$G$14-Model!$F$14)</f>
        <v>0.4830751705837098</v>
      </c>
      <c r="C870" s="32">
        <f ca="1">Model!$F$15+RAND()*(Model!$G$15-Model!$F$15)</f>
        <v>2.0633107826985162E-2</v>
      </c>
      <c r="D870" s="33">
        <f ca="1">Model!$F$16+RAND()*(Model!$G$16-Model!$F$16)</f>
        <v>47.527862338077718</v>
      </c>
      <c r="E870" s="33">
        <f>Model!$D$17</f>
        <v>800</v>
      </c>
      <c r="G870" s="36">
        <f t="shared" ca="1" si="15"/>
        <v>-83.633486632580343</v>
      </c>
    </row>
    <row r="871" spans="1:7" x14ac:dyDescent="0.2">
      <c r="A871" s="6">
        <f ca="1">Model!$F$13+RAND()*(Model!$G$13-Model!$F$13)</f>
        <v>1281.744654543048</v>
      </c>
      <c r="B871" s="31">
        <f ca="1">Model!$F$14+RAND()*(Model!$G$14-Model!$F$14)</f>
        <v>0.21846955934042547</v>
      </c>
      <c r="C871" s="32">
        <f ca="1">Model!$F$15+RAND()*(Model!$G$15-Model!$F$15)</f>
        <v>3.2097820529945933E-2</v>
      </c>
      <c r="D871" s="33">
        <f ca="1">Model!$F$16+RAND()*(Model!$G$16-Model!$F$16)</f>
        <v>52.316079811328215</v>
      </c>
      <c r="E871" s="33">
        <f>Model!$D$17</f>
        <v>800</v>
      </c>
      <c r="G871" s="36">
        <f t="shared" ca="1" si="15"/>
        <v>1072.3246301043455</v>
      </c>
    </row>
    <row r="872" spans="1:7" x14ac:dyDescent="0.2">
      <c r="A872" s="6">
        <f ca="1">Model!$F$13+RAND()*(Model!$G$13-Model!$F$13)</f>
        <v>1617.5130204680358</v>
      </c>
      <c r="B872" s="31">
        <f ca="1">Model!$F$14+RAND()*(Model!$G$14-Model!$F$14)</f>
        <v>0.40328995884842495</v>
      </c>
      <c r="C872" s="32">
        <f ca="1">Model!$F$15+RAND()*(Model!$G$15-Model!$F$15)</f>
        <v>3.6284521092487247E-2</v>
      </c>
      <c r="D872" s="33">
        <f ca="1">Model!$F$16+RAND()*(Model!$G$16-Model!$F$16)</f>
        <v>51.89157443521654</v>
      </c>
      <c r="E872" s="33">
        <f>Model!$D$17</f>
        <v>800</v>
      </c>
      <c r="G872" s="36">
        <f t="shared" ca="1" si="15"/>
        <v>1593.2253058808974</v>
      </c>
    </row>
    <row r="873" spans="1:7" x14ac:dyDescent="0.2">
      <c r="A873" s="6">
        <f ca="1">Model!$F$13+RAND()*(Model!$G$13-Model!$F$13)</f>
        <v>1367.3397778298283</v>
      </c>
      <c r="B873" s="31">
        <f ca="1">Model!$F$14+RAND()*(Model!$G$14-Model!$F$14)</f>
        <v>0.29806325491181362</v>
      </c>
      <c r="C873" s="32">
        <f ca="1">Model!$F$15+RAND()*(Model!$G$15-Model!$F$15)</f>
        <v>4.3415813727301841E-2</v>
      </c>
      <c r="D873" s="33">
        <f ca="1">Model!$F$16+RAND()*(Model!$G$16-Model!$F$16)</f>
        <v>47.956578348213341</v>
      </c>
      <c r="E873" s="33">
        <f>Model!$D$17</f>
        <v>800</v>
      </c>
      <c r="G873" s="36">
        <f t="shared" ca="1" si="15"/>
        <v>1639.3486815876713</v>
      </c>
    </row>
    <row r="874" spans="1:7" x14ac:dyDescent="0.2">
      <c r="A874" s="6">
        <f ca="1">Model!$F$13+RAND()*(Model!$G$13-Model!$F$13)</f>
        <v>1310.2228997600946</v>
      </c>
      <c r="B874" s="31">
        <f ca="1">Model!$F$14+RAND()*(Model!$G$14-Model!$F$14)</f>
        <v>0.62587516159512036</v>
      </c>
      <c r="C874" s="32">
        <f ca="1">Model!$F$15+RAND()*(Model!$G$15-Model!$F$15)</f>
        <v>2.7523906156586543E-2</v>
      </c>
      <c r="D874" s="33">
        <f ca="1">Model!$F$16+RAND()*(Model!$G$16-Model!$F$16)</f>
        <v>48.610628782398585</v>
      </c>
      <c r="E874" s="33">
        <f>Model!$D$17</f>
        <v>800</v>
      </c>
      <c r="G874" s="36">
        <f t="shared" ca="1" si="15"/>
        <v>132.98250471183587</v>
      </c>
    </row>
    <row r="875" spans="1:7" x14ac:dyDescent="0.2">
      <c r="A875" s="6">
        <f ca="1">Model!$F$13+RAND()*(Model!$G$13-Model!$F$13)</f>
        <v>1414.5186507588753</v>
      </c>
      <c r="B875" s="31">
        <f ca="1">Model!$F$14+RAND()*(Model!$G$14-Model!$F$14)</f>
        <v>0.21284834060658345</v>
      </c>
      <c r="C875" s="32">
        <f ca="1">Model!$F$15+RAND()*(Model!$G$15-Model!$F$15)</f>
        <v>3.8323020851263108E-2</v>
      </c>
      <c r="D875" s="33">
        <f ca="1">Model!$F$16+RAND()*(Model!$G$16-Model!$F$16)</f>
        <v>52.071237604533906</v>
      </c>
      <c r="E875" s="33">
        <f>Model!$D$17</f>
        <v>800</v>
      </c>
      <c r="G875" s="36">
        <f t="shared" ca="1" si="15"/>
        <v>1721.6323880864272</v>
      </c>
    </row>
    <row r="876" spans="1:7" x14ac:dyDescent="0.2">
      <c r="A876" s="6">
        <f ca="1">Model!$F$13+RAND()*(Model!$G$13-Model!$F$13)</f>
        <v>1424.3947138645435</v>
      </c>
      <c r="B876" s="31">
        <f ca="1">Model!$F$14+RAND()*(Model!$G$14-Model!$F$14)</f>
        <v>0.44671306442483188</v>
      </c>
      <c r="C876" s="32">
        <f ca="1">Model!$F$15+RAND()*(Model!$G$15-Model!$F$15)</f>
        <v>4.2472980470680662E-2</v>
      </c>
      <c r="D876" s="33">
        <f ca="1">Model!$F$16+RAND()*(Model!$G$16-Model!$F$16)</f>
        <v>49.575674897255922</v>
      </c>
      <c r="E876" s="33">
        <f>Model!$D$17</f>
        <v>800</v>
      </c>
      <c r="G876" s="36">
        <f t="shared" ca="1" si="15"/>
        <v>1562.9477730062408</v>
      </c>
    </row>
    <row r="877" spans="1:7" x14ac:dyDescent="0.2">
      <c r="A877" s="6">
        <f ca="1">Model!$F$13+RAND()*(Model!$G$13-Model!$F$13)</f>
        <v>1225.7013399107173</v>
      </c>
      <c r="B877" s="31">
        <f ca="1">Model!$F$14+RAND()*(Model!$G$14-Model!$F$14)</f>
        <v>0.47673420609342848</v>
      </c>
      <c r="C877" s="32">
        <f ca="1">Model!$F$15+RAND()*(Model!$G$15-Model!$F$15)</f>
        <v>1.3150082284125748E-2</v>
      </c>
      <c r="D877" s="33">
        <f ca="1">Model!$F$16+RAND()*(Model!$G$16-Model!$F$16)</f>
        <v>52.910483134266613</v>
      </c>
      <c r="E877" s="33">
        <f>Model!$D$17</f>
        <v>800</v>
      </c>
      <c r="G877" s="36">
        <f t="shared" ca="1" si="15"/>
        <v>-531.51870040295933</v>
      </c>
    </row>
    <row r="878" spans="1:7" x14ac:dyDescent="0.2">
      <c r="A878" s="6">
        <f ca="1">Model!$F$13+RAND()*(Model!$G$13-Model!$F$13)</f>
        <v>1780.1802842531497</v>
      </c>
      <c r="B878" s="31">
        <f ca="1">Model!$F$14+RAND()*(Model!$G$14-Model!$F$14)</f>
        <v>0.36641908297503933</v>
      </c>
      <c r="C878" s="32">
        <f ca="1">Model!$F$15+RAND()*(Model!$G$15-Model!$F$15)</f>
        <v>1.7356535035253313E-2</v>
      </c>
      <c r="D878" s="33">
        <f ca="1">Model!$F$16+RAND()*(Model!$G$16-Model!$F$16)</f>
        <v>52.666357937572755</v>
      </c>
      <c r="E878" s="33">
        <f>Model!$D$17</f>
        <v>800</v>
      </c>
      <c r="G878" s="36">
        <f t="shared" ca="1" si="15"/>
        <v>174.98053790504787</v>
      </c>
    </row>
    <row r="879" spans="1:7" x14ac:dyDescent="0.2">
      <c r="A879" s="6">
        <f ca="1">Model!$F$13+RAND()*(Model!$G$13-Model!$F$13)</f>
        <v>1228.2869758157142</v>
      </c>
      <c r="B879" s="31">
        <f ca="1">Model!$F$14+RAND()*(Model!$G$14-Model!$F$14)</f>
        <v>0.36684317937807692</v>
      </c>
      <c r="C879" s="32">
        <f ca="1">Model!$F$15+RAND()*(Model!$G$15-Model!$F$15)</f>
        <v>1.6920766115087818E-2</v>
      </c>
      <c r="D879" s="33">
        <f ca="1">Model!$F$16+RAND()*(Model!$G$16-Model!$F$16)</f>
        <v>48.184414721879932</v>
      </c>
      <c r="E879" s="33">
        <f>Model!$D$17</f>
        <v>800</v>
      </c>
      <c r="G879" s="36">
        <f t="shared" ca="1" si="15"/>
        <v>-249.14518686014196</v>
      </c>
    </row>
    <row r="880" spans="1:7" x14ac:dyDescent="0.2">
      <c r="A880" s="6">
        <f ca="1">Model!$F$13+RAND()*(Model!$G$13-Model!$F$13)</f>
        <v>1538.9560075540226</v>
      </c>
      <c r="B880" s="31">
        <f ca="1">Model!$F$14+RAND()*(Model!$G$14-Model!$F$14)</f>
        <v>0.2388851939918325</v>
      </c>
      <c r="C880" s="32">
        <f ca="1">Model!$F$15+RAND()*(Model!$G$15-Model!$F$15)</f>
        <v>4.9762979376190043E-2</v>
      </c>
      <c r="D880" s="33">
        <f ca="1">Model!$F$16+RAND()*(Model!$G$16-Model!$F$16)</f>
        <v>47.597285005588596</v>
      </c>
      <c r="E880" s="33">
        <f>Model!$D$17</f>
        <v>800</v>
      </c>
      <c r="G880" s="36">
        <f t="shared" ca="1" si="15"/>
        <v>2477.5107897589073</v>
      </c>
    </row>
    <row r="881" spans="1:7" x14ac:dyDescent="0.2">
      <c r="A881" s="6">
        <f ca="1">Model!$F$13+RAND()*(Model!$G$13-Model!$F$13)</f>
        <v>1245.8577022665947</v>
      </c>
      <c r="B881" s="31">
        <f ca="1">Model!$F$14+RAND()*(Model!$G$14-Model!$F$14)</f>
        <v>0.57810417373551537</v>
      </c>
      <c r="C881" s="32">
        <f ca="1">Model!$F$15+RAND()*(Model!$G$15-Model!$F$15)</f>
        <v>2.1946793763118901E-2</v>
      </c>
      <c r="D881" s="33">
        <f ca="1">Model!$F$16+RAND()*(Model!$G$16-Model!$F$16)</f>
        <v>51.655393045855092</v>
      </c>
      <c r="E881" s="33">
        <f>Model!$D$17</f>
        <v>800</v>
      </c>
      <c r="G881" s="36">
        <f t="shared" ca="1" si="15"/>
        <v>-107.8437148879259</v>
      </c>
    </row>
    <row r="882" spans="1:7" x14ac:dyDescent="0.2">
      <c r="A882" s="6">
        <f ca="1">Model!$F$13+RAND()*(Model!$G$13-Model!$F$13)</f>
        <v>1520.779723481824</v>
      </c>
      <c r="B882" s="31">
        <f ca="1">Model!$F$14+RAND()*(Model!$G$14-Model!$F$14)</f>
        <v>0.53650301676759282</v>
      </c>
      <c r="C882" s="32">
        <f ca="1">Model!$F$15+RAND()*(Model!$G$15-Model!$F$15)</f>
        <v>1.6289618462888546E-2</v>
      </c>
      <c r="D882" s="33">
        <f ca="1">Model!$F$16+RAND()*(Model!$G$16-Model!$F$16)</f>
        <v>52.932687631975362</v>
      </c>
      <c r="E882" s="33">
        <f>Model!$D$17</f>
        <v>800</v>
      </c>
      <c r="G882" s="36">
        <f t="shared" ca="1" si="15"/>
        <v>-304.6055960278029</v>
      </c>
    </row>
    <row r="883" spans="1:7" x14ac:dyDescent="0.2">
      <c r="A883" s="6">
        <f ca="1">Model!$F$13+RAND()*(Model!$G$13-Model!$F$13)</f>
        <v>1288.4548754691559</v>
      </c>
      <c r="B883" s="31">
        <f ca="1">Model!$F$14+RAND()*(Model!$G$14-Model!$F$14)</f>
        <v>0.46710834251479411</v>
      </c>
      <c r="C883" s="32">
        <f ca="1">Model!$F$15+RAND()*(Model!$G$15-Model!$F$15)</f>
        <v>1.7917401399786252E-2</v>
      </c>
      <c r="D883" s="33">
        <f ca="1">Model!$F$16+RAND()*(Model!$G$16-Model!$F$16)</f>
        <v>50.483486724301706</v>
      </c>
      <c r="E883" s="33">
        <f>Model!$D$17</f>
        <v>800</v>
      </c>
      <c r="G883" s="36">
        <f t="shared" ca="1" si="15"/>
        <v>-236.39820179848334</v>
      </c>
    </row>
    <row r="884" spans="1:7" x14ac:dyDescent="0.2">
      <c r="A884" s="6">
        <f ca="1">Model!$F$13+RAND()*(Model!$G$13-Model!$F$13)</f>
        <v>1255.7886455482251</v>
      </c>
      <c r="B884" s="31">
        <f ca="1">Model!$F$14+RAND()*(Model!$G$14-Model!$F$14)</f>
        <v>0.67752077401227606</v>
      </c>
      <c r="C884" s="32">
        <f ca="1">Model!$F$15+RAND()*(Model!$G$15-Model!$F$15)</f>
        <v>3.0734684234625206E-2</v>
      </c>
      <c r="D884" s="33">
        <f ca="1">Model!$F$16+RAND()*(Model!$G$16-Model!$F$16)</f>
        <v>47.066653104069566</v>
      </c>
      <c r="E884" s="33">
        <f>Model!$D$17</f>
        <v>800</v>
      </c>
      <c r="G884" s="36">
        <f t="shared" ca="1" si="15"/>
        <v>165.7742377643649</v>
      </c>
    </row>
    <row r="885" spans="1:7" x14ac:dyDescent="0.2">
      <c r="A885" s="6">
        <f ca="1">Model!$F$13+RAND()*(Model!$G$13-Model!$F$13)</f>
        <v>1309.8290512984195</v>
      </c>
      <c r="B885" s="31">
        <f ca="1">Model!$F$14+RAND()*(Model!$G$14-Model!$F$14)</f>
        <v>0.57738920467920729</v>
      </c>
      <c r="C885" s="32">
        <f ca="1">Model!$F$15+RAND()*(Model!$G$15-Model!$F$15)</f>
        <v>1.1554386040926561E-2</v>
      </c>
      <c r="D885" s="33">
        <f ca="1">Model!$F$16+RAND()*(Model!$G$16-Model!$F$16)</f>
        <v>49.11614550845043</v>
      </c>
      <c r="E885" s="33">
        <f>Model!$D$17</f>
        <v>800</v>
      </c>
      <c r="G885" s="36">
        <f t="shared" ca="1" si="15"/>
        <v>-812.9441218421274</v>
      </c>
    </row>
    <row r="886" spans="1:7" x14ac:dyDescent="0.2">
      <c r="A886" s="6">
        <f ca="1">Model!$F$13+RAND()*(Model!$G$13-Model!$F$13)</f>
        <v>1457.1902896581998</v>
      </c>
      <c r="B886" s="31">
        <f ca="1">Model!$F$14+RAND()*(Model!$G$14-Model!$F$14)</f>
        <v>0.70896589971340385</v>
      </c>
      <c r="C886" s="32">
        <f ca="1">Model!$F$15+RAND()*(Model!$G$15-Model!$F$15)</f>
        <v>2.1859822830195434E-2</v>
      </c>
      <c r="D886" s="33">
        <f ca="1">Model!$F$16+RAND()*(Model!$G$16-Model!$F$16)</f>
        <v>48.975158156190076</v>
      </c>
      <c r="E886" s="33">
        <f>Model!$D$17</f>
        <v>800</v>
      </c>
      <c r="G886" s="36">
        <f t="shared" ca="1" si="15"/>
        <v>-273.04737837667199</v>
      </c>
    </row>
    <row r="887" spans="1:7" x14ac:dyDescent="0.2">
      <c r="A887" s="6">
        <f ca="1">Model!$F$13+RAND()*(Model!$G$13-Model!$F$13)</f>
        <v>1466.1201671500751</v>
      </c>
      <c r="B887" s="31">
        <f ca="1">Model!$F$14+RAND()*(Model!$G$14-Model!$F$14)</f>
        <v>0.29664671839116163</v>
      </c>
      <c r="C887" s="32">
        <f ca="1">Model!$F$15+RAND()*(Model!$G$15-Model!$F$15)</f>
        <v>2.915838943939536E-2</v>
      </c>
      <c r="D887" s="33">
        <f ca="1">Model!$F$16+RAND()*(Model!$G$16-Model!$F$16)</f>
        <v>50.942205671667089</v>
      </c>
      <c r="E887" s="33">
        <f>Model!$D$17</f>
        <v>800</v>
      </c>
      <c r="G887" s="36">
        <f t="shared" ca="1" si="15"/>
        <v>942.84441602252446</v>
      </c>
    </row>
    <row r="888" spans="1:7" x14ac:dyDescent="0.2">
      <c r="A888" s="6">
        <f ca="1">Model!$F$13+RAND()*(Model!$G$13-Model!$F$13)</f>
        <v>1614.6024242350691</v>
      </c>
      <c r="B888" s="31">
        <f ca="1">Model!$F$14+RAND()*(Model!$G$14-Model!$F$14)</f>
        <v>0.43712446116638792</v>
      </c>
      <c r="C888" s="32">
        <f ca="1">Model!$F$15+RAND()*(Model!$G$15-Model!$F$15)</f>
        <v>1.1819530233022353E-2</v>
      </c>
      <c r="D888" s="33">
        <f ca="1">Model!$F$16+RAND()*(Model!$G$16-Model!$F$16)</f>
        <v>49.870205464660522</v>
      </c>
      <c r="E888" s="33">
        <f>Model!$D$17</f>
        <v>800</v>
      </c>
      <c r="G888" s="36">
        <f t="shared" ca="1" si="15"/>
        <v>-554.06708474044933</v>
      </c>
    </row>
    <row r="889" spans="1:7" x14ac:dyDescent="0.2">
      <c r="A889" s="6">
        <f ca="1">Model!$F$13+RAND()*(Model!$G$13-Model!$F$13)</f>
        <v>1540.6891824415679</v>
      </c>
      <c r="B889" s="31">
        <f ca="1">Model!$F$14+RAND()*(Model!$G$14-Model!$F$14)</f>
        <v>0.65189902289571</v>
      </c>
      <c r="C889" s="32">
        <f ca="1">Model!$F$15+RAND()*(Model!$G$15-Model!$F$15)</f>
        <v>4.8343021694196152E-2</v>
      </c>
      <c r="D889" s="33">
        <f ca="1">Model!$F$16+RAND()*(Model!$G$16-Model!$F$16)</f>
        <v>51.607011746939044</v>
      </c>
      <c r="E889" s="33">
        <f>Model!$D$17</f>
        <v>800</v>
      </c>
      <c r="G889" s="36">
        <f t="shared" ca="1" si="15"/>
        <v>2039.3975147573767</v>
      </c>
    </row>
    <row r="890" spans="1:7" x14ac:dyDescent="0.2">
      <c r="A890" s="6">
        <f ca="1">Model!$F$13+RAND()*(Model!$G$13-Model!$F$13)</f>
        <v>1512.7297513860749</v>
      </c>
      <c r="B890" s="31">
        <f ca="1">Model!$F$14+RAND()*(Model!$G$14-Model!$F$14)</f>
        <v>0.26831584016943816</v>
      </c>
      <c r="C890" s="32">
        <f ca="1">Model!$F$15+RAND()*(Model!$G$15-Model!$F$15)</f>
        <v>2.7598288781352807E-2</v>
      </c>
      <c r="D890" s="33">
        <f ca="1">Model!$F$16+RAND()*(Model!$G$16-Model!$F$16)</f>
        <v>50.58996319880773</v>
      </c>
      <c r="E890" s="33">
        <f>Model!$D$17</f>
        <v>800</v>
      </c>
      <c r="G890" s="36">
        <f t="shared" ca="1" si="15"/>
        <v>906.17849973938701</v>
      </c>
    </row>
    <row r="891" spans="1:7" x14ac:dyDescent="0.2">
      <c r="A891" s="6">
        <f ca="1">Model!$F$13+RAND()*(Model!$G$13-Model!$F$13)</f>
        <v>1779.0388719089333</v>
      </c>
      <c r="B891" s="31">
        <f ca="1">Model!$F$14+RAND()*(Model!$G$14-Model!$F$14)</f>
        <v>0.79191409084404896</v>
      </c>
      <c r="C891" s="32">
        <f ca="1">Model!$F$15+RAND()*(Model!$G$15-Model!$F$15)</f>
        <v>1.1960727706187228E-2</v>
      </c>
      <c r="D891" s="33">
        <f ca="1">Model!$F$16+RAND()*(Model!$G$16-Model!$F$16)</f>
        <v>49.881437100295194</v>
      </c>
      <c r="E891" s="33">
        <f>Model!$D$17</f>
        <v>800</v>
      </c>
      <c r="G891" s="36">
        <f t="shared" ca="1" si="15"/>
        <v>-1147.4388270041381</v>
      </c>
    </row>
    <row r="892" spans="1:7" x14ac:dyDescent="0.2">
      <c r="A892" s="6">
        <f ca="1">Model!$F$13+RAND()*(Model!$G$13-Model!$F$13)</f>
        <v>1445.4659172083734</v>
      </c>
      <c r="B892" s="31">
        <f ca="1">Model!$F$14+RAND()*(Model!$G$14-Model!$F$14)</f>
        <v>0.26029932068049666</v>
      </c>
      <c r="C892" s="32">
        <f ca="1">Model!$F$15+RAND()*(Model!$G$15-Model!$F$15)</f>
        <v>1.6561734017058523E-2</v>
      </c>
      <c r="D892" s="33">
        <f ca="1">Model!$F$16+RAND()*(Model!$G$16-Model!$F$16)</f>
        <v>50.793971598372003</v>
      </c>
      <c r="E892" s="33">
        <f>Model!$D$17</f>
        <v>800</v>
      </c>
      <c r="G892" s="36">
        <f t="shared" ca="1" si="15"/>
        <v>39.724527450634469</v>
      </c>
    </row>
    <row r="893" spans="1:7" x14ac:dyDescent="0.2">
      <c r="A893" s="6">
        <f ca="1">Model!$F$13+RAND()*(Model!$G$13-Model!$F$13)</f>
        <v>1773.0585569049522</v>
      </c>
      <c r="B893" s="31">
        <f ca="1">Model!$F$14+RAND()*(Model!$G$14-Model!$F$14)</f>
        <v>0.33610916908159155</v>
      </c>
      <c r="C893" s="32">
        <f ca="1">Model!$F$15+RAND()*(Model!$G$15-Model!$F$15)</f>
        <v>2.7254364761957223E-2</v>
      </c>
      <c r="D893" s="33">
        <f ca="1">Model!$F$16+RAND()*(Model!$G$16-Model!$F$16)</f>
        <v>47.797433397330884</v>
      </c>
      <c r="E893" s="33">
        <f>Model!$D$17</f>
        <v>800</v>
      </c>
      <c r="G893" s="36">
        <f t="shared" ca="1" si="15"/>
        <v>913.80208073493532</v>
      </c>
    </row>
    <row r="894" spans="1:7" x14ac:dyDescent="0.2">
      <c r="A894" s="6">
        <f ca="1">Model!$F$13+RAND()*(Model!$G$13-Model!$F$13)</f>
        <v>1490.3754327692704</v>
      </c>
      <c r="B894" s="31">
        <f ca="1">Model!$F$14+RAND()*(Model!$G$14-Model!$F$14)</f>
        <v>0.7739972856404731</v>
      </c>
      <c r="C894" s="32">
        <f ca="1">Model!$F$15+RAND()*(Model!$G$15-Model!$F$15)</f>
        <v>4.9930608826698024E-2</v>
      </c>
      <c r="D894" s="33">
        <f ca="1">Model!$F$16+RAND()*(Model!$G$16-Model!$F$16)</f>
        <v>52.594007212586654</v>
      </c>
      <c r="E894" s="33">
        <f>Model!$D$17</f>
        <v>800</v>
      </c>
      <c r="G894" s="36">
        <f t="shared" ca="1" si="15"/>
        <v>1960.2550591084096</v>
      </c>
    </row>
    <row r="895" spans="1:7" x14ac:dyDescent="0.2">
      <c r="A895" s="6">
        <f ca="1">Model!$F$13+RAND()*(Model!$G$13-Model!$F$13)</f>
        <v>1244.1138962747143</v>
      </c>
      <c r="B895" s="31">
        <f ca="1">Model!$F$14+RAND()*(Model!$G$14-Model!$F$14)</f>
        <v>0.5141840308144956</v>
      </c>
      <c r="C895" s="32">
        <f ca="1">Model!$F$15+RAND()*(Model!$G$15-Model!$F$15)</f>
        <v>3.0237222965262177E-2</v>
      </c>
      <c r="D895" s="33">
        <f ca="1">Model!$F$16+RAND()*(Model!$G$16-Model!$F$16)</f>
        <v>48.120933432221314</v>
      </c>
      <c r="E895" s="33">
        <f>Model!$D$17</f>
        <v>800</v>
      </c>
      <c r="G895" s="36">
        <f t="shared" ca="1" si="15"/>
        <v>370.53620754055464</v>
      </c>
    </row>
    <row r="896" spans="1:7" x14ac:dyDescent="0.2">
      <c r="A896" s="6">
        <f ca="1">Model!$F$13+RAND()*(Model!$G$13-Model!$F$13)</f>
        <v>1673.8908405133989</v>
      </c>
      <c r="B896" s="31">
        <f ca="1">Model!$F$14+RAND()*(Model!$G$14-Model!$F$14)</f>
        <v>0.50462733393261261</v>
      </c>
      <c r="C896" s="32">
        <f ca="1">Model!$F$15+RAND()*(Model!$G$15-Model!$F$15)</f>
        <v>3.2124641869811642E-2</v>
      </c>
      <c r="D896" s="33">
        <f ca="1">Model!$F$16+RAND()*(Model!$G$16-Model!$F$16)</f>
        <v>49.031090856323601</v>
      </c>
      <c r="E896" s="33">
        <f>Model!$D$17</f>
        <v>800</v>
      </c>
      <c r="G896" s="36">
        <f t="shared" ca="1" si="15"/>
        <v>991.86482619675189</v>
      </c>
    </row>
    <row r="897" spans="1:7" x14ac:dyDescent="0.2">
      <c r="A897" s="6">
        <f ca="1">Model!$F$13+RAND()*(Model!$G$13-Model!$F$13)</f>
        <v>1559.7715626107554</v>
      </c>
      <c r="B897" s="31">
        <f ca="1">Model!$F$14+RAND()*(Model!$G$14-Model!$F$14)</f>
        <v>0.30972654351291951</v>
      </c>
      <c r="C897" s="32">
        <f ca="1">Model!$F$15+RAND()*(Model!$G$15-Model!$F$15)</f>
        <v>4.8455738195941317E-2</v>
      </c>
      <c r="D897" s="33">
        <f ca="1">Model!$F$16+RAND()*(Model!$G$16-Model!$F$16)</f>
        <v>52.772330770161332</v>
      </c>
      <c r="E897" s="33">
        <f>Model!$D$17</f>
        <v>800</v>
      </c>
      <c r="G897" s="36">
        <f t="shared" ca="1" si="15"/>
        <v>2705.4239032236219</v>
      </c>
    </row>
    <row r="898" spans="1:7" x14ac:dyDescent="0.2">
      <c r="A898" s="6">
        <f ca="1">Model!$F$13+RAND()*(Model!$G$13-Model!$F$13)</f>
        <v>1238.3840778320755</v>
      </c>
      <c r="B898" s="31">
        <f ca="1">Model!$F$14+RAND()*(Model!$G$14-Model!$F$14)</f>
        <v>0.77071179299402948</v>
      </c>
      <c r="C898" s="32">
        <f ca="1">Model!$F$15+RAND()*(Model!$G$15-Model!$F$15)</f>
        <v>1.8300686917148003E-2</v>
      </c>
      <c r="D898" s="33">
        <f ca="1">Model!$F$16+RAND()*(Model!$G$16-Model!$F$16)</f>
        <v>52.896844744063635</v>
      </c>
      <c r="E898" s="33">
        <f>Model!$D$17</f>
        <v>800</v>
      </c>
      <c r="G898" s="36">
        <f t="shared" ca="1" si="15"/>
        <v>-555.62124696284695</v>
      </c>
    </row>
    <row r="899" spans="1:7" x14ac:dyDescent="0.2">
      <c r="A899" s="6">
        <f ca="1">Model!$F$13+RAND()*(Model!$G$13-Model!$F$13)</f>
        <v>1458.6754960419485</v>
      </c>
      <c r="B899" s="31">
        <f ca="1">Model!$F$14+RAND()*(Model!$G$14-Model!$F$14)</f>
        <v>0.50365105597905924</v>
      </c>
      <c r="C899" s="32">
        <f ca="1">Model!$F$15+RAND()*(Model!$G$15-Model!$F$15)</f>
        <v>1.9784111697417197E-2</v>
      </c>
      <c r="D899" s="33">
        <f ca="1">Model!$F$16+RAND()*(Model!$G$16-Model!$F$16)</f>
        <v>52.249845059120801</v>
      </c>
      <c r="E899" s="33">
        <f>Model!$D$17</f>
        <v>800</v>
      </c>
      <c r="G899" s="36">
        <f t="shared" ref="G899:G962" ca="1" si="16">A899*C899*D899-(E899+A899*B899)</f>
        <v>-26.80613046607732</v>
      </c>
    </row>
    <row r="900" spans="1:7" x14ac:dyDescent="0.2">
      <c r="A900" s="6">
        <f ca="1">Model!$F$13+RAND()*(Model!$G$13-Model!$F$13)</f>
        <v>1585.3485529669533</v>
      </c>
      <c r="B900" s="31">
        <f ca="1">Model!$F$14+RAND()*(Model!$G$14-Model!$F$14)</f>
        <v>0.45452733882682456</v>
      </c>
      <c r="C900" s="32">
        <f ca="1">Model!$F$15+RAND()*(Model!$G$15-Model!$F$15)</f>
        <v>3.9600351892818714E-2</v>
      </c>
      <c r="D900" s="33">
        <f ca="1">Model!$F$16+RAND()*(Model!$G$16-Model!$F$16)</f>
        <v>49.296565186833767</v>
      </c>
      <c r="E900" s="33">
        <f>Model!$D$17</f>
        <v>800</v>
      </c>
      <c r="G900" s="36">
        <f t="shared" ca="1" si="16"/>
        <v>1574.2718784118374</v>
      </c>
    </row>
    <row r="901" spans="1:7" x14ac:dyDescent="0.2">
      <c r="A901" s="6">
        <f ca="1">Model!$F$13+RAND()*(Model!$G$13-Model!$F$13)</f>
        <v>1780.9720433704547</v>
      </c>
      <c r="B901" s="31">
        <f ca="1">Model!$F$14+RAND()*(Model!$G$14-Model!$F$14)</f>
        <v>0.53855945852902387</v>
      </c>
      <c r="C901" s="32">
        <f ca="1">Model!$F$15+RAND()*(Model!$G$15-Model!$F$15)</f>
        <v>3.7707207460329087E-2</v>
      </c>
      <c r="D901" s="33">
        <f ca="1">Model!$F$16+RAND()*(Model!$G$16-Model!$F$16)</f>
        <v>47.174667798438179</v>
      </c>
      <c r="E901" s="33">
        <f>Model!$D$17</f>
        <v>800</v>
      </c>
      <c r="G901" s="36">
        <f t="shared" ca="1" si="16"/>
        <v>1408.878229976589</v>
      </c>
    </row>
    <row r="902" spans="1:7" x14ac:dyDescent="0.2">
      <c r="A902" s="6">
        <f ca="1">Model!$F$13+RAND()*(Model!$G$13-Model!$F$13)</f>
        <v>1202.0600025982169</v>
      </c>
      <c r="B902" s="31">
        <f ca="1">Model!$F$14+RAND()*(Model!$G$14-Model!$F$14)</f>
        <v>0.20632281761779872</v>
      </c>
      <c r="C902" s="32">
        <f ca="1">Model!$F$15+RAND()*(Model!$G$15-Model!$F$15)</f>
        <v>3.9663525601276006E-2</v>
      </c>
      <c r="D902" s="33">
        <f ca="1">Model!$F$16+RAND()*(Model!$G$16-Model!$F$16)</f>
        <v>48.61764979646356</v>
      </c>
      <c r="E902" s="33">
        <f>Model!$D$17</f>
        <v>800</v>
      </c>
      <c r="G902" s="36">
        <f t="shared" ca="1" si="16"/>
        <v>1269.976870818221</v>
      </c>
    </row>
    <row r="903" spans="1:7" x14ac:dyDescent="0.2">
      <c r="A903" s="6">
        <f ca="1">Model!$F$13+RAND()*(Model!$G$13-Model!$F$13)</f>
        <v>1343.5432804023458</v>
      </c>
      <c r="B903" s="31">
        <f ca="1">Model!$F$14+RAND()*(Model!$G$14-Model!$F$14)</f>
        <v>0.45608041889754958</v>
      </c>
      <c r="C903" s="32">
        <f ca="1">Model!$F$15+RAND()*(Model!$G$15-Model!$F$15)</f>
        <v>1.2695177251094387E-2</v>
      </c>
      <c r="D903" s="33">
        <f ca="1">Model!$F$16+RAND()*(Model!$G$16-Model!$F$16)</f>
        <v>47.083693982451869</v>
      </c>
      <c r="E903" s="33">
        <f>Model!$D$17</f>
        <v>800</v>
      </c>
      <c r="G903" s="36">
        <f t="shared" ca="1" si="16"/>
        <v>-609.67980984629673</v>
      </c>
    </row>
    <row r="904" spans="1:7" x14ac:dyDescent="0.2">
      <c r="A904" s="6">
        <f ca="1">Model!$F$13+RAND()*(Model!$G$13-Model!$F$13)</f>
        <v>1467.207279615754</v>
      </c>
      <c r="B904" s="31">
        <f ca="1">Model!$F$14+RAND()*(Model!$G$14-Model!$F$14)</f>
        <v>0.4545013493520097</v>
      </c>
      <c r="C904" s="32">
        <f ca="1">Model!$F$15+RAND()*(Model!$G$15-Model!$F$15)</f>
        <v>3.1538273071198442E-2</v>
      </c>
      <c r="D904" s="33">
        <f ca="1">Model!$F$16+RAND()*(Model!$G$16-Model!$F$16)</f>
        <v>52.944338061839247</v>
      </c>
      <c r="E904" s="33">
        <f>Model!$D$17</f>
        <v>800</v>
      </c>
      <c r="G904" s="36">
        <f t="shared" ca="1" si="16"/>
        <v>983.05539987664451</v>
      </c>
    </row>
    <row r="905" spans="1:7" x14ac:dyDescent="0.2">
      <c r="A905" s="6">
        <f ca="1">Model!$F$13+RAND()*(Model!$G$13-Model!$F$13)</f>
        <v>1698.5204103730553</v>
      </c>
      <c r="B905" s="31">
        <f ca="1">Model!$F$14+RAND()*(Model!$G$14-Model!$F$14)</f>
        <v>0.5628286373778415</v>
      </c>
      <c r="C905" s="32">
        <f ca="1">Model!$F$15+RAND()*(Model!$G$15-Model!$F$15)</f>
        <v>2.3992528903804392E-2</v>
      </c>
      <c r="D905" s="33">
        <f ca="1">Model!$F$16+RAND()*(Model!$G$16-Model!$F$16)</f>
        <v>49.122589095386466</v>
      </c>
      <c r="E905" s="33">
        <f>Model!$D$17</f>
        <v>800</v>
      </c>
      <c r="G905" s="36">
        <f t="shared" ca="1" si="16"/>
        <v>245.85800011278729</v>
      </c>
    </row>
    <row r="906" spans="1:7" x14ac:dyDescent="0.2">
      <c r="A906" s="6">
        <f ca="1">Model!$F$13+RAND()*(Model!$G$13-Model!$F$13)</f>
        <v>1361.2990055372452</v>
      </c>
      <c r="B906" s="31">
        <f ca="1">Model!$F$14+RAND()*(Model!$G$14-Model!$F$14)</f>
        <v>0.54066519671609992</v>
      </c>
      <c r="C906" s="32">
        <f ca="1">Model!$F$15+RAND()*(Model!$G$15-Model!$F$15)</f>
        <v>4.056088743250897E-2</v>
      </c>
      <c r="D906" s="33">
        <f ca="1">Model!$F$16+RAND()*(Model!$G$16-Model!$F$16)</f>
        <v>52.655440986427656</v>
      </c>
      <c r="E906" s="33">
        <f>Model!$D$17</f>
        <v>800</v>
      </c>
      <c r="G906" s="36">
        <f t="shared" ca="1" si="16"/>
        <v>1371.3892820965377</v>
      </c>
    </row>
    <row r="907" spans="1:7" x14ac:dyDescent="0.2">
      <c r="A907" s="6">
        <f ca="1">Model!$F$13+RAND()*(Model!$G$13-Model!$F$13)</f>
        <v>1549.417911451766</v>
      </c>
      <c r="B907" s="31">
        <f ca="1">Model!$F$14+RAND()*(Model!$G$14-Model!$F$14)</f>
        <v>0.55080735323835461</v>
      </c>
      <c r="C907" s="32">
        <f ca="1">Model!$F$15+RAND()*(Model!$G$15-Model!$F$15)</f>
        <v>2.6640249012731328E-2</v>
      </c>
      <c r="D907" s="33">
        <f ca="1">Model!$F$16+RAND()*(Model!$G$16-Model!$F$16)</f>
        <v>51.048740599870733</v>
      </c>
      <c r="E907" s="33">
        <f>Model!$D$17</f>
        <v>800</v>
      </c>
      <c r="G907" s="36">
        <f t="shared" ca="1" si="16"/>
        <v>453.7019092546343</v>
      </c>
    </row>
    <row r="908" spans="1:7" x14ac:dyDescent="0.2">
      <c r="A908" s="6">
        <f ca="1">Model!$F$13+RAND()*(Model!$G$13-Model!$F$13)</f>
        <v>1758.3572002828691</v>
      </c>
      <c r="B908" s="31">
        <f ca="1">Model!$F$14+RAND()*(Model!$G$14-Model!$F$14)</f>
        <v>0.42106047925608214</v>
      </c>
      <c r="C908" s="32">
        <f ca="1">Model!$F$15+RAND()*(Model!$G$15-Model!$F$15)</f>
        <v>4.3541863832796741E-2</v>
      </c>
      <c r="D908" s="33">
        <f ca="1">Model!$F$16+RAND()*(Model!$G$16-Model!$F$16)</f>
        <v>47.41290244365053</v>
      </c>
      <c r="E908" s="33">
        <f>Model!$D$17</f>
        <v>800</v>
      </c>
      <c r="G908" s="36">
        <f t="shared" ca="1" si="16"/>
        <v>2089.6590131368357</v>
      </c>
    </row>
    <row r="909" spans="1:7" x14ac:dyDescent="0.2">
      <c r="A909" s="6">
        <f ca="1">Model!$F$13+RAND()*(Model!$G$13-Model!$F$13)</f>
        <v>1672.69413835715</v>
      </c>
      <c r="B909" s="31">
        <f ca="1">Model!$F$14+RAND()*(Model!$G$14-Model!$F$14)</f>
        <v>0.21061298931092576</v>
      </c>
      <c r="C909" s="32">
        <f ca="1">Model!$F$15+RAND()*(Model!$G$15-Model!$F$15)</f>
        <v>1.7148359801112633E-2</v>
      </c>
      <c r="D909" s="33">
        <f ca="1">Model!$F$16+RAND()*(Model!$G$16-Model!$F$16)</f>
        <v>48.419286774212786</v>
      </c>
      <c r="E909" s="33">
        <f>Model!$D$17</f>
        <v>800</v>
      </c>
      <c r="G909" s="36">
        <f t="shared" ca="1" si="16"/>
        <v>236.56581700877132</v>
      </c>
    </row>
    <row r="910" spans="1:7" x14ac:dyDescent="0.2">
      <c r="A910" s="6">
        <f ca="1">Model!$F$13+RAND()*(Model!$G$13-Model!$F$13)</f>
        <v>1540.8330232054277</v>
      </c>
      <c r="B910" s="31">
        <f ca="1">Model!$F$14+RAND()*(Model!$G$14-Model!$F$14)</f>
        <v>0.39175373468790664</v>
      </c>
      <c r="C910" s="32">
        <f ca="1">Model!$F$15+RAND()*(Model!$G$15-Model!$F$15)</f>
        <v>2.5769796465874822E-2</v>
      </c>
      <c r="D910" s="33">
        <f ca="1">Model!$F$16+RAND()*(Model!$G$16-Model!$F$16)</f>
        <v>47.426869824331639</v>
      </c>
      <c r="E910" s="33">
        <f>Model!$D$17</f>
        <v>800</v>
      </c>
      <c r="G910" s="36">
        <f t="shared" ca="1" si="16"/>
        <v>479.54941845708458</v>
      </c>
    </row>
    <row r="911" spans="1:7" x14ac:dyDescent="0.2">
      <c r="A911" s="6">
        <f ca="1">Model!$F$13+RAND()*(Model!$G$13-Model!$F$13)</f>
        <v>1232.4686557152711</v>
      </c>
      <c r="B911" s="31">
        <f ca="1">Model!$F$14+RAND()*(Model!$G$14-Model!$F$14)</f>
        <v>0.40511590326828023</v>
      </c>
      <c r="C911" s="32">
        <f ca="1">Model!$F$15+RAND()*(Model!$G$15-Model!$F$15)</f>
        <v>3.174677989054335E-2</v>
      </c>
      <c r="D911" s="33">
        <f ca="1">Model!$F$16+RAND()*(Model!$G$16-Model!$F$16)</f>
        <v>48.298306917639557</v>
      </c>
      <c r="E911" s="33">
        <f>Model!$D$17</f>
        <v>800</v>
      </c>
      <c r="G911" s="36">
        <f t="shared" ca="1" si="16"/>
        <v>590.47091002685465</v>
      </c>
    </row>
    <row r="912" spans="1:7" x14ac:dyDescent="0.2">
      <c r="A912" s="6">
        <f ca="1">Model!$F$13+RAND()*(Model!$G$13-Model!$F$13)</f>
        <v>1225.5285374623631</v>
      </c>
      <c r="B912" s="31">
        <f ca="1">Model!$F$14+RAND()*(Model!$G$14-Model!$F$14)</f>
        <v>0.45399681313360046</v>
      </c>
      <c r="C912" s="32">
        <f ca="1">Model!$F$15+RAND()*(Model!$G$15-Model!$F$15)</f>
        <v>2.4302329084023376E-2</v>
      </c>
      <c r="D912" s="33">
        <f ca="1">Model!$F$16+RAND()*(Model!$G$16-Model!$F$16)</f>
        <v>47.871330142485697</v>
      </c>
      <c r="E912" s="33">
        <f>Model!$D$17</f>
        <v>800</v>
      </c>
      <c r="G912" s="36">
        <f t="shared" ca="1" si="16"/>
        <v>69.375245093145395</v>
      </c>
    </row>
    <row r="913" spans="1:7" x14ac:dyDescent="0.2">
      <c r="A913" s="6">
        <f ca="1">Model!$F$13+RAND()*(Model!$G$13-Model!$F$13)</f>
        <v>1451.617874995904</v>
      </c>
      <c r="B913" s="31">
        <f ca="1">Model!$F$14+RAND()*(Model!$G$14-Model!$F$14)</f>
        <v>0.52750332079801199</v>
      </c>
      <c r="C913" s="32">
        <f ca="1">Model!$F$15+RAND()*(Model!$G$15-Model!$F$15)</f>
        <v>4.8692148570020667E-2</v>
      </c>
      <c r="D913" s="33">
        <f ca="1">Model!$F$16+RAND()*(Model!$G$16-Model!$F$16)</f>
        <v>52.970643696132242</v>
      </c>
      <c r="E913" s="33">
        <f>Model!$D$17</f>
        <v>800</v>
      </c>
      <c r="G913" s="36">
        <f t="shared" ca="1" si="16"/>
        <v>2178.3586181144724</v>
      </c>
    </row>
    <row r="914" spans="1:7" x14ac:dyDescent="0.2">
      <c r="A914" s="6">
        <f ca="1">Model!$F$13+RAND()*(Model!$G$13-Model!$F$13)</f>
        <v>1704.9605738538867</v>
      </c>
      <c r="B914" s="31">
        <f ca="1">Model!$F$14+RAND()*(Model!$G$14-Model!$F$14)</f>
        <v>0.30378625495129624</v>
      </c>
      <c r="C914" s="32">
        <f ca="1">Model!$F$15+RAND()*(Model!$G$15-Model!$F$15)</f>
        <v>3.5169378385735549E-2</v>
      </c>
      <c r="D914" s="33">
        <f ca="1">Model!$F$16+RAND()*(Model!$G$16-Model!$F$16)</f>
        <v>49.753122658424893</v>
      </c>
      <c r="E914" s="33">
        <f>Model!$D$17</f>
        <v>800</v>
      </c>
      <c r="G914" s="36">
        <f t="shared" ca="1" si="16"/>
        <v>1665.3732313767025</v>
      </c>
    </row>
    <row r="915" spans="1:7" x14ac:dyDescent="0.2">
      <c r="A915" s="6">
        <f ca="1">Model!$F$13+RAND()*(Model!$G$13-Model!$F$13)</f>
        <v>1313.5792499042363</v>
      </c>
      <c r="B915" s="31">
        <f ca="1">Model!$F$14+RAND()*(Model!$G$14-Model!$F$14)</f>
        <v>0.38109550701457928</v>
      </c>
      <c r="C915" s="32">
        <f ca="1">Model!$F$15+RAND()*(Model!$G$15-Model!$F$15)</f>
        <v>2.3644270230767525E-2</v>
      </c>
      <c r="D915" s="33">
        <f ca="1">Model!$F$16+RAND()*(Model!$G$16-Model!$F$16)</f>
        <v>47.417586011908618</v>
      </c>
      <c r="E915" s="33">
        <f>Model!$D$17</f>
        <v>800</v>
      </c>
      <c r="G915" s="36">
        <f t="shared" ca="1" si="16"/>
        <v>172.12576561568153</v>
      </c>
    </row>
    <row r="916" spans="1:7" x14ac:dyDescent="0.2">
      <c r="A916" s="6">
        <f ca="1">Model!$F$13+RAND()*(Model!$G$13-Model!$F$13)</f>
        <v>1566.0353653036245</v>
      </c>
      <c r="B916" s="31">
        <f ca="1">Model!$F$14+RAND()*(Model!$G$14-Model!$F$14)</f>
        <v>0.73398068104405789</v>
      </c>
      <c r="C916" s="32">
        <f ca="1">Model!$F$15+RAND()*(Model!$G$15-Model!$F$15)</f>
        <v>2.9607473008024014E-2</v>
      </c>
      <c r="D916" s="33">
        <f ca="1">Model!$F$16+RAND()*(Model!$G$16-Model!$F$16)</f>
        <v>51.125769891910004</v>
      </c>
      <c r="E916" s="33">
        <f>Model!$D$17</f>
        <v>800</v>
      </c>
      <c r="G916" s="36">
        <f t="shared" ca="1" si="16"/>
        <v>421.07562703870167</v>
      </c>
    </row>
    <row r="917" spans="1:7" x14ac:dyDescent="0.2">
      <c r="A917" s="6">
        <f ca="1">Model!$F$13+RAND()*(Model!$G$13-Model!$F$13)</f>
        <v>1706.3144435393765</v>
      </c>
      <c r="B917" s="31">
        <f ca="1">Model!$F$14+RAND()*(Model!$G$14-Model!$F$14)</f>
        <v>0.28289048982077414</v>
      </c>
      <c r="C917" s="32">
        <f ca="1">Model!$F$15+RAND()*(Model!$G$15-Model!$F$15)</f>
        <v>1.6872435071764644E-2</v>
      </c>
      <c r="D917" s="33">
        <f ca="1">Model!$F$16+RAND()*(Model!$G$16-Model!$F$16)</f>
        <v>52.397322002620825</v>
      </c>
      <c r="E917" s="33">
        <f>Model!$D$17</f>
        <v>800</v>
      </c>
      <c r="G917" s="36">
        <f t="shared" ca="1" si="16"/>
        <v>225.80198680934063</v>
      </c>
    </row>
    <row r="918" spans="1:7" x14ac:dyDescent="0.2">
      <c r="A918" s="6">
        <f ca="1">Model!$F$13+RAND()*(Model!$G$13-Model!$F$13)</f>
        <v>1614.5832508257222</v>
      </c>
      <c r="B918" s="31">
        <f ca="1">Model!$F$14+RAND()*(Model!$G$14-Model!$F$14)</f>
        <v>0.73473003395059355</v>
      </c>
      <c r="C918" s="32">
        <f ca="1">Model!$F$15+RAND()*(Model!$G$15-Model!$F$15)</f>
        <v>2.1658267804810168E-2</v>
      </c>
      <c r="D918" s="33">
        <f ca="1">Model!$F$16+RAND()*(Model!$G$16-Model!$F$16)</f>
        <v>51.12520556339868</v>
      </c>
      <c r="E918" s="33">
        <f>Model!$D$17</f>
        <v>800</v>
      </c>
      <c r="G918" s="36">
        <f t="shared" ca="1" si="16"/>
        <v>-198.48158536132928</v>
      </c>
    </row>
    <row r="919" spans="1:7" x14ac:dyDescent="0.2">
      <c r="A919" s="6">
        <f ca="1">Model!$F$13+RAND()*(Model!$G$13-Model!$F$13)</f>
        <v>1499.1726184581471</v>
      </c>
      <c r="B919" s="31">
        <f ca="1">Model!$F$14+RAND()*(Model!$G$14-Model!$F$14)</f>
        <v>0.36324399141689334</v>
      </c>
      <c r="C919" s="32">
        <f ca="1">Model!$F$15+RAND()*(Model!$G$15-Model!$F$15)</f>
        <v>1.6482755641213022E-2</v>
      </c>
      <c r="D919" s="33">
        <f ca="1">Model!$F$16+RAND()*(Model!$G$16-Model!$F$16)</f>
        <v>47.227053151727652</v>
      </c>
      <c r="E919" s="33">
        <f>Model!$D$17</f>
        <v>800</v>
      </c>
      <c r="G919" s="36">
        <f t="shared" ca="1" si="16"/>
        <v>-177.56154086904803</v>
      </c>
    </row>
    <row r="920" spans="1:7" x14ac:dyDescent="0.2">
      <c r="A920" s="6">
        <f ca="1">Model!$F$13+RAND()*(Model!$G$13-Model!$F$13)</f>
        <v>1496.8639707579784</v>
      </c>
      <c r="B920" s="31">
        <f ca="1">Model!$F$14+RAND()*(Model!$G$14-Model!$F$14)</f>
        <v>0.75228921336409682</v>
      </c>
      <c r="C920" s="32">
        <f ca="1">Model!$F$15+RAND()*(Model!$G$15-Model!$F$15)</f>
        <v>2.6376405803312568E-2</v>
      </c>
      <c r="D920" s="33">
        <f ca="1">Model!$F$16+RAND()*(Model!$G$16-Model!$F$16)</f>
        <v>51.55475839905526</v>
      </c>
      <c r="E920" s="33">
        <f>Model!$D$17</f>
        <v>800</v>
      </c>
      <c r="G920" s="36">
        <f t="shared" ca="1" si="16"/>
        <v>109.40475963812537</v>
      </c>
    </row>
    <row r="921" spans="1:7" x14ac:dyDescent="0.2">
      <c r="A921" s="6">
        <f ca="1">Model!$F$13+RAND()*(Model!$G$13-Model!$F$13)</f>
        <v>1745.933362384756</v>
      </c>
      <c r="B921" s="31">
        <f ca="1">Model!$F$14+RAND()*(Model!$G$14-Model!$F$14)</f>
        <v>0.65100594971895709</v>
      </c>
      <c r="C921" s="32">
        <f ca="1">Model!$F$15+RAND()*(Model!$G$15-Model!$F$15)</f>
        <v>2.398110858397997E-2</v>
      </c>
      <c r="D921" s="33">
        <f ca="1">Model!$F$16+RAND()*(Model!$G$16-Model!$F$16)</f>
        <v>49.914810676380895</v>
      </c>
      <c r="E921" s="33">
        <f>Model!$D$17</f>
        <v>800</v>
      </c>
      <c r="G921" s="36">
        <f t="shared" ca="1" si="16"/>
        <v>153.29104310092634</v>
      </c>
    </row>
    <row r="922" spans="1:7" x14ac:dyDescent="0.2">
      <c r="A922" s="6">
        <f ca="1">Model!$F$13+RAND()*(Model!$G$13-Model!$F$13)</f>
        <v>1219.0550136987035</v>
      </c>
      <c r="B922" s="31">
        <f ca="1">Model!$F$14+RAND()*(Model!$G$14-Model!$F$14)</f>
        <v>0.44212859528458182</v>
      </c>
      <c r="C922" s="32">
        <f ca="1">Model!$F$15+RAND()*(Model!$G$15-Model!$F$15)</f>
        <v>4.3976975923605929E-2</v>
      </c>
      <c r="D922" s="33">
        <f ca="1">Model!$F$16+RAND()*(Model!$G$16-Model!$F$16)</f>
        <v>48.945126512951163</v>
      </c>
      <c r="E922" s="33">
        <f>Model!$D$17</f>
        <v>800</v>
      </c>
      <c r="G922" s="36">
        <f t="shared" ca="1" si="16"/>
        <v>1284.9864285704209</v>
      </c>
    </row>
    <row r="923" spans="1:7" x14ac:dyDescent="0.2">
      <c r="A923" s="6">
        <f ca="1">Model!$F$13+RAND()*(Model!$G$13-Model!$F$13)</f>
        <v>1589.7282437947138</v>
      </c>
      <c r="B923" s="31">
        <f ca="1">Model!$F$14+RAND()*(Model!$G$14-Model!$F$14)</f>
        <v>0.49931275526241298</v>
      </c>
      <c r="C923" s="32">
        <f ca="1">Model!$F$15+RAND()*(Model!$G$15-Model!$F$15)</f>
        <v>1.7276162704775631E-2</v>
      </c>
      <c r="D923" s="33">
        <f ca="1">Model!$F$16+RAND()*(Model!$G$16-Model!$F$16)</f>
        <v>49.216314859767976</v>
      </c>
      <c r="E923" s="33">
        <f>Model!$D$17</f>
        <v>800</v>
      </c>
      <c r="G923" s="36">
        <f t="shared" ca="1" si="16"/>
        <v>-242.07484485927489</v>
      </c>
    </row>
    <row r="924" spans="1:7" x14ac:dyDescent="0.2">
      <c r="A924" s="6">
        <f ca="1">Model!$F$13+RAND()*(Model!$G$13-Model!$F$13)</f>
        <v>1305.1882022170698</v>
      </c>
      <c r="B924" s="31">
        <f ca="1">Model!$F$14+RAND()*(Model!$G$14-Model!$F$14)</f>
        <v>0.57737777931299172</v>
      </c>
      <c r="C924" s="32">
        <f ca="1">Model!$F$15+RAND()*(Model!$G$15-Model!$F$15)</f>
        <v>1.8969482845899679E-2</v>
      </c>
      <c r="D924" s="33">
        <f ca="1">Model!$F$16+RAND()*(Model!$G$16-Model!$F$16)</f>
        <v>47.785369278370339</v>
      </c>
      <c r="E924" s="33">
        <f>Model!$D$17</f>
        <v>800</v>
      </c>
      <c r="G924" s="36">
        <f t="shared" ca="1" si="16"/>
        <v>-370.480882927126</v>
      </c>
    </row>
    <row r="925" spans="1:7" x14ac:dyDescent="0.2">
      <c r="A925" s="6">
        <f ca="1">Model!$F$13+RAND()*(Model!$G$13-Model!$F$13)</f>
        <v>1709.948530924386</v>
      </c>
      <c r="B925" s="31">
        <f ca="1">Model!$F$14+RAND()*(Model!$G$14-Model!$F$14)</f>
        <v>0.33157491936683725</v>
      </c>
      <c r="C925" s="32">
        <f ca="1">Model!$F$15+RAND()*(Model!$G$15-Model!$F$15)</f>
        <v>3.1459222067026754E-2</v>
      </c>
      <c r="D925" s="33">
        <f ca="1">Model!$F$16+RAND()*(Model!$G$16-Model!$F$16)</f>
        <v>50.444124055399023</v>
      </c>
      <c r="E925" s="33">
        <f>Model!$D$17</f>
        <v>800</v>
      </c>
      <c r="G925" s="36">
        <f t="shared" ca="1" si="16"/>
        <v>1346.597535854457</v>
      </c>
    </row>
    <row r="926" spans="1:7" x14ac:dyDescent="0.2">
      <c r="A926" s="6">
        <f ca="1">Model!$F$13+RAND()*(Model!$G$13-Model!$F$13)</f>
        <v>1600.8977710579829</v>
      </c>
      <c r="B926" s="31">
        <f ca="1">Model!$F$14+RAND()*(Model!$G$14-Model!$F$14)</f>
        <v>0.6692545198152553</v>
      </c>
      <c r="C926" s="32">
        <f ca="1">Model!$F$15+RAND()*(Model!$G$15-Model!$F$15)</f>
        <v>4.782969422736566E-2</v>
      </c>
      <c r="D926" s="33">
        <f ca="1">Model!$F$16+RAND()*(Model!$G$16-Model!$F$16)</f>
        <v>51.690867342534958</v>
      </c>
      <c r="E926" s="33">
        <f>Model!$D$17</f>
        <v>800</v>
      </c>
      <c r="G926" s="36">
        <f t="shared" ca="1" si="16"/>
        <v>2086.5849497004401</v>
      </c>
    </row>
    <row r="927" spans="1:7" x14ac:dyDescent="0.2">
      <c r="A927" s="6">
        <f ca="1">Model!$F$13+RAND()*(Model!$G$13-Model!$F$13)</f>
        <v>1333.3624816180863</v>
      </c>
      <c r="B927" s="31">
        <f ca="1">Model!$F$14+RAND()*(Model!$G$14-Model!$F$14)</f>
        <v>0.66798280987220005</v>
      </c>
      <c r="C927" s="32">
        <f ca="1">Model!$F$15+RAND()*(Model!$G$15-Model!$F$15)</f>
        <v>1.3573127354252193E-2</v>
      </c>
      <c r="D927" s="33">
        <f ca="1">Model!$F$16+RAND()*(Model!$G$16-Model!$F$16)</f>
        <v>50.001526535236124</v>
      </c>
      <c r="E927" s="33">
        <f>Model!$D$17</f>
        <v>800</v>
      </c>
      <c r="G927" s="36">
        <f t="shared" ca="1" si="16"/>
        <v>-785.74065135004139</v>
      </c>
    </row>
    <row r="928" spans="1:7" x14ac:dyDescent="0.2">
      <c r="A928" s="6">
        <f ca="1">Model!$F$13+RAND()*(Model!$G$13-Model!$F$13)</f>
        <v>1445.7615396309563</v>
      </c>
      <c r="B928" s="31">
        <f ca="1">Model!$F$14+RAND()*(Model!$G$14-Model!$F$14)</f>
        <v>0.45621346091887477</v>
      </c>
      <c r="C928" s="32">
        <f ca="1">Model!$F$15+RAND()*(Model!$G$15-Model!$F$15)</f>
        <v>1.1930502392482514E-2</v>
      </c>
      <c r="D928" s="33">
        <f ca="1">Model!$F$16+RAND()*(Model!$G$16-Model!$F$16)</f>
        <v>50.811775718106489</v>
      </c>
      <c r="E928" s="33">
        <f>Model!$D$17</f>
        <v>800</v>
      </c>
      <c r="G928" s="36">
        <f t="shared" ca="1" si="16"/>
        <v>-583.14075570047521</v>
      </c>
    </row>
    <row r="929" spans="1:7" x14ac:dyDescent="0.2">
      <c r="A929" s="6">
        <f ca="1">Model!$F$13+RAND()*(Model!$G$13-Model!$F$13)</f>
        <v>1325.5583181541642</v>
      </c>
      <c r="B929" s="31">
        <f ca="1">Model!$F$14+RAND()*(Model!$G$14-Model!$F$14)</f>
        <v>0.30295336039178017</v>
      </c>
      <c r="C929" s="32">
        <f ca="1">Model!$F$15+RAND()*(Model!$G$15-Model!$F$15)</f>
        <v>2.2022662567726323E-2</v>
      </c>
      <c r="D929" s="33">
        <f ca="1">Model!$F$16+RAND()*(Model!$G$16-Model!$F$16)</f>
        <v>51.396879280371984</v>
      </c>
      <c r="E929" s="33">
        <f>Model!$D$17</f>
        <v>800</v>
      </c>
      <c r="G929" s="36">
        <f t="shared" ca="1" si="16"/>
        <v>298.81198276678697</v>
      </c>
    </row>
    <row r="930" spans="1:7" x14ac:dyDescent="0.2">
      <c r="A930" s="6">
        <f ca="1">Model!$F$13+RAND()*(Model!$G$13-Model!$F$13)</f>
        <v>1570.4823840793429</v>
      </c>
      <c r="B930" s="31">
        <f ca="1">Model!$F$14+RAND()*(Model!$G$14-Model!$F$14)</f>
        <v>0.20672976895802592</v>
      </c>
      <c r="C930" s="32">
        <f ca="1">Model!$F$15+RAND()*(Model!$G$15-Model!$F$15)</f>
        <v>1.9680261196540441E-2</v>
      </c>
      <c r="D930" s="33">
        <f ca="1">Model!$F$16+RAND()*(Model!$G$16-Model!$F$16)</f>
        <v>51.081813399849949</v>
      </c>
      <c r="E930" s="33">
        <f>Model!$D$17</f>
        <v>800</v>
      </c>
      <c r="G930" s="36">
        <f t="shared" ca="1" si="16"/>
        <v>454.14586721633646</v>
      </c>
    </row>
    <row r="931" spans="1:7" x14ac:dyDescent="0.2">
      <c r="A931" s="6">
        <f ca="1">Model!$F$13+RAND()*(Model!$G$13-Model!$F$13)</f>
        <v>1440.0728298925326</v>
      </c>
      <c r="B931" s="31">
        <f ca="1">Model!$F$14+RAND()*(Model!$G$14-Model!$F$14)</f>
        <v>0.37412834339361711</v>
      </c>
      <c r="C931" s="32">
        <f ca="1">Model!$F$15+RAND()*(Model!$G$15-Model!$F$15)</f>
        <v>3.0912980081971304E-2</v>
      </c>
      <c r="D931" s="33">
        <f ca="1">Model!$F$16+RAND()*(Model!$G$16-Model!$F$16)</f>
        <v>51.269943435362599</v>
      </c>
      <c r="E931" s="33">
        <f>Model!$D$17</f>
        <v>800</v>
      </c>
      <c r="G931" s="36">
        <f t="shared" ca="1" si="16"/>
        <v>943.60907229218265</v>
      </c>
    </row>
    <row r="932" spans="1:7" x14ac:dyDescent="0.2">
      <c r="A932" s="6">
        <f ca="1">Model!$F$13+RAND()*(Model!$G$13-Model!$F$13)</f>
        <v>1267.1779594825377</v>
      </c>
      <c r="B932" s="31">
        <f ca="1">Model!$F$14+RAND()*(Model!$G$14-Model!$F$14)</f>
        <v>0.63406651036614514</v>
      </c>
      <c r="C932" s="32">
        <f ca="1">Model!$F$15+RAND()*(Model!$G$15-Model!$F$15)</f>
        <v>1.273131619703575E-2</v>
      </c>
      <c r="D932" s="33">
        <f ca="1">Model!$F$16+RAND()*(Model!$G$16-Model!$F$16)</f>
        <v>48.270560312320605</v>
      </c>
      <c r="E932" s="33">
        <f>Model!$D$17</f>
        <v>800</v>
      </c>
      <c r="G932" s="36">
        <f t="shared" ca="1" si="16"/>
        <v>-824.73372222134196</v>
      </c>
    </row>
    <row r="933" spans="1:7" x14ac:dyDescent="0.2">
      <c r="A933" s="6">
        <f ca="1">Model!$F$13+RAND()*(Model!$G$13-Model!$F$13)</f>
        <v>1752.8035544174081</v>
      </c>
      <c r="B933" s="31">
        <f ca="1">Model!$F$14+RAND()*(Model!$G$14-Model!$F$14)</f>
        <v>0.77832599590099272</v>
      </c>
      <c r="C933" s="32">
        <f ca="1">Model!$F$15+RAND()*(Model!$G$15-Model!$F$15)</f>
        <v>3.2498912168615841E-2</v>
      </c>
      <c r="D933" s="33">
        <f ca="1">Model!$F$16+RAND()*(Model!$G$16-Model!$F$16)</f>
        <v>52.429943978374943</v>
      </c>
      <c r="E933" s="33">
        <f>Model!$D$17</f>
        <v>800</v>
      </c>
      <c r="G933" s="36">
        <f t="shared" ca="1" si="16"/>
        <v>822.37770215032924</v>
      </c>
    </row>
    <row r="934" spans="1:7" x14ac:dyDescent="0.2">
      <c r="A934" s="6">
        <f ca="1">Model!$F$13+RAND()*(Model!$G$13-Model!$F$13)</f>
        <v>1405.1973752778777</v>
      </c>
      <c r="B934" s="31">
        <f ca="1">Model!$F$14+RAND()*(Model!$G$14-Model!$F$14)</f>
        <v>0.68034334115750772</v>
      </c>
      <c r="C934" s="32">
        <f ca="1">Model!$F$15+RAND()*(Model!$G$15-Model!$F$15)</f>
        <v>2.0539782378551714E-2</v>
      </c>
      <c r="D934" s="33">
        <f ca="1">Model!$F$16+RAND()*(Model!$G$16-Model!$F$16)</f>
        <v>52.357832056131308</v>
      </c>
      <c r="E934" s="33">
        <f>Model!$D$17</f>
        <v>800</v>
      </c>
      <c r="G934" s="36">
        <f t="shared" ca="1" si="16"/>
        <v>-244.84145713652492</v>
      </c>
    </row>
    <row r="935" spans="1:7" x14ac:dyDescent="0.2">
      <c r="A935" s="6">
        <f ca="1">Model!$F$13+RAND()*(Model!$G$13-Model!$F$13)</f>
        <v>1784.8092353637805</v>
      </c>
      <c r="B935" s="31">
        <f ca="1">Model!$F$14+RAND()*(Model!$G$14-Model!$F$14)</f>
        <v>0.60708657263481514</v>
      </c>
      <c r="C935" s="32">
        <f ca="1">Model!$F$15+RAND()*(Model!$G$15-Model!$F$15)</f>
        <v>2.2032209083934093E-2</v>
      </c>
      <c r="D935" s="33">
        <f ca="1">Model!$F$16+RAND()*(Model!$G$16-Model!$F$16)</f>
        <v>47.815724761279924</v>
      </c>
      <c r="E935" s="33">
        <f>Model!$D$17</f>
        <v>800</v>
      </c>
      <c r="G935" s="36">
        <f t="shared" ca="1" si="16"/>
        <v>-3.2620982751338943</v>
      </c>
    </row>
    <row r="936" spans="1:7" x14ac:dyDescent="0.2">
      <c r="A936" s="6">
        <f ca="1">Model!$F$13+RAND()*(Model!$G$13-Model!$F$13)</f>
        <v>1242.1314686801634</v>
      </c>
      <c r="B936" s="31">
        <f ca="1">Model!$F$14+RAND()*(Model!$G$14-Model!$F$14)</f>
        <v>0.52253020372445136</v>
      </c>
      <c r="C936" s="32">
        <f ca="1">Model!$F$15+RAND()*(Model!$G$15-Model!$F$15)</f>
        <v>2.9575373294150553E-2</v>
      </c>
      <c r="D936" s="33">
        <f ca="1">Model!$F$16+RAND()*(Model!$G$16-Model!$F$16)</f>
        <v>48.198075368146888</v>
      </c>
      <c r="E936" s="33">
        <f>Model!$D$17</f>
        <v>800</v>
      </c>
      <c r="G936" s="36">
        <f t="shared" ca="1" si="16"/>
        <v>321.57747634777411</v>
      </c>
    </row>
    <row r="937" spans="1:7" x14ac:dyDescent="0.2">
      <c r="A937" s="6">
        <f ca="1">Model!$F$13+RAND()*(Model!$G$13-Model!$F$13)</f>
        <v>1573.8588397581429</v>
      </c>
      <c r="B937" s="31">
        <f ca="1">Model!$F$14+RAND()*(Model!$G$14-Model!$F$14)</f>
        <v>0.75084470516322455</v>
      </c>
      <c r="C937" s="32">
        <f ca="1">Model!$F$15+RAND()*(Model!$G$15-Model!$F$15)</f>
        <v>2.9088586219203905E-2</v>
      </c>
      <c r="D937" s="33">
        <f ca="1">Model!$F$16+RAND()*(Model!$G$16-Model!$F$16)</f>
        <v>52.087498192950001</v>
      </c>
      <c r="E937" s="33">
        <f>Model!$D$17</f>
        <v>800</v>
      </c>
      <c r="G937" s="36">
        <f t="shared" ca="1" si="16"/>
        <v>402.91129198523413</v>
      </c>
    </row>
    <row r="938" spans="1:7" x14ac:dyDescent="0.2">
      <c r="A938" s="6">
        <f ca="1">Model!$F$13+RAND()*(Model!$G$13-Model!$F$13)</f>
        <v>1676.2065774561393</v>
      </c>
      <c r="B938" s="31">
        <f ca="1">Model!$F$14+RAND()*(Model!$G$14-Model!$F$14)</f>
        <v>0.295840808572776</v>
      </c>
      <c r="C938" s="32">
        <f ca="1">Model!$F$15+RAND()*(Model!$G$15-Model!$F$15)</f>
        <v>1.6542046685951193E-2</v>
      </c>
      <c r="D938" s="33">
        <f ca="1">Model!$F$16+RAND()*(Model!$G$16-Model!$F$16)</f>
        <v>51.620696239937487</v>
      </c>
      <c r="E938" s="33">
        <f>Model!$D$17</f>
        <v>800</v>
      </c>
      <c r="G938" s="36">
        <f t="shared" ca="1" si="16"/>
        <v>135.44254671641397</v>
      </c>
    </row>
    <row r="939" spans="1:7" x14ac:dyDescent="0.2">
      <c r="A939" s="6">
        <f ca="1">Model!$F$13+RAND()*(Model!$G$13-Model!$F$13)</f>
        <v>1545.5918507798579</v>
      </c>
      <c r="B939" s="31">
        <f ca="1">Model!$F$14+RAND()*(Model!$G$14-Model!$F$14)</f>
        <v>0.77045036710577297</v>
      </c>
      <c r="C939" s="32">
        <f ca="1">Model!$F$15+RAND()*(Model!$G$15-Model!$F$15)</f>
        <v>4.7129406163666891E-2</v>
      </c>
      <c r="D939" s="33">
        <f ca="1">Model!$F$16+RAND()*(Model!$G$16-Model!$F$16)</f>
        <v>48.230080033446583</v>
      </c>
      <c r="E939" s="33">
        <f>Model!$D$17</f>
        <v>800</v>
      </c>
      <c r="G939" s="36">
        <f t="shared" ca="1" si="16"/>
        <v>1522.413523771653</v>
      </c>
    </row>
    <row r="940" spans="1:7" x14ac:dyDescent="0.2">
      <c r="A940" s="6">
        <f ca="1">Model!$F$13+RAND()*(Model!$G$13-Model!$F$13)</f>
        <v>1383.8383340777925</v>
      </c>
      <c r="B940" s="31">
        <f ca="1">Model!$F$14+RAND()*(Model!$G$14-Model!$F$14)</f>
        <v>0.41117507711646184</v>
      </c>
      <c r="C940" s="32">
        <f ca="1">Model!$F$15+RAND()*(Model!$G$15-Model!$F$15)</f>
        <v>4.1133517839715306E-2</v>
      </c>
      <c r="D940" s="33">
        <f ca="1">Model!$F$16+RAND()*(Model!$G$16-Model!$F$16)</f>
        <v>49.519092400715046</v>
      </c>
      <c r="E940" s="33">
        <f>Model!$D$17</f>
        <v>800</v>
      </c>
      <c r="G940" s="36">
        <f t="shared" ca="1" si="16"/>
        <v>1449.7328172549185</v>
      </c>
    </row>
    <row r="941" spans="1:7" x14ac:dyDescent="0.2">
      <c r="A941" s="6">
        <f ca="1">Model!$F$13+RAND()*(Model!$G$13-Model!$F$13)</f>
        <v>1270.0234575952684</v>
      </c>
      <c r="B941" s="31">
        <f ca="1">Model!$F$14+RAND()*(Model!$G$14-Model!$F$14)</f>
        <v>0.45666981174823457</v>
      </c>
      <c r="C941" s="32">
        <f ca="1">Model!$F$15+RAND()*(Model!$G$15-Model!$F$15)</f>
        <v>1.5436336762370183E-2</v>
      </c>
      <c r="D941" s="33">
        <f ca="1">Model!$F$16+RAND()*(Model!$G$16-Model!$F$16)</f>
        <v>48.390634621616876</v>
      </c>
      <c r="E941" s="33">
        <f>Model!$D$17</f>
        <v>800</v>
      </c>
      <c r="G941" s="36">
        <f t="shared" ca="1" si="16"/>
        <v>-431.30670323061327</v>
      </c>
    </row>
    <row r="942" spans="1:7" x14ac:dyDescent="0.2">
      <c r="A942" s="6">
        <f ca="1">Model!$F$13+RAND()*(Model!$G$13-Model!$F$13)</f>
        <v>1304.0466233569048</v>
      </c>
      <c r="B942" s="31">
        <f ca="1">Model!$F$14+RAND()*(Model!$G$14-Model!$F$14)</f>
        <v>0.57293253454036974</v>
      </c>
      <c r="C942" s="32">
        <f ca="1">Model!$F$15+RAND()*(Model!$G$15-Model!$F$15)</f>
        <v>2.5744165602866541E-2</v>
      </c>
      <c r="D942" s="33">
        <f ca="1">Model!$F$16+RAND()*(Model!$G$16-Model!$F$16)</f>
        <v>50.267231041013972</v>
      </c>
      <c r="E942" s="33">
        <f>Model!$D$17</f>
        <v>800</v>
      </c>
      <c r="G942" s="36">
        <f t="shared" ca="1" si="16"/>
        <v>140.42024573820458</v>
      </c>
    </row>
    <row r="943" spans="1:7" x14ac:dyDescent="0.2">
      <c r="A943" s="6">
        <f ca="1">Model!$F$13+RAND()*(Model!$G$13-Model!$F$13)</f>
        <v>1720.1950856067238</v>
      </c>
      <c r="B943" s="31">
        <f ca="1">Model!$F$14+RAND()*(Model!$G$14-Model!$F$14)</f>
        <v>0.22317191254848065</v>
      </c>
      <c r="C943" s="32">
        <f ca="1">Model!$F$15+RAND()*(Model!$G$15-Model!$F$15)</f>
        <v>2.4549649298762619E-2</v>
      </c>
      <c r="D943" s="33">
        <f ca="1">Model!$F$16+RAND()*(Model!$G$16-Model!$F$16)</f>
        <v>51.468031104872182</v>
      </c>
      <c r="E943" s="33">
        <f>Model!$D$17</f>
        <v>800</v>
      </c>
      <c r="G943" s="36">
        <f t="shared" ca="1" si="16"/>
        <v>989.60530336937359</v>
      </c>
    </row>
    <row r="944" spans="1:7" x14ac:dyDescent="0.2">
      <c r="A944" s="6">
        <f ca="1">Model!$F$13+RAND()*(Model!$G$13-Model!$F$13)</f>
        <v>1464.1430565325029</v>
      </c>
      <c r="B944" s="31">
        <f ca="1">Model!$F$14+RAND()*(Model!$G$14-Model!$F$14)</f>
        <v>0.76059888373306039</v>
      </c>
      <c r="C944" s="32">
        <f ca="1">Model!$F$15+RAND()*(Model!$G$15-Model!$F$15)</f>
        <v>4.4001925306536981E-2</v>
      </c>
      <c r="D944" s="33">
        <f ca="1">Model!$F$16+RAND()*(Model!$G$16-Model!$F$16)</f>
        <v>47.374790629137784</v>
      </c>
      <c r="E944" s="33">
        <f>Model!$D$17</f>
        <v>800</v>
      </c>
      <c r="G944" s="36">
        <f t="shared" ca="1" si="16"/>
        <v>1138.5006847101979</v>
      </c>
    </row>
    <row r="945" spans="1:7" x14ac:dyDescent="0.2">
      <c r="A945" s="6">
        <f ca="1">Model!$F$13+RAND()*(Model!$G$13-Model!$F$13)</f>
        <v>1627.3609869002382</v>
      </c>
      <c r="B945" s="31">
        <f ca="1">Model!$F$14+RAND()*(Model!$G$14-Model!$F$14)</f>
        <v>0.45844785719779607</v>
      </c>
      <c r="C945" s="32">
        <f ca="1">Model!$F$15+RAND()*(Model!$G$15-Model!$F$15)</f>
        <v>1.2431158933989904E-2</v>
      </c>
      <c r="D945" s="33">
        <f ca="1">Model!$F$16+RAND()*(Model!$G$16-Model!$F$16)</f>
        <v>48.809280147814377</v>
      </c>
      <c r="E945" s="33">
        <f>Model!$D$17</f>
        <v>800</v>
      </c>
      <c r="G945" s="36">
        <f t="shared" ca="1" si="16"/>
        <v>-558.64924622730405</v>
      </c>
    </row>
    <row r="946" spans="1:7" x14ac:dyDescent="0.2">
      <c r="A946" s="6">
        <f ca="1">Model!$F$13+RAND()*(Model!$G$13-Model!$F$13)</f>
        <v>1497.7207640804957</v>
      </c>
      <c r="B946" s="31">
        <f ca="1">Model!$F$14+RAND()*(Model!$G$14-Model!$F$14)</f>
        <v>0.78525449447764628</v>
      </c>
      <c r="C946" s="32">
        <f ca="1">Model!$F$15+RAND()*(Model!$G$15-Model!$F$15)</f>
        <v>1.0868797821002861E-2</v>
      </c>
      <c r="D946" s="33">
        <f ca="1">Model!$F$16+RAND()*(Model!$G$16-Model!$F$16)</f>
        <v>47.158422760890261</v>
      </c>
      <c r="E946" s="33">
        <f>Model!$D$17</f>
        <v>800</v>
      </c>
      <c r="G946" s="36">
        <f t="shared" ca="1" si="16"/>
        <v>-1208.4271522415083</v>
      </c>
    </row>
    <row r="947" spans="1:7" x14ac:dyDescent="0.2">
      <c r="A947" s="6">
        <f ca="1">Model!$F$13+RAND()*(Model!$G$13-Model!$F$13)</f>
        <v>1792.6280099588469</v>
      </c>
      <c r="B947" s="31">
        <f ca="1">Model!$F$14+RAND()*(Model!$G$14-Model!$F$14)</f>
        <v>0.57268280179147701</v>
      </c>
      <c r="C947" s="32">
        <f ca="1">Model!$F$15+RAND()*(Model!$G$15-Model!$F$15)</f>
        <v>4.9400628836681865E-2</v>
      </c>
      <c r="D947" s="33">
        <f ca="1">Model!$F$16+RAND()*(Model!$G$16-Model!$F$16)</f>
        <v>47.675517849595138</v>
      </c>
      <c r="E947" s="33">
        <f>Model!$D$17</f>
        <v>800</v>
      </c>
      <c r="G947" s="36">
        <f t="shared" ca="1" si="16"/>
        <v>2395.3912649917679</v>
      </c>
    </row>
    <row r="948" spans="1:7" x14ac:dyDescent="0.2">
      <c r="A948" s="6">
        <f ca="1">Model!$F$13+RAND()*(Model!$G$13-Model!$F$13)</f>
        <v>1726.7902058241098</v>
      </c>
      <c r="B948" s="31">
        <f ca="1">Model!$F$14+RAND()*(Model!$G$14-Model!$F$14)</f>
        <v>0.58757322890744301</v>
      </c>
      <c r="C948" s="32">
        <f ca="1">Model!$F$15+RAND()*(Model!$G$15-Model!$F$15)</f>
        <v>4.8882317937090379E-2</v>
      </c>
      <c r="D948" s="33">
        <f ca="1">Model!$F$16+RAND()*(Model!$G$16-Model!$F$16)</f>
        <v>48.624386904399678</v>
      </c>
      <c r="E948" s="33">
        <f>Model!$D$17</f>
        <v>800</v>
      </c>
      <c r="G948" s="36">
        <f t="shared" ca="1" si="16"/>
        <v>2289.74487131153</v>
      </c>
    </row>
    <row r="949" spans="1:7" x14ac:dyDescent="0.2">
      <c r="A949" s="6">
        <f ca="1">Model!$F$13+RAND()*(Model!$G$13-Model!$F$13)</f>
        <v>1482.5060564748162</v>
      </c>
      <c r="B949" s="31">
        <f ca="1">Model!$F$14+RAND()*(Model!$G$14-Model!$F$14)</f>
        <v>0.32384743313402642</v>
      </c>
      <c r="C949" s="32">
        <f ca="1">Model!$F$15+RAND()*(Model!$G$15-Model!$F$15)</f>
        <v>3.2745835623380917E-2</v>
      </c>
      <c r="D949" s="33">
        <f ca="1">Model!$F$16+RAND()*(Model!$G$16-Model!$F$16)</f>
        <v>52.752033652322076</v>
      </c>
      <c r="E949" s="33">
        <f>Model!$D$17</f>
        <v>800</v>
      </c>
      <c r="G949" s="36">
        <f t="shared" ca="1" si="16"/>
        <v>1280.78915028503</v>
      </c>
    </row>
    <row r="950" spans="1:7" x14ac:dyDescent="0.2">
      <c r="A950" s="6">
        <f ca="1">Model!$F$13+RAND()*(Model!$G$13-Model!$F$13)</f>
        <v>1399.2481652492427</v>
      </c>
      <c r="B950" s="31">
        <f ca="1">Model!$F$14+RAND()*(Model!$G$14-Model!$F$14)</f>
        <v>0.7320866665536363</v>
      </c>
      <c r="C950" s="32">
        <f ca="1">Model!$F$15+RAND()*(Model!$G$15-Model!$F$15)</f>
        <v>3.866088084044067E-2</v>
      </c>
      <c r="D950" s="33">
        <f ca="1">Model!$F$16+RAND()*(Model!$G$16-Model!$F$16)</f>
        <v>49.005890191714556</v>
      </c>
      <c r="E950" s="33">
        <f>Model!$D$17</f>
        <v>800</v>
      </c>
      <c r="G950" s="36">
        <f t="shared" ca="1" si="16"/>
        <v>826.65987437599006</v>
      </c>
    </row>
    <row r="951" spans="1:7" x14ac:dyDescent="0.2">
      <c r="A951" s="6">
        <f ca="1">Model!$F$13+RAND()*(Model!$G$13-Model!$F$13)</f>
        <v>1767.0746189460565</v>
      </c>
      <c r="B951" s="31">
        <f ca="1">Model!$F$14+RAND()*(Model!$G$14-Model!$F$14)</f>
        <v>0.21058261959227928</v>
      </c>
      <c r="C951" s="32">
        <f ca="1">Model!$F$15+RAND()*(Model!$G$15-Model!$F$15)</f>
        <v>1.9507032675107703E-2</v>
      </c>
      <c r="D951" s="33">
        <f ca="1">Model!$F$16+RAND()*(Model!$G$16-Model!$F$16)</f>
        <v>51.035700720006858</v>
      </c>
      <c r="E951" s="33">
        <f>Model!$D$17</f>
        <v>800</v>
      </c>
      <c r="G951" s="36">
        <f t="shared" ca="1" si="16"/>
        <v>587.10491408328903</v>
      </c>
    </row>
    <row r="952" spans="1:7" x14ac:dyDescent="0.2">
      <c r="A952" s="6">
        <f ca="1">Model!$F$13+RAND()*(Model!$G$13-Model!$F$13)</f>
        <v>1607.7940367942283</v>
      </c>
      <c r="B952" s="31">
        <f ca="1">Model!$F$14+RAND()*(Model!$G$14-Model!$F$14)</f>
        <v>0.3195576766388834</v>
      </c>
      <c r="C952" s="32">
        <f ca="1">Model!$F$15+RAND()*(Model!$G$15-Model!$F$15)</f>
        <v>3.8705558474914671E-2</v>
      </c>
      <c r="D952" s="33">
        <f ca="1">Model!$F$16+RAND()*(Model!$G$16-Model!$F$16)</f>
        <v>50.180634306465024</v>
      </c>
      <c r="E952" s="33">
        <f>Model!$D$17</f>
        <v>800</v>
      </c>
      <c r="G952" s="36">
        <f t="shared" ca="1" si="16"/>
        <v>1808.9863535757104</v>
      </c>
    </row>
    <row r="953" spans="1:7" x14ac:dyDescent="0.2">
      <c r="A953" s="6">
        <f ca="1">Model!$F$13+RAND()*(Model!$G$13-Model!$F$13)</f>
        <v>1682.2501407366167</v>
      </c>
      <c r="B953" s="31">
        <f ca="1">Model!$F$14+RAND()*(Model!$G$14-Model!$F$14)</f>
        <v>0.55529520533269294</v>
      </c>
      <c r="C953" s="32">
        <f ca="1">Model!$F$15+RAND()*(Model!$G$15-Model!$F$15)</f>
        <v>1.1588340048192593E-2</v>
      </c>
      <c r="D953" s="33">
        <f ca="1">Model!$F$16+RAND()*(Model!$G$16-Model!$F$16)</f>
        <v>52.884754575670122</v>
      </c>
      <c r="E953" s="33">
        <f>Model!$D$17</f>
        <v>800</v>
      </c>
      <c r="G953" s="36">
        <f t="shared" ca="1" si="16"/>
        <v>-703.18429383075704</v>
      </c>
    </row>
    <row r="954" spans="1:7" x14ac:dyDescent="0.2">
      <c r="A954" s="6">
        <f ca="1">Model!$F$13+RAND()*(Model!$G$13-Model!$F$13)</f>
        <v>1357.4788461002761</v>
      </c>
      <c r="B954" s="31">
        <f ca="1">Model!$F$14+RAND()*(Model!$G$14-Model!$F$14)</f>
        <v>0.54572063745404109</v>
      </c>
      <c r="C954" s="32">
        <f ca="1">Model!$F$15+RAND()*(Model!$G$15-Model!$F$15)</f>
        <v>2.7107879408707715E-2</v>
      </c>
      <c r="D954" s="33">
        <f ca="1">Model!$F$16+RAND()*(Model!$G$16-Model!$F$16)</f>
        <v>48.354028640932853</v>
      </c>
      <c r="E954" s="33">
        <f>Model!$D$17</f>
        <v>800</v>
      </c>
      <c r="G954" s="36">
        <f t="shared" ca="1" si="16"/>
        <v>238.54535398591565</v>
      </c>
    </row>
    <row r="955" spans="1:7" x14ac:dyDescent="0.2">
      <c r="A955" s="6">
        <f ca="1">Model!$F$13+RAND()*(Model!$G$13-Model!$F$13)</f>
        <v>1421.8341629281733</v>
      </c>
      <c r="B955" s="31">
        <f ca="1">Model!$F$14+RAND()*(Model!$G$14-Model!$F$14)</f>
        <v>0.5489482652080363</v>
      </c>
      <c r="C955" s="32">
        <f ca="1">Model!$F$15+RAND()*(Model!$G$15-Model!$F$15)</f>
        <v>2.8936148944393593E-2</v>
      </c>
      <c r="D955" s="33">
        <f ca="1">Model!$F$16+RAND()*(Model!$G$16-Model!$F$16)</f>
        <v>52.213682847546487</v>
      </c>
      <c r="E955" s="33">
        <f>Model!$D$17</f>
        <v>800</v>
      </c>
      <c r="G955" s="36">
        <f t="shared" ca="1" si="16"/>
        <v>567.68309498772942</v>
      </c>
    </row>
    <row r="956" spans="1:7" x14ac:dyDescent="0.2">
      <c r="A956" s="6">
        <f ca="1">Model!$F$13+RAND()*(Model!$G$13-Model!$F$13)</f>
        <v>1436.1948821783571</v>
      </c>
      <c r="B956" s="31">
        <f ca="1">Model!$F$14+RAND()*(Model!$G$14-Model!$F$14)</f>
        <v>0.6510859577364676</v>
      </c>
      <c r="C956" s="32">
        <f ca="1">Model!$F$15+RAND()*(Model!$G$15-Model!$F$15)</f>
        <v>2.6970798119171024E-2</v>
      </c>
      <c r="D956" s="33">
        <f ca="1">Model!$F$16+RAND()*(Model!$G$16-Model!$F$16)</f>
        <v>47.658956676820644</v>
      </c>
      <c r="E956" s="33">
        <f>Model!$D$17</f>
        <v>800</v>
      </c>
      <c r="G956" s="36">
        <f t="shared" ca="1" si="16"/>
        <v>110.99872352088119</v>
      </c>
    </row>
    <row r="957" spans="1:7" x14ac:dyDescent="0.2">
      <c r="A957" s="6">
        <f ca="1">Model!$F$13+RAND()*(Model!$G$13-Model!$F$13)</f>
        <v>1750.8197055879323</v>
      </c>
      <c r="B957" s="31">
        <f ca="1">Model!$F$14+RAND()*(Model!$G$14-Model!$F$14)</f>
        <v>0.42554137623768884</v>
      </c>
      <c r="C957" s="32">
        <f ca="1">Model!$F$15+RAND()*(Model!$G$15-Model!$F$15)</f>
        <v>4.2574451590223578E-2</v>
      </c>
      <c r="D957" s="33">
        <f ca="1">Model!$F$16+RAND()*(Model!$G$16-Model!$F$16)</f>
        <v>48.381938958627345</v>
      </c>
      <c r="E957" s="33">
        <f>Model!$D$17</f>
        <v>800</v>
      </c>
      <c r="G957" s="36">
        <f t="shared" ca="1" si="16"/>
        <v>2061.3526373663508</v>
      </c>
    </row>
    <row r="958" spans="1:7" x14ac:dyDescent="0.2">
      <c r="A958" s="6">
        <f ca="1">Model!$F$13+RAND()*(Model!$G$13-Model!$F$13)</f>
        <v>1619.5910203855108</v>
      </c>
      <c r="B958" s="31">
        <f ca="1">Model!$F$14+RAND()*(Model!$G$14-Model!$F$14)</f>
        <v>0.24041255861643929</v>
      </c>
      <c r="C958" s="32">
        <f ca="1">Model!$F$15+RAND()*(Model!$G$15-Model!$F$15)</f>
        <v>3.2119762664030882E-2</v>
      </c>
      <c r="D958" s="33">
        <f ca="1">Model!$F$16+RAND()*(Model!$G$16-Model!$F$16)</f>
        <v>47.414461255483914</v>
      </c>
      <c r="E958" s="33">
        <f>Model!$D$17</f>
        <v>800</v>
      </c>
      <c r="G958" s="36">
        <f t="shared" ca="1" si="16"/>
        <v>1277.1719395925461</v>
      </c>
    </row>
    <row r="959" spans="1:7" x14ac:dyDescent="0.2">
      <c r="A959" s="6">
        <f ca="1">Model!$F$13+RAND()*(Model!$G$13-Model!$F$13)</f>
        <v>1594.8401249750323</v>
      </c>
      <c r="B959" s="31">
        <f ca="1">Model!$F$14+RAND()*(Model!$G$14-Model!$F$14)</f>
        <v>0.58746181453332003</v>
      </c>
      <c r="C959" s="32">
        <f ca="1">Model!$F$15+RAND()*(Model!$G$15-Model!$F$15)</f>
        <v>3.7888504030334579E-2</v>
      </c>
      <c r="D959" s="33">
        <f ca="1">Model!$F$16+RAND()*(Model!$G$16-Model!$F$16)</f>
        <v>49.113603554165401</v>
      </c>
      <c r="E959" s="33">
        <f>Model!$D$17</f>
        <v>800</v>
      </c>
      <c r="G959" s="36">
        <f t="shared" ca="1" si="16"/>
        <v>1230.8361653946572</v>
      </c>
    </row>
    <row r="960" spans="1:7" x14ac:dyDescent="0.2">
      <c r="A960" s="6">
        <f ca="1">Model!$F$13+RAND()*(Model!$G$13-Model!$F$13)</f>
        <v>1608.5663117475142</v>
      </c>
      <c r="B960" s="31">
        <f ca="1">Model!$F$14+RAND()*(Model!$G$14-Model!$F$14)</f>
        <v>0.62957373426419294</v>
      </c>
      <c r="C960" s="32">
        <f ca="1">Model!$F$15+RAND()*(Model!$G$15-Model!$F$15)</f>
        <v>3.7160382633102208E-2</v>
      </c>
      <c r="D960" s="33">
        <f ca="1">Model!$F$16+RAND()*(Model!$G$16-Model!$F$16)</f>
        <v>52.188191374036435</v>
      </c>
      <c r="E960" s="33">
        <f>Model!$D$17</f>
        <v>800</v>
      </c>
      <c r="G960" s="36">
        <f t="shared" ca="1" si="16"/>
        <v>1306.8348893577322</v>
      </c>
    </row>
    <row r="961" spans="1:7" x14ac:dyDescent="0.2">
      <c r="A961" s="6">
        <f ca="1">Model!$F$13+RAND()*(Model!$G$13-Model!$F$13)</f>
        <v>1263.7563561644561</v>
      </c>
      <c r="B961" s="31">
        <f ca="1">Model!$F$14+RAND()*(Model!$G$14-Model!$F$14)</f>
        <v>0.46078944147123685</v>
      </c>
      <c r="C961" s="32">
        <f ca="1">Model!$F$15+RAND()*(Model!$G$15-Model!$F$15)</f>
        <v>3.1071196221325537E-2</v>
      </c>
      <c r="D961" s="33">
        <f ca="1">Model!$F$16+RAND()*(Model!$G$16-Model!$F$16)</f>
        <v>52.318632627150173</v>
      </c>
      <c r="E961" s="33">
        <f>Model!$D$17</f>
        <v>800</v>
      </c>
      <c r="G961" s="36">
        <f t="shared" ca="1" si="16"/>
        <v>672.039906951479</v>
      </c>
    </row>
    <row r="962" spans="1:7" x14ac:dyDescent="0.2">
      <c r="A962" s="6">
        <f ca="1">Model!$F$13+RAND()*(Model!$G$13-Model!$F$13)</f>
        <v>1627.8203743004897</v>
      </c>
      <c r="B962" s="31">
        <f ca="1">Model!$F$14+RAND()*(Model!$G$14-Model!$F$14)</f>
        <v>0.72496374467301927</v>
      </c>
      <c r="C962" s="32">
        <f ca="1">Model!$F$15+RAND()*(Model!$G$15-Model!$F$15)</f>
        <v>3.6374891898910224E-2</v>
      </c>
      <c r="D962" s="33">
        <f ca="1">Model!$F$16+RAND()*(Model!$G$16-Model!$F$16)</f>
        <v>49.65006369660081</v>
      </c>
      <c r="E962" s="33">
        <f>Model!$D$17</f>
        <v>800</v>
      </c>
      <c r="G962" s="36">
        <f t="shared" ca="1" si="16"/>
        <v>959.75839813192715</v>
      </c>
    </row>
    <row r="963" spans="1:7" x14ac:dyDescent="0.2">
      <c r="A963" s="6">
        <f ca="1">Model!$F$13+RAND()*(Model!$G$13-Model!$F$13)</f>
        <v>1474.7592609987539</v>
      </c>
      <c r="B963" s="31">
        <f ca="1">Model!$F$14+RAND()*(Model!$G$14-Model!$F$14)</f>
        <v>0.23530596366889631</v>
      </c>
      <c r="C963" s="32">
        <f ca="1">Model!$F$15+RAND()*(Model!$G$15-Model!$F$15)</f>
        <v>4.5475958154106003E-2</v>
      </c>
      <c r="D963" s="33">
        <f ca="1">Model!$F$16+RAND()*(Model!$G$16-Model!$F$16)</f>
        <v>52.51894033960879</v>
      </c>
      <c r="E963" s="33">
        <f>Model!$D$17</f>
        <v>800</v>
      </c>
      <c r="G963" s="36">
        <f t="shared" ref="G963:G1000" ca="1" si="17">A963*C963*D963-(E963+A963*B963)</f>
        <v>2375.2203535696167</v>
      </c>
    </row>
    <row r="964" spans="1:7" x14ac:dyDescent="0.2">
      <c r="A964" s="6">
        <f ca="1">Model!$F$13+RAND()*(Model!$G$13-Model!$F$13)</f>
        <v>1754.5037576231632</v>
      </c>
      <c r="B964" s="31">
        <f ca="1">Model!$F$14+RAND()*(Model!$G$14-Model!$F$14)</f>
        <v>0.55753422161228627</v>
      </c>
      <c r="C964" s="32">
        <f ca="1">Model!$F$15+RAND()*(Model!$G$15-Model!$F$15)</f>
        <v>3.8394356325660621E-2</v>
      </c>
      <c r="D964" s="33">
        <f ca="1">Model!$F$16+RAND()*(Model!$G$16-Model!$F$16)</f>
        <v>47.061581534847782</v>
      </c>
      <c r="E964" s="33">
        <f>Model!$D$17</f>
        <v>800</v>
      </c>
      <c r="G964" s="36">
        <f t="shared" ca="1" si="17"/>
        <v>1392.0154276335395</v>
      </c>
    </row>
    <row r="965" spans="1:7" x14ac:dyDescent="0.2">
      <c r="A965" s="6">
        <f ca="1">Model!$F$13+RAND()*(Model!$G$13-Model!$F$13)</f>
        <v>1595.789064238015</v>
      </c>
      <c r="B965" s="31">
        <f ca="1">Model!$F$14+RAND()*(Model!$G$14-Model!$F$14)</f>
        <v>0.77679107309018369</v>
      </c>
      <c r="C965" s="32">
        <f ca="1">Model!$F$15+RAND()*(Model!$G$15-Model!$F$15)</f>
        <v>2.9388265956454759E-2</v>
      </c>
      <c r="D965" s="33">
        <f ca="1">Model!$F$16+RAND()*(Model!$G$16-Model!$F$16)</f>
        <v>50.460521197083096</v>
      </c>
      <c r="E965" s="33">
        <f>Model!$D$17</f>
        <v>800</v>
      </c>
      <c r="G965" s="36">
        <f t="shared" ca="1" si="17"/>
        <v>326.87625248067684</v>
      </c>
    </row>
    <row r="966" spans="1:7" x14ac:dyDescent="0.2">
      <c r="A966" s="6">
        <f ca="1">Model!$F$13+RAND()*(Model!$G$13-Model!$F$13)</f>
        <v>1416.8298376024054</v>
      </c>
      <c r="B966" s="31">
        <f ca="1">Model!$F$14+RAND()*(Model!$G$14-Model!$F$14)</f>
        <v>0.48938194901968796</v>
      </c>
      <c r="C966" s="32">
        <f ca="1">Model!$F$15+RAND()*(Model!$G$15-Model!$F$15)</f>
        <v>4.9400992338370746E-2</v>
      </c>
      <c r="D966" s="33">
        <f ca="1">Model!$F$16+RAND()*(Model!$G$16-Model!$F$16)</f>
        <v>51.484455403433984</v>
      </c>
      <c r="E966" s="33">
        <f>Model!$D$17</f>
        <v>800</v>
      </c>
      <c r="G966" s="36">
        <f t="shared" ca="1" si="17"/>
        <v>2110.1702403439367</v>
      </c>
    </row>
    <row r="967" spans="1:7" x14ac:dyDescent="0.2">
      <c r="A967" s="6">
        <f ca="1">Model!$F$13+RAND()*(Model!$G$13-Model!$F$13)</f>
        <v>1661.4295274365604</v>
      </c>
      <c r="B967" s="31">
        <f ca="1">Model!$F$14+RAND()*(Model!$G$14-Model!$F$14)</f>
        <v>0.27938669827936147</v>
      </c>
      <c r="C967" s="32">
        <f ca="1">Model!$F$15+RAND()*(Model!$G$15-Model!$F$15)</f>
        <v>4.876756521297184E-2</v>
      </c>
      <c r="D967" s="33">
        <f ca="1">Model!$F$16+RAND()*(Model!$G$16-Model!$F$16)</f>
        <v>51.464248278126306</v>
      </c>
      <c r="E967" s="33">
        <f>Model!$D$17</f>
        <v>800</v>
      </c>
      <c r="G967" s="36">
        <f t="shared" ca="1" si="17"/>
        <v>2905.6513974792556</v>
      </c>
    </row>
    <row r="968" spans="1:7" x14ac:dyDescent="0.2">
      <c r="A968" s="6">
        <f ca="1">Model!$F$13+RAND()*(Model!$G$13-Model!$F$13)</f>
        <v>1216.655632118729</v>
      </c>
      <c r="B968" s="31">
        <f ca="1">Model!$F$14+RAND()*(Model!$G$14-Model!$F$14)</f>
        <v>0.40538792143937963</v>
      </c>
      <c r="C968" s="32">
        <f ca="1">Model!$F$15+RAND()*(Model!$G$15-Model!$F$15)</f>
        <v>1.0740311211880451E-2</v>
      </c>
      <c r="D968" s="33">
        <f ca="1">Model!$F$16+RAND()*(Model!$G$16-Model!$F$16)</f>
        <v>48.990307397246902</v>
      </c>
      <c r="E968" s="33">
        <f>Model!$D$17</f>
        <v>800</v>
      </c>
      <c r="G968" s="36">
        <f t="shared" ca="1" si="17"/>
        <v>-653.04840736813321</v>
      </c>
    </row>
    <row r="969" spans="1:7" x14ac:dyDescent="0.2">
      <c r="A969" s="6">
        <f ca="1">Model!$F$13+RAND()*(Model!$G$13-Model!$F$13)</f>
        <v>1720.6615935421839</v>
      </c>
      <c r="B969" s="31">
        <f ca="1">Model!$F$14+RAND()*(Model!$G$14-Model!$F$14)</f>
        <v>0.63076726645163106</v>
      </c>
      <c r="C969" s="32">
        <f ca="1">Model!$F$15+RAND()*(Model!$G$15-Model!$F$15)</f>
        <v>4.4799948693919373E-2</v>
      </c>
      <c r="D969" s="33">
        <f ca="1">Model!$F$16+RAND()*(Model!$G$16-Model!$F$16)</f>
        <v>47.743211502531608</v>
      </c>
      <c r="E969" s="33">
        <f>Model!$D$17</f>
        <v>800</v>
      </c>
      <c r="G969" s="36">
        <f t="shared" ca="1" si="17"/>
        <v>1794.97476060075</v>
      </c>
    </row>
    <row r="970" spans="1:7" x14ac:dyDescent="0.2">
      <c r="A970" s="6">
        <f ca="1">Model!$F$13+RAND()*(Model!$G$13-Model!$F$13)</f>
        <v>1228.5431898886793</v>
      </c>
      <c r="B970" s="31">
        <f ca="1">Model!$F$14+RAND()*(Model!$G$14-Model!$F$14)</f>
        <v>0.22439574679897595</v>
      </c>
      <c r="C970" s="32">
        <f ca="1">Model!$F$15+RAND()*(Model!$G$15-Model!$F$15)</f>
        <v>1.113309248542497E-2</v>
      </c>
      <c r="D970" s="33">
        <f ca="1">Model!$F$16+RAND()*(Model!$G$16-Model!$F$16)</f>
        <v>52.231027532993934</v>
      </c>
      <c r="E970" s="33">
        <f>Model!$D$17</f>
        <v>800</v>
      </c>
      <c r="G970" s="36">
        <f t="shared" ca="1" si="17"/>
        <v>-361.29077328384244</v>
      </c>
    </row>
    <row r="971" spans="1:7" x14ac:dyDescent="0.2">
      <c r="A971" s="6">
        <f ca="1">Model!$F$13+RAND()*(Model!$G$13-Model!$F$13)</f>
        <v>1756.7547654768109</v>
      </c>
      <c r="B971" s="31">
        <f ca="1">Model!$F$14+RAND()*(Model!$G$14-Model!$F$14)</f>
        <v>0.20984674551607652</v>
      </c>
      <c r="C971" s="32">
        <f ca="1">Model!$F$15+RAND()*(Model!$G$15-Model!$F$15)</f>
        <v>1.6336123029399831E-2</v>
      </c>
      <c r="D971" s="33">
        <f ca="1">Model!$F$16+RAND()*(Model!$G$16-Model!$F$16)</f>
        <v>49.323823626448636</v>
      </c>
      <c r="E971" s="33">
        <f>Model!$D$17</f>
        <v>800</v>
      </c>
      <c r="G971" s="36">
        <f t="shared" ca="1" si="17"/>
        <v>246.87353929385085</v>
      </c>
    </row>
    <row r="972" spans="1:7" x14ac:dyDescent="0.2">
      <c r="A972" s="6">
        <f ca="1">Model!$F$13+RAND()*(Model!$G$13-Model!$F$13)</f>
        <v>1361.1428472080249</v>
      </c>
      <c r="B972" s="31">
        <f ca="1">Model!$F$14+RAND()*(Model!$G$14-Model!$F$14)</f>
        <v>0.23213359898908895</v>
      </c>
      <c r="C972" s="32">
        <f ca="1">Model!$F$15+RAND()*(Model!$G$15-Model!$F$15)</f>
        <v>3.2447328956865425E-2</v>
      </c>
      <c r="D972" s="33">
        <f ca="1">Model!$F$16+RAND()*(Model!$G$16-Model!$F$16)</f>
        <v>52.239850057673614</v>
      </c>
      <c r="E972" s="33">
        <f>Model!$D$17</f>
        <v>800</v>
      </c>
      <c r="G972" s="36">
        <f t="shared" ca="1" si="17"/>
        <v>1191.229483275469</v>
      </c>
    </row>
    <row r="973" spans="1:7" x14ac:dyDescent="0.2">
      <c r="A973" s="6">
        <f ca="1">Model!$F$13+RAND()*(Model!$G$13-Model!$F$13)</f>
        <v>1448.6663536656711</v>
      </c>
      <c r="B973" s="31">
        <f ca="1">Model!$F$14+RAND()*(Model!$G$14-Model!$F$14)</f>
        <v>0.6671601076446223</v>
      </c>
      <c r="C973" s="32">
        <f ca="1">Model!$F$15+RAND()*(Model!$G$15-Model!$F$15)</f>
        <v>1.8899068770566574E-2</v>
      </c>
      <c r="D973" s="33">
        <f ca="1">Model!$F$16+RAND()*(Model!$G$16-Model!$F$16)</f>
        <v>51.280802176235227</v>
      </c>
      <c r="E973" s="33">
        <f>Model!$D$17</f>
        <v>800</v>
      </c>
      <c r="G973" s="36">
        <f t="shared" ca="1" si="17"/>
        <v>-362.50377628236561</v>
      </c>
    </row>
    <row r="974" spans="1:7" x14ac:dyDescent="0.2">
      <c r="A974" s="6">
        <f ca="1">Model!$F$13+RAND()*(Model!$G$13-Model!$F$13)</f>
        <v>1330.4544490898963</v>
      </c>
      <c r="B974" s="31">
        <f ca="1">Model!$F$14+RAND()*(Model!$G$14-Model!$F$14)</f>
        <v>0.38648871329835588</v>
      </c>
      <c r="C974" s="32">
        <f ca="1">Model!$F$15+RAND()*(Model!$G$15-Model!$F$15)</f>
        <v>2.4431238481304782E-2</v>
      </c>
      <c r="D974" s="33">
        <f ca="1">Model!$F$16+RAND()*(Model!$G$16-Model!$F$16)</f>
        <v>49.19818982271002</v>
      </c>
      <c r="E974" s="33">
        <f>Model!$D$17</f>
        <v>800</v>
      </c>
      <c r="G974" s="36">
        <f t="shared" ca="1" si="17"/>
        <v>284.96430945407224</v>
      </c>
    </row>
    <row r="975" spans="1:7" x14ac:dyDescent="0.2">
      <c r="A975" s="6">
        <f ca="1">Model!$F$13+RAND()*(Model!$G$13-Model!$F$13)</f>
        <v>1591.2275816319318</v>
      </c>
      <c r="B975" s="31">
        <f ca="1">Model!$F$14+RAND()*(Model!$G$14-Model!$F$14)</f>
        <v>0.75621143871944607</v>
      </c>
      <c r="C975" s="32">
        <f ca="1">Model!$F$15+RAND()*(Model!$G$15-Model!$F$15)</f>
        <v>3.843868493844621E-2</v>
      </c>
      <c r="D975" s="33">
        <f ca="1">Model!$F$16+RAND()*(Model!$G$16-Model!$F$16)</f>
        <v>48.973522217378601</v>
      </c>
      <c r="E975" s="33">
        <f>Model!$D$17</f>
        <v>800</v>
      </c>
      <c r="G975" s="36">
        <f t="shared" ca="1" si="17"/>
        <v>992.14608375790749</v>
      </c>
    </row>
    <row r="976" spans="1:7" x14ac:dyDescent="0.2">
      <c r="A976" s="6">
        <f ca="1">Model!$F$13+RAND()*(Model!$G$13-Model!$F$13)</f>
        <v>1725.9118146332314</v>
      </c>
      <c r="B976" s="31">
        <f ca="1">Model!$F$14+RAND()*(Model!$G$14-Model!$F$14)</f>
        <v>0.52484510869038781</v>
      </c>
      <c r="C976" s="32">
        <f ca="1">Model!$F$15+RAND()*(Model!$G$15-Model!$F$15)</f>
        <v>2.2705754082534002E-2</v>
      </c>
      <c r="D976" s="33">
        <f ca="1">Model!$F$16+RAND()*(Model!$G$16-Model!$F$16)</f>
        <v>48.111639515610698</v>
      </c>
      <c r="E976" s="33">
        <f>Model!$D$17</f>
        <v>800</v>
      </c>
      <c r="G976" s="36">
        <f t="shared" ca="1" si="17"/>
        <v>179.5687729215615</v>
      </c>
    </row>
    <row r="977" spans="1:7" x14ac:dyDescent="0.2">
      <c r="A977" s="6">
        <f ca="1">Model!$F$13+RAND()*(Model!$G$13-Model!$F$13)</f>
        <v>1361.3132925302918</v>
      </c>
      <c r="B977" s="31">
        <f ca="1">Model!$F$14+RAND()*(Model!$G$14-Model!$F$14)</f>
        <v>0.43660279008448</v>
      </c>
      <c r="C977" s="32">
        <f ca="1">Model!$F$15+RAND()*(Model!$G$15-Model!$F$15)</f>
        <v>3.3710732578517096E-2</v>
      </c>
      <c r="D977" s="33">
        <f ca="1">Model!$F$16+RAND()*(Model!$G$16-Model!$F$16)</f>
        <v>50.885513127518671</v>
      </c>
      <c r="E977" s="33">
        <f>Model!$D$17</f>
        <v>800</v>
      </c>
      <c r="G977" s="36">
        <f t="shared" ca="1" si="17"/>
        <v>940.82720267172135</v>
      </c>
    </row>
    <row r="978" spans="1:7" x14ac:dyDescent="0.2">
      <c r="A978" s="6">
        <f ca="1">Model!$F$13+RAND()*(Model!$G$13-Model!$F$13)</f>
        <v>1310.6765968586676</v>
      </c>
      <c r="B978" s="31">
        <f ca="1">Model!$F$14+RAND()*(Model!$G$14-Model!$F$14)</f>
        <v>0.62443033289217431</v>
      </c>
      <c r="C978" s="32">
        <f ca="1">Model!$F$15+RAND()*(Model!$G$15-Model!$F$15)</f>
        <v>2.3895426473190699E-2</v>
      </c>
      <c r="D978" s="33">
        <f ca="1">Model!$F$16+RAND()*(Model!$G$16-Model!$F$16)</f>
        <v>48.209218868642523</v>
      </c>
      <c r="E978" s="33">
        <f>Model!$D$17</f>
        <v>800</v>
      </c>
      <c r="G978" s="36">
        <f t="shared" ca="1" si="17"/>
        <v>-108.55320105085366</v>
      </c>
    </row>
    <row r="979" spans="1:7" x14ac:dyDescent="0.2">
      <c r="A979" s="6">
        <f ca="1">Model!$F$13+RAND()*(Model!$G$13-Model!$F$13)</f>
        <v>1612.6690228766324</v>
      </c>
      <c r="B979" s="31">
        <f ca="1">Model!$F$14+RAND()*(Model!$G$14-Model!$F$14)</f>
        <v>0.22802166449241829</v>
      </c>
      <c r="C979" s="32">
        <f ca="1">Model!$F$15+RAND()*(Model!$G$15-Model!$F$15)</f>
        <v>4.4123827997297825E-2</v>
      </c>
      <c r="D979" s="33">
        <f ca="1">Model!$F$16+RAND()*(Model!$G$16-Model!$F$16)</f>
        <v>49.564151638477362</v>
      </c>
      <c r="E979" s="33">
        <f>Model!$D$17</f>
        <v>800</v>
      </c>
      <c r="G979" s="36">
        <f t="shared" ca="1" si="17"/>
        <v>2359.1193354524444</v>
      </c>
    </row>
    <row r="980" spans="1:7" x14ac:dyDescent="0.2">
      <c r="A980" s="6">
        <f ca="1">Model!$F$13+RAND()*(Model!$G$13-Model!$F$13)</f>
        <v>1698.3282587430588</v>
      </c>
      <c r="B980" s="31">
        <f ca="1">Model!$F$14+RAND()*(Model!$G$14-Model!$F$14)</f>
        <v>0.41624116965151392</v>
      </c>
      <c r="C980" s="32">
        <f ca="1">Model!$F$15+RAND()*(Model!$G$15-Model!$F$15)</f>
        <v>2.0015627921147298E-2</v>
      </c>
      <c r="D980" s="33">
        <f ca="1">Model!$F$16+RAND()*(Model!$G$16-Model!$F$16)</f>
        <v>49.271391867348392</v>
      </c>
      <c r="E980" s="33">
        <f>Model!$D$17</f>
        <v>800</v>
      </c>
      <c r="G980" s="36">
        <f t="shared" ca="1" si="17"/>
        <v>167.97353101622207</v>
      </c>
    </row>
    <row r="981" spans="1:7" x14ac:dyDescent="0.2">
      <c r="A981" s="6">
        <f ca="1">Model!$F$13+RAND()*(Model!$G$13-Model!$F$13)</f>
        <v>1228.7808583283818</v>
      </c>
      <c r="B981" s="31">
        <f ca="1">Model!$F$14+RAND()*(Model!$G$14-Model!$F$14)</f>
        <v>0.42525093369339595</v>
      </c>
      <c r="C981" s="32">
        <f ca="1">Model!$F$15+RAND()*(Model!$G$15-Model!$F$15)</f>
        <v>1.7162474461760731E-2</v>
      </c>
      <c r="D981" s="33">
        <f ca="1">Model!$F$16+RAND()*(Model!$G$16-Model!$F$16)</f>
        <v>52.72184143577374</v>
      </c>
      <c r="E981" s="33">
        <f>Model!$D$17</f>
        <v>800</v>
      </c>
      <c r="G981" s="36">
        <f t="shared" ca="1" si="17"/>
        <v>-210.69350573631209</v>
      </c>
    </row>
    <row r="982" spans="1:7" x14ac:dyDescent="0.2">
      <c r="A982" s="6">
        <f ca="1">Model!$F$13+RAND()*(Model!$G$13-Model!$F$13)</f>
        <v>1341.8151115026697</v>
      </c>
      <c r="B982" s="31">
        <f ca="1">Model!$F$14+RAND()*(Model!$G$14-Model!$F$14)</f>
        <v>0.58996708274803633</v>
      </c>
      <c r="C982" s="32">
        <f ca="1">Model!$F$15+RAND()*(Model!$G$15-Model!$F$15)</f>
        <v>3.7956125737074541E-2</v>
      </c>
      <c r="D982" s="33">
        <f ca="1">Model!$F$16+RAND()*(Model!$G$16-Model!$F$16)</f>
        <v>52.030099321288596</v>
      </c>
      <c r="E982" s="33">
        <f>Model!$D$17</f>
        <v>800</v>
      </c>
      <c r="G982" s="36">
        <f t="shared" ca="1" si="17"/>
        <v>1058.2715751969542</v>
      </c>
    </row>
    <row r="983" spans="1:7" x14ac:dyDescent="0.2">
      <c r="A983" s="6">
        <f ca="1">Model!$F$13+RAND()*(Model!$G$13-Model!$F$13)</f>
        <v>1576.2440783565548</v>
      </c>
      <c r="B983" s="31">
        <f ca="1">Model!$F$14+RAND()*(Model!$G$14-Model!$F$14)</f>
        <v>0.57404147683734941</v>
      </c>
      <c r="C983" s="32">
        <f ca="1">Model!$F$15+RAND()*(Model!$G$15-Model!$F$15)</f>
        <v>3.3781915987388049E-2</v>
      </c>
      <c r="D983" s="33">
        <f ca="1">Model!$F$16+RAND()*(Model!$G$16-Model!$F$16)</f>
        <v>47.867854337194963</v>
      </c>
      <c r="E983" s="33">
        <f>Model!$D$17</f>
        <v>800</v>
      </c>
      <c r="G983" s="36">
        <f t="shared" ca="1" si="17"/>
        <v>844.06411859923037</v>
      </c>
    </row>
    <row r="984" spans="1:7" x14ac:dyDescent="0.2">
      <c r="A984" s="6">
        <f ca="1">Model!$F$13+RAND()*(Model!$G$13-Model!$F$13)</f>
        <v>1474.1725301900215</v>
      </c>
      <c r="B984" s="31">
        <f ca="1">Model!$F$14+RAND()*(Model!$G$14-Model!$F$14)</f>
        <v>0.37337194203333446</v>
      </c>
      <c r="C984" s="32">
        <f ca="1">Model!$F$15+RAND()*(Model!$G$15-Model!$F$15)</f>
        <v>1.7274645320055328E-2</v>
      </c>
      <c r="D984" s="33">
        <f ca="1">Model!$F$16+RAND()*(Model!$G$16-Model!$F$16)</f>
        <v>49.208616192119315</v>
      </c>
      <c r="E984" s="33">
        <f>Model!$D$17</f>
        <v>800</v>
      </c>
      <c r="G984" s="36">
        <f t="shared" ca="1" si="17"/>
        <v>-97.277508298113162</v>
      </c>
    </row>
    <row r="985" spans="1:7" x14ac:dyDescent="0.2">
      <c r="A985" s="6">
        <f ca="1">Model!$F$13+RAND()*(Model!$G$13-Model!$F$13)</f>
        <v>1400.7361161340009</v>
      </c>
      <c r="B985" s="31">
        <f ca="1">Model!$F$14+RAND()*(Model!$G$14-Model!$F$14)</f>
        <v>0.34646075918983932</v>
      </c>
      <c r="C985" s="32">
        <f ca="1">Model!$F$15+RAND()*(Model!$G$15-Model!$F$15)</f>
        <v>1.2032398843868367E-2</v>
      </c>
      <c r="D985" s="33">
        <f ca="1">Model!$F$16+RAND()*(Model!$G$16-Model!$F$16)</f>
        <v>50.264409308281891</v>
      </c>
      <c r="E985" s="33">
        <f>Model!$D$17</f>
        <v>800</v>
      </c>
      <c r="G985" s="36">
        <f t="shared" ca="1" si="17"/>
        <v>-438.13290550877764</v>
      </c>
    </row>
    <row r="986" spans="1:7" x14ac:dyDescent="0.2">
      <c r="A986" s="6">
        <f ca="1">Model!$F$13+RAND()*(Model!$G$13-Model!$F$13)</f>
        <v>1557.8513517163565</v>
      </c>
      <c r="B986" s="31">
        <f ca="1">Model!$F$14+RAND()*(Model!$G$14-Model!$F$14)</f>
        <v>0.45846513342437806</v>
      </c>
      <c r="C986" s="32">
        <f ca="1">Model!$F$15+RAND()*(Model!$G$15-Model!$F$15)</f>
        <v>1.2075753203236755E-2</v>
      </c>
      <c r="D986" s="33">
        <f ca="1">Model!$F$16+RAND()*(Model!$G$16-Model!$F$16)</f>
        <v>49.389325059127458</v>
      </c>
      <c r="E986" s="33">
        <f>Model!$D$17</f>
        <v>800</v>
      </c>
      <c r="G986" s="36">
        <f t="shared" ca="1" si="17"/>
        <v>-585.09726178399694</v>
      </c>
    </row>
    <row r="987" spans="1:7" x14ac:dyDescent="0.2">
      <c r="A987" s="6">
        <f ca="1">Model!$F$13+RAND()*(Model!$G$13-Model!$F$13)</f>
        <v>1308.3657920464054</v>
      </c>
      <c r="B987" s="31">
        <f ca="1">Model!$F$14+RAND()*(Model!$G$14-Model!$F$14)</f>
        <v>0.50545786401410853</v>
      </c>
      <c r="C987" s="32">
        <f ca="1">Model!$F$15+RAND()*(Model!$G$15-Model!$F$15)</f>
        <v>1.4623955209236605E-2</v>
      </c>
      <c r="D987" s="33">
        <f ca="1">Model!$F$16+RAND()*(Model!$G$16-Model!$F$16)</f>
        <v>50.27093146132674</v>
      </c>
      <c r="E987" s="33">
        <f>Model!$D$17</f>
        <v>800</v>
      </c>
      <c r="G987" s="36">
        <f t="shared" ca="1" si="17"/>
        <v>-499.46577914863497</v>
      </c>
    </row>
    <row r="988" spans="1:7" x14ac:dyDescent="0.2">
      <c r="A988" s="6">
        <f ca="1">Model!$F$13+RAND()*(Model!$G$13-Model!$F$13)</f>
        <v>1314.1537842414823</v>
      </c>
      <c r="B988" s="31">
        <f ca="1">Model!$F$14+RAND()*(Model!$G$14-Model!$F$14)</f>
        <v>0.74867692273559983</v>
      </c>
      <c r="C988" s="32">
        <f ca="1">Model!$F$15+RAND()*(Model!$G$15-Model!$F$15)</f>
        <v>1.611673908847883E-2</v>
      </c>
      <c r="D988" s="33">
        <f ca="1">Model!$F$16+RAND()*(Model!$G$16-Model!$F$16)</f>
        <v>50.124027575049581</v>
      </c>
      <c r="E988" s="33">
        <f>Model!$D$17</f>
        <v>800</v>
      </c>
      <c r="G988" s="36">
        <f t="shared" ca="1" si="17"/>
        <v>-722.25603967915458</v>
      </c>
    </row>
    <row r="989" spans="1:7" x14ac:dyDescent="0.2">
      <c r="A989" s="6">
        <f ca="1">Model!$F$13+RAND()*(Model!$G$13-Model!$F$13)</f>
        <v>1283.2589483486672</v>
      </c>
      <c r="B989" s="31">
        <f ca="1">Model!$F$14+RAND()*(Model!$G$14-Model!$F$14)</f>
        <v>0.40165346902260651</v>
      </c>
      <c r="C989" s="32">
        <f ca="1">Model!$F$15+RAND()*(Model!$G$15-Model!$F$15)</f>
        <v>4.2403838434743713E-2</v>
      </c>
      <c r="D989" s="33">
        <f ca="1">Model!$F$16+RAND()*(Model!$G$16-Model!$F$16)</f>
        <v>51.137272802095595</v>
      </c>
      <c r="E989" s="33">
        <f>Model!$D$17</f>
        <v>800</v>
      </c>
      <c r="G989" s="36">
        <f t="shared" ca="1" si="17"/>
        <v>1467.2146665985333</v>
      </c>
    </row>
    <row r="990" spans="1:7" x14ac:dyDescent="0.2">
      <c r="A990" s="6">
        <f ca="1">Model!$F$13+RAND()*(Model!$G$13-Model!$F$13)</f>
        <v>1341.7577819311875</v>
      </c>
      <c r="B990" s="31">
        <f ca="1">Model!$F$14+RAND()*(Model!$G$14-Model!$F$14)</f>
        <v>0.34511684106809515</v>
      </c>
      <c r="C990" s="32">
        <f ca="1">Model!$F$15+RAND()*(Model!$G$15-Model!$F$15)</f>
        <v>4.0702571241496843E-2</v>
      </c>
      <c r="D990" s="33">
        <f ca="1">Model!$F$16+RAND()*(Model!$G$16-Model!$F$16)</f>
        <v>52.703680007490988</v>
      </c>
      <c r="E990" s="33">
        <f>Model!$D$17</f>
        <v>800</v>
      </c>
      <c r="G990" s="36">
        <f t="shared" ca="1" si="17"/>
        <v>1615.2424320456068</v>
      </c>
    </row>
    <row r="991" spans="1:7" x14ac:dyDescent="0.2">
      <c r="A991" s="6">
        <f ca="1">Model!$F$13+RAND()*(Model!$G$13-Model!$F$13)</f>
        <v>1384.7256422282774</v>
      </c>
      <c r="B991" s="31">
        <f ca="1">Model!$F$14+RAND()*(Model!$G$14-Model!$F$14)</f>
        <v>0.51106914556201166</v>
      </c>
      <c r="C991" s="32">
        <f ca="1">Model!$F$15+RAND()*(Model!$G$15-Model!$F$15)</f>
        <v>4.1618283894655411E-2</v>
      </c>
      <c r="D991" s="33">
        <f ca="1">Model!$F$16+RAND()*(Model!$G$16-Model!$F$16)</f>
        <v>49.64627301110778</v>
      </c>
      <c r="E991" s="33">
        <f>Model!$D$17</f>
        <v>800</v>
      </c>
      <c r="G991" s="36">
        <f t="shared" ca="1" si="17"/>
        <v>1353.4194411833964</v>
      </c>
    </row>
    <row r="992" spans="1:7" x14ac:dyDescent="0.2">
      <c r="A992" s="6">
        <f ca="1">Model!$F$13+RAND()*(Model!$G$13-Model!$F$13)</f>
        <v>1452.4878087851141</v>
      </c>
      <c r="B992" s="31">
        <f ca="1">Model!$F$14+RAND()*(Model!$G$14-Model!$F$14)</f>
        <v>0.25580588101956675</v>
      </c>
      <c r="C992" s="32">
        <f ca="1">Model!$F$15+RAND()*(Model!$G$15-Model!$F$15)</f>
        <v>1.664240121151956E-2</v>
      </c>
      <c r="D992" s="33">
        <f ca="1">Model!$F$16+RAND()*(Model!$G$16-Model!$F$16)</f>
        <v>50.882941200185982</v>
      </c>
      <c r="E992" s="33">
        <f>Model!$D$17</f>
        <v>800</v>
      </c>
      <c r="G992" s="36">
        <f t="shared" ca="1" si="17"/>
        <v>58.432555813559702</v>
      </c>
    </row>
    <row r="993" spans="1:7" x14ac:dyDescent="0.2">
      <c r="A993" s="6">
        <f ca="1">Model!$F$13+RAND()*(Model!$G$13-Model!$F$13)</f>
        <v>1748.9644654092879</v>
      </c>
      <c r="B993" s="31">
        <f ca="1">Model!$F$14+RAND()*(Model!$G$14-Model!$F$14)</f>
        <v>0.39851243085463239</v>
      </c>
      <c r="C993" s="32">
        <f ca="1">Model!$F$15+RAND()*(Model!$G$15-Model!$F$15)</f>
        <v>3.453960832901843E-2</v>
      </c>
      <c r="D993" s="33">
        <f ca="1">Model!$F$16+RAND()*(Model!$G$16-Model!$F$16)</f>
        <v>48.274456449212416</v>
      </c>
      <c r="E993" s="33">
        <f>Model!$D$17</f>
        <v>800</v>
      </c>
      <c r="G993" s="36">
        <f t="shared" ca="1" si="17"/>
        <v>1419.205720489485</v>
      </c>
    </row>
    <row r="994" spans="1:7" x14ac:dyDescent="0.2">
      <c r="A994" s="6">
        <f ca="1">Model!$F$13+RAND()*(Model!$G$13-Model!$F$13)</f>
        <v>1518.7269815812742</v>
      </c>
      <c r="B994" s="31">
        <f ca="1">Model!$F$14+RAND()*(Model!$G$14-Model!$F$14)</f>
        <v>0.26462937236162148</v>
      </c>
      <c r="C994" s="32">
        <f ca="1">Model!$F$15+RAND()*(Model!$G$15-Model!$F$15)</f>
        <v>2.1715681892519521E-2</v>
      </c>
      <c r="D994" s="33">
        <f ca="1">Model!$F$16+RAND()*(Model!$G$16-Model!$F$16)</f>
        <v>52.795790169835811</v>
      </c>
      <c r="E994" s="33">
        <f>Model!$D$17</f>
        <v>800</v>
      </c>
      <c r="G994" s="36">
        <f t="shared" ca="1" si="17"/>
        <v>539.31552938668801</v>
      </c>
    </row>
    <row r="995" spans="1:7" x14ac:dyDescent="0.2">
      <c r="A995" s="6">
        <f ca="1">Model!$F$13+RAND()*(Model!$G$13-Model!$F$13)</f>
        <v>1280.8830206859127</v>
      </c>
      <c r="B995" s="31">
        <f ca="1">Model!$F$14+RAND()*(Model!$G$14-Model!$F$14)</f>
        <v>0.30627323369979836</v>
      </c>
      <c r="C995" s="32">
        <f ca="1">Model!$F$15+RAND()*(Model!$G$15-Model!$F$15)</f>
        <v>3.394908106396801E-2</v>
      </c>
      <c r="D995" s="33">
        <f ca="1">Model!$F$16+RAND()*(Model!$G$16-Model!$F$16)</f>
        <v>47.069088662490522</v>
      </c>
      <c r="E995" s="33">
        <f>Model!$D$17</f>
        <v>800</v>
      </c>
      <c r="G995" s="36">
        <f t="shared" ca="1" si="17"/>
        <v>854.48979266598349</v>
      </c>
    </row>
    <row r="996" spans="1:7" x14ac:dyDescent="0.2">
      <c r="A996" s="6">
        <f ca="1">Model!$F$13+RAND()*(Model!$G$13-Model!$F$13)</f>
        <v>1292.2892141784059</v>
      </c>
      <c r="B996" s="31">
        <f ca="1">Model!$F$14+RAND()*(Model!$G$14-Model!$F$14)</f>
        <v>0.74681283672973087</v>
      </c>
      <c r="C996" s="32">
        <f ca="1">Model!$F$15+RAND()*(Model!$G$15-Model!$F$15)</f>
        <v>2.7543379321821236E-2</v>
      </c>
      <c r="D996" s="33">
        <f ca="1">Model!$F$16+RAND()*(Model!$G$16-Model!$F$16)</f>
        <v>47.78891285593793</v>
      </c>
      <c r="E996" s="33">
        <f>Model!$D$17</f>
        <v>800</v>
      </c>
      <c r="G996" s="36">
        <f t="shared" ca="1" si="17"/>
        <v>-64.09903531726377</v>
      </c>
    </row>
    <row r="997" spans="1:7" x14ac:dyDescent="0.2">
      <c r="A997" s="6">
        <f ca="1">Model!$F$13+RAND()*(Model!$G$13-Model!$F$13)</f>
        <v>1356.6668268715637</v>
      </c>
      <c r="B997" s="31">
        <f ca="1">Model!$F$14+RAND()*(Model!$G$14-Model!$F$14)</f>
        <v>0.40137833976881943</v>
      </c>
      <c r="C997" s="32">
        <f ca="1">Model!$F$15+RAND()*(Model!$G$15-Model!$F$15)</f>
        <v>1.1374025699682955E-2</v>
      </c>
      <c r="D997" s="33">
        <f ca="1">Model!$F$16+RAND()*(Model!$G$16-Model!$F$16)</f>
        <v>48.798401656958468</v>
      </c>
      <c r="E997" s="33">
        <f>Model!$D$17</f>
        <v>800</v>
      </c>
      <c r="G997" s="36">
        <f t="shared" ca="1" si="17"/>
        <v>-591.54009053084292</v>
      </c>
    </row>
    <row r="998" spans="1:7" x14ac:dyDescent="0.2">
      <c r="A998" s="6">
        <f ca="1">Model!$F$13+RAND()*(Model!$G$13-Model!$F$13)</f>
        <v>1568.2260100621709</v>
      </c>
      <c r="B998" s="31">
        <f ca="1">Model!$F$14+RAND()*(Model!$G$14-Model!$F$14)</f>
        <v>0.72285602969431673</v>
      </c>
      <c r="C998" s="32">
        <f ca="1">Model!$F$15+RAND()*(Model!$G$15-Model!$F$15)</f>
        <v>3.9119165302755554E-2</v>
      </c>
      <c r="D998" s="33">
        <f ca="1">Model!$F$16+RAND()*(Model!$G$16-Model!$F$16)</f>
        <v>49.850390880432677</v>
      </c>
      <c r="E998" s="33">
        <f>Model!$D$17</f>
        <v>800</v>
      </c>
      <c r="G998" s="36">
        <f t="shared" ca="1" si="17"/>
        <v>1124.6048244228828</v>
      </c>
    </row>
    <row r="999" spans="1:7" x14ac:dyDescent="0.2">
      <c r="A999" s="6">
        <f ca="1">Model!$F$13+RAND()*(Model!$G$13-Model!$F$13)</f>
        <v>1519.9353178488213</v>
      </c>
      <c r="B999" s="31">
        <f ca="1">Model!$F$14+RAND()*(Model!$G$14-Model!$F$14)</f>
        <v>0.51353176318979166</v>
      </c>
      <c r="C999" s="32">
        <f ca="1">Model!$F$15+RAND()*(Model!$G$15-Model!$F$15)</f>
        <v>3.3473307146409725E-2</v>
      </c>
      <c r="D999" s="33">
        <f ca="1">Model!$F$16+RAND()*(Model!$G$16-Model!$F$16)</f>
        <v>51.497634036695629</v>
      </c>
      <c r="E999" s="33">
        <f>Model!$D$17</f>
        <v>800</v>
      </c>
      <c r="G999" s="36">
        <f t="shared" ca="1" si="17"/>
        <v>1039.5235420133804</v>
      </c>
    </row>
    <row r="1000" spans="1:7" x14ac:dyDescent="0.2">
      <c r="A1000" s="6">
        <f ca="1">Model!$F$13+RAND()*(Model!$G$13-Model!$F$13)</f>
        <v>1672.6834778600351</v>
      </c>
      <c r="B1000" s="31">
        <f ca="1">Model!$F$14+RAND()*(Model!$G$14-Model!$F$14)</f>
        <v>0.5991207133070362</v>
      </c>
      <c r="C1000" s="32">
        <f ca="1">Model!$F$15+RAND()*(Model!$G$15-Model!$F$15)</f>
        <v>2.8358426428379713E-2</v>
      </c>
      <c r="D1000" s="33">
        <f ca="1">Model!$F$16+RAND()*(Model!$G$16-Model!$F$16)</f>
        <v>47.842705965754291</v>
      </c>
      <c r="E1000" s="33">
        <f>Model!$D$17</f>
        <v>800</v>
      </c>
      <c r="G1000" s="36">
        <f t="shared" ca="1" si="17"/>
        <v>467.26371534193459</v>
      </c>
    </row>
    <row r="1001" spans="1:7" x14ac:dyDescent="0.2">
      <c r="A1001" s="6">
        <f ca="1">Model!$F$13+RAND()*(Model!$G$13-Model!$F$13)</f>
        <v>1734.8317818802827</v>
      </c>
      <c r="B1001" s="31">
        <f ca="1">Model!$F$14+RAND()*(Model!$G$14-Model!$F$14)</f>
        <v>0.53691197052470707</v>
      </c>
      <c r="C1001" s="32">
        <f ca="1">Model!$F$15+RAND()*(Model!$G$15-Model!$F$15)</f>
        <v>1.6085858279653805E-2</v>
      </c>
      <c r="D1001" s="33">
        <f ca="1">Model!$F$16+RAND()*(Model!$G$16-Model!$F$16)</f>
        <v>51.966917931943989</v>
      </c>
      <c r="E1001" s="33">
        <f>Model!$D$17</f>
        <v>800</v>
      </c>
      <c r="G1001" s="36">
        <f t="shared" ref="G1001:G1064" ca="1" si="18">A1001*C1001*D1001-(E1001+A1001*B1001)</f>
        <v>-281.24972178760254</v>
      </c>
    </row>
    <row r="1002" spans="1:7" x14ac:dyDescent="0.2">
      <c r="A1002" s="6">
        <f ca="1">Model!$F$13+RAND()*(Model!$G$13-Model!$F$13)</f>
        <v>1601.4509484852524</v>
      </c>
      <c r="B1002" s="31">
        <f ca="1">Model!$F$14+RAND()*(Model!$G$14-Model!$F$14)</f>
        <v>0.5783038727361054</v>
      </c>
      <c r="C1002" s="32">
        <f ca="1">Model!$F$15+RAND()*(Model!$G$15-Model!$F$15)</f>
        <v>3.7108808895369688E-2</v>
      </c>
      <c r="D1002" s="33">
        <f ca="1">Model!$F$16+RAND()*(Model!$G$16-Model!$F$16)</f>
        <v>51.16447456850328</v>
      </c>
      <c r="E1002" s="33">
        <f>Model!$D$17</f>
        <v>800</v>
      </c>
      <c r="G1002" s="36">
        <f t="shared" ca="1" si="18"/>
        <v>1314.4738961575508</v>
      </c>
    </row>
    <row r="1003" spans="1:7" x14ac:dyDescent="0.2">
      <c r="A1003" s="6">
        <f ca="1">Model!$F$13+RAND()*(Model!$G$13-Model!$F$13)</f>
        <v>1282.5046110314518</v>
      </c>
      <c r="B1003" s="31">
        <f ca="1">Model!$F$14+RAND()*(Model!$G$14-Model!$F$14)</f>
        <v>0.75031636746744845</v>
      </c>
      <c r="C1003" s="32">
        <f ca="1">Model!$F$15+RAND()*(Model!$G$15-Model!$F$15)</f>
        <v>2.6327899129508142E-2</v>
      </c>
      <c r="D1003" s="33">
        <f ca="1">Model!$F$16+RAND()*(Model!$G$16-Model!$F$16)</f>
        <v>48.138078137960242</v>
      </c>
      <c r="E1003" s="33">
        <f>Model!$D$17</f>
        <v>800</v>
      </c>
      <c r="G1003" s="36">
        <f t="shared" ca="1" si="18"/>
        <v>-136.87060509620278</v>
      </c>
    </row>
    <row r="1004" spans="1:7" x14ac:dyDescent="0.2">
      <c r="A1004" s="6">
        <f ca="1">Model!$F$13+RAND()*(Model!$G$13-Model!$F$13)</f>
        <v>1226.8700870547978</v>
      </c>
      <c r="B1004" s="31">
        <f ca="1">Model!$F$14+RAND()*(Model!$G$14-Model!$F$14)</f>
        <v>0.4269802340634361</v>
      </c>
      <c r="C1004" s="32">
        <f ca="1">Model!$F$15+RAND()*(Model!$G$15-Model!$F$15)</f>
        <v>1.4240174785352715E-2</v>
      </c>
      <c r="D1004" s="33">
        <f ca="1">Model!$F$16+RAND()*(Model!$G$16-Model!$F$16)</f>
        <v>48.793072594105901</v>
      </c>
      <c r="E1004" s="33">
        <f>Model!$D$17</f>
        <v>800</v>
      </c>
      <c r="G1004" s="36">
        <f t="shared" ca="1" si="18"/>
        <v>-471.393094012338</v>
      </c>
    </row>
    <row r="1005" spans="1:7" x14ac:dyDescent="0.2">
      <c r="A1005" s="6">
        <f ca="1">Model!$F$13+RAND()*(Model!$G$13-Model!$F$13)</f>
        <v>1280.9333939796375</v>
      </c>
      <c r="B1005" s="31">
        <f ca="1">Model!$F$14+RAND()*(Model!$G$14-Model!$F$14)</f>
        <v>0.75376960536079562</v>
      </c>
      <c r="C1005" s="32">
        <f ca="1">Model!$F$15+RAND()*(Model!$G$15-Model!$F$15)</f>
        <v>4.9967281854546526E-2</v>
      </c>
      <c r="D1005" s="33">
        <f ca="1">Model!$F$16+RAND()*(Model!$G$16-Model!$F$16)</f>
        <v>47.335857463067065</v>
      </c>
      <c r="E1005" s="33">
        <f>Model!$D$17</f>
        <v>800</v>
      </c>
      <c r="G1005" s="36">
        <f t="shared" ca="1" si="18"/>
        <v>1264.1915343145415</v>
      </c>
    </row>
    <row r="1006" spans="1:7" x14ac:dyDescent="0.2">
      <c r="A1006" s="6">
        <f ca="1">Model!$F$13+RAND()*(Model!$G$13-Model!$F$13)</f>
        <v>1217.1578057037711</v>
      </c>
      <c r="B1006" s="31">
        <f ca="1">Model!$F$14+RAND()*(Model!$G$14-Model!$F$14)</f>
        <v>0.5666159199053209</v>
      </c>
      <c r="C1006" s="32">
        <f ca="1">Model!$F$15+RAND()*(Model!$G$15-Model!$F$15)</f>
        <v>3.3021946563992252E-2</v>
      </c>
      <c r="D1006" s="33">
        <f ca="1">Model!$F$16+RAND()*(Model!$G$16-Model!$F$16)</f>
        <v>48.349782077433275</v>
      </c>
      <c r="E1006" s="33">
        <f>Model!$D$17</f>
        <v>800</v>
      </c>
      <c r="G1006" s="36">
        <f t="shared" ca="1" si="18"/>
        <v>453.65793426889218</v>
      </c>
    </row>
    <row r="1007" spans="1:7" x14ac:dyDescent="0.2">
      <c r="A1007" s="6">
        <f ca="1">Model!$F$13+RAND()*(Model!$G$13-Model!$F$13)</f>
        <v>1281.5581362640989</v>
      </c>
      <c r="B1007" s="31">
        <f ca="1">Model!$F$14+RAND()*(Model!$G$14-Model!$F$14)</f>
        <v>0.64736516711380965</v>
      </c>
      <c r="C1007" s="32">
        <f ca="1">Model!$F$15+RAND()*(Model!$G$15-Model!$F$15)</f>
        <v>2.4620406704984513E-2</v>
      </c>
      <c r="D1007" s="33">
        <f ca="1">Model!$F$16+RAND()*(Model!$G$16-Model!$F$16)</f>
        <v>48.021954259989499</v>
      </c>
      <c r="E1007" s="33">
        <f>Model!$D$17</f>
        <v>800</v>
      </c>
      <c r="G1007" s="36">
        <f t="shared" ca="1" si="18"/>
        <v>-114.42422416047748</v>
      </c>
    </row>
    <row r="1008" spans="1:7" x14ac:dyDescent="0.2">
      <c r="A1008" s="6">
        <f ca="1">Model!$F$13+RAND()*(Model!$G$13-Model!$F$13)</f>
        <v>1491.7493853507533</v>
      </c>
      <c r="B1008" s="31">
        <f ca="1">Model!$F$14+RAND()*(Model!$G$14-Model!$F$14)</f>
        <v>0.70134915969147382</v>
      </c>
      <c r="C1008" s="32">
        <f ca="1">Model!$F$15+RAND()*(Model!$G$15-Model!$F$15)</f>
        <v>3.6600105955531884E-2</v>
      </c>
      <c r="D1008" s="33">
        <f ca="1">Model!$F$16+RAND()*(Model!$G$16-Model!$F$16)</f>
        <v>50.305629379414412</v>
      </c>
      <c r="E1008" s="33">
        <f>Model!$D$17</f>
        <v>800</v>
      </c>
      <c r="G1008" s="36">
        <f t="shared" ca="1" si="18"/>
        <v>900.35890983158652</v>
      </c>
    </row>
    <row r="1009" spans="1:7" x14ac:dyDescent="0.2">
      <c r="A1009" s="6">
        <f ca="1">Model!$F$13+RAND()*(Model!$G$13-Model!$F$13)</f>
        <v>1685.015801198263</v>
      </c>
      <c r="B1009" s="31">
        <f ca="1">Model!$F$14+RAND()*(Model!$G$14-Model!$F$14)</f>
        <v>0.29398458888187085</v>
      </c>
      <c r="C1009" s="32">
        <f ca="1">Model!$F$15+RAND()*(Model!$G$15-Model!$F$15)</f>
        <v>4.9547243593277647E-2</v>
      </c>
      <c r="D1009" s="33">
        <f ca="1">Model!$F$16+RAND()*(Model!$G$16-Model!$F$16)</f>
        <v>51.650202637531187</v>
      </c>
      <c r="E1009" s="33">
        <f>Model!$D$17</f>
        <v>800</v>
      </c>
      <c r="G1009" s="36">
        <f t="shared" ca="1" si="18"/>
        <v>3016.7976740242775</v>
      </c>
    </row>
    <row r="1010" spans="1:7" x14ac:dyDescent="0.2">
      <c r="A1010" s="6">
        <f ca="1">Model!$F$13+RAND()*(Model!$G$13-Model!$F$13)</f>
        <v>1306.9698967595971</v>
      </c>
      <c r="B1010" s="31">
        <f ca="1">Model!$F$14+RAND()*(Model!$G$14-Model!$F$14)</f>
        <v>0.62002892876351612</v>
      </c>
      <c r="C1010" s="32">
        <f ca="1">Model!$F$15+RAND()*(Model!$G$15-Model!$F$15)</f>
        <v>4.4272538423882929E-2</v>
      </c>
      <c r="D1010" s="33">
        <f ca="1">Model!$F$16+RAND()*(Model!$G$16-Model!$F$16)</f>
        <v>52.198766392121549</v>
      </c>
      <c r="E1010" s="33">
        <f>Model!$D$17</f>
        <v>800</v>
      </c>
      <c r="G1010" s="36">
        <f t="shared" ca="1" si="18"/>
        <v>1410.0115484858502</v>
      </c>
    </row>
    <row r="1011" spans="1:7" x14ac:dyDescent="0.2">
      <c r="A1011" s="6">
        <f ca="1">Model!$F$13+RAND()*(Model!$G$13-Model!$F$13)</f>
        <v>1327.5711020010488</v>
      </c>
      <c r="B1011" s="31">
        <f ca="1">Model!$F$14+RAND()*(Model!$G$14-Model!$F$14)</f>
        <v>0.30878012540671246</v>
      </c>
      <c r="C1011" s="32">
        <f ca="1">Model!$F$15+RAND()*(Model!$G$15-Model!$F$15)</f>
        <v>1.9330642976003648E-2</v>
      </c>
      <c r="D1011" s="33">
        <f ca="1">Model!$F$16+RAND()*(Model!$G$16-Model!$F$16)</f>
        <v>48.648065029636456</v>
      </c>
      <c r="E1011" s="33">
        <f>Model!$D$17</f>
        <v>800</v>
      </c>
      <c r="G1011" s="36">
        <f t="shared" ca="1" si="18"/>
        <v>38.518137729285172</v>
      </c>
    </row>
    <row r="1012" spans="1:7" x14ac:dyDescent="0.2">
      <c r="A1012" s="6">
        <f ca="1">Model!$F$13+RAND()*(Model!$G$13-Model!$F$13)</f>
        <v>1369.7551114544094</v>
      </c>
      <c r="B1012" s="31">
        <f ca="1">Model!$F$14+RAND()*(Model!$G$14-Model!$F$14)</f>
        <v>0.27236911830281291</v>
      </c>
      <c r="C1012" s="32">
        <f ca="1">Model!$F$15+RAND()*(Model!$G$15-Model!$F$15)</f>
        <v>1.8375204263615164E-2</v>
      </c>
      <c r="D1012" s="33">
        <f ca="1">Model!$F$16+RAND()*(Model!$G$16-Model!$F$16)</f>
        <v>51.298517652781243</v>
      </c>
      <c r="E1012" s="33">
        <f>Model!$D$17</f>
        <v>800</v>
      </c>
      <c r="G1012" s="36">
        <f t="shared" ca="1" si="18"/>
        <v>118.08058517827544</v>
      </c>
    </row>
    <row r="1013" spans="1:7" x14ac:dyDescent="0.2">
      <c r="A1013" s="6">
        <f ca="1">Model!$F$13+RAND()*(Model!$G$13-Model!$F$13)</f>
        <v>1617.5864897279955</v>
      </c>
      <c r="B1013" s="31">
        <f ca="1">Model!$F$14+RAND()*(Model!$G$14-Model!$F$14)</f>
        <v>0.72847228935864394</v>
      </c>
      <c r="C1013" s="32">
        <f ca="1">Model!$F$15+RAND()*(Model!$G$15-Model!$F$15)</f>
        <v>2.413077645073982E-2</v>
      </c>
      <c r="D1013" s="33">
        <f ca="1">Model!$F$16+RAND()*(Model!$G$16-Model!$F$16)</f>
        <v>49.921965058572304</v>
      </c>
      <c r="E1013" s="33">
        <f>Model!$D$17</f>
        <v>800</v>
      </c>
      <c r="G1013" s="36">
        <f t="shared" ca="1" si="18"/>
        <v>-29.73202083186743</v>
      </c>
    </row>
    <row r="1014" spans="1:7" x14ac:dyDescent="0.2">
      <c r="A1014" s="6">
        <f ca="1">Model!$F$13+RAND()*(Model!$G$13-Model!$F$13)</f>
        <v>1532.4072328227812</v>
      </c>
      <c r="B1014" s="31">
        <f ca="1">Model!$F$14+RAND()*(Model!$G$14-Model!$F$14)</f>
        <v>0.39932955392080594</v>
      </c>
      <c r="C1014" s="32">
        <f ca="1">Model!$F$15+RAND()*(Model!$G$15-Model!$F$15)</f>
        <v>2.8984857535474882E-2</v>
      </c>
      <c r="D1014" s="33">
        <f ca="1">Model!$F$16+RAND()*(Model!$G$16-Model!$F$16)</f>
        <v>47.030185356080089</v>
      </c>
      <c r="E1014" s="33">
        <f>Model!$D$17</f>
        <v>800</v>
      </c>
      <c r="G1014" s="36">
        <f t="shared" ca="1" si="18"/>
        <v>676.98568483548911</v>
      </c>
    </row>
    <row r="1015" spans="1:7" x14ac:dyDescent="0.2">
      <c r="A1015" s="6">
        <f ca="1">Model!$F$13+RAND()*(Model!$G$13-Model!$F$13)</f>
        <v>1449.8144205868953</v>
      </c>
      <c r="B1015" s="31">
        <f ca="1">Model!$F$14+RAND()*(Model!$G$14-Model!$F$14)</f>
        <v>0.21359620926153072</v>
      </c>
      <c r="C1015" s="32">
        <f ca="1">Model!$F$15+RAND()*(Model!$G$15-Model!$F$15)</f>
        <v>2.5030057716246997E-2</v>
      </c>
      <c r="D1015" s="33">
        <f ca="1">Model!$F$16+RAND()*(Model!$G$16-Model!$F$16)</f>
        <v>50.648448667048584</v>
      </c>
      <c r="E1015" s="33">
        <f>Model!$D$17</f>
        <v>800</v>
      </c>
      <c r="G1015" s="36">
        <f t="shared" ca="1" si="18"/>
        <v>728.30358076687389</v>
      </c>
    </row>
    <row r="1016" spans="1:7" x14ac:dyDescent="0.2">
      <c r="A1016" s="6">
        <f ca="1">Model!$F$13+RAND()*(Model!$G$13-Model!$F$13)</f>
        <v>1740.4549421489601</v>
      </c>
      <c r="B1016" s="31">
        <f ca="1">Model!$F$14+RAND()*(Model!$G$14-Model!$F$14)</f>
        <v>0.62396017604921328</v>
      </c>
      <c r="C1016" s="32">
        <f ca="1">Model!$F$15+RAND()*(Model!$G$15-Model!$F$15)</f>
        <v>1.1872117812049337E-2</v>
      </c>
      <c r="D1016" s="33">
        <f ca="1">Model!$F$16+RAND()*(Model!$G$16-Model!$F$16)</f>
        <v>48.945803666486547</v>
      </c>
      <c r="E1016" s="33">
        <f>Model!$D$17</f>
        <v>800</v>
      </c>
      <c r="G1016" s="36">
        <f t="shared" ca="1" si="18"/>
        <v>-874.6130049084428</v>
      </c>
    </row>
    <row r="1017" spans="1:7" x14ac:dyDescent="0.2">
      <c r="A1017" s="6">
        <f ca="1">Model!$F$13+RAND()*(Model!$G$13-Model!$F$13)</f>
        <v>1524.1144729589362</v>
      </c>
      <c r="B1017" s="31">
        <f ca="1">Model!$F$14+RAND()*(Model!$G$14-Model!$F$14)</f>
        <v>0.49700228689959053</v>
      </c>
      <c r="C1017" s="32">
        <f ca="1">Model!$F$15+RAND()*(Model!$G$15-Model!$F$15)</f>
        <v>2.4248539650050218E-2</v>
      </c>
      <c r="D1017" s="33">
        <f ca="1">Model!$F$16+RAND()*(Model!$G$16-Model!$F$16)</f>
        <v>47.718021012077372</v>
      </c>
      <c r="E1017" s="33">
        <f>Model!$D$17</f>
        <v>800</v>
      </c>
      <c r="G1017" s="36">
        <f t="shared" ca="1" si="18"/>
        <v>206.05277981352651</v>
      </c>
    </row>
    <row r="1018" spans="1:7" x14ac:dyDescent="0.2">
      <c r="A1018" s="6">
        <f ca="1">Model!$F$13+RAND()*(Model!$G$13-Model!$F$13)</f>
        <v>1605.0424536064031</v>
      </c>
      <c r="B1018" s="31">
        <f ca="1">Model!$F$14+RAND()*(Model!$G$14-Model!$F$14)</f>
        <v>0.37312671619882731</v>
      </c>
      <c r="C1018" s="32">
        <f ca="1">Model!$F$15+RAND()*(Model!$G$15-Model!$F$15)</f>
        <v>2.6365874632030335E-2</v>
      </c>
      <c r="D1018" s="33">
        <f ca="1">Model!$F$16+RAND()*(Model!$G$16-Model!$F$16)</f>
        <v>52.250164856299335</v>
      </c>
      <c r="E1018" s="33">
        <f>Model!$D$17</f>
        <v>800</v>
      </c>
      <c r="G1018" s="36">
        <f t="shared" ca="1" si="18"/>
        <v>812.25644516550074</v>
      </c>
    </row>
    <row r="1019" spans="1:7" x14ac:dyDescent="0.2">
      <c r="A1019" s="6">
        <f ca="1">Model!$F$13+RAND()*(Model!$G$13-Model!$F$13)</f>
        <v>1550.2754975222251</v>
      </c>
      <c r="B1019" s="31">
        <f ca="1">Model!$F$14+RAND()*(Model!$G$14-Model!$F$14)</f>
        <v>0.52963833096832036</v>
      </c>
      <c r="C1019" s="32">
        <f ca="1">Model!$F$15+RAND()*(Model!$G$15-Model!$F$15)</f>
        <v>4.018338734253038E-2</v>
      </c>
      <c r="D1019" s="33">
        <f ca="1">Model!$F$16+RAND()*(Model!$G$16-Model!$F$16)</f>
        <v>50.312506751516857</v>
      </c>
      <c r="E1019" s="33">
        <f>Model!$D$17</f>
        <v>800</v>
      </c>
      <c r="G1019" s="36">
        <f t="shared" ca="1" si="18"/>
        <v>1513.1484215190612</v>
      </c>
    </row>
    <row r="1020" spans="1:7" x14ac:dyDescent="0.2">
      <c r="A1020" s="6">
        <f ca="1">Model!$F$13+RAND()*(Model!$G$13-Model!$F$13)</f>
        <v>1412.0138389827721</v>
      </c>
      <c r="B1020" s="31">
        <f ca="1">Model!$F$14+RAND()*(Model!$G$14-Model!$F$14)</f>
        <v>0.30241094783704081</v>
      </c>
      <c r="C1020" s="32">
        <f ca="1">Model!$F$15+RAND()*(Model!$G$15-Model!$F$15)</f>
        <v>4.4234740138031997E-2</v>
      </c>
      <c r="D1020" s="33">
        <f ca="1">Model!$F$16+RAND()*(Model!$G$16-Model!$F$16)</f>
        <v>50.326204770318206</v>
      </c>
      <c r="E1020" s="33">
        <f>Model!$D$17</f>
        <v>800</v>
      </c>
      <c r="G1020" s="36">
        <f t="shared" ca="1" si="18"/>
        <v>1916.3695897648477</v>
      </c>
    </row>
    <row r="1021" spans="1:7" x14ac:dyDescent="0.2">
      <c r="A1021" s="6">
        <f ca="1">Model!$F$13+RAND()*(Model!$G$13-Model!$F$13)</f>
        <v>1658.1508470014821</v>
      </c>
      <c r="B1021" s="31">
        <f ca="1">Model!$F$14+RAND()*(Model!$G$14-Model!$F$14)</f>
        <v>0.52432944972351647</v>
      </c>
      <c r="C1021" s="32">
        <f ca="1">Model!$F$15+RAND()*(Model!$G$15-Model!$F$15)</f>
        <v>1.6867248956910247E-2</v>
      </c>
      <c r="D1021" s="33">
        <f ca="1">Model!$F$16+RAND()*(Model!$G$16-Model!$F$16)</f>
        <v>47.514624672970719</v>
      </c>
      <c r="E1021" s="33">
        <f>Model!$D$17</f>
        <v>800</v>
      </c>
      <c r="G1021" s="36">
        <f t="shared" ca="1" si="18"/>
        <v>-340.50724246931622</v>
      </c>
    </row>
    <row r="1022" spans="1:7" x14ac:dyDescent="0.2">
      <c r="A1022" s="6">
        <f ca="1">Model!$F$13+RAND()*(Model!$G$13-Model!$F$13)</f>
        <v>1611.460268852413</v>
      </c>
      <c r="B1022" s="31">
        <f ca="1">Model!$F$14+RAND()*(Model!$G$14-Model!$F$14)</f>
        <v>0.42106125258427529</v>
      </c>
      <c r="C1022" s="32">
        <f ca="1">Model!$F$15+RAND()*(Model!$G$15-Model!$F$15)</f>
        <v>4.3795312546357899E-2</v>
      </c>
      <c r="D1022" s="33">
        <f ca="1">Model!$F$16+RAND()*(Model!$G$16-Model!$F$16)</f>
        <v>52.387435090696506</v>
      </c>
      <c r="E1022" s="33">
        <f>Model!$D$17</f>
        <v>800</v>
      </c>
      <c r="G1022" s="36">
        <f t="shared" ca="1" si="18"/>
        <v>2218.6886409295312</v>
      </c>
    </row>
    <row r="1023" spans="1:7" x14ac:dyDescent="0.2">
      <c r="A1023" s="6">
        <f ca="1">Model!$F$13+RAND()*(Model!$G$13-Model!$F$13)</f>
        <v>1267.0216166406972</v>
      </c>
      <c r="B1023" s="31">
        <f ca="1">Model!$F$14+RAND()*(Model!$G$14-Model!$F$14)</f>
        <v>0.39386726894934831</v>
      </c>
      <c r="C1023" s="32">
        <f ca="1">Model!$F$15+RAND()*(Model!$G$15-Model!$F$15)</f>
        <v>1.2109512455892651E-2</v>
      </c>
      <c r="D1023" s="33">
        <f ca="1">Model!$F$16+RAND()*(Model!$G$16-Model!$F$16)</f>
        <v>47.677432698218219</v>
      </c>
      <c r="E1023" s="33">
        <f>Model!$D$17</f>
        <v>800</v>
      </c>
      <c r="G1023" s="36">
        <f t="shared" ca="1" si="18"/>
        <v>-567.52282415631817</v>
      </c>
    </row>
    <row r="1024" spans="1:7" x14ac:dyDescent="0.2">
      <c r="A1024" s="6">
        <f ca="1">Model!$F$13+RAND()*(Model!$G$13-Model!$F$13)</f>
        <v>1226.6342328808732</v>
      </c>
      <c r="B1024" s="31">
        <f ca="1">Model!$F$14+RAND()*(Model!$G$14-Model!$F$14)</f>
        <v>0.7482720893493271</v>
      </c>
      <c r="C1024" s="32">
        <f ca="1">Model!$F$15+RAND()*(Model!$G$15-Model!$F$15)</f>
        <v>4.0258263636479066E-2</v>
      </c>
      <c r="D1024" s="33">
        <f ca="1">Model!$F$16+RAND()*(Model!$G$16-Model!$F$16)</f>
        <v>51.282795566779612</v>
      </c>
      <c r="E1024" s="33">
        <f>Model!$D$17</f>
        <v>800</v>
      </c>
      <c r="G1024" s="36">
        <f t="shared" ca="1" si="18"/>
        <v>814.59927782140289</v>
      </c>
    </row>
    <row r="1025" spans="1:7" x14ac:dyDescent="0.2">
      <c r="A1025" s="6">
        <f ca="1">Model!$F$13+RAND()*(Model!$G$13-Model!$F$13)</f>
        <v>1581.8615338455843</v>
      </c>
      <c r="B1025" s="31">
        <f ca="1">Model!$F$14+RAND()*(Model!$G$14-Model!$F$14)</f>
        <v>0.25483941653008779</v>
      </c>
      <c r="C1025" s="32">
        <f ca="1">Model!$F$15+RAND()*(Model!$G$15-Model!$F$15)</f>
        <v>3.8348857893218027E-2</v>
      </c>
      <c r="D1025" s="33">
        <f ca="1">Model!$F$16+RAND()*(Model!$G$16-Model!$F$16)</f>
        <v>51.322999921924534</v>
      </c>
      <c r="E1025" s="33">
        <f>Model!$D$17</f>
        <v>800</v>
      </c>
      <c r="G1025" s="36">
        <f t="shared" ca="1" si="18"/>
        <v>1910.2650808882709</v>
      </c>
    </row>
    <row r="1026" spans="1:7" x14ac:dyDescent="0.2">
      <c r="A1026" s="6">
        <f ca="1">Model!$F$13+RAND()*(Model!$G$13-Model!$F$13)</f>
        <v>1344.1744602253425</v>
      </c>
      <c r="B1026" s="31">
        <f ca="1">Model!$F$14+RAND()*(Model!$G$14-Model!$F$14)</f>
        <v>0.64351760728159846</v>
      </c>
      <c r="C1026" s="32">
        <f ca="1">Model!$F$15+RAND()*(Model!$G$15-Model!$F$15)</f>
        <v>3.1031213971920095E-2</v>
      </c>
      <c r="D1026" s="33">
        <f ca="1">Model!$F$16+RAND()*(Model!$G$16-Model!$F$16)</f>
        <v>50.628655907419144</v>
      </c>
      <c r="E1026" s="33">
        <f>Model!$D$17</f>
        <v>800</v>
      </c>
      <c r="G1026" s="36">
        <f t="shared" ca="1" si="18"/>
        <v>446.79042832549953</v>
      </c>
    </row>
    <row r="1027" spans="1:7" x14ac:dyDescent="0.2">
      <c r="A1027" s="6">
        <f ca="1">Model!$F$13+RAND()*(Model!$G$13-Model!$F$13)</f>
        <v>1689.291218915246</v>
      </c>
      <c r="B1027" s="31">
        <f ca="1">Model!$F$14+RAND()*(Model!$G$14-Model!$F$14)</f>
        <v>0.2402435464704856</v>
      </c>
      <c r="C1027" s="32">
        <f ca="1">Model!$F$15+RAND()*(Model!$G$15-Model!$F$15)</f>
        <v>1.4778838304520443E-2</v>
      </c>
      <c r="D1027" s="33">
        <f ca="1">Model!$F$16+RAND()*(Model!$G$16-Model!$F$16)</f>
        <v>49.119498739867105</v>
      </c>
      <c r="E1027" s="33">
        <f>Model!$D$17</f>
        <v>800</v>
      </c>
      <c r="G1027" s="36">
        <f t="shared" ca="1" si="18"/>
        <v>20.464390524257396</v>
      </c>
    </row>
    <row r="1028" spans="1:7" x14ac:dyDescent="0.2">
      <c r="A1028" s="6">
        <f ca="1">Model!$F$13+RAND()*(Model!$G$13-Model!$F$13)</f>
        <v>1741.5291076962822</v>
      </c>
      <c r="B1028" s="31">
        <f ca="1">Model!$F$14+RAND()*(Model!$G$14-Model!$F$14)</f>
        <v>0.34958341707577745</v>
      </c>
      <c r="C1028" s="32">
        <f ca="1">Model!$F$15+RAND()*(Model!$G$15-Model!$F$15)</f>
        <v>3.8110872735080625E-2</v>
      </c>
      <c r="D1028" s="33">
        <f ca="1">Model!$F$16+RAND()*(Model!$G$16-Model!$F$16)</f>
        <v>47.564715155278201</v>
      </c>
      <c r="E1028" s="33">
        <f>Model!$D$17</f>
        <v>800</v>
      </c>
      <c r="G1028" s="36">
        <f t="shared" ca="1" si="18"/>
        <v>1748.1172496554179</v>
      </c>
    </row>
    <row r="1029" spans="1:7" x14ac:dyDescent="0.2">
      <c r="A1029" s="6">
        <f ca="1">Model!$F$13+RAND()*(Model!$G$13-Model!$F$13)</f>
        <v>1317.6904821208916</v>
      </c>
      <c r="B1029" s="31">
        <f ca="1">Model!$F$14+RAND()*(Model!$G$14-Model!$F$14)</f>
        <v>0.52779913848993409</v>
      </c>
      <c r="C1029" s="32">
        <f ca="1">Model!$F$15+RAND()*(Model!$G$15-Model!$F$15)</f>
        <v>4.2736638238566889E-2</v>
      </c>
      <c r="D1029" s="33">
        <f ca="1">Model!$F$16+RAND()*(Model!$G$16-Model!$F$16)</f>
        <v>47.342178466542933</v>
      </c>
      <c r="E1029" s="33">
        <f>Model!$D$17</f>
        <v>800</v>
      </c>
      <c r="G1029" s="36">
        <f t="shared" ca="1" si="18"/>
        <v>1170.535508964565</v>
      </c>
    </row>
    <row r="1030" spans="1:7" x14ac:dyDescent="0.2">
      <c r="A1030" s="6">
        <f ca="1">Model!$F$13+RAND()*(Model!$G$13-Model!$F$13)</f>
        <v>1203.299296549262</v>
      </c>
      <c r="B1030" s="31">
        <f ca="1">Model!$F$14+RAND()*(Model!$G$14-Model!$F$14)</f>
        <v>0.40186823151998829</v>
      </c>
      <c r="C1030" s="32">
        <f ca="1">Model!$F$15+RAND()*(Model!$G$15-Model!$F$15)</f>
        <v>2.5885132553346971E-2</v>
      </c>
      <c r="D1030" s="33">
        <f ca="1">Model!$F$16+RAND()*(Model!$G$16-Model!$F$16)</f>
        <v>51.908906817725452</v>
      </c>
      <c r="E1030" s="33">
        <f>Model!$D$17</f>
        <v>800</v>
      </c>
      <c r="G1030" s="36">
        <f t="shared" ca="1" si="18"/>
        <v>333.26812239412197</v>
      </c>
    </row>
    <row r="1031" spans="1:7" x14ac:dyDescent="0.2">
      <c r="A1031" s="6">
        <f ca="1">Model!$F$13+RAND()*(Model!$G$13-Model!$F$13)</f>
        <v>1214.8863178915635</v>
      </c>
      <c r="B1031" s="31">
        <f ca="1">Model!$F$14+RAND()*(Model!$G$14-Model!$F$14)</f>
        <v>0.49444983338372561</v>
      </c>
      <c r="C1031" s="32">
        <f ca="1">Model!$F$15+RAND()*(Model!$G$15-Model!$F$15)</f>
        <v>4.667148921814241E-2</v>
      </c>
      <c r="D1031" s="33">
        <f ca="1">Model!$F$16+RAND()*(Model!$G$16-Model!$F$16)</f>
        <v>50.242525081299831</v>
      </c>
      <c r="E1031" s="33">
        <f>Model!$D$17</f>
        <v>800</v>
      </c>
      <c r="G1031" s="36">
        <f t="shared" ca="1" si="18"/>
        <v>1448.0786532682137</v>
      </c>
    </row>
    <row r="1032" spans="1:7" x14ac:dyDescent="0.2">
      <c r="A1032" s="6">
        <f ca="1">Model!$F$13+RAND()*(Model!$G$13-Model!$F$13)</f>
        <v>1655.5712806415092</v>
      </c>
      <c r="B1032" s="31">
        <f ca="1">Model!$F$14+RAND()*(Model!$G$14-Model!$F$14)</f>
        <v>0.24438742961860699</v>
      </c>
      <c r="C1032" s="32">
        <f ca="1">Model!$F$15+RAND()*(Model!$G$15-Model!$F$15)</f>
        <v>1.0677405262614591E-2</v>
      </c>
      <c r="D1032" s="33">
        <f ca="1">Model!$F$16+RAND()*(Model!$G$16-Model!$F$16)</f>
        <v>47.813054652100043</v>
      </c>
      <c r="E1032" s="33">
        <f>Model!$D$17</f>
        <v>800</v>
      </c>
      <c r="G1032" s="36">
        <f t="shared" ca="1" si="18"/>
        <v>-359.39961694066108</v>
      </c>
    </row>
    <row r="1033" spans="1:7" x14ac:dyDescent="0.2">
      <c r="A1033" s="6">
        <f ca="1">Model!$F$13+RAND()*(Model!$G$13-Model!$F$13)</f>
        <v>1631.5061721800839</v>
      </c>
      <c r="B1033" s="31">
        <f ca="1">Model!$F$14+RAND()*(Model!$G$14-Model!$F$14)</f>
        <v>0.74797197109760116</v>
      </c>
      <c r="C1033" s="32">
        <f ca="1">Model!$F$15+RAND()*(Model!$G$15-Model!$F$15)</f>
        <v>2.3218991448986204E-2</v>
      </c>
      <c r="D1033" s="33">
        <f ca="1">Model!$F$16+RAND()*(Model!$G$16-Model!$F$16)</f>
        <v>51.630474470636784</v>
      </c>
      <c r="E1033" s="33">
        <f>Model!$D$17</f>
        <v>800</v>
      </c>
      <c r="G1033" s="36">
        <f t="shared" ca="1" si="18"/>
        <v>-64.458978146993104</v>
      </c>
    </row>
    <row r="1034" spans="1:7" x14ac:dyDescent="0.2">
      <c r="A1034" s="6">
        <f ca="1">Model!$F$13+RAND()*(Model!$G$13-Model!$F$13)</f>
        <v>1222.2031542653626</v>
      </c>
      <c r="B1034" s="31">
        <f ca="1">Model!$F$14+RAND()*(Model!$G$14-Model!$F$14)</f>
        <v>0.50895252963642468</v>
      </c>
      <c r="C1034" s="32">
        <f ca="1">Model!$F$15+RAND()*(Model!$G$15-Model!$F$15)</f>
        <v>2.9946442519975885E-2</v>
      </c>
      <c r="D1034" s="33">
        <f ca="1">Model!$F$16+RAND()*(Model!$G$16-Model!$F$16)</f>
        <v>52.477290415207406</v>
      </c>
      <c r="E1034" s="33">
        <f>Model!$D$17</f>
        <v>800</v>
      </c>
      <c r="G1034" s="36">
        <f t="shared" ca="1" si="18"/>
        <v>498.65884426320622</v>
      </c>
    </row>
    <row r="1035" spans="1:7" x14ac:dyDescent="0.2">
      <c r="A1035" s="6">
        <f ca="1">Model!$F$13+RAND()*(Model!$G$13-Model!$F$13)</f>
        <v>1485.1688843326679</v>
      </c>
      <c r="B1035" s="31">
        <f ca="1">Model!$F$14+RAND()*(Model!$G$14-Model!$F$14)</f>
        <v>0.69939733023873596</v>
      </c>
      <c r="C1035" s="32">
        <f ca="1">Model!$F$15+RAND()*(Model!$G$15-Model!$F$15)</f>
        <v>4.7278565647211501E-2</v>
      </c>
      <c r="D1035" s="33">
        <f ca="1">Model!$F$16+RAND()*(Model!$G$16-Model!$F$16)</f>
        <v>51.95854314569614</v>
      </c>
      <c r="E1035" s="33">
        <f>Model!$D$17</f>
        <v>800</v>
      </c>
      <c r="G1035" s="36">
        <f t="shared" ca="1" si="18"/>
        <v>1809.6319246709668</v>
      </c>
    </row>
    <row r="1036" spans="1:7" x14ac:dyDescent="0.2">
      <c r="A1036" s="6">
        <f ca="1">Model!$F$13+RAND()*(Model!$G$13-Model!$F$13)</f>
        <v>1679.4455960948585</v>
      </c>
      <c r="B1036" s="31">
        <f ca="1">Model!$F$14+RAND()*(Model!$G$14-Model!$F$14)</f>
        <v>0.49441253500842386</v>
      </c>
      <c r="C1036" s="32">
        <f ca="1">Model!$F$15+RAND()*(Model!$G$15-Model!$F$15)</f>
        <v>1.8935812991029165E-2</v>
      </c>
      <c r="D1036" s="33">
        <f ca="1">Model!$F$16+RAND()*(Model!$G$16-Model!$F$16)</f>
        <v>47.727278686090159</v>
      </c>
      <c r="E1036" s="33">
        <f>Model!$D$17</f>
        <v>800</v>
      </c>
      <c r="G1036" s="36">
        <f t="shared" ca="1" si="18"/>
        <v>-112.53189584308166</v>
      </c>
    </row>
    <row r="1037" spans="1:7" x14ac:dyDescent="0.2">
      <c r="A1037" s="6">
        <f ca="1">Model!$F$13+RAND()*(Model!$G$13-Model!$F$13)</f>
        <v>1384.5971357225435</v>
      </c>
      <c r="B1037" s="31">
        <f ca="1">Model!$F$14+RAND()*(Model!$G$14-Model!$F$14)</f>
        <v>0.47772831036517954</v>
      </c>
      <c r="C1037" s="32">
        <f ca="1">Model!$F$15+RAND()*(Model!$G$15-Model!$F$15)</f>
        <v>1.2195260110476527E-2</v>
      </c>
      <c r="D1037" s="33">
        <f ca="1">Model!$F$16+RAND()*(Model!$G$16-Model!$F$16)</f>
        <v>51.255109336967841</v>
      </c>
      <c r="E1037" s="33">
        <f>Model!$D$17</f>
        <v>800</v>
      </c>
      <c r="G1037" s="36">
        <f t="shared" ca="1" si="18"/>
        <v>-595.99196267150046</v>
      </c>
    </row>
    <row r="1038" spans="1:7" x14ac:dyDescent="0.2">
      <c r="A1038" s="6">
        <f ca="1">Model!$F$13+RAND()*(Model!$G$13-Model!$F$13)</f>
        <v>1360.4846467506416</v>
      </c>
      <c r="B1038" s="31">
        <f ca="1">Model!$F$14+RAND()*(Model!$G$14-Model!$F$14)</f>
        <v>0.52139877098600085</v>
      </c>
      <c r="C1038" s="32">
        <f ca="1">Model!$F$15+RAND()*(Model!$G$15-Model!$F$15)</f>
        <v>2.7139487565766854E-2</v>
      </c>
      <c r="D1038" s="33">
        <f ca="1">Model!$F$16+RAND()*(Model!$G$16-Model!$F$16)</f>
        <v>51.18281800928473</v>
      </c>
      <c r="E1038" s="33">
        <f>Model!$D$17</f>
        <v>800</v>
      </c>
      <c r="G1038" s="36">
        <f t="shared" ca="1" si="18"/>
        <v>380.46080414724861</v>
      </c>
    </row>
    <row r="1039" spans="1:7" x14ac:dyDescent="0.2">
      <c r="A1039" s="6">
        <f ca="1">Model!$F$13+RAND()*(Model!$G$13-Model!$F$13)</f>
        <v>1357.8128139333262</v>
      </c>
      <c r="B1039" s="31">
        <f ca="1">Model!$F$14+RAND()*(Model!$G$14-Model!$F$14)</f>
        <v>0.77456386465870808</v>
      </c>
      <c r="C1039" s="32">
        <f ca="1">Model!$F$15+RAND()*(Model!$G$15-Model!$F$15)</f>
        <v>4.7458362771994271E-2</v>
      </c>
      <c r="D1039" s="33">
        <f ca="1">Model!$F$16+RAND()*(Model!$G$16-Model!$F$16)</f>
        <v>52.723002460283155</v>
      </c>
      <c r="E1039" s="33">
        <f>Model!$D$17</f>
        <v>800</v>
      </c>
      <c r="G1039" s="36">
        <f t="shared" ca="1" si="18"/>
        <v>1545.7350304533916</v>
      </c>
    </row>
    <row r="1040" spans="1:7" x14ac:dyDescent="0.2">
      <c r="A1040" s="6">
        <f ca="1">Model!$F$13+RAND()*(Model!$G$13-Model!$F$13)</f>
        <v>1534.8587747389765</v>
      </c>
      <c r="B1040" s="31">
        <f ca="1">Model!$F$14+RAND()*(Model!$G$14-Model!$F$14)</f>
        <v>0.60907760257340382</v>
      </c>
      <c r="C1040" s="32">
        <f ca="1">Model!$F$15+RAND()*(Model!$G$15-Model!$F$15)</f>
        <v>1.4301663431274588E-2</v>
      </c>
      <c r="D1040" s="33">
        <f ca="1">Model!$F$16+RAND()*(Model!$G$16-Model!$F$16)</f>
        <v>52.298819010797942</v>
      </c>
      <c r="E1040" s="33">
        <f>Model!$D$17</f>
        <v>800</v>
      </c>
      <c r="G1040" s="36">
        <f t="shared" ca="1" si="18"/>
        <v>-586.83496889270191</v>
      </c>
    </row>
    <row r="1041" spans="1:7" x14ac:dyDescent="0.2">
      <c r="A1041" s="6">
        <f ca="1">Model!$F$13+RAND()*(Model!$G$13-Model!$F$13)</f>
        <v>1764.6258862979535</v>
      </c>
      <c r="B1041" s="31">
        <f ca="1">Model!$F$14+RAND()*(Model!$G$14-Model!$F$14)</f>
        <v>0.49374108698004887</v>
      </c>
      <c r="C1041" s="32">
        <f ca="1">Model!$F$15+RAND()*(Model!$G$15-Model!$F$15)</f>
        <v>3.5509507452010862E-2</v>
      </c>
      <c r="D1041" s="33">
        <f ca="1">Model!$F$16+RAND()*(Model!$G$16-Model!$F$16)</f>
        <v>49.297461312459305</v>
      </c>
      <c r="E1041" s="33">
        <f>Model!$D$17</f>
        <v>800</v>
      </c>
      <c r="G1041" s="36">
        <f t="shared" ca="1" si="18"/>
        <v>1417.759725829899</v>
      </c>
    </row>
    <row r="1042" spans="1:7" x14ac:dyDescent="0.2">
      <c r="A1042" s="6">
        <f ca="1">Model!$F$13+RAND()*(Model!$G$13-Model!$F$13)</f>
        <v>1553.1139351226836</v>
      </c>
      <c r="B1042" s="31">
        <f ca="1">Model!$F$14+RAND()*(Model!$G$14-Model!$F$14)</f>
        <v>0.20878332308901654</v>
      </c>
      <c r="C1042" s="32">
        <f ca="1">Model!$F$15+RAND()*(Model!$G$15-Model!$F$15)</f>
        <v>1.1648477001204905E-2</v>
      </c>
      <c r="D1042" s="33">
        <f ca="1">Model!$F$16+RAND()*(Model!$G$16-Model!$F$16)</f>
        <v>47.919894820097298</v>
      </c>
      <c r="E1042" s="33">
        <f>Model!$D$17</f>
        <v>800</v>
      </c>
      <c r="G1042" s="36">
        <f t="shared" ca="1" si="18"/>
        <v>-257.32573055068792</v>
      </c>
    </row>
    <row r="1043" spans="1:7" x14ac:dyDescent="0.2">
      <c r="A1043" s="6">
        <f ca="1">Model!$F$13+RAND()*(Model!$G$13-Model!$F$13)</f>
        <v>1572.2272932269605</v>
      </c>
      <c r="B1043" s="31">
        <f ca="1">Model!$F$14+RAND()*(Model!$G$14-Model!$F$14)</f>
        <v>0.57614741884253684</v>
      </c>
      <c r="C1043" s="32">
        <f ca="1">Model!$F$15+RAND()*(Model!$G$15-Model!$F$15)</f>
        <v>2.0568187317352261E-2</v>
      </c>
      <c r="D1043" s="33">
        <f ca="1">Model!$F$16+RAND()*(Model!$G$16-Model!$F$16)</f>
        <v>52.584721365550976</v>
      </c>
      <c r="E1043" s="33">
        <f>Model!$D$17</f>
        <v>800</v>
      </c>
      <c r="G1043" s="36">
        <f t="shared" ca="1" si="18"/>
        <v>-5.3570513960069093</v>
      </c>
    </row>
    <row r="1044" spans="1:7" x14ac:dyDescent="0.2">
      <c r="A1044" s="6">
        <f ca="1">Model!$F$13+RAND()*(Model!$G$13-Model!$F$13)</f>
        <v>1683.6717812053821</v>
      </c>
      <c r="B1044" s="31">
        <f ca="1">Model!$F$14+RAND()*(Model!$G$14-Model!$F$14)</f>
        <v>0.71127400698788046</v>
      </c>
      <c r="C1044" s="32">
        <f ca="1">Model!$F$15+RAND()*(Model!$G$15-Model!$F$15)</f>
        <v>2.4133004601822362E-2</v>
      </c>
      <c r="D1044" s="33">
        <f ca="1">Model!$F$16+RAND()*(Model!$G$16-Model!$F$16)</f>
        <v>49.518907185741199</v>
      </c>
      <c r="E1044" s="33">
        <f>Model!$D$17</f>
        <v>800</v>
      </c>
      <c r="G1044" s="36">
        <f t="shared" ca="1" si="18"/>
        <v>14.503176380735567</v>
      </c>
    </row>
    <row r="1045" spans="1:7" x14ac:dyDescent="0.2">
      <c r="A1045" s="6">
        <f ca="1">Model!$F$13+RAND()*(Model!$G$13-Model!$F$13)</f>
        <v>1672.9590003276842</v>
      </c>
      <c r="B1045" s="31">
        <f ca="1">Model!$F$14+RAND()*(Model!$G$14-Model!$F$14)</f>
        <v>0.45613134701685976</v>
      </c>
      <c r="C1045" s="32">
        <f ca="1">Model!$F$15+RAND()*(Model!$G$15-Model!$F$15)</f>
        <v>1.6635537332928885E-2</v>
      </c>
      <c r="D1045" s="33">
        <f ca="1">Model!$F$16+RAND()*(Model!$G$16-Model!$F$16)</f>
        <v>49.564620123007579</v>
      </c>
      <c r="E1045" s="33">
        <f>Model!$D$17</f>
        <v>800</v>
      </c>
      <c r="G1045" s="36">
        <f t="shared" ca="1" si="18"/>
        <v>-183.67731797615875</v>
      </c>
    </row>
    <row r="1046" spans="1:7" x14ac:dyDescent="0.2">
      <c r="A1046" s="6">
        <f ca="1">Model!$F$13+RAND()*(Model!$G$13-Model!$F$13)</f>
        <v>1290.9932532739401</v>
      </c>
      <c r="B1046" s="31">
        <f ca="1">Model!$F$14+RAND()*(Model!$G$14-Model!$F$14)</f>
        <v>0.54812160133305565</v>
      </c>
      <c r="C1046" s="32">
        <f ca="1">Model!$F$15+RAND()*(Model!$G$15-Model!$F$15)</f>
        <v>4.6409233496993663E-2</v>
      </c>
      <c r="D1046" s="33">
        <f ca="1">Model!$F$16+RAND()*(Model!$G$16-Model!$F$16)</f>
        <v>47.472558319522065</v>
      </c>
      <c r="E1046" s="33">
        <f>Model!$D$17</f>
        <v>800</v>
      </c>
      <c r="G1046" s="36">
        <f t="shared" ca="1" si="18"/>
        <v>1336.649918036002</v>
      </c>
    </row>
    <row r="1047" spans="1:7" x14ac:dyDescent="0.2">
      <c r="A1047" s="6">
        <f ca="1">Model!$F$13+RAND()*(Model!$G$13-Model!$F$13)</f>
        <v>1540.0674464400522</v>
      </c>
      <c r="B1047" s="31">
        <f ca="1">Model!$F$14+RAND()*(Model!$G$14-Model!$F$14)</f>
        <v>0.40033976546322281</v>
      </c>
      <c r="C1047" s="32">
        <f ca="1">Model!$F$15+RAND()*(Model!$G$15-Model!$F$15)</f>
        <v>1.9564174696817007E-2</v>
      </c>
      <c r="D1047" s="33">
        <f ca="1">Model!$F$16+RAND()*(Model!$G$16-Model!$F$16)</f>
        <v>50.513113190412554</v>
      </c>
      <c r="E1047" s="33">
        <f>Model!$D$17</f>
        <v>800</v>
      </c>
      <c r="G1047" s="36">
        <f t="shared" ca="1" si="18"/>
        <v>105.41736470518276</v>
      </c>
    </row>
    <row r="1048" spans="1:7" x14ac:dyDescent="0.2">
      <c r="A1048" s="6">
        <f ca="1">Model!$F$13+RAND()*(Model!$G$13-Model!$F$13)</f>
        <v>1678.5646485856714</v>
      </c>
      <c r="B1048" s="31">
        <f ca="1">Model!$F$14+RAND()*(Model!$G$14-Model!$F$14)</f>
        <v>0.30364365885924299</v>
      </c>
      <c r="C1048" s="32">
        <f ca="1">Model!$F$15+RAND()*(Model!$G$15-Model!$F$15)</f>
        <v>1.5530947795174584E-2</v>
      </c>
      <c r="D1048" s="33">
        <f ca="1">Model!$F$16+RAND()*(Model!$G$16-Model!$F$16)</f>
        <v>52.913194612470093</v>
      </c>
      <c r="E1048" s="33">
        <f>Model!$D$17</f>
        <v>800</v>
      </c>
      <c r="G1048" s="36">
        <f t="shared" ca="1" si="18"/>
        <v>69.745594251138755</v>
      </c>
    </row>
    <row r="1049" spans="1:7" x14ac:dyDescent="0.2">
      <c r="A1049" s="6">
        <f ca="1">Model!$F$13+RAND()*(Model!$G$13-Model!$F$13)</f>
        <v>1780.2281069518835</v>
      </c>
      <c r="B1049" s="31">
        <f ca="1">Model!$F$14+RAND()*(Model!$G$14-Model!$F$14)</f>
        <v>0.64094748952578273</v>
      </c>
      <c r="C1049" s="32">
        <f ca="1">Model!$F$15+RAND()*(Model!$G$15-Model!$F$15)</f>
        <v>3.8059137464032791E-2</v>
      </c>
      <c r="D1049" s="33">
        <f ca="1">Model!$F$16+RAND()*(Model!$G$16-Model!$F$16)</f>
        <v>50.414236643191643</v>
      </c>
      <c r="E1049" s="33">
        <f>Model!$D$17</f>
        <v>800</v>
      </c>
      <c r="G1049" s="36">
        <f t="shared" ca="1" si="18"/>
        <v>1474.7307433101521</v>
      </c>
    </row>
    <row r="1050" spans="1:7" x14ac:dyDescent="0.2">
      <c r="A1050" s="6">
        <f ca="1">Model!$F$13+RAND()*(Model!$G$13-Model!$F$13)</f>
        <v>1498.497728236222</v>
      </c>
      <c r="B1050" s="31">
        <f ca="1">Model!$F$14+RAND()*(Model!$G$14-Model!$F$14)</f>
        <v>0.56459237684430796</v>
      </c>
      <c r="C1050" s="32">
        <f ca="1">Model!$F$15+RAND()*(Model!$G$15-Model!$F$15)</f>
        <v>2.3668063403410874E-2</v>
      </c>
      <c r="D1050" s="33">
        <f ca="1">Model!$F$16+RAND()*(Model!$G$16-Model!$F$16)</f>
        <v>50.490745068166419</v>
      </c>
      <c r="E1050" s="33">
        <f>Model!$D$17</f>
        <v>800</v>
      </c>
      <c r="G1050" s="36">
        <f t="shared" ca="1" si="18"/>
        <v>144.69159722524364</v>
      </c>
    </row>
    <row r="1051" spans="1:7" x14ac:dyDescent="0.2">
      <c r="A1051" s="6">
        <f ca="1">Model!$F$13+RAND()*(Model!$G$13-Model!$F$13)</f>
        <v>1436.9291981613303</v>
      </c>
      <c r="B1051" s="31">
        <f ca="1">Model!$F$14+RAND()*(Model!$G$14-Model!$F$14)</f>
        <v>0.29235211388592064</v>
      </c>
      <c r="C1051" s="32">
        <f ca="1">Model!$F$15+RAND()*(Model!$G$15-Model!$F$15)</f>
        <v>3.0390338382333938E-2</v>
      </c>
      <c r="D1051" s="33">
        <f ca="1">Model!$F$16+RAND()*(Model!$G$16-Model!$F$16)</f>
        <v>50.850516451373984</v>
      </c>
      <c r="E1051" s="33">
        <f>Model!$D$17</f>
        <v>800</v>
      </c>
      <c r="G1051" s="36">
        <f t="shared" ca="1" si="18"/>
        <v>1000.4899422645651</v>
      </c>
    </row>
    <row r="1052" spans="1:7" x14ac:dyDescent="0.2">
      <c r="A1052" s="6">
        <f ca="1">Model!$F$13+RAND()*(Model!$G$13-Model!$F$13)</f>
        <v>1498.7934641117545</v>
      </c>
      <c r="B1052" s="31">
        <f ca="1">Model!$F$14+RAND()*(Model!$G$14-Model!$F$14)</f>
        <v>0.2414083042911252</v>
      </c>
      <c r="C1052" s="32">
        <f ca="1">Model!$F$15+RAND()*(Model!$G$15-Model!$F$15)</f>
        <v>2.944697846506409E-2</v>
      </c>
      <c r="D1052" s="33">
        <f ca="1">Model!$F$16+RAND()*(Model!$G$16-Model!$F$16)</f>
        <v>50.420245499929671</v>
      </c>
      <c r="E1052" s="33">
        <f>Model!$D$17</f>
        <v>800</v>
      </c>
      <c r="G1052" s="36">
        <f t="shared" ca="1" si="18"/>
        <v>1063.473263856165</v>
      </c>
    </row>
    <row r="1053" spans="1:7" x14ac:dyDescent="0.2">
      <c r="A1053" s="6">
        <f ca="1">Model!$F$13+RAND()*(Model!$G$13-Model!$F$13)</f>
        <v>1442.7135759389764</v>
      </c>
      <c r="B1053" s="31">
        <f ca="1">Model!$F$14+RAND()*(Model!$G$14-Model!$F$14)</f>
        <v>0.75695966158437433</v>
      </c>
      <c r="C1053" s="32">
        <f ca="1">Model!$F$15+RAND()*(Model!$G$15-Model!$F$15)</f>
        <v>2.6137835855931747E-2</v>
      </c>
      <c r="D1053" s="33">
        <f ca="1">Model!$F$16+RAND()*(Model!$G$16-Model!$F$16)</f>
        <v>50.112086298030619</v>
      </c>
      <c r="E1053" s="33">
        <f>Model!$D$17</f>
        <v>800</v>
      </c>
      <c r="G1053" s="36">
        <f t="shared" ca="1" si="18"/>
        <v>-2.3787402160903639</v>
      </c>
    </row>
    <row r="1054" spans="1:7" x14ac:dyDescent="0.2">
      <c r="A1054" s="6">
        <f ca="1">Model!$F$13+RAND()*(Model!$G$13-Model!$F$13)</f>
        <v>1664.4225233680179</v>
      </c>
      <c r="B1054" s="31">
        <f ca="1">Model!$F$14+RAND()*(Model!$G$14-Model!$F$14)</f>
        <v>0.37788687326439097</v>
      </c>
      <c r="C1054" s="32">
        <f ca="1">Model!$F$15+RAND()*(Model!$G$15-Model!$F$15)</f>
        <v>4.1741584987614176E-2</v>
      </c>
      <c r="D1054" s="33">
        <f ca="1">Model!$F$16+RAND()*(Model!$G$16-Model!$F$16)</f>
        <v>51.815276335214989</v>
      </c>
      <c r="E1054" s="33">
        <f>Model!$D$17</f>
        <v>800</v>
      </c>
      <c r="G1054" s="36">
        <f t="shared" ca="1" si="18"/>
        <v>2170.9357622404718</v>
      </c>
    </row>
    <row r="1055" spans="1:7" x14ac:dyDescent="0.2">
      <c r="A1055" s="6">
        <f ca="1">Model!$F$13+RAND()*(Model!$G$13-Model!$F$13)</f>
        <v>1423.417142272868</v>
      </c>
      <c r="B1055" s="31">
        <f ca="1">Model!$F$14+RAND()*(Model!$G$14-Model!$F$14)</f>
        <v>0.35330299419348049</v>
      </c>
      <c r="C1055" s="32">
        <f ca="1">Model!$F$15+RAND()*(Model!$G$15-Model!$F$15)</f>
        <v>1.6159792771859624E-2</v>
      </c>
      <c r="D1055" s="33">
        <f ca="1">Model!$F$16+RAND()*(Model!$G$16-Model!$F$16)</f>
        <v>50.967519655080807</v>
      </c>
      <c r="E1055" s="33">
        <f>Model!$D$17</f>
        <v>800</v>
      </c>
      <c r="G1055" s="36">
        <f t="shared" ca="1" si="18"/>
        <v>-130.53622694006344</v>
      </c>
    </row>
    <row r="1056" spans="1:7" x14ac:dyDescent="0.2">
      <c r="A1056" s="6">
        <f ca="1">Model!$F$13+RAND()*(Model!$G$13-Model!$F$13)</f>
        <v>1220.2913538344144</v>
      </c>
      <c r="B1056" s="31">
        <f ca="1">Model!$F$14+RAND()*(Model!$G$14-Model!$F$14)</f>
        <v>0.70542766771710541</v>
      </c>
      <c r="C1056" s="32">
        <f ca="1">Model!$F$15+RAND()*(Model!$G$15-Model!$F$15)</f>
        <v>4.595005168033317E-2</v>
      </c>
      <c r="D1056" s="33">
        <f ca="1">Model!$F$16+RAND()*(Model!$G$16-Model!$F$16)</f>
        <v>48.881848206894276</v>
      </c>
      <c r="E1056" s="33">
        <f>Model!$D$17</f>
        <v>800</v>
      </c>
      <c r="G1056" s="36">
        <f t="shared" ca="1" si="18"/>
        <v>1080.0977436404869</v>
      </c>
    </row>
    <row r="1057" spans="1:7" x14ac:dyDescent="0.2">
      <c r="A1057" s="6">
        <f ca="1">Model!$F$13+RAND()*(Model!$G$13-Model!$F$13)</f>
        <v>1555.5546895682292</v>
      </c>
      <c r="B1057" s="31">
        <f ca="1">Model!$F$14+RAND()*(Model!$G$14-Model!$F$14)</f>
        <v>0.21029993664892535</v>
      </c>
      <c r="C1057" s="32">
        <f ca="1">Model!$F$15+RAND()*(Model!$G$15-Model!$F$15)</f>
        <v>4.905387690322361E-2</v>
      </c>
      <c r="D1057" s="33">
        <f ca="1">Model!$F$16+RAND()*(Model!$G$16-Model!$F$16)</f>
        <v>49.782207222420475</v>
      </c>
      <c r="E1057" s="33">
        <f>Model!$D$17</f>
        <v>800</v>
      </c>
      <c r="G1057" s="36">
        <f t="shared" ca="1" si="18"/>
        <v>2671.5474671167408</v>
      </c>
    </row>
    <row r="1058" spans="1:7" x14ac:dyDescent="0.2">
      <c r="A1058" s="6">
        <f ca="1">Model!$F$13+RAND()*(Model!$G$13-Model!$F$13)</f>
        <v>1664.8113367325695</v>
      </c>
      <c r="B1058" s="31">
        <f ca="1">Model!$F$14+RAND()*(Model!$G$14-Model!$F$14)</f>
        <v>0.46239488055291661</v>
      </c>
      <c r="C1058" s="32">
        <f ca="1">Model!$F$15+RAND()*(Model!$G$15-Model!$F$15)</f>
        <v>2.0434106477810875E-2</v>
      </c>
      <c r="D1058" s="33">
        <f ca="1">Model!$F$16+RAND()*(Model!$G$16-Model!$F$16)</f>
        <v>52.248492592942291</v>
      </c>
      <c r="E1058" s="33">
        <f>Model!$D$17</f>
        <v>800</v>
      </c>
      <c r="G1058" s="36">
        <f t="shared" ca="1" si="18"/>
        <v>207.63768371361243</v>
      </c>
    </row>
    <row r="1059" spans="1:7" x14ac:dyDescent="0.2">
      <c r="A1059" s="6">
        <f ca="1">Model!$F$13+RAND()*(Model!$G$13-Model!$F$13)</f>
        <v>1269.3323871637733</v>
      </c>
      <c r="B1059" s="31">
        <f ca="1">Model!$F$14+RAND()*(Model!$G$14-Model!$F$14)</f>
        <v>0.25891307254894014</v>
      </c>
      <c r="C1059" s="32">
        <f ca="1">Model!$F$15+RAND()*(Model!$G$15-Model!$F$15)</f>
        <v>3.0479863966043935E-2</v>
      </c>
      <c r="D1059" s="33">
        <f ca="1">Model!$F$16+RAND()*(Model!$G$16-Model!$F$16)</f>
        <v>48.165996813376772</v>
      </c>
      <c r="E1059" s="33">
        <f>Model!$D$17</f>
        <v>800</v>
      </c>
      <c r="G1059" s="36">
        <f t="shared" ca="1" si="18"/>
        <v>734.85128274050248</v>
      </c>
    </row>
    <row r="1060" spans="1:7" x14ac:dyDescent="0.2">
      <c r="A1060" s="6">
        <f ca="1">Model!$F$13+RAND()*(Model!$G$13-Model!$F$13)</f>
        <v>1434.8999834108038</v>
      </c>
      <c r="B1060" s="31">
        <f ca="1">Model!$F$14+RAND()*(Model!$G$14-Model!$F$14)</f>
        <v>0.20471967256446694</v>
      </c>
      <c r="C1060" s="32">
        <f ca="1">Model!$F$15+RAND()*(Model!$G$15-Model!$F$15)</f>
        <v>3.6762327232718474E-2</v>
      </c>
      <c r="D1060" s="33">
        <f ca="1">Model!$F$16+RAND()*(Model!$G$16-Model!$F$16)</f>
        <v>51.166003461029717</v>
      </c>
      <c r="E1060" s="33">
        <f>Model!$D$17</f>
        <v>800</v>
      </c>
      <c r="G1060" s="36">
        <f t="shared" ca="1" si="18"/>
        <v>1605.2678709727295</v>
      </c>
    </row>
    <row r="1061" spans="1:7" x14ac:dyDescent="0.2">
      <c r="A1061" s="6">
        <f ca="1">Model!$F$13+RAND()*(Model!$G$13-Model!$F$13)</f>
        <v>1252.10149769898</v>
      </c>
      <c r="B1061" s="31">
        <f ca="1">Model!$F$14+RAND()*(Model!$G$14-Model!$F$14)</f>
        <v>0.5566475391031166</v>
      </c>
      <c r="C1061" s="32">
        <f ca="1">Model!$F$15+RAND()*(Model!$G$15-Model!$F$15)</f>
        <v>4.6592460139268432E-2</v>
      </c>
      <c r="D1061" s="33">
        <f ca="1">Model!$F$16+RAND()*(Model!$G$16-Model!$F$16)</f>
        <v>50.090015077837883</v>
      </c>
      <c r="E1061" s="33">
        <f>Model!$D$17</f>
        <v>800</v>
      </c>
      <c r="G1061" s="36">
        <f t="shared" ca="1" si="18"/>
        <v>1425.1965823306864</v>
      </c>
    </row>
    <row r="1062" spans="1:7" x14ac:dyDescent="0.2">
      <c r="A1062" s="6">
        <f ca="1">Model!$F$13+RAND()*(Model!$G$13-Model!$F$13)</f>
        <v>1438.6950189404656</v>
      </c>
      <c r="B1062" s="31">
        <f ca="1">Model!$F$14+RAND()*(Model!$G$14-Model!$F$14)</f>
        <v>0.33193441822969533</v>
      </c>
      <c r="C1062" s="32">
        <f ca="1">Model!$F$15+RAND()*(Model!$G$15-Model!$F$15)</f>
        <v>2.9523997724197212E-2</v>
      </c>
      <c r="D1062" s="33">
        <f ca="1">Model!$F$16+RAND()*(Model!$G$16-Model!$F$16)</f>
        <v>49.733607126955093</v>
      </c>
      <c r="E1062" s="33">
        <f>Model!$D$17</f>
        <v>800</v>
      </c>
      <c r="G1062" s="36">
        <f t="shared" ca="1" si="18"/>
        <v>834.93371787031265</v>
      </c>
    </row>
    <row r="1063" spans="1:7" x14ac:dyDescent="0.2">
      <c r="A1063" s="6">
        <f ca="1">Model!$F$13+RAND()*(Model!$G$13-Model!$F$13)</f>
        <v>1396.8425434938017</v>
      </c>
      <c r="B1063" s="31">
        <f ca="1">Model!$F$14+RAND()*(Model!$G$14-Model!$F$14)</f>
        <v>0.76394251447283223</v>
      </c>
      <c r="C1063" s="32">
        <f ca="1">Model!$F$15+RAND()*(Model!$G$15-Model!$F$15)</f>
        <v>2.1190867214981281E-2</v>
      </c>
      <c r="D1063" s="33">
        <f ca="1">Model!$F$16+RAND()*(Model!$G$16-Model!$F$16)</f>
        <v>52.855640758238984</v>
      </c>
      <c r="E1063" s="33">
        <f>Model!$D$17</f>
        <v>800</v>
      </c>
      <c r="G1063" s="36">
        <f t="shared" ca="1" si="18"/>
        <v>-302.56432501574636</v>
      </c>
    </row>
    <row r="1064" spans="1:7" x14ac:dyDescent="0.2">
      <c r="A1064" s="6">
        <f ca="1">Model!$F$13+RAND()*(Model!$G$13-Model!$F$13)</f>
        <v>1236.5177288728396</v>
      </c>
      <c r="B1064" s="31">
        <f ca="1">Model!$F$14+RAND()*(Model!$G$14-Model!$F$14)</f>
        <v>0.54298641207637033</v>
      </c>
      <c r="C1064" s="32">
        <f ca="1">Model!$F$15+RAND()*(Model!$G$15-Model!$F$15)</f>
        <v>4.7563338100718278E-2</v>
      </c>
      <c r="D1064" s="33">
        <f ca="1">Model!$F$16+RAND()*(Model!$G$16-Model!$F$16)</f>
        <v>51.708301762924407</v>
      </c>
      <c r="E1064" s="33">
        <f>Model!$D$17</f>
        <v>800</v>
      </c>
      <c r="G1064" s="36">
        <f t="shared" ca="1" si="18"/>
        <v>1569.703414438527</v>
      </c>
    </row>
    <row r="1065" spans="1:7" x14ac:dyDescent="0.2">
      <c r="A1065" s="6">
        <f ca="1">Model!$F$13+RAND()*(Model!$G$13-Model!$F$13)</f>
        <v>1719.4269903188983</v>
      </c>
      <c r="B1065" s="31">
        <f ca="1">Model!$F$14+RAND()*(Model!$G$14-Model!$F$14)</f>
        <v>0.69272733874790993</v>
      </c>
      <c r="C1065" s="32">
        <f ca="1">Model!$F$15+RAND()*(Model!$G$15-Model!$F$15)</f>
        <v>1.3183871718434754E-2</v>
      </c>
      <c r="D1065" s="33">
        <f ca="1">Model!$F$16+RAND()*(Model!$G$16-Model!$F$16)</f>
        <v>48.482059740222134</v>
      </c>
      <c r="E1065" s="33">
        <f>Model!$D$17</f>
        <v>800</v>
      </c>
      <c r="G1065" s="36">
        <f t="shared" ref="G1065:G1128" ca="1" si="19">A1065*C1065*D1065-(E1065+A1065*B1065)</f>
        <v>-892.06857945455931</v>
      </c>
    </row>
    <row r="1066" spans="1:7" x14ac:dyDescent="0.2">
      <c r="A1066" s="6">
        <f ca="1">Model!$F$13+RAND()*(Model!$G$13-Model!$F$13)</f>
        <v>1499.0105013142193</v>
      </c>
      <c r="B1066" s="31">
        <f ca="1">Model!$F$14+RAND()*(Model!$G$14-Model!$F$14)</f>
        <v>0.4820350087839767</v>
      </c>
      <c r="C1066" s="32">
        <f ca="1">Model!$F$15+RAND()*(Model!$G$15-Model!$F$15)</f>
        <v>3.3705709516069209E-2</v>
      </c>
      <c r="D1066" s="33">
        <f ca="1">Model!$F$16+RAND()*(Model!$G$16-Model!$F$16)</f>
        <v>51.548867856220276</v>
      </c>
      <c r="E1066" s="33">
        <f>Model!$D$17</f>
        <v>800</v>
      </c>
      <c r="G1066" s="36">
        <f t="shared" ca="1" si="19"/>
        <v>1081.9419633725652</v>
      </c>
    </row>
    <row r="1067" spans="1:7" x14ac:dyDescent="0.2">
      <c r="A1067" s="6">
        <f ca="1">Model!$F$13+RAND()*(Model!$G$13-Model!$F$13)</f>
        <v>1362.7468158625443</v>
      </c>
      <c r="B1067" s="31">
        <f ca="1">Model!$F$14+RAND()*(Model!$G$14-Model!$F$14)</f>
        <v>0.50562028028173267</v>
      </c>
      <c r="C1067" s="32">
        <f ca="1">Model!$F$15+RAND()*(Model!$G$15-Model!$F$15)</f>
        <v>1.3051061378947E-2</v>
      </c>
      <c r="D1067" s="33">
        <f ca="1">Model!$F$16+RAND()*(Model!$G$16-Model!$F$16)</f>
        <v>47.229869613114637</v>
      </c>
      <c r="E1067" s="33">
        <f>Model!$D$17</f>
        <v>800</v>
      </c>
      <c r="G1067" s="36">
        <f t="shared" ca="1" si="19"/>
        <v>-649.03538884466809</v>
      </c>
    </row>
    <row r="1068" spans="1:7" x14ac:dyDescent="0.2">
      <c r="A1068" s="6">
        <f ca="1">Model!$F$13+RAND()*(Model!$G$13-Model!$F$13)</f>
        <v>1288.1378197496779</v>
      </c>
      <c r="B1068" s="31">
        <f ca="1">Model!$F$14+RAND()*(Model!$G$14-Model!$F$14)</f>
        <v>0.74924050952054144</v>
      </c>
      <c r="C1068" s="32">
        <f ca="1">Model!$F$15+RAND()*(Model!$G$15-Model!$F$15)</f>
        <v>4.8066353345783679E-2</v>
      </c>
      <c r="D1068" s="33">
        <f ca="1">Model!$F$16+RAND()*(Model!$G$16-Model!$F$16)</f>
        <v>48.22841862288486</v>
      </c>
      <c r="E1068" s="33">
        <f>Model!$D$17</f>
        <v>800</v>
      </c>
      <c r="G1068" s="36">
        <f t="shared" ca="1" si="19"/>
        <v>1220.9899559660348</v>
      </c>
    </row>
    <row r="1069" spans="1:7" x14ac:dyDescent="0.2">
      <c r="A1069" s="6">
        <f ca="1">Model!$F$13+RAND()*(Model!$G$13-Model!$F$13)</f>
        <v>1578.5281197971119</v>
      </c>
      <c r="B1069" s="31">
        <f ca="1">Model!$F$14+RAND()*(Model!$G$14-Model!$F$14)</f>
        <v>0.72010105553916604</v>
      </c>
      <c r="C1069" s="32">
        <f ca="1">Model!$F$15+RAND()*(Model!$G$15-Model!$F$15)</f>
        <v>4.6301793883367935E-2</v>
      </c>
      <c r="D1069" s="33">
        <f ca="1">Model!$F$16+RAND()*(Model!$G$16-Model!$F$16)</f>
        <v>51.04087351527285</v>
      </c>
      <c r="E1069" s="33">
        <f>Model!$D$17</f>
        <v>800</v>
      </c>
      <c r="G1069" s="36">
        <f t="shared" ca="1" si="19"/>
        <v>1793.8104919022123</v>
      </c>
    </row>
    <row r="1070" spans="1:7" x14ac:dyDescent="0.2">
      <c r="A1070" s="6">
        <f ca="1">Model!$F$13+RAND()*(Model!$G$13-Model!$F$13)</f>
        <v>1676.9576853620802</v>
      </c>
      <c r="B1070" s="31">
        <f ca="1">Model!$F$14+RAND()*(Model!$G$14-Model!$F$14)</f>
        <v>0.31401371914527576</v>
      </c>
      <c r="C1070" s="32">
        <f ca="1">Model!$F$15+RAND()*(Model!$G$15-Model!$F$15)</f>
        <v>4.6968967307861313E-2</v>
      </c>
      <c r="D1070" s="33">
        <f ca="1">Model!$F$16+RAND()*(Model!$G$16-Model!$F$16)</f>
        <v>47.352321696007714</v>
      </c>
      <c r="E1070" s="33">
        <f>Model!$D$17</f>
        <v>800</v>
      </c>
      <c r="G1070" s="36">
        <f t="shared" ca="1" si="19"/>
        <v>2403.1165113539773</v>
      </c>
    </row>
    <row r="1071" spans="1:7" x14ac:dyDescent="0.2">
      <c r="A1071" s="6">
        <f ca="1">Model!$F$13+RAND()*(Model!$G$13-Model!$F$13)</f>
        <v>1567.035578298902</v>
      </c>
      <c r="B1071" s="31">
        <f ca="1">Model!$F$14+RAND()*(Model!$G$14-Model!$F$14)</f>
        <v>0.20617525301220482</v>
      </c>
      <c r="C1071" s="32">
        <f ca="1">Model!$F$15+RAND()*(Model!$G$15-Model!$F$15)</f>
        <v>4.8077815453002735E-2</v>
      </c>
      <c r="D1071" s="33">
        <f ca="1">Model!$F$16+RAND()*(Model!$G$16-Model!$F$16)</f>
        <v>48.02899864490027</v>
      </c>
      <c r="E1071" s="33">
        <f>Model!$D$17</f>
        <v>800</v>
      </c>
      <c r="G1071" s="36">
        <f t="shared" ca="1" si="19"/>
        <v>2495.4038632489851</v>
      </c>
    </row>
    <row r="1072" spans="1:7" x14ac:dyDescent="0.2">
      <c r="A1072" s="6">
        <f ca="1">Model!$F$13+RAND()*(Model!$G$13-Model!$F$13)</f>
        <v>1524.4287713301624</v>
      </c>
      <c r="B1072" s="31">
        <f ca="1">Model!$F$14+RAND()*(Model!$G$14-Model!$F$14)</f>
        <v>0.7344141528270649</v>
      </c>
      <c r="C1072" s="32">
        <f ca="1">Model!$F$15+RAND()*(Model!$G$15-Model!$F$15)</f>
        <v>1.8299306650176851E-2</v>
      </c>
      <c r="D1072" s="33">
        <f ca="1">Model!$F$16+RAND()*(Model!$G$16-Model!$F$16)</f>
        <v>51.668401996254495</v>
      </c>
      <c r="E1072" s="33">
        <f>Model!$D$17</f>
        <v>800</v>
      </c>
      <c r="G1072" s="36">
        <f t="shared" ca="1" si="19"/>
        <v>-478.22086233790515</v>
      </c>
    </row>
    <row r="1073" spans="1:7" x14ac:dyDescent="0.2">
      <c r="A1073" s="6">
        <f ca="1">Model!$F$13+RAND()*(Model!$G$13-Model!$F$13)</f>
        <v>1514.4455381452344</v>
      </c>
      <c r="B1073" s="31">
        <f ca="1">Model!$F$14+RAND()*(Model!$G$14-Model!$F$14)</f>
        <v>0.65875737082758778</v>
      </c>
      <c r="C1073" s="32">
        <f ca="1">Model!$F$15+RAND()*(Model!$G$15-Model!$F$15)</f>
        <v>3.2521470441639909E-2</v>
      </c>
      <c r="D1073" s="33">
        <f ca="1">Model!$F$16+RAND()*(Model!$G$16-Model!$F$16)</f>
        <v>48.715857144177257</v>
      </c>
      <c r="E1073" s="33">
        <f>Model!$D$17</f>
        <v>800</v>
      </c>
      <c r="G1073" s="36">
        <f t="shared" ca="1" si="19"/>
        <v>601.70103069600145</v>
      </c>
    </row>
    <row r="1074" spans="1:7" x14ac:dyDescent="0.2">
      <c r="A1074" s="6">
        <f ca="1">Model!$F$13+RAND()*(Model!$G$13-Model!$F$13)</f>
        <v>1229.4414181056563</v>
      </c>
      <c r="B1074" s="31">
        <f ca="1">Model!$F$14+RAND()*(Model!$G$14-Model!$F$14)</f>
        <v>0.48967658834291089</v>
      </c>
      <c r="C1074" s="32">
        <f ca="1">Model!$F$15+RAND()*(Model!$G$15-Model!$F$15)</f>
        <v>3.6078079543919804E-2</v>
      </c>
      <c r="D1074" s="33">
        <f ca="1">Model!$F$16+RAND()*(Model!$G$16-Model!$F$16)</f>
        <v>48.392244818505453</v>
      </c>
      <c r="E1074" s="33">
        <f>Model!$D$17</f>
        <v>800</v>
      </c>
      <c r="G1074" s="36">
        <f t="shared" ca="1" si="19"/>
        <v>744.45218028094064</v>
      </c>
    </row>
    <row r="1075" spans="1:7" x14ac:dyDescent="0.2">
      <c r="A1075" s="6">
        <f ca="1">Model!$F$13+RAND()*(Model!$G$13-Model!$F$13)</f>
        <v>1782.9014573884147</v>
      </c>
      <c r="B1075" s="31">
        <f ca="1">Model!$F$14+RAND()*(Model!$G$14-Model!$F$14)</f>
        <v>0.66022124995839382</v>
      </c>
      <c r="C1075" s="32">
        <f ca="1">Model!$F$15+RAND()*(Model!$G$15-Model!$F$15)</f>
        <v>4.3743559366559125E-2</v>
      </c>
      <c r="D1075" s="33">
        <f ca="1">Model!$F$16+RAND()*(Model!$G$16-Model!$F$16)</f>
        <v>47.26061976241099</v>
      </c>
      <c r="E1075" s="33">
        <f>Model!$D$17</f>
        <v>800</v>
      </c>
      <c r="G1075" s="36">
        <f t="shared" ca="1" si="19"/>
        <v>1708.7678453589847</v>
      </c>
    </row>
    <row r="1076" spans="1:7" x14ac:dyDescent="0.2">
      <c r="A1076" s="6">
        <f ca="1">Model!$F$13+RAND()*(Model!$G$13-Model!$F$13)</f>
        <v>1253.6652788377853</v>
      </c>
      <c r="B1076" s="31">
        <f ca="1">Model!$F$14+RAND()*(Model!$G$14-Model!$F$14)</f>
        <v>0.7822127533387575</v>
      </c>
      <c r="C1076" s="32">
        <f ca="1">Model!$F$15+RAND()*(Model!$G$15-Model!$F$15)</f>
        <v>3.6384360424746118E-2</v>
      </c>
      <c r="D1076" s="33">
        <f ca="1">Model!$F$16+RAND()*(Model!$G$16-Model!$F$16)</f>
        <v>50.550478019872763</v>
      </c>
      <c r="E1076" s="33">
        <f>Model!$D$17</f>
        <v>800</v>
      </c>
      <c r="G1076" s="36">
        <f t="shared" ca="1" si="19"/>
        <v>525.16689779010449</v>
      </c>
    </row>
    <row r="1077" spans="1:7" x14ac:dyDescent="0.2">
      <c r="A1077" s="6">
        <f ca="1">Model!$F$13+RAND()*(Model!$G$13-Model!$F$13)</f>
        <v>1291.7665021903101</v>
      </c>
      <c r="B1077" s="31">
        <f ca="1">Model!$F$14+RAND()*(Model!$G$14-Model!$F$14)</f>
        <v>0.54048706688291959</v>
      </c>
      <c r="C1077" s="32">
        <f ca="1">Model!$F$15+RAND()*(Model!$G$15-Model!$F$15)</f>
        <v>2.5236407439428659E-2</v>
      </c>
      <c r="D1077" s="33">
        <f ca="1">Model!$F$16+RAND()*(Model!$G$16-Model!$F$16)</f>
        <v>51.556587870849796</v>
      </c>
      <c r="E1077" s="33">
        <f>Model!$D$17</f>
        <v>800</v>
      </c>
      <c r="G1077" s="36">
        <f t="shared" ca="1" si="19"/>
        <v>182.53825796194701</v>
      </c>
    </row>
    <row r="1078" spans="1:7" x14ac:dyDescent="0.2">
      <c r="A1078" s="6">
        <f ca="1">Model!$F$13+RAND()*(Model!$G$13-Model!$F$13)</f>
        <v>1537.3218314045162</v>
      </c>
      <c r="B1078" s="31">
        <f ca="1">Model!$F$14+RAND()*(Model!$G$14-Model!$F$14)</f>
        <v>0.49162833097102338</v>
      </c>
      <c r="C1078" s="32">
        <f ca="1">Model!$F$15+RAND()*(Model!$G$15-Model!$F$15)</f>
        <v>2.5406078240244847E-2</v>
      </c>
      <c r="D1078" s="33">
        <f ca="1">Model!$F$16+RAND()*(Model!$G$16-Model!$F$16)</f>
        <v>50.924135899714592</v>
      </c>
      <c r="E1078" s="33">
        <f>Model!$D$17</f>
        <v>800</v>
      </c>
      <c r="G1078" s="36">
        <f t="shared" ca="1" si="19"/>
        <v>433.16924070041841</v>
      </c>
    </row>
    <row r="1079" spans="1:7" x14ac:dyDescent="0.2">
      <c r="A1079" s="6">
        <f ca="1">Model!$F$13+RAND()*(Model!$G$13-Model!$F$13)</f>
        <v>1756.0073302915848</v>
      </c>
      <c r="B1079" s="31">
        <f ca="1">Model!$F$14+RAND()*(Model!$G$14-Model!$F$14)</f>
        <v>0.75001522712006508</v>
      </c>
      <c r="C1079" s="32">
        <f ca="1">Model!$F$15+RAND()*(Model!$G$15-Model!$F$15)</f>
        <v>2.3463257117986514E-2</v>
      </c>
      <c r="D1079" s="33">
        <f ca="1">Model!$F$16+RAND()*(Model!$G$16-Model!$F$16)</f>
        <v>47.747625709198743</v>
      </c>
      <c r="E1079" s="33">
        <f>Model!$D$17</f>
        <v>800</v>
      </c>
      <c r="G1079" s="36">
        <f t="shared" ca="1" si="19"/>
        <v>-149.75120262657515</v>
      </c>
    </row>
    <row r="1080" spans="1:7" x14ac:dyDescent="0.2">
      <c r="A1080" s="6">
        <f ca="1">Model!$F$13+RAND()*(Model!$G$13-Model!$F$13)</f>
        <v>1701.8833004384471</v>
      </c>
      <c r="B1080" s="31">
        <f ca="1">Model!$F$14+RAND()*(Model!$G$14-Model!$F$14)</f>
        <v>0.51707461372939423</v>
      </c>
      <c r="C1080" s="32">
        <f ca="1">Model!$F$15+RAND()*(Model!$G$15-Model!$F$15)</f>
        <v>1.5751357440518345E-2</v>
      </c>
      <c r="D1080" s="33">
        <f ca="1">Model!$F$16+RAND()*(Model!$G$16-Model!$F$16)</f>
        <v>49.814591828939911</v>
      </c>
      <c r="E1080" s="33">
        <f>Model!$D$17</f>
        <v>800</v>
      </c>
      <c r="G1080" s="36">
        <f t="shared" ca="1" si="19"/>
        <v>-344.62227250886144</v>
      </c>
    </row>
    <row r="1081" spans="1:7" x14ac:dyDescent="0.2">
      <c r="A1081" s="6">
        <f ca="1">Model!$F$13+RAND()*(Model!$G$13-Model!$F$13)</f>
        <v>1399.9499594984125</v>
      </c>
      <c r="B1081" s="31">
        <f ca="1">Model!$F$14+RAND()*(Model!$G$14-Model!$F$14)</f>
        <v>0.6431991976802216</v>
      </c>
      <c r="C1081" s="32">
        <f ca="1">Model!$F$15+RAND()*(Model!$G$15-Model!$F$15)</f>
        <v>1.2183612793716696E-2</v>
      </c>
      <c r="D1081" s="33">
        <f ca="1">Model!$F$16+RAND()*(Model!$G$16-Model!$F$16)</f>
        <v>51.785750300193584</v>
      </c>
      <c r="E1081" s="33">
        <f>Model!$D$17</f>
        <v>800</v>
      </c>
      <c r="G1081" s="36">
        <f t="shared" ca="1" si="19"/>
        <v>-817.16572132678436</v>
      </c>
    </row>
    <row r="1082" spans="1:7" x14ac:dyDescent="0.2">
      <c r="A1082" s="6">
        <f ca="1">Model!$F$13+RAND()*(Model!$G$13-Model!$F$13)</f>
        <v>1264.9287988538317</v>
      </c>
      <c r="B1082" s="31">
        <f ca="1">Model!$F$14+RAND()*(Model!$G$14-Model!$F$14)</f>
        <v>0.78579981352081907</v>
      </c>
      <c r="C1082" s="32">
        <f ca="1">Model!$F$15+RAND()*(Model!$G$15-Model!$F$15)</f>
        <v>1.6346379072610617E-2</v>
      </c>
      <c r="D1082" s="33">
        <f ca="1">Model!$F$16+RAND()*(Model!$G$16-Model!$F$16)</f>
        <v>48.862642589361471</v>
      </c>
      <c r="E1082" s="33">
        <f>Model!$D$17</f>
        <v>800</v>
      </c>
      <c r="G1082" s="36">
        <f t="shared" ca="1" si="19"/>
        <v>-783.6476775613263</v>
      </c>
    </row>
    <row r="1083" spans="1:7" x14ac:dyDescent="0.2">
      <c r="A1083" s="6">
        <f ca="1">Model!$F$13+RAND()*(Model!$G$13-Model!$F$13)</f>
        <v>1515.2960907873173</v>
      </c>
      <c r="B1083" s="31">
        <f ca="1">Model!$F$14+RAND()*(Model!$G$14-Model!$F$14)</f>
        <v>0.6946465148118679</v>
      </c>
      <c r="C1083" s="32">
        <f ca="1">Model!$F$15+RAND()*(Model!$G$15-Model!$F$15)</f>
        <v>3.6297557327756642E-2</v>
      </c>
      <c r="D1083" s="33">
        <f ca="1">Model!$F$16+RAND()*(Model!$G$16-Model!$F$16)</f>
        <v>48.101590941531818</v>
      </c>
      <c r="E1083" s="33">
        <f>Model!$D$17</f>
        <v>800</v>
      </c>
      <c r="G1083" s="36">
        <f t="shared" ca="1" si="19"/>
        <v>793.06675329007999</v>
      </c>
    </row>
    <row r="1084" spans="1:7" x14ac:dyDescent="0.2">
      <c r="A1084" s="6">
        <f ca="1">Model!$F$13+RAND()*(Model!$G$13-Model!$F$13)</f>
        <v>1314.2445444988405</v>
      </c>
      <c r="B1084" s="31">
        <f ca="1">Model!$F$14+RAND()*(Model!$G$14-Model!$F$14)</f>
        <v>0.26058311871453649</v>
      </c>
      <c r="C1084" s="32">
        <f ca="1">Model!$F$15+RAND()*(Model!$G$15-Model!$F$15)</f>
        <v>3.9955298683738927E-2</v>
      </c>
      <c r="D1084" s="33">
        <f ca="1">Model!$F$16+RAND()*(Model!$G$16-Model!$F$16)</f>
        <v>52.894346542220774</v>
      </c>
      <c r="E1084" s="33">
        <f>Model!$D$17</f>
        <v>800</v>
      </c>
      <c r="G1084" s="36">
        <f t="shared" ca="1" si="19"/>
        <v>1635.0668515022778</v>
      </c>
    </row>
    <row r="1085" spans="1:7" x14ac:dyDescent="0.2">
      <c r="A1085" s="6">
        <f ca="1">Model!$F$13+RAND()*(Model!$G$13-Model!$F$13)</f>
        <v>1552.6592352955088</v>
      </c>
      <c r="B1085" s="31">
        <f ca="1">Model!$F$14+RAND()*(Model!$G$14-Model!$F$14)</f>
        <v>0.34005943699989416</v>
      </c>
      <c r="C1085" s="32">
        <f ca="1">Model!$F$15+RAND()*(Model!$G$15-Model!$F$15)</f>
        <v>1.8663552283695681E-2</v>
      </c>
      <c r="D1085" s="33">
        <f ca="1">Model!$F$16+RAND()*(Model!$G$16-Model!$F$16)</f>
        <v>47.216976471830669</v>
      </c>
      <c r="E1085" s="33">
        <f>Model!$D$17</f>
        <v>800</v>
      </c>
      <c r="G1085" s="36">
        <f t="shared" ca="1" si="19"/>
        <v>40.263578864369265</v>
      </c>
    </row>
    <row r="1086" spans="1:7" x14ac:dyDescent="0.2">
      <c r="A1086" s="6">
        <f ca="1">Model!$F$13+RAND()*(Model!$G$13-Model!$F$13)</f>
        <v>1320.7895050001587</v>
      </c>
      <c r="B1086" s="31">
        <f ca="1">Model!$F$14+RAND()*(Model!$G$14-Model!$F$14)</f>
        <v>0.57228538910284454</v>
      </c>
      <c r="C1086" s="32">
        <f ca="1">Model!$F$15+RAND()*(Model!$G$15-Model!$F$15)</f>
        <v>1.0422768980549427E-2</v>
      </c>
      <c r="D1086" s="33">
        <f ca="1">Model!$F$16+RAND()*(Model!$G$16-Model!$F$16)</f>
        <v>48.797751984962495</v>
      </c>
      <c r="E1086" s="33">
        <f>Model!$D$17</f>
        <v>800</v>
      </c>
      <c r="G1086" s="36">
        <f t="shared" ca="1" si="19"/>
        <v>-884.10482913666476</v>
      </c>
    </row>
    <row r="1087" spans="1:7" x14ac:dyDescent="0.2">
      <c r="A1087" s="6">
        <f ca="1">Model!$F$13+RAND()*(Model!$G$13-Model!$F$13)</f>
        <v>1651.6454297343796</v>
      </c>
      <c r="B1087" s="31">
        <f ca="1">Model!$F$14+RAND()*(Model!$G$14-Model!$F$14)</f>
        <v>0.63446020751134258</v>
      </c>
      <c r="C1087" s="32">
        <f ca="1">Model!$F$15+RAND()*(Model!$G$15-Model!$F$15)</f>
        <v>2.0693897329617426E-2</v>
      </c>
      <c r="D1087" s="33">
        <f ca="1">Model!$F$16+RAND()*(Model!$G$16-Model!$F$16)</f>
        <v>48.664301227865678</v>
      </c>
      <c r="E1087" s="33">
        <f>Model!$D$17</f>
        <v>800</v>
      </c>
      <c r="G1087" s="36">
        <f t="shared" ca="1" si="19"/>
        <v>-184.60707757653245</v>
      </c>
    </row>
    <row r="1088" spans="1:7" x14ac:dyDescent="0.2">
      <c r="A1088" s="6">
        <f ca="1">Model!$F$13+RAND()*(Model!$G$13-Model!$F$13)</f>
        <v>1595.5818587540539</v>
      </c>
      <c r="B1088" s="31">
        <f ca="1">Model!$F$14+RAND()*(Model!$G$14-Model!$F$14)</f>
        <v>0.65695491119905025</v>
      </c>
      <c r="C1088" s="32">
        <f ca="1">Model!$F$15+RAND()*(Model!$G$15-Model!$F$15)</f>
        <v>2.8605392048751607E-2</v>
      </c>
      <c r="D1088" s="33">
        <f ca="1">Model!$F$16+RAND()*(Model!$G$16-Model!$F$16)</f>
        <v>49.783617736685933</v>
      </c>
      <c r="E1088" s="33">
        <f>Model!$D$17</f>
        <v>800</v>
      </c>
      <c r="G1088" s="36">
        <f t="shared" ca="1" si="19"/>
        <v>424.01072025554754</v>
      </c>
    </row>
    <row r="1089" spans="1:7" x14ac:dyDescent="0.2">
      <c r="A1089" s="6">
        <f ca="1">Model!$F$13+RAND()*(Model!$G$13-Model!$F$13)</f>
        <v>1438.5465004224914</v>
      </c>
      <c r="B1089" s="31">
        <f ca="1">Model!$F$14+RAND()*(Model!$G$14-Model!$F$14)</f>
        <v>0.53535849028666782</v>
      </c>
      <c r="C1089" s="32">
        <f ca="1">Model!$F$15+RAND()*(Model!$G$15-Model!$F$15)</f>
        <v>1.3382581759225251E-2</v>
      </c>
      <c r="D1089" s="33">
        <f ca="1">Model!$F$16+RAND()*(Model!$G$16-Model!$F$16)</f>
        <v>52.1408512682344</v>
      </c>
      <c r="E1089" s="33">
        <f>Model!$D$17</f>
        <v>800</v>
      </c>
      <c r="G1089" s="36">
        <f t="shared" ca="1" si="19"/>
        <v>-566.35024911959033</v>
      </c>
    </row>
    <row r="1090" spans="1:7" x14ac:dyDescent="0.2">
      <c r="A1090" s="6">
        <f ca="1">Model!$F$13+RAND()*(Model!$G$13-Model!$F$13)</f>
        <v>1585.1144266598767</v>
      </c>
      <c r="B1090" s="31">
        <f ca="1">Model!$F$14+RAND()*(Model!$G$14-Model!$F$14)</f>
        <v>0.60563592923560639</v>
      </c>
      <c r="C1090" s="32">
        <f ca="1">Model!$F$15+RAND()*(Model!$G$15-Model!$F$15)</f>
        <v>3.7431910165089045E-2</v>
      </c>
      <c r="D1090" s="33">
        <f ca="1">Model!$F$16+RAND()*(Model!$G$16-Model!$F$16)</f>
        <v>50.330311346846152</v>
      </c>
      <c r="E1090" s="33">
        <f>Model!$D$17</f>
        <v>800</v>
      </c>
      <c r="G1090" s="36">
        <f t="shared" ca="1" si="19"/>
        <v>1226.2894397521127</v>
      </c>
    </row>
    <row r="1091" spans="1:7" x14ac:dyDescent="0.2">
      <c r="A1091" s="6">
        <f ca="1">Model!$F$13+RAND()*(Model!$G$13-Model!$F$13)</f>
        <v>1673.6371936859437</v>
      </c>
      <c r="B1091" s="31">
        <f ca="1">Model!$F$14+RAND()*(Model!$G$14-Model!$F$14)</f>
        <v>0.79919818566042977</v>
      </c>
      <c r="C1091" s="32">
        <f ca="1">Model!$F$15+RAND()*(Model!$G$15-Model!$F$15)</f>
        <v>3.8603693980497629E-2</v>
      </c>
      <c r="D1091" s="33">
        <f ca="1">Model!$F$16+RAND()*(Model!$G$16-Model!$F$16)</f>
        <v>49.085139765485742</v>
      </c>
      <c r="E1091" s="33">
        <f>Model!$D$17</f>
        <v>800</v>
      </c>
      <c r="G1091" s="36">
        <f t="shared" ca="1" si="19"/>
        <v>1033.7532754488475</v>
      </c>
    </row>
    <row r="1092" spans="1:7" x14ac:dyDescent="0.2">
      <c r="A1092" s="6">
        <f ca="1">Model!$F$13+RAND()*(Model!$G$13-Model!$F$13)</f>
        <v>1314.3057369265416</v>
      </c>
      <c r="B1092" s="31">
        <f ca="1">Model!$F$14+RAND()*(Model!$G$14-Model!$F$14)</f>
        <v>0.38113884788382701</v>
      </c>
      <c r="C1092" s="32">
        <f ca="1">Model!$F$15+RAND()*(Model!$G$15-Model!$F$15)</f>
        <v>2.4522969023297383E-2</v>
      </c>
      <c r="D1092" s="33">
        <f ca="1">Model!$F$16+RAND()*(Model!$G$16-Model!$F$16)</f>
        <v>50.350841766089111</v>
      </c>
      <c r="E1092" s="33">
        <f>Model!$D$17</f>
        <v>800</v>
      </c>
      <c r="G1092" s="36">
        <f t="shared" ca="1" si="19"/>
        <v>321.90883764862656</v>
      </c>
    </row>
    <row r="1093" spans="1:7" x14ac:dyDescent="0.2">
      <c r="A1093" s="6">
        <f ca="1">Model!$F$13+RAND()*(Model!$G$13-Model!$F$13)</f>
        <v>1752.2814002311391</v>
      </c>
      <c r="B1093" s="31">
        <f ca="1">Model!$F$14+RAND()*(Model!$G$14-Model!$F$14)</f>
        <v>0.71140271350600837</v>
      </c>
      <c r="C1093" s="32">
        <f ca="1">Model!$F$15+RAND()*(Model!$G$15-Model!$F$15)</f>
        <v>2.5282755944246529E-2</v>
      </c>
      <c r="D1093" s="33">
        <f ca="1">Model!$F$16+RAND()*(Model!$G$16-Model!$F$16)</f>
        <v>49.543955245310343</v>
      </c>
      <c r="E1093" s="33">
        <f>Model!$D$17</f>
        <v>800</v>
      </c>
      <c r="G1093" s="36">
        <f t="shared" ca="1" si="19"/>
        <v>148.34348232662569</v>
      </c>
    </row>
    <row r="1094" spans="1:7" x14ac:dyDescent="0.2">
      <c r="A1094" s="6">
        <f ca="1">Model!$F$13+RAND()*(Model!$G$13-Model!$F$13)</f>
        <v>1469.0327469842111</v>
      </c>
      <c r="B1094" s="31">
        <f ca="1">Model!$F$14+RAND()*(Model!$G$14-Model!$F$14)</f>
        <v>0.70248734830515858</v>
      </c>
      <c r="C1094" s="32">
        <f ca="1">Model!$F$15+RAND()*(Model!$G$15-Model!$F$15)</f>
        <v>3.5975886879682638E-2</v>
      </c>
      <c r="D1094" s="33">
        <f ca="1">Model!$F$16+RAND()*(Model!$G$16-Model!$F$16)</f>
        <v>51.154424205728006</v>
      </c>
      <c r="E1094" s="33">
        <f>Model!$D$17</f>
        <v>800</v>
      </c>
      <c r="G1094" s="36">
        <f t="shared" ca="1" si="19"/>
        <v>871.5219149104521</v>
      </c>
    </row>
    <row r="1095" spans="1:7" x14ac:dyDescent="0.2">
      <c r="A1095" s="6">
        <f ca="1">Model!$F$13+RAND()*(Model!$G$13-Model!$F$13)</f>
        <v>1220.6316913879639</v>
      </c>
      <c r="B1095" s="31">
        <f ca="1">Model!$F$14+RAND()*(Model!$G$14-Model!$F$14)</f>
        <v>0.44440502714455787</v>
      </c>
      <c r="C1095" s="32">
        <f ca="1">Model!$F$15+RAND()*(Model!$G$15-Model!$F$15)</f>
        <v>4.3402805698956035E-2</v>
      </c>
      <c r="D1095" s="33">
        <f ca="1">Model!$F$16+RAND()*(Model!$G$16-Model!$F$16)</f>
        <v>48.819531550888925</v>
      </c>
      <c r="E1095" s="33">
        <f>Model!$D$17</f>
        <v>800</v>
      </c>
      <c r="G1095" s="36">
        <f t="shared" ca="1" si="19"/>
        <v>1243.9472973747183</v>
      </c>
    </row>
    <row r="1096" spans="1:7" x14ac:dyDescent="0.2">
      <c r="A1096" s="6">
        <f ca="1">Model!$F$13+RAND()*(Model!$G$13-Model!$F$13)</f>
        <v>1351.5907454973178</v>
      </c>
      <c r="B1096" s="31">
        <f ca="1">Model!$F$14+RAND()*(Model!$G$14-Model!$F$14)</f>
        <v>0.37252472856737462</v>
      </c>
      <c r="C1096" s="32">
        <f ca="1">Model!$F$15+RAND()*(Model!$G$15-Model!$F$15)</f>
        <v>1.488700430862195E-2</v>
      </c>
      <c r="D1096" s="33">
        <f ca="1">Model!$F$16+RAND()*(Model!$G$16-Model!$F$16)</f>
        <v>48.155230193172507</v>
      </c>
      <c r="E1096" s="33">
        <f>Model!$D$17</f>
        <v>800</v>
      </c>
      <c r="G1096" s="36">
        <f t="shared" ca="1" si="19"/>
        <v>-334.56297949594807</v>
      </c>
    </row>
    <row r="1097" spans="1:7" x14ac:dyDescent="0.2">
      <c r="A1097" s="6">
        <f ca="1">Model!$F$13+RAND()*(Model!$G$13-Model!$F$13)</f>
        <v>1283.6994008190684</v>
      </c>
      <c r="B1097" s="31">
        <f ca="1">Model!$F$14+RAND()*(Model!$G$14-Model!$F$14)</f>
        <v>0.75986240949197192</v>
      </c>
      <c r="C1097" s="32">
        <f ca="1">Model!$F$15+RAND()*(Model!$G$15-Model!$F$15)</f>
        <v>1.9833432781464155E-2</v>
      </c>
      <c r="D1097" s="33">
        <f ca="1">Model!$F$16+RAND()*(Model!$G$16-Model!$F$16)</f>
        <v>52.343920348208627</v>
      </c>
      <c r="E1097" s="33">
        <f>Model!$D$17</f>
        <v>800</v>
      </c>
      <c r="G1097" s="36">
        <f t="shared" ca="1" si="19"/>
        <v>-442.75003024700254</v>
      </c>
    </row>
    <row r="1098" spans="1:7" x14ac:dyDescent="0.2">
      <c r="A1098" s="6">
        <f ca="1">Model!$F$13+RAND()*(Model!$G$13-Model!$F$13)</f>
        <v>1577.8778580575959</v>
      </c>
      <c r="B1098" s="31">
        <f ca="1">Model!$F$14+RAND()*(Model!$G$14-Model!$F$14)</f>
        <v>0.40883522125434257</v>
      </c>
      <c r="C1098" s="32">
        <f ca="1">Model!$F$15+RAND()*(Model!$G$15-Model!$F$15)</f>
        <v>1.1221475680715557E-2</v>
      </c>
      <c r="D1098" s="33">
        <f ca="1">Model!$F$16+RAND()*(Model!$G$16-Model!$F$16)</f>
        <v>49.235359267307956</v>
      </c>
      <c r="E1098" s="33">
        <f>Model!$D$17</f>
        <v>800</v>
      </c>
      <c r="G1098" s="36">
        <f t="shared" ca="1" si="19"/>
        <v>-573.32496169397939</v>
      </c>
    </row>
    <row r="1099" spans="1:7" x14ac:dyDescent="0.2">
      <c r="A1099" s="6">
        <f ca="1">Model!$F$13+RAND()*(Model!$G$13-Model!$F$13)</f>
        <v>1551.6010997503693</v>
      </c>
      <c r="B1099" s="31">
        <f ca="1">Model!$F$14+RAND()*(Model!$G$14-Model!$F$14)</f>
        <v>0.3492188624193584</v>
      </c>
      <c r="C1099" s="32">
        <f ca="1">Model!$F$15+RAND()*(Model!$G$15-Model!$F$15)</f>
        <v>2.6987581820975597E-2</v>
      </c>
      <c r="D1099" s="33">
        <f ca="1">Model!$F$16+RAND()*(Model!$G$16-Model!$F$16)</f>
        <v>49.21950994140083</v>
      </c>
      <c r="E1099" s="33">
        <f>Model!$D$17</f>
        <v>800</v>
      </c>
      <c r="G1099" s="36">
        <f t="shared" ca="1" si="19"/>
        <v>719.16749989924892</v>
      </c>
    </row>
    <row r="1100" spans="1:7" x14ac:dyDescent="0.2">
      <c r="A1100" s="6">
        <f ca="1">Model!$F$13+RAND()*(Model!$G$13-Model!$F$13)</f>
        <v>1472.2587567161363</v>
      </c>
      <c r="B1100" s="31">
        <f ca="1">Model!$F$14+RAND()*(Model!$G$14-Model!$F$14)</f>
        <v>0.53264408543115827</v>
      </c>
      <c r="C1100" s="32">
        <f ca="1">Model!$F$15+RAND()*(Model!$G$15-Model!$F$15)</f>
        <v>1.6256837455776954E-2</v>
      </c>
      <c r="D1100" s="33">
        <f ca="1">Model!$F$16+RAND()*(Model!$G$16-Model!$F$16)</f>
        <v>48.62556122567328</v>
      </c>
      <c r="E1100" s="33">
        <f>Model!$D$17</f>
        <v>800</v>
      </c>
      <c r="G1100" s="36">
        <f t="shared" ca="1" si="19"/>
        <v>-420.37254446120096</v>
      </c>
    </row>
    <row r="1101" spans="1:7" x14ac:dyDescent="0.2">
      <c r="A1101" s="6">
        <f ca="1">Model!$F$13+RAND()*(Model!$G$13-Model!$F$13)</f>
        <v>1659.9702570078759</v>
      </c>
      <c r="B1101" s="31">
        <f ca="1">Model!$F$14+RAND()*(Model!$G$14-Model!$F$14)</f>
        <v>0.25657016660638826</v>
      </c>
      <c r="C1101" s="32">
        <f ca="1">Model!$F$15+RAND()*(Model!$G$15-Model!$F$15)</f>
        <v>3.6523362566491843E-2</v>
      </c>
      <c r="D1101" s="33">
        <f ca="1">Model!$F$16+RAND()*(Model!$G$16-Model!$F$16)</f>
        <v>49.042453296746949</v>
      </c>
      <c r="E1101" s="33">
        <f>Model!$D$17</f>
        <v>800</v>
      </c>
      <c r="G1101" s="36">
        <f t="shared" ca="1" si="19"/>
        <v>1747.4320819162242</v>
      </c>
    </row>
    <row r="1102" spans="1:7" x14ac:dyDescent="0.2">
      <c r="A1102" s="6">
        <f ca="1">Model!$F$13+RAND()*(Model!$G$13-Model!$F$13)</f>
        <v>1425.4249681780975</v>
      </c>
      <c r="B1102" s="31">
        <f ca="1">Model!$F$14+RAND()*(Model!$G$14-Model!$F$14)</f>
        <v>0.62065505515517805</v>
      </c>
      <c r="C1102" s="32">
        <f ca="1">Model!$F$15+RAND()*(Model!$G$15-Model!$F$15)</f>
        <v>2.9951932540585015E-2</v>
      </c>
      <c r="D1102" s="33">
        <f ca="1">Model!$F$16+RAND()*(Model!$G$16-Model!$F$16)</f>
        <v>50.256818707894766</v>
      </c>
      <c r="E1102" s="33">
        <f>Model!$D$17</f>
        <v>800</v>
      </c>
      <c r="G1102" s="36">
        <f t="shared" ca="1" si="19"/>
        <v>460.97908980491525</v>
      </c>
    </row>
    <row r="1103" spans="1:7" x14ac:dyDescent="0.2">
      <c r="A1103" s="6">
        <f ca="1">Model!$F$13+RAND()*(Model!$G$13-Model!$F$13)</f>
        <v>1353.8775044696222</v>
      </c>
      <c r="B1103" s="31">
        <f ca="1">Model!$F$14+RAND()*(Model!$G$14-Model!$F$14)</f>
        <v>0.36490689156387596</v>
      </c>
      <c r="C1103" s="32">
        <f ca="1">Model!$F$15+RAND()*(Model!$G$15-Model!$F$15)</f>
        <v>4.6326491461009284E-2</v>
      </c>
      <c r="D1103" s="33">
        <f ca="1">Model!$F$16+RAND()*(Model!$G$16-Model!$F$16)</f>
        <v>47.156906782970637</v>
      </c>
      <c r="E1103" s="33">
        <f>Model!$D$17</f>
        <v>800</v>
      </c>
      <c r="G1103" s="36">
        <f t="shared" ca="1" si="19"/>
        <v>1663.660572189955</v>
      </c>
    </row>
    <row r="1104" spans="1:7" x14ac:dyDescent="0.2">
      <c r="A1104" s="6">
        <f ca="1">Model!$F$13+RAND()*(Model!$G$13-Model!$F$13)</f>
        <v>1633.3449376359522</v>
      </c>
      <c r="B1104" s="31">
        <f ca="1">Model!$F$14+RAND()*(Model!$G$14-Model!$F$14)</f>
        <v>0.41718265174253838</v>
      </c>
      <c r="C1104" s="32">
        <f ca="1">Model!$F$15+RAND()*(Model!$G$15-Model!$F$15)</f>
        <v>4.1464204039682068E-2</v>
      </c>
      <c r="D1104" s="33">
        <f ca="1">Model!$F$16+RAND()*(Model!$G$16-Model!$F$16)</f>
        <v>51.648092264589522</v>
      </c>
      <c r="E1104" s="33">
        <f>Model!$D$17</f>
        <v>800</v>
      </c>
      <c r="G1104" s="36">
        <f t="shared" ca="1" si="19"/>
        <v>2016.4818375347925</v>
      </c>
    </row>
    <row r="1105" spans="1:7" x14ac:dyDescent="0.2">
      <c r="A1105" s="6">
        <f ca="1">Model!$F$13+RAND()*(Model!$G$13-Model!$F$13)</f>
        <v>1688.5456259382941</v>
      </c>
      <c r="B1105" s="31">
        <f ca="1">Model!$F$14+RAND()*(Model!$G$14-Model!$F$14)</f>
        <v>0.44268252489879489</v>
      </c>
      <c r="C1105" s="32">
        <f ca="1">Model!$F$15+RAND()*(Model!$G$15-Model!$F$15)</f>
        <v>4.5000660825625913E-2</v>
      </c>
      <c r="D1105" s="33">
        <f ca="1">Model!$F$16+RAND()*(Model!$G$16-Model!$F$16)</f>
        <v>51.178083119276771</v>
      </c>
      <c r="E1105" s="33">
        <f>Model!$D$17</f>
        <v>800</v>
      </c>
      <c r="G1105" s="36">
        <f t="shared" ca="1" si="19"/>
        <v>2341.3112429325411</v>
      </c>
    </row>
    <row r="1106" spans="1:7" x14ac:dyDescent="0.2">
      <c r="A1106" s="6">
        <f ca="1">Model!$F$13+RAND()*(Model!$G$13-Model!$F$13)</f>
        <v>1666.5144072571582</v>
      </c>
      <c r="B1106" s="31">
        <f ca="1">Model!$F$14+RAND()*(Model!$G$14-Model!$F$14)</f>
        <v>0.68657496908492388</v>
      </c>
      <c r="C1106" s="32">
        <f ca="1">Model!$F$15+RAND()*(Model!$G$15-Model!$F$15)</f>
        <v>2.9935020473032405E-2</v>
      </c>
      <c r="D1106" s="33">
        <f ca="1">Model!$F$16+RAND()*(Model!$G$16-Model!$F$16)</f>
        <v>49.055899828282321</v>
      </c>
      <c r="E1106" s="33">
        <f>Model!$D$17</f>
        <v>800</v>
      </c>
      <c r="G1106" s="36">
        <f t="shared" ca="1" si="19"/>
        <v>503.07160717191186</v>
      </c>
    </row>
    <row r="1107" spans="1:7" x14ac:dyDescent="0.2">
      <c r="A1107" s="6">
        <f ca="1">Model!$F$13+RAND()*(Model!$G$13-Model!$F$13)</f>
        <v>1325.5938590507983</v>
      </c>
      <c r="B1107" s="31">
        <f ca="1">Model!$F$14+RAND()*(Model!$G$14-Model!$F$14)</f>
        <v>0.6623973985499676</v>
      </c>
      <c r="C1107" s="32">
        <f ca="1">Model!$F$15+RAND()*(Model!$G$15-Model!$F$15)</f>
        <v>1.4317379094962761E-2</v>
      </c>
      <c r="D1107" s="33">
        <f ca="1">Model!$F$16+RAND()*(Model!$G$16-Model!$F$16)</f>
        <v>49.802181446538846</v>
      </c>
      <c r="E1107" s="33">
        <f>Model!$D$17</f>
        <v>800</v>
      </c>
      <c r="G1107" s="36">
        <f t="shared" ca="1" si="19"/>
        <v>-732.87283769213172</v>
      </c>
    </row>
    <row r="1108" spans="1:7" x14ac:dyDescent="0.2">
      <c r="A1108" s="6">
        <f ca="1">Model!$F$13+RAND()*(Model!$G$13-Model!$F$13)</f>
        <v>1405.6341259273181</v>
      </c>
      <c r="B1108" s="31">
        <f ca="1">Model!$F$14+RAND()*(Model!$G$14-Model!$F$14)</f>
        <v>0.45379515375279794</v>
      </c>
      <c r="C1108" s="32">
        <f ca="1">Model!$F$15+RAND()*(Model!$G$15-Model!$F$15)</f>
        <v>2.4737998350939219E-2</v>
      </c>
      <c r="D1108" s="33">
        <f ca="1">Model!$F$16+RAND()*(Model!$G$16-Model!$F$16)</f>
        <v>49.837121496127551</v>
      </c>
      <c r="E1108" s="33">
        <f>Model!$D$17</f>
        <v>800</v>
      </c>
      <c r="G1108" s="36">
        <f t="shared" ca="1" si="19"/>
        <v>295.09507522415493</v>
      </c>
    </row>
    <row r="1109" spans="1:7" x14ac:dyDescent="0.2">
      <c r="A1109" s="6">
        <f ca="1">Model!$F$13+RAND()*(Model!$G$13-Model!$F$13)</f>
        <v>1519.2108352857995</v>
      </c>
      <c r="B1109" s="31">
        <f ca="1">Model!$F$14+RAND()*(Model!$G$14-Model!$F$14)</f>
        <v>0.74979425891879781</v>
      </c>
      <c r="C1109" s="32">
        <f ca="1">Model!$F$15+RAND()*(Model!$G$15-Model!$F$15)</f>
        <v>4.8885604517980373E-2</v>
      </c>
      <c r="D1109" s="33">
        <f ca="1">Model!$F$16+RAND()*(Model!$G$16-Model!$F$16)</f>
        <v>50.773835888560583</v>
      </c>
      <c r="E1109" s="33">
        <f>Model!$D$17</f>
        <v>800</v>
      </c>
      <c r="G1109" s="36">
        <f t="shared" ca="1" si="19"/>
        <v>1831.7523291398497</v>
      </c>
    </row>
    <row r="1110" spans="1:7" x14ac:dyDescent="0.2">
      <c r="A1110" s="6">
        <f ca="1">Model!$F$13+RAND()*(Model!$G$13-Model!$F$13)</f>
        <v>1506.8207359801152</v>
      </c>
      <c r="B1110" s="31">
        <f ca="1">Model!$F$14+RAND()*(Model!$G$14-Model!$F$14)</f>
        <v>0.56689493594224505</v>
      </c>
      <c r="C1110" s="32">
        <f ca="1">Model!$F$15+RAND()*(Model!$G$15-Model!$F$15)</f>
        <v>3.036077601146818E-2</v>
      </c>
      <c r="D1110" s="33">
        <f ca="1">Model!$F$16+RAND()*(Model!$G$16-Model!$F$16)</f>
        <v>48.403197119615875</v>
      </c>
      <c r="E1110" s="33">
        <f>Model!$D$17</f>
        <v>800</v>
      </c>
      <c r="G1110" s="36">
        <f t="shared" ca="1" si="19"/>
        <v>560.15236577666747</v>
      </c>
    </row>
    <row r="1111" spans="1:7" x14ac:dyDescent="0.2">
      <c r="A1111" s="6">
        <f ca="1">Model!$F$13+RAND()*(Model!$G$13-Model!$F$13)</f>
        <v>1217.8289370668758</v>
      </c>
      <c r="B1111" s="31">
        <f ca="1">Model!$F$14+RAND()*(Model!$G$14-Model!$F$14)</f>
        <v>0.54967342164713195</v>
      </c>
      <c r="C1111" s="32">
        <f ca="1">Model!$F$15+RAND()*(Model!$G$15-Model!$F$15)</f>
        <v>1.713276404168132E-2</v>
      </c>
      <c r="D1111" s="33">
        <f ca="1">Model!$F$16+RAND()*(Model!$G$16-Model!$F$16)</f>
        <v>49.838017199527144</v>
      </c>
      <c r="E1111" s="33">
        <f>Model!$D$17</f>
        <v>800</v>
      </c>
      <c r="G1111" s="36">
        <f t="shared" ca="1" si="19"/>
        <v>-429.54914254239111</v>
      </c>
    </row>
    <row r="1112" spans="1:7" x14ac:dyDescent="0.2">
      <c r="A1112" s="6">
        <f ca="1">Model!$F$13+RAND()*(Model!$G$13-Model!$F$13)</f>
        <v>1342.3211343714077</v>
      </c>
      <c r="B1112" s="31">
        <f ca="1">Model!$F$14+RAND()*(Model!$G$14-Model!$F$14)</f>
        <v>0.55820682986725534</v>
      </c>
      <c r="C1112" s="32">
        <f ca="1">Model!$F$15+RAND()*(Model!$G$15-Model!$F$15)</f>
        <v>3.9683843582758616E-2</v>
      </c>
      <c r="D1112" s="33">
        <f ca="1">Model!$F$16+RAND()*(Model!$G$16-Model!$F$16)</f>
        <v>52.64671054512413</v>
      </c>
      <c r="E1112" s="33">
        <f>Model!$D$17</f>
        <v>800</v>
      </c>
      <c r="G1112" s="36">
        <f t="shared" ca="1" si="19"/>
        <v>1255.1164715538807</v>
      </c>
    </row>
    <row r="1113" spans="1:7" x14ac:dyDescent="0.2">
      <c r="A1113" s="6">
        <f ca="1">Model!$F$13+RAND()*(Model!$G$13-Model!$F$13)</f>
        <v>1447.2108372270561</v>
      </c>
      <c r="B1113" s="31">
        <f ca="1">Model!$F$14+RAND()*(Model!$G$14-Model!$F$14)</f>
        <v>0.5999592038703585</v>
      </c>
      <c r="C1113" s="32">
        <f ca="1">Model!$F$15+RAND()*(Model!$G$15-Model!$F$15)</f>
        <v>1.317509514315804E-2</v>
      </c>
      <c r="D1113" s="33">
        <f ca="1">Model!$F$16+RAND()*(Model!$G$16-Model!$F$16)</f>
        <v>50.225242977989616</v>
      </c>
      <c r="E1113" s="33">
        <f>Model!$D$17</f>
        <v>800</v>
      </c>
      <c r="G1113" s="36">
        <f t="shared" ca="1" si="19"/>
        <v>-710.61569859969416</v>
      </c>
    </row>
    <row r="1114" spans="1:7" x14ac:dyDescent="0.2">
      <c r="A1114" s="6">
        <f ca="1">Model!$F$13+RAND()*(Model!$G$13-Model!$F$13)</f>
        <v>1352.9323938992104</v>
      </c>
      <c r="B1114" s="31">
        <f ca="1">Model!$F$14+RAND()*(Model!$G$14-Model!$F$14)</f>
        <v>0.51093604869027787</v>
      </c>
      <c r="C1114" s="32">
        <f ca="1">Model!$F$15+RAND()*(Model!$G$15-Model!$F$15)</f>
        <v>4.2075091459124934E-2</v>
      </c>
      <c r="D1114" s="33">
        <f ca="1">Model!$F$16+RAND()*(Model!$G$16-Model!$F$16)</f>
        <v>52.936384549183416</v>
      </c>
      <c r="E1114" s="33">
        <f>Model!$D$17</f>
        <v>800</v>
      </c>
      <c r="G1114" s="36">
        <f t="shared" ca="1" si="19"/>
        <v>1522.1287478143545</v>
      </c>
    </row>
    <row r="1115" spans="1:7" x14ac:dyDescent="0.2">
      <c r="A1115" s="6">
        <f ca="1">Model!$F$13+RAND()*(Model!$G$13-Model!$F$13)</f>
        <v>1578.8936045753981</v>
      </c>
      <c r="B1115" s="31">
        <f ca="1">Model!$F$14+RAND()*(Model!$G$14-Model!$F$14)</f>
        <v>0.65828393880147495</v>
      </c>
      <c r="C1115" s="32">
        <f ca="1">Model!$F$15+RAND()*(Model!$G$15-Model!$F$15)</f>
        <v>4.879209000109503E-2</v>
      </c>
      <c r="D1115" s="33">
        <f ca="1">Model!$F$16+RAND()*(Model!$G$16-Model!$F$16)</f>
        <v>48.241919677229959</v>
      </c>
      <c r="E1115" s="33">
        <f>Model!$D$17</f>
        <v>800</v>
      </c>
      <c r="G1115" s="36">
        <f t="shared" ca="1" si="19"/>
        <v>1877.0774958446491</v>
      </c>
    </row>
    <row r="1116" spans="1:7" x14ac:dyDescent="0.2">
      <c r="A1116" s="6">
        <f ca="1">Model!$F$13+RAND()*(Model!$G$13-Model!$F$13)</f>
        <v>1530.4655639141599</v>
      </c>
      <c r="B1116" s="31">
        <f ca="1">Model!$F$14+RAND()*(Model!$G$14-Model!$F$14)</f>
        <v>0.32923270812037597</v>
      </c>
      <c r="C1116" s="32">
        <f ca="1">Model!$F$15+RAND()*(Model!$G$15-Model!$F$15)</f>
        <v>2.7319417878340628E-2</v>
      </c>
      <c r="D1116" s="33">
        <f ca="1">Model!$F$16+RAND()*(Model!$G$16-Model!$F$16)</f>
        <v>47.564203097283489</v>
      </c>
      <c r="E1116" s="33">
        <f>Model!$D$17</f>
        <v>800</v>
      </c>
      <c r="G1116" s="36">
        <f t="shared" ca="1" si="19"/>
        <v>684.84794463216735</v>
      </c>
    </row>
    <row r="1117" spans="1:7" x14ac:dyDescent="0.2">
      <c r="A1117" s="6">
        <f ca="1">Model!$F$13+RAND()*(Model!$G$13-Model!$F$13)</f>
        <v>1243.2804176005202</v>
      </c>
      <c r="B1117" s="31">
        <f ca="1">Model!$F$14+RAND()*(Model!$G$14-Model!$F$14)</f>
        <v>0.79345841442819287</v>
      </c>
      <c r="C1117" s="32">
        <f ca="1">Model!$F$15+RAND()*(Model!$G$15-Model!$F$15)</f>
        <v>1.8213066950968117E-2</v>
      </c>
      <c r="D1117" s="33">
        <f ca="1">Model!$F$16+RAND()*(Model!$G$16-Model!$F$16)</f>
        <v>48.056308704576388</v>
      </c>
      <c r="E1117" s="33">
        <f>Model!$D$17</f>
        <v>800</v>
      </c>
      <c r="G1117" s="36">
        <f t="shared" ca="1" si="19"/>
        <v>-698.30668211683815</v>
      </c>
    </row>
    <row r="1118" spans="1:7" x14ac:dyDescent="0.2">
      <c r="A1118" s="6">
        <f ca="1">Model!$F$13+RAND()*(Model!$G$13-Model!$F$13)</f>
        <v>1471.2543164798371</v>
      </c>
      <c r="B1118" s="31">
        <f ca="1">Model!$F$14+RAND()*(Model!$G$14-Model!$F$14)</f>
        <v>0.2968931945674102</v>
      </c>
      <c r="C1118" s="32">
        <f ca="1">Model!$F$15+RAND()*(Model!$G$15-Model!$F$15)</f>
        <v>4.6649195549827674E-2</v>
      </c>
      <c r="D1118" s="33">
        <f ca="1">Model!$F$16+RAND()*(Model!$G$16-Model!$F$16)</f>
        <v>47.563435199508476</v>
      </c>
      <c r="E1118" s="33">
        <f>Model!$D$17</f>
        <v>800</v>
      </c>
      <c r="G1118" s="36">
        <f t="shared" ca="1" si="19"/>
        <v>2027.6077831102548</v>
      </c>
    </row>
    <row r="1119" spans="1:7" x14ac:dyDescent="0.2">
      <c r="A1119" s="6">
        <f ca="1">Model!$F$13+RAND()*(Model!$G$13-Model!$F$13)</f>
        <v>1328.2655524157187</v>
      </c>
      <c r="B1119" s="31">
        <f ca="1">Model!$F$14+RAND()*(Model!$G$14-Model!$F$14)</f>
        <v>0.58660801551273378</v>
      </c>
      <c r="C1119" s="32">
        <f ca="1">Model!$F$15+RAND()*(Model!$G$15-Model!$F$15)</f>
        <v>3.6413134518899437E-2</v>
      </c>
      <c r="D1119" s="33">
        <f ca="1">Model!$F$16+RAND()*(Model!$G$16-Model!$F$16)</f>
        <v>47.363625233672352</v>
      </c>
      <c r="E1119" s="33">
        <f>Model!$D$17</f>
        <v>800</v>
      </c>
      <c r="G1119" s="36">
        <f t="shared" ca="1" si="19"/>
        <v>711.63266694840536</v>
      </c>
    </row>
    <row r="1120" spans="1:7" x14ac:dyDescent="0.2">
      <c r="A1120" s="6">
        <f ca="1">Model!$F$13+RAND()*(Model!$G$13-Model!$F$13)</f>
        <v>1444.0959243480563</v>
      </c>
      <c r="B1120" s="31">
        <f ca="1">Model!$F$14+RAND()*(Model!$G$14-Model!$F$14)</f>
        <v>0.57285169532355518</v>
      </c>
      <c r="C1120" s="32">
        <f ca="1">Model!$F$15+RAND()*(Model!$G$15-Model!$F$15)</f>
        <v>1.7520924651205552E-2</v>
      </c>
      <c r="D1120" s="33">
        <f ca="1">Model!$F$16+RAND()*(Model!$G$16-Model!$F$16)</f>
        <v>49.901183147141531</v>
      </c>
      <c r="E1120" s="33">
        <f>Model!$D$17</f>
        <v>800</v>
      </c>
      <c r="G1120" s="36">
        <f t="shared" ca="1" si="19"/>
        <v>-364.65825821403041</v>
      </c>
    </row>
    <row r="1121" spans="1:7" x14ac:dyDescent="0.2">
      <c r="A1121" s="6">
        <f ca="1">Model!$F$13+RAND()*(Model!$G$13-Model!$F$13)</f>
        <v>1372.321047826872</v>
      </c>
      <c r="B1121" s="31">
        <f ca="1">Model!$F$14+RAND()*(Model!$G$14-Model!$F$14)</f>
        <v>0.43504585323171785</v>
      </c>
      <c r="C1121" s="32">
        <f ca="1">Model!$F$15+RAND()*(Model!$G$15-Model!$F$15)</f>
        <v>1.3444912769916035E-2</v>
      </c>
      <c r="D1121" s="33">
        <f ca="1">Model!$F$16+RAND()*(Model!$G$16-Model!$F$16)</f>
        <v>47.019471401316835</v>
      </c>
      <c r="E1121" s="33">
        <f>Model!$D$17</f>
        <v>800</v>
      </c>
      <c r="G1121" s="36">
        <f t="shared" ca="1" si="19"/>
        <v>-529.47869078269787</v>
      </c>
    </row>
    <row r="1122" spans="1:7" x14ac:dyDescent="0.2">
      <c r="A1122" s="6">
        <f ca="1">Model!$F$13+RAND()*(Model!$G$13-Model!$F$13)</f>
        <v>1486.7227050951606</v>
      </c>
      <c r="B1122" s="31">
        <f ca="1">Model!$F$14+RAND()*(Model!$G$14-Model!$F$14)</f>
        <v>0.32413397033036956</v>
      </c>
      <c r="C1122" s="32">
        <f ca="1">Model!$F$15+RAND()*(Model!$G$15-Model!$F$15)</f>
        <v>4.1098099864178651E-2</v>
      </c>
      <c r="D1122" s="33">
        <f ca="1">Model!$F$16+RAND()*(Model!$G$16-Model!$F$16)</f>
        <v>47.96716812409187</v>
      </c>
      <c r="E1122" s="33">
        <f>Model!$D$17</f>
        <v>800</v>
      </c>
      <c r="G1122" s="36">
        <f t="shared" ca="1" si="19"/>
        <v>1648.9675444754416</v>
      </c>
    </row>
    <row r="1123" spans="1:7" x14ac:dyDescent="0.2">
      <c r="A1123" s="6">
        <f ca="1">Model!$F$13+RAND()*(Model!$G$13-Model!$F$13)</f>
        <v>1269.448491863805</v>
      </c>
      <c r="B1123" s="31">
        <f ca="1">Model!$F$14+RAND()*(Model!$G$14-Model!$F$14)</f>
        <v>0.73080783211562927</v>
      </c>
      <c r="C1123" s="32">
        <f ca="1">Model!$F$15+RAND()*(Model!$G$15-Model!$F$15)</f>
        <v>1.1730898224472229E-2</v>
      </c>
      <c r="D1123" s="33">
        <f ca="1">Model!$F$16+RAND()*(Model!$G$16-Model!$F$16)</f>
        <v>48.57086606002094</v>
      </c>
      <c r="E1123" s="33">
        <f>Model!$D$17</f>
        <v>800</v>
      </c>
      <c r="G1123" s="36">
        <f t="shared" ca="1" si="19"/>
        <v>-1004.4166828054317</v>
      </c>
    </row>
    <row r="1124" spans="1:7" x14ac:dyDescent="0.2">
      <c r="A1124" s="6">
        <f ca="1">Model!$F$13+RAND()*(Model!$G$13-Model!$F$13)</f>
        <v>1250.8100384307486</v>
      </c>
      <c r="B1124" s="31">
        <f ca="1">Model!$F$14+RAND()*(Model!$G$14-Model!$F$14)</f>
        <v>0.33170668396653791</v>
      </c>
      <c r="C1124" s="32">
        <f ca="1">Model!$F$15+RAND()*(Model!$G$15-Model!$F$15)</f>
        <v>1.8997879355591676E-2</v>
      </c>
      <c r="D1124" s="33">
        <f ca="1">Model!$F$16+RAND()*(Model!$G$16-Model!$F$16)</f>
        <v>47.825021322175793</v>
      </c>
      <c r="E1124" s="33">
        <f>Model!$D$17</f>
        <v>800</v>
      </c>
      <c r="G1124" s="36">
        <f t="shared" ca="1" si="19"/>
        <v>-78.448588703065752</v>
      </c>
    </row>
    <row r="1125" spans="1:7" x14ac:dyDescent="0.2">
      <c r="A1125" s="6">
        <f ca="1">Model!$F$13+RAND()*(Model!$G$13-Model!$F$13)</f>
        <v>1230.8214936949998</v>
      </c>
      <c r="B1125" s="31">
        <f ca="1">Model!$F$14+RAND()*(Model!$G$14-Model!$F$14)</f>
        <v>0.49533337410334483</v>
      </c>
      <c r="C1125" s="32">
        <f ca="1">Model!$F$15+RAND()*(Model!$G$15-Model!$F$15)</f>
        <v>2.3183161439172303E-2</v>
      </c>
      <c r="D1125" s="33">
        <f ca="1">Model!$F$16+RAND()*(Model!$G$16-Model!$F$16)</f>
        <v>51.891986497337435</v>
      </c>
      <c r="E1125" s="33">
        <f>Model!$D$17</f>
        <v>800</v>
      </c>
      <c r="G1125" s="36">
        <f t="shared" ca="1" si="19"/>
        <v>71.03627965240662</v>
      </c>
    </row>
    <row r="1126" spans="1:7" x14ac:dyDescent="0.2">
      <c r="A1126" s="6">
        <f ca="1">Model!$F$13+RAND()*(Model!$G$13-Model!$F$13)</f>
        <v>1793.9232688868965</v>
      </c>
      <c r="B1126" s="31">
        <f ca="1">Model!$F$14+RAND()*(Model!$G$14-Model!$F$14)</f>
        <v>0.4644556301652904</v>
      </c>
      <c r="C1126" s="32">
        <f ca="1">Model!$F$15+RAND()*(Model!$G$15-Model!$F$15)</f>
        <v>3.3590960435838764E-2</v>
      </c>
      <c r="D1126" s="33">
        <f ca="1">Model!$F$16+RAND()*(Model!$G$16-Model!$F$16)</f>
        <v>52.454436224614625</v>
      </c>
      <c r="E1126" s="33">
        <f>Model!$D$17</f>
        <v>800</v>
      </c>
      <c r="G1126" s="36">
        <f t="shared" ca="1" si="19"/>
        <v>1527.6858739296524</v>
      </c>
    </row>
    <row r="1127" spans="1:7" x14ac:dyDescent="0.2">
      <c r="A1127" s="6">
        <f ca="1">Model!$F$13+RAND()*(Model!$G$13-Model!$F$13)</f>
        <v>1512.1015599504035</v>
      </c>
      <c r="B1127" s="31">
        <f ca="1">Model!$F$14+RAND()*(Model!$G$14-Model!$F$14)</f>
        <v>0.27349501495349221</v>
      </c>
      <c r="C1127" s="32">
        <f ca="1">Model!$F$15+RAND()*(Model!$G$15-Model!$F$15)</f>
        <v>3.1485265082173579E-2</v>
      </c>
      <c r="D1127" s="33">
        <f ca="1">Model!$F$16+RAND()*(Model!$G$16-Model!$F$16)</f>
        <v>51.72296277561837</v>
      </c>
      <c r="E1127" s="33">
        <f>Model!$D$17</f>
        <v>800</v>
      </c>
      <c r="G1127" s="36">
        <f t="shared" ca="1" si="19"/>
        <v>1248.9220778307622</v>
      </c>
    </row>
    <row r="1128" spans="1:7" x14ac:dyDescent="0.2">
      <c r="A1128" s="6">
        <f ca="1">Model!$F$13+RAND()*(Model!$G$13-Model!$F$13)</f>
        <v>1588.9874951121567</v>
      </c>
      <c r="B1128" s="31">
        <f ca="1">Model!$F$14+RAND()*(Model!$G$14-Model!$F$14)</f>
        <v>0.73044381648930434</v>
      </c>
      <c r="C1128" s="32">
        <f ca="1">Model!$F$15+RAND()*(Model!$G$15-Model!$F$15)</f>
        <v>2.5671936951238185E-2</v>
      </c>
      <c r="D1128" s="33">
        <f ca="1">Model!$F$16+RAND()*(Model!$G$16-Model!$F$16)</f>
        <v>51.801115582746462</v>
      </c>
      <c r="E1128" s="33">
        <f>Model!$D$17</f>
        <v>800</v>
      </c>
      <c r="G1128" s="36">
        <f t="shared" ca="1" si="19"/>
        <v>152.42505276413135</v>
      </c>
    </row>
    <row r="1129" spans="1:7" x14ac:dyDescent="0.2">
      <c r="A1129" s="6">
        <f ca="1">Model!$F$13+RAND()*(Model!$G$13-Model!$F$13)</f>
        <v>1768.1398226210365</v>
      </c>
      <c r="B1129" s="31">
        <f ca="1">Model!$F$14+RAND()*(Model!$G$14-Model!$F$14)</f>
        <v>0.71334322554160701</v>
      </c>
      <c r="C1129" s="32">
        <f ca="1">Model!$F$15+RAND()*(Model!$G$15-Model!$F$15)</f>
        <v>2.8009954013031899E-2</v>
      </c>
      <c r="D1129" s="33">
        <f ca="1">Model!$F$16+RAND()*(Model!$G$16-Model!$F$16)</f>
        <v>49.670160756101453</v>
      </c>
      <c r="E1129" s="33">
        <f>Model!$D$17</f>
        <v>800</v>
      </c>
      <c r="G1129" s="36">
        <f t="shared" ref="G1129:G1192" ca="1" si="20">A1129*C1129*D1129-(E1129+A1129*B1129)</f>
        <v>398.64973327328471</v>
      </c>
    </row>
    <row r="1130" spans="1:7" x14ac:dyDescent="0.2">
      <c r="A1130" s="6">
        <f ca="1">Model!$F$13+RAND()*(Model!$G$13-Model!$F$13)</f>
        <v>1306.9253677357729</v>
      </c>
      <c r="B1130" s="31">
        <f ca="1">Model!$F$14+RAND()*(Model!$G$14-Model!$F$14)</f>
        <v>0.40487053818467766</v>
      </c>
      <c r="C1130" s="32">
        <f ca="1">Model!$F$15+RAND()*(Model!$G$15-Model!$F$15)</f>
        <v>2.7460634245737345E-2</v>
      </c>
      <c r="D1130" s="33">
        <f ca="1">Model!$F$16+RAND()*(Model!$G$16-Model!$F$16)</f>
        <v>52.094120420575926</v>
      </c>
      <c r="E1130" s="33">
        <f>Model!$D$17</f>
        <v>800</v>
      </c>
      <c r="G1130" s="36">
        <f t="shared" ca="1" si="20"/>
        <v>540.47028523865538</v>
      </c>
    </row>
    <row r="1131" spans="1:7" x14ac:dyDescent="0.2">
      <c r="A1131" s="6">
        <f ca="1">Model!$F$13+RAND()*(Model!$G$13-Model!$F$13)</f>
        <v>1336.7972546828339</v>
      </c>
      <c r="B1131" s="31">
        <f ca="1">Model!$F$14+RAND()*(Model!$G$14-Model!$F$14)</f>
        <v>0.66891584484748967</v>
      </c>
      <c r="C1131" s="32">
        <f ca="1">Model!$F$15+RAND()*(Model!$G$15-Model!$F$15)</f>
        <v>1.0533075522959382E-2</v>
      </c>
      <c r="D1131" s="33">
        <f ca="1">Model!$F$16+RAND()*(Model!$G$16-Model!$F$16)</f>
        <v>47.890648192700198</v>
      </c>
      <c r="E1131" s="33">
        <f>Model!$D$17</f>
        <v>800</v>
      </c>
      <c r="G1131" s="36">
        <f t="shared" ca="1" si="20"/>
        <v>-1019.8764533432621</v>
      </c>
    </row>
    <row r="1132" spans="1:7" x14ac:dyDescent="0.2">
      <c r="A1132" s="6">
        <f ca="1">Model!$F$13+RAND()*(Model!$G$13-Model!$F$13)</f>
        <v>1391.3576436177366</v>
      </c>
      <c r="B1132" s="31">
        <f ca="1">Model!$F$14+RAND()*(Model!$G$14-Model!$F$14)</f>
        <v>0.30994549319362702</v>
      </c>
      <c r="C1132" s="32">
        <f ca="1">Model!$F$15+RAND()*(Model!$G$15-Model!$F$15)</f>
        <v>4.0466386392735865E-2</v>
      </c>
      <c r="D1132" s="33">
        <f ca="1">Model!$F$16+RAND()*(Model!$G$16-Model!$F$16)</f>
        <v>51.971493091354816</v>
      </c>
      <c r="E1132" s="33">
        <f>Model!$D$17</f>
        <v>800</v>
      </c>
      <c r="G1132" s="36">
        <f t="shared" ca="1" si="20"/>
        <v>1694.9171711950819</v>
      </c>
    </row>
    <row r="1133" spans="1:7" x14ac:dyDescent="0.2">
      <c r="A1133" s="6">
        <f ca="1">Model!$F$13+RAND()*(Model!$G$13-Model!$F$13)</f>
        <v>1385.0552759544805</v>
      </c>
      <c r="B1133" s="31">
        <f ca="1">Model!$F$14+RAND()*(Model!$G$14-Model!$F$14)</f>
        <v>0.25454811353624429</v>
      </c>
      <c r="C1133" s="32">
        <f ca="1">Model!$F$15+RAND()*(Model!$G$15-Model!$F$15)</f>
        <v>2.9716182631487238E-2</v>
      </c>
      <c r="D1133" s="33">
        <f ca="1">Model!$F$16+RAND()*(Model!$G$16-Model!$F$16)</f>
        <v>52.156167125500133</v>
      </c>
      <c r="E1133" s="33">
        <f>Model!$D$17</f>
        <v>800</v>
      </c>
      <c r="G1133" s="36">
        <f t="shared" ca="1" si="20"/>
        <v>994.10929348834975</v>
      </c>
    </row>
    <row r="1134" spans="1:7" x14ac:dyDescent="0.2">
      <c r="A1134" s="6">
        <f ca="1">Model!$F$13+RAND()*(Model!$G$13-Model!$F$13)</f>
        <v>1555.5272004404108</v>
      </c>
      <c r="B1134" s="31">
        <f ca="1">Model!$F$14+RAND()*(Model!$G$14-Model!$F$14)</f>
        <v>0.32666021223718189</v>
      </c>
      <c r="C1134" s="32">
        <f ca="1">Model!$F$15+RAND()*(Model!$G$15-Model!$F$15)</f>
        <v>4.6114935024041168E-2</v>
      </c>
      <c r="D1134" s="33">
        <f ca="1">Model!$F$16+RAND()*(Model!$G$16-Model!$F$16)</f>
        <v>51.810257464144684</v>
      </c>
      <c r="E1134" s="33">
        <f>Model!$D$17</f>
        <v>800</v>
      </c>
      <c r="G1134" s="36">
        <f t="shared" ca="1" si="20"/>
        <v>2408.3782068253909</v>
      </c>
    </row>
    <row r="1135" spans="1:7" x14ac:dyDescent="0.2">
      <c r="A1135" s="6">
        <f ca="1">Model!$F$13+RAND()*(Model!$G$13-Model!$F$13)</f>
        <v>1498.2570854688602</v>
      </c>
      <c r="B1135" s="31">
        <f ca="1">Model!$F$14+RAND()*(Model!$G$14-Model!$F$14)</f>
        <v>0.35334999423007785</v>
      </c>
      <c r="C1135" s="32">
        <f ca="1">Model!$F$15+RAND()*(Model!$G$15-Model!$F$15)</f>
        <v>2.9799949742647713E-2</v>
      </c>
      <c r="D1135" s="33">
        <f ca="1">Model!$F$16+RAND()*(Model!$G$16-Model!$F$16)</f>
        <v>51.104859900899847</v>
      </c>
      <c r="E1135" s="33">
        <f>Model!$D$17</f>
        <v>800</v>
      </c>
      <c r="G1135" s="36">
        <f t="shared" ca="1" si="20"/>
        <v>952.3199291412916</v>
      </c>
    </row>
    <row r="1136" spans="1:7" x14ac:dyDescent="0.2">
      <c r="A1136" s="6">
        <f ca="1">Model!$F$13+RAND()*(Model!$G$13-Model!$F$13)</f>
        <v>1742.7398329841126</v>
      </c>
      <c r="B1136" s="31">
        <f ca="1">Model!$F$14+RAND()*(Model!$G$14-Model!$F$14)</f>
        <v>0.47407572593587316</v>
      </c>
      <c r="C1136" s="32">
        <f ca="1">Model!$F$15+RAND()*(Model!$G$15-Model!$F$15)</f>
        <v>2.256844231570989E-2</v>
      </c>
      <c r="D1136" s="33">
        <f ca="1">Model!$F$16+RAND()*(Model!$G$16-Model!$F$16)</f>
        <v>50.969818805466574</v>
      </c>
      <c r="E1136" s="33">
        <f>Model!$D$17</f>
        <v>800</v>
      </c>
      <c r="G1136" s="36">
        <f t="shared" ca="1" si="20"/>
        <v>378.49938730220492</v>
      </c>
    </row>
    <row r="1137" spans="1:7" x14ac:dyDescent="0.2">
      <c r="A1137" s="6">
        <f ca="1">Model!$F$13+RAND()*(Model!$G$13-Model!$F$13)</f>
        <v>1320.8946150263578</v>
      </c>
      <c r="B1137" s="31">
        <f ca="1">Model!$F$14+RAND()*(Model!$G$14-Model!$F$14)</f>
        <v>0.29915285341281334</v>
      </c>
      <c r="C1137" s="32">
        <f ca="1">Model!$F$15+RAND()*(Model!$G$15-Model!$F$15)</f>
        <v>4.9899109782745539E-2</v>
      </c>
      <c r="D1137" s="33">
        <f ca="1">Model!$F$16+RAND()*(Model!$G$16-Model!$F$16)</f>
        <v>50.18872994473702</v>
      </c>
      <c r="E1137" s="33">
        <f>Model!$D$17</f>
        <v>800</v>
      </c>
      <c r="G1137" s="36">
        <f t="shared" ca="1" si="20"/>
        <v>2112.8633444128577</v>
      </c>
    </row>
    <row r="1138" spans="1:7" x14ac:dyDescent="0.2">
      <c r="A1138" s="6">
        <f ca="1">Model!$F$13+RAND()*(Model!$G$13-Model!$F$13)</f>
        <v>1733.6641740702739</v>
      </c>
      <c r="B1138" s="31">
        <f ca="1">Model!$F$14+RAND()*(Model!$G$14-Model!$F$14)</f>
        <v>0.23729077340533683</v>
      </c>
      <c r="C1138" s="32">
        <f ca="1">Model!$F$15+RAND()*(Model!$G$15-Model!$F$15)</f>
        <v>3.8098411157608737E-2</v>
      </c>
      <c r="D1138" s="33">
        <f ca="1">Model!$F$16+RAND()*(Model!$G$16-Model!$F$16)</f>
        <v>49.965776150762068</v>
      </c>
      <c r="E1138" s="33">
        <f>Model!$D$17</f>
        <v>800</v>
      </c>
      <c r="G1138" s="36">
        <f t="shared" ca="1" si="20"/>
        <v>2088.84953283087</v>
      </c>
    </row>
    <row r="1139" spans="1:7" x14ac:dyDescent="0.2">
      <c r="A1139" s="6">
        <f ca="1">Model!$F$13+RAND()*(Model!$G$13-Model!$F$13)</f>
        <v>1625.4356169834382</v>
      </c>
      <c r="B1139" s="31">
        <f ca="1">Model!$F$14+RAND()*(Model!$G$14-Model!$F$14)</f>
        <v>0.53911208146289746</v>
      </c>
      <c r="C1139" s="32">
        <f ca="1">Model!$F$15+RAND()*(Model!$G$15-Model!$F$15)</f>
        <v>3.6573625206455296E-2</v>
      </c>
      <c r="D1139" s="33">
        <f ca="1">Model!$F$16+RAND()*(Model!$G$16-Model!$F$16)</f>
        <v>51.488310066436995</v>
      </c>
      <c r="E1139" s="33">
        <f>Model!$D$17</f>
        <v>800</v>
      </c>
      <c r="G1139" s="36">
        <f t="shared" ca="1" si="20"/>
        <v>1384.588839437642</v>
      </c>
    </row>
    <row r="1140" spans="1:7" x14ac:dyDescent="0.2">
      <c r="A1140" s="6">
        <f ca="1">Model!$F$13+RAND()*(Model!$G$13-Model!$F$13)</f>
        <v>1657.6280678751928</v>
      </c>
      <c r="B1140" s="31">
        <f ca="1">Model!$F$14+RAND()*(Model!$G$14-Model!$F$14)</f>
        <v>0.56938959018989266</v>
      </c>
      <c r="C1140" s="32">
        <f ca="1">Model!$F$15+RAND()*(Model!$G$15-Model!$F$15)</f>
        <v>4.7721339348536805E-2</v>
      </c>
      <c r="D1140" s="33">
        <f ca="1">Model!$F$16+RAND()*(Model!$G$16-Model!$F$16)</f>
        <v>50.550455158446177</v>
      </c>
      <c r="E1140" s="33">
        <f>Model!$D$17</f>
        <v>800</v>
      </c>
      <c r="G1140" s="36">
        <f t="shared" ca="1" si="20"/>
        <v>2254.9187430883708</v>
      </c>
    </row>
    <row r="1141" spans="1:7" x14ac:dyDescent="0.2">
      <c r="A1141" s="6">
        <f ca="1">Model!$F$13+RAND()*(Model!$G$13-Model!$F$13)</f>
        <v>1704.3687516465313</v>
      </c>
      <c r="B1141" s="31">
        <f ca="1">Model!$F$14+RAND()*(Model!$G$14-Model!$F$14)</f>
        <v>0.44163304153236643</v>
      </c>
      <c r="C1141" s="32">
        <f ca="1">Model!$F$15+RAND()*(Model!$G$15-Model!$F$15)</f>
        <v>2.9235918157046632E-2</v>
      </c>
      <c r="D1141" s="33">
        <f ca="1">Model!$F$16+RAND()*(Model!$G$16-Model!$F$16)</f>
        <v>49.271095526789004</v>
      </c>
      <c r="E1141" s="33">
        <f>Model!$D$17</f>
        <v>800</v>
      </c>
      <c r="G1141" s="36">
        <f t="shared" ca="1" si="20"/>
        <v>902.41328642232884</v>
      </c>
    </row>
    <row r="1142" spans="1:7" x14ac:dyDescent="0.2">
      <c r="A1142" s="6">
        <f ca="1">Model!$F$13+RAND()*(Model!$G$13-Model!$F$13)</f>
        <v>1740.5109675390468</v>
      </c>
      <c r="B1142" s="31">
        <f ca="1">Model!$F$14+RAND()*(Model!$G$14-Model!$F$14)</f>
        <v>0.64071577266912882</v>
      </c>
      <c r="C1142" s="32">
        <f ca="1">Model!$F$15+RAND()*(Model!$G$15-Model!$F$15)</f>
        <v>3.7923501667071847E-2</v>
      </c>
      <c r="D1142" s="33">
        <f ca="1">Model!$F$16+RAND()*(Model!$G$16-Model!$F$16)</f>
        <v>50.993736470583286</v>
      </c>
      <c r="E1142" s="33">
        <f>Model!$D$17</f>
        <v>800</v>
      </c>
      <c r="G1142" s="36">
        <f t="shared" ca="1" si="20"/>
        <v>1450.7335379068852</v>
      </c>
    </row>
    <row r="1143" spans="1:7" x14ac:dyDescent="0.2">
      <c r="A1143" s="6">
        <f ca="1">Model!$F$13+RAND()*(Model!$G$13-Model!$F$13)</f>
        <v>1586.7703572570094</v>
      </c>
      <c r="B1143" s="31">
        <f ca="1">Model!$F$14+RAND()*(Model!$G$14-Model!$F$14)</f>
        <v>0.30958477394681894</v>
      </c>
      <c r="C1143" s="32">
        <f ca="1">Model!$F$15+RAND()*(Model!$G$15-Model!$F$15)</f>
        <v>3.6378598189725705E-2</v>
      </c>
      <c r="D1143" s="33">
        <f ca="1">Model!$F$16+RAND()*(Model!$G$16-Model!$F$16)</f>
        <v>47.476080781068823</v>
      </c>
      <c r="E1143" s="33">
        <f>Model!$D$17</f>
        <v>800</v>
      </c>
      <c r="G1143" s="36">
        <f t="shared" ca="1" si="20"/>
        <v>1449.2921923244253</v>
      </c>
    </row>
    <row r="1144" spans="1:7" x14ac:dyDescent="0.2">
      <c r="A1144" s="6">
        <f ca="1">Model!$F$13+RAND()*(Model!$G$13-Model!$F$13)</f>
        <v>1548.9842467576946</v>
      </c>
      <c r="B1144" s="31">
        <f ca="1">Model!$F$14+RAND()*(Model!$G$14-Model!$F$14)</f>
        <v>0.67031675765236809</v>
      </c>
      <c r="C1144" s="32">
        <f ca="1">Model!$F$15+RAND()*(Model!$G$15-Model!$F$15)</f>
        <v>1.3058113240453957E-2</v>
      </c>
      <c r="D1144" s="33">
        <f ca="1">Model!$F$16+RAND()*(Model!$G$16-Model!$F$16)</f>
        <v>49.419798290413603</v>
      </c>
      <c r="E1144" s="33">
        <f>Model!$D$17</f>
        <v>800</v>
      </c>
      <c r="G1144" s="36">
        <f t="shared" ca="1" si="20"/>
        <v>-838.70514357804132</v>
      </c>
    </row>
    <row r="1145" spans="1:7" x14ac:dyDescent="0.2">
      <c r="A1145" s="6">
        <f ca="1">Model!$F$13+RAND()*(Model!$G$13-Model!$F$13)</f>
        <v>1755.7274979206486</v>
      </c>
      <c r="B1145" s="31">
        <f ca="1">Model!$F$14+RAND()*(Model!$G$14-Model!$F$14)</f>
        <v>0.79369462200494456</v>
      </c>
      <c r="C1145" s="32">
        <f ca="1">Model!$F$15+RAND()*(Model!$G$15-Model!$F$15)</f>
        <v>2.6129884054823999E-2</v>
      </c>
      <c r="D1145" s="33">
        <f ca="1">Model!$F$16+RAND()*(Model!$G$16-Model!$F$16)</f>
        <v>52.305445676456856</v>
      </c>
      <c r="E1145" s="33">
        <f>Model!$D$17</f>
        <v>800</v>
      </c>
      <c r="G1145" s="36">
        <f t="shared" ca="1" si="20"/>
        <v>206.10315457059187</v>
      </c>
    </row>
    <row r="1146" spans="1:7" x14ac:dyDescent="0.2">
      <c r="A1146" s="6">
        <f ca="1">Model!$F$13+RAND()*(Model!$G$13-Model!$F$13)</f>
        <v>1415.7257316979856</v>
      </c>
      <c r="B1146" s="31">
        <f ca="1">Model!$F$14+RAND()*(Model!$G$14-Model!$F$14)</f>
        <v>0.3902910058389053</v>
      </c>
      <c r="C1146" s="32">
        <f ca="1">Model!$F$15+RAND()*(Model!$G$15-Model!$F$15)</f>
        <v>3.1614959545147113E-2</v>
      </c>
      <c r="D1146" s="33">
        <f ca="1">Model!$F$16+RAND()*(Model!$G$16-Model!$F$16)</f>
        <v>48.915848312597049</v>
      </c>
      <c r="E1146" s="33">
        <f>Model!$D$17</f>
        <v>800</v>
      </c>
      <c r="G1146" s="36">
        <f t="shared" ca="1" si="20"/>
        <v>836.83598455425658</v>
      </c>
    </row>
    <row r="1147" spans="1:7" x14ac:dyDescent="0.2">
      <c r="A1147" s="6">
        <f ca="1">Model!$F$13+RAND()*(Model!$G$13-Model!$F$13)</f>
        <v>1350.2678795960724</v>
      </c>
      <c r="B1147" s="31">
        <f ca="1">Model!$F$14+RAND()*(Model!$G$14-Model!$F$14)</f>
        <v>0.61339703011115132</v>
      </c>
      <c r="C1147" s="32">
        <f ca="1">Model!$F$15+RAND()*(Model!$G$15-Model!$F$15)</f>
        <v>3.2059318041537797E-2</v>
      </c>
      <c r="D1147" s="33">
        <f ca="1">Model!$F$16+RAND()*(Model!$G$16-Model!$F$16)</f>
        <v>49.960964556074146</v>
      </c>
      <c r="E1147" s="33">
        <f>Model!$D$17</f>
        <v>800</v>
      </c>
      <c r="G1147" s="36">
        <f t="shared" ca="1" si="20"/>
        <v>534.49327011480091</v>
      </c>
    </row>
    <row r="1148" spans="1:7" x14ac:dyDescent="0.2">
      <c r="A1148" s="6">
        <f ca="1">Model!$F$13+RAND()*(Model!$G$13-Model!$F$13)</f>
        <v>1484.8447168302064</v>
      </c>
      <c r="B1148" s="31">
        <f ca="1">Model!$F$14+RAND()*(Model!$G$14-Model!$F$14)</f>
        <v>0.45593418569158628</v>
      </c>
      <c r="C1148" s="32">
        <f ca="1">Model!$F$15+RAND()*(Model!$G$15-Model!$F$15)</f>
        <v>1.8576413938379173E-2</v>
      </c>
      <c r="D1148" s="33">
        <f ca="1">Model!$F$16+RAND()*(Model!$G$16-Model!$F$16)</f>
        <v>51.58662893389198</v>
      </c>
      <c r="E1148" s="33">
        <f>Model!$D$17</f>
        <v>800</v>
      </c>
      <c r="G1148" s="36">
        <f t="shared" ca="1" si="20"/>
        <v>-54.072833314393847</v>
      </c>
    </row>
    <row r="1149" spans="1:7" x14ac:dyDescent="0.2">
      <c r="A1149" s="6">
        <f ca="1">Model!$F$13+RAND()*(Model!$G$13-Model!$F$13)</f>
        <v>1515.5931806840244</v>
      </c>
      <c r="B1149" s="31">
        <f ca="1">Model!$F$14+RAND()*(Model!$G$14-Model!$F$14)</f>
        <v>0.42648545336599952</v>
      </c>
      <c r="C1149" s="32">
        <f ca="1">Model!$F$15+RAND()*(Model!$G$15-Model!$F$15)</f>
        <v>4.5798871283062072E-2</v>
      </c>
      <c r="D1149" s="33">
        <f ca="1">Model!$F$16+RAND()*(Model!$G$16-Model!$F$16)</f>
        <v>47.713011916627707</v>
      </c>
      <c r="E1149" s="33">
        <f>Model!$D$17</f>
        <v>800</v>
      </c>
      <c r="G1149" s="36">
        <f t="shared" ca="1" si="20"/>
        <v>1865.498943203515</v>
      </c>
    </row>
    <row r="1150" spans="1:7" x14ac:dyDescent="0.2">
      <c r="A1150" s="6">
        <f ca="1">Model!$F$13+RAND()*(Model!$G$13-Model!$F$13)</f>
        <v>1606.3231962162893</v>
      </c>
      <c r="B1150" s="31">
        <f ca="1">Model!$F$14+RAND()*(Model!$G$14-Model!$F$14)</f>
        <v>0.79526353041780884</v>
      </c>
      <c r="C1150" s="32">
        <f ca="1">Model!$F$15+RAND()*(Model!$G$15-Model!$F$15)</f>
        <v>2.509251569320374E-2</v>
      </c>
      <c r="D1150" s="33">
        <f ca="1">Model!$F$16+RAND()*(Model!$G$16-Model!$F$16)</f>
        <v>51.942765723198882</v>
      </c>
      <c r="E1150" s="33">
        <f>Model!$D$17</f>
        <v>800</v>
      </c>
      <c r="G1150" s="36">
        <f t="shared" ca="1" si="20"/>
        <v>16.190700221629868</v>
      </c>
    </row>
    <row r="1151" spans="1:7" x14ac:dyDescent="0.2">
      <c r="A1151" s="6">
        <f ca="1">Model!$F$13+RAND()*(Model!$G$13-Model!$F$13)</f>
        <v>1435.3231907690347</v>
      </c>
      <c r="B1151" s="31">
        <f ca="1">Model!$F$14+RAND()*(Model!$G$14-Model!$F$14)</f>
        <v>0.5800312789758757</v>
      </c>
      <c r="C1151" s="32">
        <f ca="1">Model!$F$15+RAND()*(Model!$G$15-Model!$F$15)</f>
        <v>1.0140923910849557E-2</v>
      </c>
      <c r="D1151" s="33">
        <f ca="1">Model!$F$16+RAND()*(Model!$G$16-Model!$F$16)</f>
        <v>51.926077870266617</v>
      </c>
      <c r="E1151" s="33">
        <f>Model!$D$17</f>
        <v>800</v>
      </c>
      <c r="G1151" s="36">
        <f t="shared" ca="1" si="20"/>
        <v>-876.72215010273055</v>
      </c>
    </row>
    <row r="1152" spans="1:7" x14ac:dyDescent="0.2">
      <c r="A1152" s="6">
        <f ca="1">Model!$F$13+RAND()*(Model!$G$13-Model!$F$13)</f>
        <v>1347.1559864123553</v>
      </c>
      <c r="B1152" s="31">
        <f ca="1">Model!$F$14+RAND()*(Model!$G$14-Model!$F$14)</f>
        <v>0.53881889273934613</v>
      </c>
      <c r="C1152" s="32">
        <f ca="1">Model!$F$15+RAND()*(Model!$G$15-Model!$F$15)</f>
        <v>2.8178759716981111E-2</v>
      </c>
      <c r="D1152" s="33">
        <f ca="1">Model!$F$16+RAND()*(Model!$G$16-Model!$F$16)</f>
        <v>49.142162838907502</v>
      </c>
      <c r="E1152" s="33">
        <f>Model!$D$17</f>
        <v>800</v>
      </c>
      <c r="G1152" s="36">
        <f t="shared" ca="1" si="20"/>
        <v>339.62163013751706</v>
      </c>
    </row>
    <row r="1153" spans="1:7" x14ac:dyDescent="0.2">
      <c r="A1153" s="6">
        <f ca="1">Model!$F$13+RAND()*(Model!$G$13-Model!$F$13)</f>
        <v>1683.6224394785836</v>
      </c>
      <c r="B1153" s="31">
        <f ca="1">Model!$F$14+RAND()*(Model!$G$14-Model!$F$14)</f>
        <v>0.46390495520213038</v>
      </c>
      <c r="C1153" s="32">
        <f ca="1">Model!$F$15+RAND()*(Model!$G$15-Model!$F$15)</f>
        <v>2.3350300008186123E-2</v>
      </c>
      <c r="D1153" s="33">
        <f ca="1">Model!$F$16+RAND()*(Model!$G$16-Model!$F$16)</f>
        <v>47.562239872709881</v>
      </c>
      <c r="E1153" s="33">
        <f>Model!$D$17</f>
        <v>800</v>
      </c>
      <c r="G1153" s="36">
        <f t="shared" ca="1" si="20"/>
        <v>288.77777975656591</v>
      </c>
    </row>
    <row r="1154" spans="1:7" x14ac:dyDescent="0.2">
      <c r="A1154" s="6">
        <f ca="1">Model!$F$13+RAND()*(Model!$G$13-Model!$F$13)</f>
        <v>1503.508426867121</v>
      </c>
      <c r="B1154" s="31">
        <f ca="1">Model!$F$14+RAND()*(Model!$G$14-Model!$F$14)</f>
        <v>0.3655303291964791</v>
      </c>
      <c r="C1154" s="32">
        <f ca="1">Model!$F$15+RAND()*(Model!$G$15-Model!$F$15)</f>
        <v>3.6840658500987562E-2</v>
      </c>
      <c r="D1154" s="33">
        <f ca="1">Model!$F$16+RAND()*(Model!$G$16-Model!$F$16)</f>
        <v>52.51280330246432</v>
      </c>
      <c r="E1154" s="33">
        <f>Model!$D$17</f>
        <v>800</v>
      </c>
      <c r="G1154" s="36">
        <f t="shared" ca="1" si="20"/>
        <v>1559.1188744277242</v>
      </c>
    </row>
    <row r="1155" spans="1:7" x14ac:dyDescent="0.2">
      <c r="A1155" s="6">
        <f ca="1">Model!$F$13+RAND()*(Model!$G$13-Model!$F$13)</f>
        <v>1715.7729102337089</v>
      </c>
      <c r="B1155" s="31">
        <f ca="1">Model!$F$14+RAND()*(Model!$G$14-Model!$F$14)</f>
        <v>0.20382227494133609</v>
      </c>
      <c r="C1155" s="32">
        <f ca="1">Model!$F$15+RAND()*(Model!$G$15-Model!$F$15)</f>
        <v>3.5498449859480086E-2</v>
      </c>
      <c r="D1155" s="33">
        <f ca="1">Model!$F$16+RAND()*(Model!$G$16-Model!$F$16)</f>
        <v>48.789917883032508</v>
      </c>
      <c r="E1155" s="33">
        <f>Model!$D$17</f>
        <v>800</v>
      </c>
      <c r="G1155" s="36">
        <f t="shared" ca="1" si="20"/>
        <v>1821.9483847064428</v>
      </c>
    </row>
    <row r="1156" spans="1:7" x14ac:dyDescent="0.2">
      <c r="A1156" s="6">
        <f ca="1">Model!$F$13+RAND()*(Model!$G$13-Model!$F$13)</f>
        <v>1616.0627905638685</v>
      </c>
      <c r="B1156" s="31">
        <f ca="1">Model!$F$14+RAND()*(Model!$G$14-Model!$F$14)</f>
        <v>0.34411478112761285</v>
      </c>
      <c r="C1156" s="32">
        <f ca="1">Model!$F$15+RAND()*(Model!$G$15-Model!$F$15)</f>
        <v>4.7797236965814845E-2</v>
      </c>
      <c r="D1156" s="33">
        <f ca="1">Model!$F$16+RAND()*(Model!$G$16-Model!$F$16)</f>
        <v>51.442014413441385</v>
      </c>
      <c r="E1156" s="33">
        <f>Model!$D$17</f>
        <v>800</v>
      </c>
      <c r="G1156" s="36">
        <f t="shared" ca="1" si="20"/>
        <v>2617.4417182212915</v>
      </c>
    </row>
    <row r="1157" spans="1:7" x14ac:dyDescent="0.2">
      <c r="A1157" s="6">
        <f ca="1">Model!$F$13+RAND()*(Model!$G$13-Model!$F$13)</f>
        <v>1368.9022128288516</v>
      </c>
      <c r="B1157" s="31">
        <f ca="1">Model!$F$14+RAND()*(Model!$G$14-Model!$F$14)</f>
        <v>0.32112157840877398</v>
      </c>
      <c r="C1157" s="32">
        <f ca="1">Model!$F$15+RAND()*(Model!$G$15-Model!$F$15)</f>
        <v>3.7648719509720999E-2</v>
      </c>
      <c r="D1157" s="33">
        <f ca="1">Model!$F$16+RAND()*(Model!$G$16-Model!$F$16)</f>
        <v>48.366116119444357</v>
      </c>
      <c r="E1157" s="33">
        <f>Model!$D$17</f>
        <v>800</v>
      </c>
      <c r="G1157" s="36">
        <f t="shared" ca="1" si="20"/>
        <v>1253.0805807362258</v>
      </c>
    </row>
    <row r="1158" spans="1:7" x14ac:dyDescent="0.2">
      <c r="A1158" s="6">
        <f ca="1">Model!$F$13+RAND()*(Model!$G$13-Model!$F$13)</f>
        <v>1691.022631097627</v>
      </c>
      <c r="B1158" s="31">
        <f ca="1">Model!$F$14+RAND()*(Model!$G$14-Model!$F$14)</f>
        <v>0.67976652191801423</v>
      </c>
      <c r="C1158" s="32">
        <f ca="1">Model!$F$15+RAND()*(Model!$G$15-Model!$F$15)</f>
        <v>1.8068853792971941E-2</v>
      </c>
      <c r="D1158" s="33">
        <f ca="1">Model!$F$16+RAND()*(Model!$G$16-Model!$F$16)</f>
        <v>49.377477399500364</v>
      </c>
      <c r="E1158" s="33">
        <f>Model!$D$17</f>
        <v>800</v>
      </c>
      <c r="G1158" s="36">
        <f t="shared" ca="1" si="20"/>
        <v>-440.77961720955022</v>
      </c>
    </row>
    <row r="1159" spans="1:7" x14ac:dyDescent="0.2">
      <c r="A1159" s="6">
        <f ca="1">Model!$F$13+RAND()*(Model!$G$13-Model!$F$13)</f>
        <v>1642.2567074852827</v>
      </c>
      <c r="B1159" s="31">
        <f ca="1">Model!$F$14+RAND()*(Model!$G$14-Model!$F$14)</f>
        <v>0.7213514904656646</v>
      </c>
      <c r="C1159" s="32">
        <f ca="1">Model!$F$15+RAND()*(Model!$G$15-Model!$F$15)</f>
        <v>2.788390099619794E-2</v>
      </c>
      <c r="D1159" s="33">
        <f ca="1">Model!$F$16+RAND()*(Model!$G$16-Model!$F$16)</f>
        <v>50.502356293659894</v>
      </c>
      <c r="E1159" s="33">
        <f>Model!$D$17</f>
        <v>800</v>
      </c>
      <c r="G1159" s="36">
        <f t="shared" ca="1" si="20"/>
        <v>327.98601077492503</v>
      </c>
    </row>
    <row r="1160" spans="1:7" x14ac:dyDescent="0.2">
      <c r="A1160" s="6">
        <f ca="1">Model!$F$13+RAND()*(Model!$G$13-Model!$F$13)</f>
        <v>1429.4004430821531</v>
      </c>
      <c r="B1160" s="31">
        <f ca="1">Model!$F$14+RAND()*(Model!$G$14-Model!$F$14)</f>
        <v>0.47479605595852142</v>
      </c>
      <c r="C1160" s="32">
        <f ca="1">Model!$F$15+RAND()*(Model!$G$15-Model!$F$15)</f>
        <v>3.654627683681487E-2</v>
      </c>
      <c r="D1160" s="33">
        <f ca="1">Model!$F$16+RAND()*(Model!$G$16-Model!$F$16)</f>
        <v>50.28287837153448</v>
      </c>
      <c r="E1160" s="33">
        <f>Model!$D$17</f>
        <v>800</v>
      </c>
      <c r="G1160" s="36">
        <f t="shared" ca="1" si="20"/>
        <v>1148.066880432887</v>
      </c>
    </row>
    <row r="1161" spans="1:7" x14ac:dyDescent="0.2">
      <c r="A1161" s="6">
        <f ca="1">Model!$F$13+RAND()*(Model!$G$13-Model!$F$13)</f>
        <v>1664.706298911274</v>
      </c>
      <c r="B1161" s="31">
        <f ca="1">Model!$F$14+RAND()*(Model!$G$14-Model!$F$14)</f>
        <v>0.52449091459108521</v>
      </c>
      <c r="C1161" s="32">
        <f ca="1">Model!$F$15+RAND()*(Model!$G$15-Model!$F$15)</f>
        <v>3.6571587124934926E-2</v>
      </c>
      <c r="D1161" s="33">
        <f ca="1">Model!$F$16+RAND()*(Model!$G$16-Model!$F$16)</f>
        <v>51.430862984224937</v>
      </c>
      <c r="E1161" s="33">
        <f>Model!$D$17</f>
        <v>800</v>
      </c>
      <c r="G1161" s="36">
        <f t="shared" ca="1" si="20"/>
        <v>1458.0365430329934</v>
      </c>
    </row>
    <row r="1162" spans="1:7" x14ac:dyDescent="0.2">
      <c r="A1162" s="6">
        <f ca="1">Model!$F$13+RAND()*(Model!$G$13-Model!$F$13)</f>
        <v>1345.5383779258882</v>
      </c>
      <c r="B1162" s="31">
        <f ca="1">Model!$F$14+RAND()*(Model!$G$14-Model!$F$14)</f>
        <v>0.66048999900532301</v>
      </c>
      <c r="C1162" s="32">
        <f ca="1">Model!$F$15+RAND()*(Model!$G$15-Model!$F$15)</f>
        <v>1.6172801346893553E-2</v>
      </c>
      <c r="D1162" s="33">
        <f ca="1">Model!$F$16+RAND()*(Model!$G$16-Model!$F$16)</f>
        <v>48.691389191944076</v>
      </c>
      <c r="E1162" s="33">
        <f>Model!$D$17</f>
        <v>800</v>
      </c>
      <c r="G1162" s="36">
        <f t="shared" ca="1" si="20"/>
        <v>-629.13524058463281</v>
      </c>
    </row>
    <row r="1163" spans="1:7" x14ac:dyDescent="0.2">
      <c r="A1163" s="6">
        <f ca="1">Model!$F$13+RAND()*(Model!$G$13-Model!$F$13)</f>
        <v>1734.3261387851112</v>
      </c>
      <c r="B1163" s="31">
        <f ca="1">Model!$F$14+RAND()*(Model!$G$14-Model!$F$14)</f>
        <v>0.53305629002619659</v>
      </c>
      <c r="C1163" s="32">
        <f ca="1">Model!$F$15+RAND()*(Model!$G$15-Model!$F$15)</f>
        <v>4.3363065987238901E-2</v>
      </c>
      <c r="D1163" s="33">
        <f ca="1">Model!$F$16+RAND()*(Model!$G$16-Model!$F$16)</f>
        <v>48.149238087299217</v>
      </c>
      <c r="E1163" s="33">
        <f>Model!$D$17</f>
        <v>800</v>
      </c>
      <c r="G1163" s="36">
        <f t="shared" ca="1" si="20"/>
        <v>1896.6036397841308</v>
      </c>
    </row>
    <row r="1164" spans="1:7" x14ac:dyDescent="0.2">
      <c r="A1164" s="6">
        <f ca="1">Model!$F$13+RAND()*(Model!$G$13-Model!$F$13)</f>
        <v>1402.0300675596518</v>
      </c>
      <c r="B1164" s="31">
        <f ca="1">Model!$F$14+RAND()*(Model!$G$14-Model!$F$14)</f>
        <v>0.33817285537241626</v>
      </c>
      <c r="C1164" s="32">
        <f ca="1">Model!$F$15+RAND()*(Model!$G$15-Model!$F$15)</f>
        <v>2.9053787150980059E-2</v>
      </c>
      <c r="D1164" s="33">
        <f ca="1">Model!$F$16+RAND()*(Model!$G$16-Model!$F$16)</f>
        <v>50.831009390886521</v>
      </c>
      <c r="E1164" s="33">
        <f>Model!$D$17</f>
        <v>800</v>
      </c>
      <c r="G1164" s="36">
        <f t="shared" ca="1" si="20"/>
        <v>796.43621868176569</v>
      </c>
    </row>
    <row r="1165" spans="1:7" x14ac:dyDescent="0.2">
      <c r="A1165" s="6">
        <f ca="1">Model!$F$13+RAND()*(Model!$G$13-Model!$F$13)</f>
        <v>1487.2737617923394</v>
      </c>
      <c r="B1165" s="31">
        <f ca="1">Model!$F$14+RAND()*(Model!$G$14-Model!$F$14)</f>
        <v>0.681616555325954</v>
      </c>
      <c r="C1165" s="32">
        <f ca="1">Model!$F$15+RAND()*(Model!$G$15-Model!$F$15)</f>
        <v>4.7550126940978703E-2</v>
      </c>
      <c r="D1165" s="33">
        <f ca="1">Model!$F$16+RAND()*(Model!$G$16-Model!$F$16)</f>
        <v>49.473719897496473</v>
      </c>
      <c r="E1165" s="33">
        <f>Model!$D$17</f>
        <v>800</v>
      </c>
      <c r="G1165" s="36">
        <f t="shared" ca="1" si="20"/>
        <v>1685.0338317112762</v>
      </c>
    </row>
    <row r="1166" spans="1:7" x14ac:dyDescent="0.2">
      <c r="A1166" s="6">
        <f ca="1">Model!$F$13+RAND()*(Model!$G$13-Model!$F$13)</f>
        <v>1696.0537431057292</v>
      </c>
      <c r="B1166" s="31">
        <f ca="1">Model!$F$14+RAND()*(Model!$G$14-Model!$F$14)</f>
        <v>0.63307596810606181</v>
      </c>
      <c r="C1166" s="32">
        <f ca="1">Model!$F$15+RAND()*(Model!$G$15-Model!$F$15)</f>
        <v>4.9098893242516699E-2</v>
      </c>
      <c r="D1166" s="33">
        <f ca="1">Model!$F$16+RAND()*(Model!$G$16-Model!$F$16)</f>
        <v>48.123311341472032</v>
      </c>
      <c r="E1166" s="33">
        <f>Model!$D$17</f>
        <v>800</v>
      </c>
      <c r="G1166" s="36">
        <f t="shared" ca="1" si="20"/>
        <v>2133.7071678540456</v>
      </c>
    </row>
    <row r="1167" spans="1:7" x14ac:dyDescent="0.2">
      <c r="A1167" s="6">
        <f ca="1">Model!$F$13+RAND()*(Model!$G$13-Model!$F$13)</f>
        <v>1765.2337407510404</v>
      </c>
      <c r="B1167" s="31">
        <f ca="1">Model!$F$14+RAND()*(Model!$G$14-Model!$F$14)</f>
        <v>0.63759557930039579</v>
      </c>
      <c r="C1167" s="32">
        <f ca="1">Model!$F$15+RAND()*(Model!$G$15-Model!$F$15)</f>
        <v>3.4983970287246695E-2</v>
      </c>
      <c r="D1167" s="33">
        <f ca="1">Model!$F$16+RAND()*(Model!$G$16-Model!$F$16)</f>
        <v>48.40918195927086</v>
      </c>
      <c r="E1167" s="33">
        <f>Model!$D$17</f>
        <v>800</v>
      </c>
      <c r="G1167" s="36">
        <f t="shared" ca="1" si="20"/>
        <v>1063.9982225472816</v>
      </c>
    </row>
    <row r="1168" spans="1:7" x14ac:dyDescent="0.2">
      <c r="A1168" s="6">
        <f ca="1">Model!$F$13+RAND()*(Model!$G$13-Model!$F$13)</f>
        <v>1518.5500982662893</v>
      </c>
      <c r="B1168" s="31">
        <f ca="1">Model!$F$14+RAND()*(Model!$G$14-Model!$F$14)</f>
        <v>0.79385653013541901</v>
      </c>
      <c r="C1168" s="32">
        <f ca="1">Model!$F$15+RAND()*(Model!$G$15-Model!$F$15)</f>
        <v>2.5706440823922851E-2</v>
      </c>
      <c r="D1168" s="33">
        <f ca="1">Model!$F$16+RAND()*(Model!$G$16-Model!$F$16)</f>
        <v>50.719351490453199</v>
      </c>
      <c r="E1168" s="33">
        <f>Model!$D$17</f>
        <v>800</v>
      </c>
      <c r="G1168" s="36">
        <f t="shared" ca="1" si="20"/>
        <v>-25.604022306742081</v>
      </c>
    </row>
    <row r="1169" spans="1:7" x14ac:dyDescent="0.2">
      <c r="A1169" s="6">
        <f ca="1">Model!$F$13+RAND()*(Model!$G$13-Model!$F$13)</f>
        <v>1543.9399312624314</v>
      </c>
      <c r="B1169" s="31">
        <f ca="1">Model!$F$14+RAND()*(Model!$G$14-Model!$F$14)</f>
        <v>0.35551452341465439</v>
      </c>
      <c r="C1169" s="32">
        <f ca="1">Model!$F$15+RAND()*(Model!$G$15-Model!$F$15)</f>
        <v>4.1764159382878203E-2</v>
      </c>
      <c r="D1169" s="33">
        <f ca="1">Model!$F$16+RAND()*(Model!$G$16-Model!$F$16)</f>
        <v>49.861008839231765</v>
      </c>
      <c r="E1169" s="33">
        <f>Model!$D$17</f>
        <v>800</v>
      </c>
      <c r="G1169" s="36">
        <f t="shared" ca="1" si="20"/>
        <v>1866.2122613457295</v>
      </c>
    </row>
    <row r="1170" spans="1:7" x14ac:dyDescent="0.2">
      <c r="A1170" s="6">
        <f ca="1">Model!$F$13+RAND()*(Model!$G$13-Model!$F$13)</f>
        <v>1704.0232486483978</v>
      </c>
      <c r="B1170" s="31">
        <f ca="1">Model!$F$14+RAND()*(Model!$G$14-Model!$F$14)</f>
        <v>0.40366497646149058</v>
      </c>
      <c r="C1170" s="32">
        <f ca="1">Model!$F$15+RAND()*(Model!$G$15-Model!$F$15)</f>
        <v>4.2078473096927339E-2</v>
      </c>
      <c r="D1170" s="33">
        <f ca="1">Model!$F$16+RAND()*(Model!$G$16-Model!$F$16)</f>
        <v>48.509838248097182</v>
      </c>
      <c r="E1170" s="33">
        <f>Model!$D$17</f>
        <v>800</v>
      </c>
      <c r="G1170" s="36">
        <f t="shared" ca="1" si="20"/>
        <v>1990.431700963507</v>
      </c>
    </row>
    <row r="1171" spans="1:7" x14ac:dyDescent="0.2">
      <c r="A1171" s="6">
        <f ca="1">Model!$F$13+RAND()*(Model!$G$13-Model!$F$13)</f>
        <v>1764.0206052357607</v>
      </c>
      <c r="B1171" s="31">
        <f ca="1">Model!$F$14+RAND()*(Model!$G$14-Model!$F$14)</f>
        <v>0.49102074807760643</v>
      </c>
      <c r="C1171" s="32">
        <f ca="1">Model!$F$15+RAND()*(Model!$G$15-Model!$F$15)</f>
        <v>2.531640004228574E-2</v>
      </c>
      <c r="D1171" s="33">
        <f ca="1">Model!$F$16+RAND()*(Model!$G$16-Model!$F$16)</f>
        <v>50.886857781780627</v>
      </c>
      <c r="E1171" s="33">
        <f>Model!$D$17</f>
        <v>800</v>
      </c>
      <c r="G1171" s="36">
        <f t="shared" ca="1" si="20"/>
        <v>606.36772149339095</v>
      </c>
    </row>
    <row r="1172" spans="1:7" x14ac:dyDescent="0.2">
      <c r="A1172" s="6">
        <f ca="1">Model!$F$13+RAND()*(Model!$G$13-Model!$F$13)</f>
        <v>1520.9210975067078</v>
      </c>
      <c r="B1172" s="31">
        <f ca="1">Model!$F$14+RAND()*(Model!$G$14-Model!$F$14)</f>
        <v>0.35708896094822917</v>
      </c>
      <c r="C1172" s="32">
        <f ca="1">Model!$F$15+RAND()*(Model!$G$15-Model!$F$15)</f>
        <v>3.2098924838312025E-2</v>
      </c>
      <c r="D1172" s="33">
        <f ca="1">Model!$F$16+RAND()*(Model!$G$16-Model!$F$16)</f>
        <v>52.160455417815825</v>
      </c>
      <c r="E1172" s="33">
        <f>Model!$D$17</f>
        <v>800</v>
      </c>
      <c r="G1172" s="36">
        <f t="shared" ca="1" si="20"/>
        <v>1203.3657518741907</v>
      </c>
    </row>
    <row r="1173" spans="1:7" x14ac:dyDescent="0.2">
      <c r="A1173" s="6">
        <f ca="1">Model!$F$13+RAND()*(Model!$G$13-Model!$F$13)</f>
        <v>1693.3396808792475</v>
      </c>
      <c r="B1173" s="31">
        <f ca="1">Model!$F$14+RAND()*(Model!$G$14-Model!$F$14)</f>
        <v>0.63817504341476172</v>
      </c>
      <c r="C1173" s="32">
        <f ca="1">Model!$F$15+RAND()*(Model!$G$15-Model!$F$15)</f>
        <v>1.7690017616271474E-2</v>
      </c>
      <c r="D1173" s="33">
        <f ca="1">Model!$F$16+RAND()*(Model!$G$16-Model!$F$16)</f>
        <v>47.915019270258838</v>
      </c>
      <c r="E1173" s="33">
        <f>Model!$D$17</f>
        <v>800</v>
      </c>
      <c r="G1173" s="36">
        <f t="shared" ca="1" si="20"/>
        <v>-445.34271817905847</v>
      </c>
    </row>
    <row r="1174" spans="1:7" x14ac:dyDescent="0.2">
      <c r="A1174" s="6">
        <f ca="1">Model!$F$13+RAND()*(Model!$G$13-Model!$F$13)</f>
        <v>1455.7121252286802</v>
      </c>
      <c r="B1174" s="31">
        <f ca="1">Model!$F$14+RAND()*(Model!$G$14-Model!$F$14)</f>
        <v>0.29994031837904878</v>
      </c>
      <c r="C1174" s="32">
        <f ca="1">Model!$F$15+RAND()*(Model!$G$15-Model!$F$15)</f>
        <v>2.9166721835943557E-2</v>
      </c>
      <c r="D1174" s="33">
        <f ca="1">Model!$F$16+RAND()*(Model!$G$16-Model!$F$16)</f>
        <v>50.08690617904648</v>
      </c>
      <c r="E1174" s="33">
        <f>Model!$D$17</f>
        <v>800</v>
      </c>
      <c r="G1174" s="36">
        <f t="shared" ca="1" si="20"/>
        <v>889.98066620027316</v>
      </c>
    </row>
    <row r="1175" spans="1:7" x14ac:dyDescent="0.2">
      <c r="A1175" s="6">
        <f ca="1">Model!$F$13+RAND()*(Model!$G$13-Model!$F$13)</f>
        <v>1635.9461597532318</v>
      </c>
      <c r="B1175" s="31">
        <f ca="1">Model!$F$14+RAND()*(Model!$G$14-Model!$F$14)</f>
        <v>0.31021764272232488</v>
      </c>
      <c r="C1175" s="32">
        <f ca="1">Model!$F$15+RAND()*(Model!$G$15-Model!$F$15)</f>
        <v>2.096442999915793E-2</v>
      </c>
      <c r="D1175" s="33">
        <f ca="1">Model!$F$16+RAND()*(Model!$G$16-Model!$F$16)</f>
        <v>51.294481295933096</v>
      </c>
      <c r="E1175" s="33">
        <f>Model!$D$17</f>
        <v>800</v>
      </c>
      <c r="G1175" s="36">
        <f t="shared" ca="1" si="20"/>
        <v>451.7309852802141</v>
      </c>
    </row>
    <row r="1176" spans="1:7" x14ac:dyDescent="0.2">
      <c r="A1176" s="6">
        <f ca="1">Model!$F$13+RAND()*(Model!$G$13-Model!$F$13)</f>
        <v>1488.0653910209357</v>
      </c>
      <c r="B1176" s="31">
        <f ca="1">Model!$F$14+RAND()*(Model!$G$14-Model!$F$14)</f>
        <v>0.38123798902912798</v>
      </c>
      <c r="C1176" s="32">
        <f ca="1">Model!$F$15+RAND()*(Model!$G$15-Model!$F$15)</f>
        <v>4.2560440255011329E-2</v>
      </c>
      <c r="D1176" s="33">
        <f ca="1">Model!$F$16+RAND()*(Model!$G$16-Model!$F$16)</f>
        <v>51.723824483296006</v>
      </c>
      <c r="E1176" s="33">
        <f>Model!$D$17</f>
        <v>800</v>
      </c>
      <c r="G1176" s="36">
        <f t="shared" ca="1" si="20"/>
        <v>1908.5033414634638</v>
      </c>
    </row>
    <row r="1177" spans="1:7" x14ac:dyDescent="0.2">
      <c r="A1177" s="6">
        <f ca="1">Model!$F$13+RAND()*(Model!$G$13-Model!$F$13)</f>
        <v>1394.896185954605</v>
      </c>
      <c r="B1177" s="31">
        <f ca="1">Model!$F$14+RAND()*(Model!$G$14-Model!$F$14)</f>
        <v>0.45196066288225101</v>
      </c>
      <c r="C1177" s="32">
        <f ca="1">Model!$F$15+RAND()*(Model!$G$15-Model!$F$15)</f>
        <v>1.4397604514933594E-2</v>
      </c>
      <c r="D1177" s="33">
        <f ca="1">Model!$F$16+RAND()*(Model!$G$16-Model!$F$16)</f>
        <v>49.564129144886977</v>
      </c>
      <c r="E1177" s="33">
        <f>Model!$D$17</f>
        <v>800</v>
      </c>
      <c r="G1177" s="36">
        <f t="shared" ca="1" si="20"/>
        <v>-435.03368932028388</v>
      </c>
    </row>
    <row r="1178" spans="1:7" x14ac:dyDescent="0.2">
      <c r="A1178" s="6">
        <f ca="1">Model!$F$13+RAND()*(Model!$G$13-Model!$F$13)</f>
        <v>1372.7917269176514</v>
      </c>
      <c r="B1178" s="31">
        <f ca="1">Model!$F$14+RAND()*(Model!$G$14-Model!$F$14)</f>
        <v>0.56485892199842913</v>
      </c>
      <c r="C1178" s="32">
        <f ca="1">Model!$F$15+RAND()*(Model!$G$15-Model!$F$15)</f>
        <v>3.3749276826501279E-2</v>
      </c>
      <c r="D1178" s="33">
        <f ca="1">Model!$F$16+RAND()*(Model!$G$16-Model!$F$16)</f>
        <v>51.564995756640279</v>
      </c>
      <c r="E1178" s="33">
        <f>Model!$D$17</f>
        <v>800</v>
      </c>
      <c r="G1178" s="36">
        <f t="shared" ca="1" si="20"/>
        <v>813.61013859712534</v>
      </c>
    </row>
    <row r="1179" spans="1:7" x14ac:dyDescent="0.2">
      <c r="A1179" s="6">
        <f ca="1">Model!$F$13+RAND()*(Model!$G$13-Model!$F$13)</f>
        <v>1735.104919606722</v>
      </c>
      <c r="B1179" s="31">
        <f ca="1">Model!$F$14+RAND()*(Model!$G$14-Model!$F$14)</f>
        <v>0.41107144037230076</v>
      </c>
      <c r="C1179" s="32">
        <f ca="1">Model!$F$15+RAND()*(Model!$G$15-Model!$F$15)</f>
        <v>2.6146231106262616E-2</v>
      </c>
      <c r="D1179" s="33">
        <f ca="1">Model!$F$16+RAND()*(Model!$G$16-Model!$F$16)</f>
        <v>47.645465560418202</v>
      </c>
      <c r="E1179" s="33">
        <f>Model!$D$17</f>
        <v>800</v>
      </c>
      <c r="G1179" s="36">
        <f t="shared" ca="1" si="20"/>
        <v>648.25375371614086</v>
      </c>
    </row>
    <row r="1180" spans="1:7" x14ac:dyDescent="0.2">
      <c r="A1180" s="6">
        <f ca="1">Model!$F$13+RAND()*(Model!$G$13-Model!$F$13)</f>
        <v>1602.4666527002237</v>
      </c>
      <c r="B1180" s="31">
        <f ca="1">Model!$F$14+RAND()*(Model!$G$14-Model!$F$14)</f>
        <v>0.23910064138230078</v>
      </c>
      <c r="C1180" s="32">
        <f ca="1">Model!$F$15+RAND()*(Model!$G$15-Model!$F$15)</f>
        <v>4.3914759410575682E-2</v>
      </c>
      <c r="D1180" s="33">
        <f ca="1">Model!$F$16+RAND()*(Model!$G$16-Model!$F$16)</f>
        <v>48.658188008883144</v>
      </c>
      <c r="E1180" s="33">
        <f>Model!$D$17</f>
        <v>800</v>
      </c>
      <c r="G1180" s="36">
        <f t="shared" ca="1" si="20"/>
        <v>2241.0201617875014</v>
      </c>
    </row>
    <row r="1181" spans="1:7" x14ac:dyDescent="0.2">
      <c r="A1181" s="6">
        <f ca="1">Model!$F$13+RAND()*(Model!$G$13-Model!$F$13)</f>
        <v>1637.8030569013829</v>
      </c>
      <c r="B1181" s="31">
        <f ca="1">Model!$F$14+RAND()*(Model!$G$14-Model!$F$14)</f>
        <v>0.51808254428999234</v>
      </c>
      <c r="C1181" s="32">
        <f ca="1">Model!$F$15+RAND()*(Model!$G$15-Model!$F$15)</f>
        <v>2.5751259439829949E-2</v>
      </c>
      <c r="D1181" s="33">
        <f ca="1">Model!$F$16+RAND()*(Model!$G$16-Model!$F$16)</f>
        <v>51.437285500708121</v>
      </c>
      <c r="E1181" s="33">
        <f>Model!$D$17</f>
        <v>800</v>
      </c>
      <c r="G1181" s="36">
        <f t="shared" ca="1" si="20"/>
        <v>520.87561903233268</v>
      </c>
    </row>
    <row r="1182" spans="1:7" x14ac:dyDescent="0.2">
      <c r="A1182" s="6">
        <f ca="1">Model!$F$13+RAND()*(Model!$G$13-Model!$F$13)</f>
        <v>1366.6114295351956</v>
      </c>
      <c r="B1182" s="31">
        <f ca="1">Model!$F$14+RAND()*(Model!$G$14-Model!$F$14)</f>
        <v>0.4910801384968656</v>
      </c>
      <c r="C1182" s="32">
        <f ca="1">Model!$F$15+RAND()*(Model!$G$15-Model!$F$15)</f>
        <v>2.7184501070133378E-2</v>
      </c>
      <c r="D1182" s="33">
        <f ca="1">Model!$F$16+RAND()*(Model!$G$16-Model!$F$16)</f>
        <v>48.608334092737309</v>
      </c>
      <c r="E1182" s="33">
        <f>Model!$D$17</f>
        <v>800</v>
      </c>
      <c r="G1182" s="36">
        <f t="shared" ca="1" si="20"/>
        <v>334.71547049039646</v>
      </c>
    </row>
    <row r="1183" spans="1:7" x14ac:dyDescent="0.2">
      <c r="A1183" s="6">
        <f ca="1">Model!$F$13+RAND()*(Model!$G$13-Model!$F$13)</f>
        <v>1584.4790886334861</v>
      </c>
      <c r="B1183" s="31">
        <f ca="1">Model!$F$14+RAND()*(Model!$G$14-Model!$F$14)</f>
        <v>0.38976665746107814</v>
      </c>
      <c r="C1183" s="32">
        <f ca="1">Model!$F$15+RAND()*(Model!$G$15-Model!$F$15)</f>
        <v>2.2999468129433195E-2</v>
      </c>
      <c r="D1183" s="33">
        <f ca="1">Model!$F$16+RAND()*(Model!$G$16-Model!$F$16)</f>
        <v>50.484168605095412</v>
      </c>
      <c r="E1183" s="33">
        <f>Model!$D$17</f>
        <v>800</v>
      </c>
      <c r="G1183" s="36">
        <f t="shared" ca="1" si="20"/>
        <v>422.1758545115008</v>
      </c>
    </row>
    <row r="1184" spans="1:7" x14ac:dyDescent="0.2">
      <c r="A1184" s="6">
        <f ca="1">Model!$F$13+RAND()*(Model!$G$13-Model!$F$13)</f>
        <v>1398.3338862118549</v>
      </c>
      <c r="B1184" s="31">
        <f ca="1">Model!$F$14+RAND()*(Model!$G$14-Model!$F$14)</f>
        <v>0.69927854797142652</v>
      </c>
      <c r="C1184" s="32">
        <f ca="1">Model!$F$15+RAND()*(Model!$G$15-Model!$F$15)</f>
        <v>2.1472678306810884E-2</v>
      </c>
      <c r="D1184" s="33">
        <f ca="1">Model!$F$16+RAND()*(Model!$G$16-Model!$F$16)</f>
        <v>48.173545953865144</v>
      </c>
      <c r="E1184" s="33">
        <f>Model!$D$17</f>
        <v>800</v>
      </c>
      <c r="G1184" s="36">
        <f t="shared" ca="1" si="20"/>
        <v>-331.36726548354</v>
      </c>
    </row>
    <row r="1185" spans="1:7" x14ac:dyDescent="0.2">
      <c r="A1185" s="6">
        <f ca="1">Model!$F$13+RAND()*(Model!$G$13-Model!$F$13)</f>
        <v>1209.9045826110992</v>
      </c>
      <c r="B1185" s="31">
        <f ca="1">Model!$F$14+RAND()*(Model!$G$14-Model!$F$14)</f>
        <v>0.42454428649381287</v>
      </c>
      <c r="C1185" s="32">
        <f ca="1">Model!$F$15+RAND()*(Model!$G$15-Model!$F$15)</f>
        <v>2.3473345554705691E-2</v>
      </c>
      <c r="D1185" s="33">
        <f ca="1">Model!$F$16+RAND()*(Model!$G$16-Model!$F$16)</f>
        <v>49.232113796518377</v>
      </c>
      <c r="E1185" s="33">
        <f>Model!$D$17</f>
        <v>800</v>
      </c>
      <c r="G1185" s="36">
        <f t="shared" ca="1" si="20"/>
        <v>84.558981504067333</v>
      </c>
    </row>
    <row r="1186" spans="1:7" x14ac:dyDescent="0.2">
      <c r="A1186" s="6">
        <f ca="1">Model!$F$13+RAND()*(Model!$G$13-Model!$F$13)</f>
        <v>1468.8642135854725</v>
      </c>
      <c r="B1186" s="31">
        <f ca="1">Model!$F$14+RAND()*(Model!$G$14-Model!$F$14)</f>
        <v>0.73290740697330681</v>
      </c>
      <c r="C1186" s="32">
        <f ca="1">Model!$F$15+RAND()*(Model!$G$15-Model!$F$15)</f>
        <v>3.8541749004928003E-2</v>
      </c>
      <c r="D1186" s="33">
        <f ca="1">Model!$F$16+RAND()*(Model!$G$16-Model!$F$16)</f>
        <v>47.43136775846299</v>
      </c>
      <c r="E1186" s="33">
        <f>Model!$D$17</f>
        <v>800</v>
      </c>
      <c r="G1186" s="36">
        <f t="shared" ca="1" si="20"/>
        <v>808.67139118407908</v>
      </c>
    </row>
    <row r="1187" spans="1:7" x14ac:dyDescent="0.2">
      <c r="A1187" s="6">
        <f ca="1">Model!$F$13+RAND()*(Model!$G$13-Model!$F$13)</f>
        <v>1492.0900073769517</v>
      </c>
      <c r="B1187" s="31">
        <f ca="1">Model!$F$14+RAND()*(Model!$G$14-Model!$F$14)</f>
        <v>0.58380903849848453</v>
      </c>
      <c r="C1187" s="32">
        <f ca="1">Model!$F$15+RAND()*(Model!$G$15-Model!$F$15)</f>
        <v>2.1942030634440231E-2</v>
      </c>
      <c r="D1187" s="33">
        <f ca="1">Model!$F$16+RAND()*(Model!$G$16-Model!$F$16)</f>
        <v>50.45925275223636</v>
      </c>
      <c r="E1187" s="33">
        <f>Model!$D$17</f>
        <v>800</v>
      </c>
      <c r="G1187" s="36">
        <f t="shared" ca="1" si="20"/>
        <v>-19.08570156670703</v>
      </c>
    </row>
    <row r="1188" spans="1:7" x14ac:dyDescent="0.2">
      <c r="A1188" s="6">
        <f ca="1">Model!$F$13+RAND()*(Model!$G$13-Model!$F$13)</f>
        <v>1296.9580785061635</v>
      </c>
      <c r="B1188" s="31">
        <f ca="1">Model!$F$14+RAND()*(Model!$G$14-Model!$F$14)</f>
        <v>0.47207059204397606</v>
      </c>
      <c r="C1188" s="32">
        <f ca="1">Model!$F$15+RAND()*(Model!$G$15-Model!$F$15)</f>
        <v>2.8506261727322041E-2</v>
      </c>
      <c r="D1188" s="33">
        <f ca="1">Model!$F$16+RAND()*(Model!$G$16-Model!$F$16)</f>
        <v>47.145955862801692</v>
      </c>
      <c r="E1188" s="33">
        <f>Model!$D$17</f>
        <v>800</v>
      </c>
      <c r="G1188" s="36">
        <f t="shared" ca="1" si="20"/>
        <v>330.79747092503067</v>
      </c>
    </row>
    <row r="1189" spans="1:7" x14ac:dyDescent="0.2">
      <c r="A1189" s="6">
        <f ca="1">Model!$F$13+RAND()*(Model!$G$13-Model!$F$13)</f>
        <v>1759.1415004048013</v>
      </c>
      <c r="B1189" s="31">
        <f ca="1">Model!$F$14+RAND()*(Model!$G$14-Model!$F$14)</f>
        <v>0.4577455343982505</v>
      </c>
      <c r="C1189" s="32">
        <f ca="1">Model!$F$15+RAND()*(Model!$G$15-Model!$F$15)</f>
        <v>4.2388477573284289E-2</v>
      </c>
      <c r="D1189" s="33">
        <f ca="1">Model!$F$16+RAND()*(Model!$G$16-Model!$F$16)</f>
        <v>52.141313220549975</v>
      </c>
      <c r="E1189" s="33">
        <f>Model!$D$17</f>
        <v>800</v>
      </c>
      <c r="G1189" s="36">
        <f t="shared" ca="1" si="20"/>
        <v>2282.7993453539812</v>
      </c>
    </row>
    <row r="1190" spans="1:7" x14ac:dyDescent="0.2">
      <c r="A1190" s="6">
        <f ca="1">Model!$F$13+RAND()*(Model!$G$13-Model!$F$13)</f>
        <v>1409.5490148242377</v>
      </c>
      <c r="B1190" s="31">
        <f ca="1">Model!$F$14+RAND()*(Model!$G$14-Model!$F$14)</f>
        <v>0.36278503723481237</v>
      </c>
      <c r="C1190" s="32">
        <f ca="1">Model!$F$15+RAND()*(Model!$G$15-Model!$F$15)</f>
        <v>2.6812831088668714E-2</v>
      </c>
      <c r="D1190" s="33">
        <f ca="1">Model!$F$16+RAND()*(Model!$G$16-Model!$F$16)</f>
        <v>52.21434051674116</v>
      </c>
      <c r="E1190" s="33">
        <f>Model!$D$17</f>
        <v>800</v>
      </c>
      <c r="G1190" s="36">
        <f t="shared" ca="1" si="20"/>
        <v>662.02547516191385</v>
      </c>
    </row>
    <row r="1191" spans="1:7" x14ac:dyDescent="0.2">
      <c r="A1191" s="6">
        <f ca="1">Model!$F$13+RAND()*(Model!$G$13-Model!$F$13)</f>
        <v>1583.5034639477885</v>
      </c>
      <c r="B1191" s="31">
        <f ca="1">Model!$F$14+RAND()*(Model!$G$14-Model!$F$14)</f>
        <v>0.37564165443706654</v>
      </c>
      <c r="C1191" s="32">
        <f ca="1">Model!$F$15+RAND()*(Model!$G$15-Model!$F$15)</f>
        <v>4.858014073827762E-2</v>
      </c>
      <c r="D1191" s="33">
        <f ca="1">Model!$F$16+RAND()*(Model!$G$16-Model!$F$16)</f>
        <v>52.367865085481384</v>
      </c>
      <c r="E1191" s="33">
        <f>Model!$D$17</f>
        <v>800</v>
      </c>
      <c r="G1191" s="36">
        <f t="shared" ca="1" si="20"/>
        <v>2633.6635298125698</v>
      </c>
    </row>
    <row r="1192" spans="1:7" x14ac:dyDescent="0.2">
      <c r="A1192" s="6">
        <f ca="1">Model!$F$13+RAND()*(Model!$G$13-Model!$F$13)</f>
        <v>1598.1685790684983</v>
      </c>
      <c r="B1192" s="31">
        <f ca="1">Model!$F$14+RAND()*(Model!$G$14-Model!$F$14)</f>
        <v>0.79616035802934726</v>
      </c>
      <c r="C1192" s="32">
        <f ca="1">Model!$F$15+RAND()*(Model!$G$15-Model!$F$15)</f>
        <v>1.9366044814099363E-2</v>
      </c>
      <c r="D1192" s="33">
        <f ca="1">Model!$F$16+RAND()*(Model!$G$16-Model!$F$16)</f>
        <v>51.819965202087374</v>
      </c>
      <c r="E1192" s="33">
        <f>Model!$D$17</f>
        <v>800</v>
      </c>
      <c r="G1192" s="36">
        <f t="shared" ca="1" si="20"/>
        <v>-468.55995710127081</v>
      </c>
    </row>
    <row r="1193" spans="1:7" x14ac:dyDescent="0.2">
      <c r="A1193" s="6">
        <f ca="1">Model!$F$13+RAND()*(Model!$G$13-Model!$F$13)</f>
        <v>1269.1104157713305</v>
      </c>
      <c r="B1193" s="31">
        <f ca="1">Model!$F$14+RAND()*(Model!$G$14-Model!$F$14)</f>
        <v>0.53372686382867807</v>
      </c>
      <c r="C1193" s="32">
        <f ca="1">Model!$F$15+RAND()*(Model!$G$15-Model!$F$15)</f>
        <v>2.508904691252526E-2</v>
      </c>
      <c r="D1193" s="33">
        <f ca="1">Model!$F$16+RAND()*(Model!$G$16-Model!$F$16)</f>
        <v>52.893966951373308</v>
      </c>
      <c r="E1193" s="33">
        <f>Model!$D$17</f>
        <v>800</v>
      </c>
      <c r="G1193" s="36">
        <f t="shared" ref="G1193:G1256" ca="1" si="21">A1193*C1193*D1193-(E1193+A1193*B1193)</f>
        <v>206.8263541423662</v>
      </c>
    </row>
    <row r="1194" spans="1:7" x14ac:dyDescent="0.2">
      <c r="A1194" s="6">
        <f ca="1">Model!$F$13+RAND()*(Model!$G$13-Model!$F$13)</f>
        <v>1397.2989783320954</v>
      </c>
      <c r="B1194" s="31">
        <f ca="1">Model!$F$14+RAND()*(Model!$G$14-Model!$F$14)</f>
        <v>0.45810996136740412</v>
      </c>
      <c r="C1194" s="32">
        <f ca="1">Model!$F$15+RAND()*(Model!$G$15-Model!$F$15)</f>
        <v>3.0281849455625204E-2</v>
      </c>
      <c r="D1194" s="33">
        <f ca="1">Model!$F$16+RAND()*(Model!$G$16-Model!$F$16)</f>
        <v>49.106366332215018</v>
      </c>
      <c r="E1194" s="33">
        <f>Model!$D$17</f>
        <v>800</v>
      </c>
      <c r="G1194" s="36">
        <f t="shared" ca="1" si="21"/>
        <v>637.71114408402423</v>
      </c>
    </row>
    <row r="1195" spans="1:7" x14ac:dyDescent="0.2">
      <c r="A1195" s="6">
        <f ca="1">Model!$F$13+RAND()*(Model!$G$13-Model!$F$13)</f>
        <v>1275.022201604975</v>
      </c>
      <c r="B1195" s="31">
        <f ca="1">Model!$F$14+RAND()*(Model!$G$14-Model!$F$14)</f>
        <v>0.66366104321026353</v>
      </c>
      <c r="C1195" s="32">
        <f ca="1">Model!$F$15+RAND()*(Model!$G$15-Model!$F$15)</f>
        <v>1.3524676052140401E-2</v>
      </c>
      <c r="D1195" s="33">
        <f ca="1">Model!$F$16+RAND()*(Model!$G$16-Model!$F$16)</f>
        <v>48.660806124733341</v>
      </c>
      <c r="E1195" s="33">
        <f>Model!$D$17</f>
        <v>800</v>
      </c>
      <c r="G1195" s="36">
        <f t="shared" ca="1" si="21"/>
        <v>-807.06286300363342</v>
      </c>
    </row>
    <row r="1196" spans="1:7" x14ac:dyDescent="0.2">
      <c r="A1196" s="6">
        <f ca="1">Model!$F$13+RAND()*(Model!$G$13-Model!$F$13)</f>
        <v>1424.8542351036892</v>
      </c>
      <c r="B1196" s="31">
        <f ca="1">Model!$F$14+RAND()*(Model!$G$14-Model!$F$14)</f>
        <v>0.29804924114592152</v>
      </c>
      <c r="C1196" s="32">
        <f ca="1">Model!$F$15+RAND()*(Model!$G$15-Model!$F$15)</f>
        <v>3.8051905732848244E-2</v>
      </c>
      <c r="D1196" s="33">
        <f ca="1">Model!$F$16+RAND()*(Model!$G$16-Model!$F$16)</f>
        <v>49.833284001207943</v>
      </c>
      <c r="E1196" s="33">
        <f>Model!$D$17</f>
        <v>800</v>
      </c>
      <c r="G1196" s="36">
        <f t="shared" ca="1" si="21"/>
        <v>1477.2051504618362</v>
      </c>
    </row>
    <row r="1197" spans="1:7" x14ac:dyDescent="0.2">
      <c r="A1197" s="6">
        <f ca="1">Model!$F$13+RAND()*(Model!$G$13-Model!$F$13)</f>
        <v>1484.3997443654052</v>
      </c>
      <c r="B1197" s="31">
        <f ca="1">Model!$F$14+RAND()*(Model!$G$14-Model!$F$14)</f>
        <v>0.39099823102741271</v>
      </c>
      <c r="C1197" s="32">
        <f ca="1">Model!$F$15+RAND()*(Model!$G$15-Model!$F$15)</f>
        <v>2.6839498931897653E-2</v>
      </c>
      <c r="D1197" s="33">
        <f ca="1">Model!$F$16+RAND()*(Model!$G$16-Model!$F$16)</f>
        <v>48.947007221021707</v>
      </c>
      <c r="E1197" s="33">
        <f>Model!$D$17</f>
        <v>800</v>
      </c>
      <c r="G1197" s="36">
        <f t="shared" ca="1" si="21"/>
        <v>569.67778691811304</v>
      </c>
    </row>
    <row r="1198" spans="1:7" x14ac:dyDescent="0.2">
      <c r="A1198" s="6">
        <f ca="1">Model!$F$13+RAND()*(Model!$G$13-Model!$F$13)</f>
        <v>1339.6480853377286</v>
      </c>
      <c r="B1198" s="31">
        <f ca="1">Model!$F$14+RAND()*(Model!$G$14-Model!$F$14)</f>
        <v>0.59926444771385001</v>
      </c>
      <c r="C1198" s="32">
        <f ca="1">Model!$F$15+RAND()*(Model!$G$15-Model!$F$15)</f>
        <v>2.9418394429453744E-2</v>
      </c>
      <c r="D1198" s="33">
        <f ca="1">Model!$F$16+RAND()*(Model!$G$16-Model!$F$16)</f>
        <v>52.938028564039257</v>
      </c>
      <c r="E1198" s="33">
        <f>Model!$D$17</f>
        <v>800</v>
      </c>
      <c r="G1198" s="36">
        <f t="shared" ca="1" si="21"/>
        <v>483.49989325836873</v>
      </c>
    </row>
    <row r="1199" spans="1:7" x14ac:dyDescent="0.2">
      <c r="A1199" s="6">
        <f ca="1">Model!$F$13+RAND()*(Model!$G$13-Model!$F$13)</f>
        <v>1389.7961342331239</v>
      </c>
      <c r="B1199" s="31">
        <f ca="1">Model!$F$14+RAND()*(Model!$G$14-Model!$F$14)</f>
        <v>0.74904602419167521</v>
      </c>
      <c r="C1199" s="32">
        <f ca="1">Model!$F$15+RAND()*(Model!$G$15-Model!$F$15)</f>
        <v>2.7917134940889175E-2</v>
      </c>
      <c r="D1199" s="33">
        <f ca="1">Model!$F$16+RAND()*(Model!$G$16-Model!$F$16)</f>
        <v>49.090345482315655</v>
      </c>
      <c r="E1199" s="33">
        <f>Model!$D$17</f>
        <v>800</v>
      </c>
      <c r="G1199" s="36">
        <f t="shared" ca="1" si="21"/>
        <v>63.641241753364739</v>
      </c>
    </row>
    <row r="1200" spans="1:7" x14ac:dyDescent="0.2">
      <c r="A1200" s="6">
        <f ca="1">Model!$F$13+RAND()*(Model!$G$13-Model!$F$13)</f>
        <v>1440.7110846997618</v>
      </c>
      <c r="B1200" s="31">
        <f ca="1">Model!$F$14+RAND()*(Model!$G$14-Model!$F$14)</f>
        <v>0.7449156707184994</v>
      </c>
      <c r="C1200" s="32">
        <f ca="1">Model!$F$15+RAND()*(Model!$G$15-Model!$F$15)</f>
        <v>2.751400902172773E-2</v>
      </c>
      <c r="D1200" s="33">
        <f ca="1">Model!$F$16+RAND()*(Model!$G$16-Model!$F$16)</f>
        <v>52.331841330486498</v>
      </c>
      <c r="E1200" s="33">
        <f>Model!$D$17</f>
        <v>800</v>
      </c>
      <c r="G1200" s="36">
        <f t="shared" ca="1" si="21"/>
        <v>201.21220402594349</v>
      </c>
    </row>
    <row r="1201" spans="1:7" x14ac:dyDescent="0.2">
      <c r="A1201" s="6">
        <f ca="1">Model!$F$13+RAND()*(Model!$G$13-Model!$F$13)</f>
        <v>1554.3174930670727</v>
      </c>
      <c r="B1201" s="31">
        <f ca="1">Model!$F$14+RAND()*(Model!$G$14-Model!$F$14)</f>
        <v>0.70039451351351767</v>
      </c>
      <c r="C1201" s="32">
        <f ca="1">Model!$F$15+RAND()*(Model!$G$15-Model!$F$15)</f>
        <v>1.7783074018127478E-2</v>
      </c>
      <c r="D1201" s="33">
        <f ca="1">Model!$F$16+RAND()*(Model!$G$16-Model!$F$16)</f>
        <v>51.625281128556985</v>
      </c>
      <c r="E1201" s="33">
        <f>Model!$D$17</f>
        <v>800</v>
      </c>
      <c r="G1201" s="36">
        <f t="shared" ca="1" si="21"/>
        <v>-461.68464009349896</v>
      </c>
    </row>
    <row r="1202" spans="1:7" x14ac:dyDescent="0.2">
      <c r="A1202" s="6">
        <f ca="1">Model!$F$13+RAND()*(Model!$G$13-Model!$F$13)</f>
        <v>1698.9283003204737</v>
      </c>
      <c r="B1202" s="31">
        <f ca="1">Model!$F$14+RAND()*(Model!$G$14-Model!$F$14)</f>
        <v>0.48527124514564801</v>
      </c>
      <c r="C1202" s="32">
        <f ca="1">Model!$F$15+RAND()*(Model!$G$15-Model!$F$15)</f>
        <v>1.5904723349552351E-2</v>
      </c>
      <c r="D1202" s="33">
        <f ca="1">Model!$F$16+RAND()*(Model!$G$16-Model!$F$16)</f>
        <v>49.201674526803053</v>
      </c>
      <c r="E1202" s="33">
        <f>Model!$D$17</f>
        <v>800</v>
      </c>
      <c r="G1202" s="36">
        <f t="shared" ca="1" si="21"/>
        <v>-294.96336166646756</v>
      </c>
    </row>
    <row r="1203" spans="1:7" x14ac:dyDescent="0.2">
      <c r="A1203" s="6">
        <f ca="1">Model!$F$13+RAND()*(Model!$G$13-Model!$F$13)</f>
        <v>1429.8418308413261</v>
      </c>
      <c r="B1203" s="31">
        <f ca="1">Model!$F$14+RAND()*(Model!$G$14-Model!$F$14)</f>
        <v>0.46378206396536698</v>
      </c>
      <c r="C1203" s="32">
        <f ca="1">Model!$F$15+RAND()*(Model!$G$15-Model!$F$15)</f>
        <v>3.7641368036769339E-2</v>
      </c>
      <c r="D1203" s="33">
        <f ca="1">Model!$F$16+RAND()*(Model!$G$16-Model!$F$16)</f>
        <v>49.945433813141364</v>
      </c>
      <c r="E1203" s="33">
        <f>Model!$D$17</f>
        <v>800</v>
      </c>
      <c r="G1203" s="36">
        <f t="shared" ca="1" si="21"/>
        <v>1224.9883162042811</v>
      </c>
    </row>
    <row r="1204" spans="1:7" x14ac:dyDescent="0.2">
      <c r="A1204" s="6">
        <f ca="1">Model!$F$13+RAND()*(Model!$G$13-Model!$F$13)</f>
        <v>1314.6878206268952</v>
      </c>
      <c r="B1204" s="31">
        <f ca="1">Model!$F$14+RAND()*(Model!$G$14-Model!$F$14)</f>
        <v>0.6513750043389106</v>
      </c>
      <c r="C1204" s="32">
        <f ca="1">Model!$F$15+RAND()*(Model!$G$15-Model!$F$15)</f>
        <v>2.2782190757492913E-2</v>
      </c>
      <c r="D1204" s="33">
        <f ca="1">Model!$F$16+RAND()*(Model!$G$16-Model!$F$16)</f>
        <v>47.566112520615029</v>
      </c>
      <c r="E1204" s="33">
        <f>Model!$D$17</f>
        <v>800</v>
      </c>
      <c r="G1204" s="36">
        <f t="shared" ca="1" si="21"/>
        <v>-231.67985375867374</v>
      </c>
    </row>
    <row r="1205" spans="1:7" x14ac:dyDescent="0.2">
      <c r="A1205" s="6">
        <f ca="1">Model!$F$13+RAND()*(Model!$G$13-Model!$F$13)</f>
        <v>1470.6354080972283</v>
      </c>
      <c r="B1205" s="31">
        <f ca="1">Model!$F$14+RAND()*(Model!$G$14-Model!$F$14)</f>
        <v>0.61094131006298436</v>
      </c>
      <c r="C1205" s="32">
        <f ca="1">Model!$F$15+RAND()*(Model!$G$15-Model!$F$15)</f>
        <v>3.8080375972422899E-2</v>
      </c>
      <c r="D1205" s="33">
        <f ca="1">Model!$F$16+RAND()*(Model!$G$16-Model!$F$16)</f>
        <v>50.792616588902987</v>
      </c>
      <c r="E1205" s="33">
        <f>Model!$D$17</f>
        <v>800</v>
      </c>
      <c r="G1205" s="36">
        <f t="shared" ca="1" si="21"/>
        <v>1146.0339311270538</v>
      </c>
    </row>
    <row r="1206" spans="1:7" x14ac:dyDescent="0.2">
      <c r="A1206" s="6">
        <f ca="1">Model!$F$13+RAND()*(Model!$G$13-Model!$F$13)</f>
        <v>1489.1635478416079</v>
      </c>
      <c r="B1206" s="31">
        <f ca="1">Model!$F$14+RAND()*(Model!$G$14-Model!$F$14)</f>
        <v>0.39314119689027105</v>
      </c>
      <c r="C1206" s="32">
        <f ca="1">Model!$F$15+RAND()*(Model!$G$15-Model!$F$15)</f>
        <v>4.9811376799011056E-2</v>
      </c>
      <c r="D1206" s="33">
        <f ca="1">Model!$F$16+RAND()*(Model!$G$16-Model!$F$16)</f>
        <v>50.50952500082591</v>
      </c>
      <c r="E1206" s="33">
        <f>Model!$D$17</f>
        <v>800</v>
      </c>
      <c r="G1206" s="36">
        <f t="shared" ca="1" si="21"/>
        <v>2361.2079722952549</v>
      </c>
    </row>
    <row r="1207" spans="1:7" x14ac:dyDescent="0.2">
      <c r="A1207" s="6">
        <f ca="1">Model!$F$13+RAND()*(Model!$G$13-Model!$F$13)</f>
        <v>1281.3184582918525</v>
      </c>
      <c r="B1207" s="31">
        <f ca="1">Model!$F$14+RAND()*(Model!$G$14-Model!$F$14)</f>
        <v>0.60227705544955645</v>
      </c>
      <c r="C1207" s="32">
        <f ca="1">Model!$F$15+RAND()*(Model!$G$15-Model!$F$15)</f>
        <v>2.6886412058903651E-2</v>
      </c>
      <c r="D1207" s="33">
        <f ca="1">Model!$F$16+RAND()*(Model!$G$16-Model!$F$16)</f>
        <v>50.540112599639755</v>
      </c>
      <c r="E1207" s="33">
        <f>Model!$D$17</f>
        <v>800</v>
      </c>
      <c r="G1207" s="36">
        <f t="shared" ca="1" si="21"/>
        <v>169.40100359250278</v>
      </c>
    </row>
    <row r="1208" spans="1:7" x14ac:dyDescent="0.2">
      <c r="A1208" s="6">
        <f ca="1">Model!$F$13+RAND()*(Model!$G$13-Model!$F$13)</f>
        <v>1374.8748373382214</v>
      </c>
      <c r="B1208" s="31">
        <f ca="1">Model!$F$14+RAND()*(Model!$G$14-Model!$F$14)</f>
        <v>0.74530339965880965</v>
      </c>
      <c r="C1208" s="32">
        <f ca="1">Model!$F$15+RAND()*(Model!$G$15-Model!$F$15)</f>
        <v>2.5493228959903524E-2</v>
      </c>
      <c r="D1208" s="33">
        <f ca="1">Model!$F$16+RAND()*(Model!$G$16-Model!$F$16)</f>
        <v>47.450570674708459</v>
      </c>
      <c r="E1208" s="33">
        <f>Model!$D$17</f>
        <v>800</v>
      </c>
      <c r="G1208" s="36">
        <f t="shared" ca="1" si="21"/>
        <v>-161.55643475154511</v>
      </c>
    </row>
    <row r="1209" spans="1:7" x14ac:dyDescent="0.2">
      <c r="A1209" s="6">
        <f ca="1">Model!$F$13+RAND()*(Model!$G$13-Model!$F$13)</f>
        <v>1574.1940524927343</v>
      </c>
      <c r="B1209" s="31">
        <f ca="1">Model!$F$14+RAND()*(Model!$G$14-Model!$F$14)</f>
        <v>0.67175300107921765</v>
      </c>
      <c r="C1209" s="32">
        <f ca="1">Model!$F$15+RAND()*(Model!$G$15-Model!$F$15)</f>
        <v>2.9572973852791611E-2</v>
      </c>
      <c r="D1209" s="33">
        <f ca="1">Model!$F$16+RAND()*(Model!$G$16-Model!$F$16)</f>
        <v>50.755775395779857</v>
      </c>
      <c r="E1209" s="33">
        <f>Model!$D$17</f>
        <v>800</v>
      </c>
      <c r="G1209" s="36">
        <f t="shared" ca="1" si="21"/>
        <v>505.3944637639247</v>
      </c>
    </row>
    <row r="1210" spans="1:7" x14ac:dyDescent="0.2">
      <c r="A1210" s="6">
        <f ca="1">Model!$F$13+RAND()*(Model!$G$13-Model!$F$13)</f>
        <v>1665.2424591607762</v>
      </c>
      <c r="B1210" s="31">
        <f ca="1">Model!$F$14+RAND()*(Model!$G$14-Model!$F$14)</f>
        <v>0.67944238957812919</v>
      </c>
      <c r="C1210" s="32">
        <f ca="1">Model!$F$15+RAND()*(Model!$G$15-Model!$F$15)</f>
        <v>4.4265813583262092E-2</v>
      </c>
      <c r="D1210" s="33">
        <f ca="1">Model!$F$16+RAND()*(Model!$G$16-Model!$F$16)</f>
        <v>48.980797632784729</v>
      </c>
      <c r="E1210" s="33">
        <f>Model!$D$17</f>
        <v>800</v>
      </c>
      <c r="G1210" s="36">
        <f t="shared" ca="1" si="21"/>
        <v>1679.1005153690637</v>
      </c>
    </row>
    <row r="1211" spans="1:7" x14ac:dyDescent="0.2">
      <c r="A1211" s="6">
        <f ca="1">Model!$F$13+RAND()*(Model!$G$13-Model!$F$13)</f>
        <v>1450.5656506369112</v>
      </c>
      <c r="B1211" s="31">
        <f ca="1">Model!$F$14+RAND()*(Model!$G$14-Model!$F$14)</f>
        <v>0.33681003131803372</v>
      </c>
      <c r="C1211" s="32">
        <f ca="1">Model!$F$15+RAND()*(Model!$G$15-Model!$F$15)</f>
        <v>4.4421235466556443E-2</v>
      </c>
      <c r="D1211" s="33">
        <f ca="1">Model!$F$16+RAND()*(Model!$G$16-Model!$F$16)</f>
        <v>48.819729690471107</v>
      </c>
      <c r="E1211" s="33">
        <f>Model!$D$17</f>
        <v>800</v>
      </c>
      <c r="G1211" s="36">
        <f t="shared" ca="1" si="21"/>
        <v>1857.1790528439994</v>
      </c>
    </row>
    <row r="1212" spans="1:7" x14ac:dyDescent="0.2">
      <c r="A1212" s="6">
        <f ca="1">Model!$F$13+RAND()*(Model!$G$13-Model!$F$13)</f>
        <v>1512.8502793701864</v>
      </c>
      <c r="B1212" s="31">
        <f ca="1">Model!$F$14+RAND()*(Model!$G$14-Model!$F$14)</f>
        <v>0.72501105411408684</v>
      </c>
      <c r="C1212" s="32">
        <f ca="1">Model!$F$15+RAND()*(Model!$G$15-Model!$F$15)</f>
        <v>1.585285347614494E-2</v>
      </c>
      <c r="D1212" s="33">
        <f ca="1">Model!$F$16+RAND()*(Model!$G$16-Model!$F$16)</f>
        <v>47.305132854389385</v>
      </c>
      <c r="E1212" s="33">
        <f>Model!$D$17</f>
        <v>800</v>
      </c>
      <c r="G1212" s="36">
        <f t="shared" ca="1" si="21"/>
        <v>-762.31446732543668</v>
      </c>
    </row>
    <row r="1213" spans="1:7" x14ac:dyDescent="0.2">
      <c r="A1213" s="6">
        <f ca="1">Model!$F$13+RAND()*(Model!$G$13-Model!$F$13)</f>
        <v>1445.2089081463655</v>
      </c>
      <c r="B1213" s="31">
        <f ca="1">Model!$F$14+RAND()*(Model!$G$14-Model!$F$14)</f>
        <v>0.6499329534957885</v>
      </c>
      <c r="C1213" s="32">
        <f ca="1">Model!$F$15+RAND()*(Model!$G$15-Model!$F$15)</f>
        <v>4.0952007147632953E-2</v>
      </c>
      <c r="D1213" s="33">
        <f ca="1">Model!$F$16+RAND()*(Model!$G$16-Model!$F$16)</f>
        <v>47.340320524913515</v>
      </c>
      <c r="E1213" s="33">
        <f>Model!$D$17</f>
        <v>800</v>
      </c>
      <c r="G1213" s="36">
        <f t="shared" ca="1" si="21"/>
        <v>1062.5103660076293</v>
      </c>
    </row>
    <row r="1214" spans="1:7" x14ac:dyDescent="0.2">
      <c r="A1214" s="6">
        <f ca="1">Model!$F$13+RAND()*(Model!$G$13-Model!$F$13)</f>
        <v>1529.7569811163944</v>
      </c>
      <c r="B1214" s="31">
        <f ca="1">Model!$F$14+RAND()*(Model!$G$14-Model!$F$14)</f>
        <v>0.36192101100673046</v>
      </c>
      <c r="C1214" s="32">
        <f ca="1">Model!$F$15+RAND()*(Model!$G$15-Model!$F$15)</f>
        <v>3.5188692846836331E-2</v>
      </c>
      <c r="D1214" s="33">
        <f ca="1">Model!$F$16+RAND()*(Model!$G$16-Model!$F$16)</f>
        <v>47.357024430951142</v>
      </c>
      <c r="E1214" s="33">
        <f>Model!$D$17</f>
        <v>800</v>
      </c>
      <c r="G1214" s="36">
        <f t="shared" ca="1" si="21"/>
        <v>1195.5844662738291</v>
      </c>
    </row>
    <row r="1215" spans="1:7" x14ac:dyDescent="0.2">
      <c r="A1215" s="6">
        <f ca="1">Model!$F$13+RAND()*(Model!$G$13-Model!$F$13)</f>
        <v>1697.0254369246609</v>
      </c>
      <c r="B1215" s="31">
        <f ca="1">Model!$F$14+RAND()*(Model!$G$14-Model!$F$14)</f>
        <v>0.3679380453109507</v>
      </c>
      <c r="C1215" s="32">
        <f ca="1">Model!$F$15+RAND()*(Model!$G$15-Model!$F$15)</f>
        <v>3.2111162895839963E-2</v>
      </c>
      <c r="D1215" s="33">
        <f ca="1">Model!$F$16+RAND()*(Model!$G$16-Model!$F$16)</f>
        <v>49.742340417801302</v>
      </c>
      <c r="E1215" s="33">
        <f>Model!$D$17</f>
        <v>800</v>
      </c>
      <c r="G1215" s="36">
        <f t="shared" ca="1" si="21"/>
        <v>1286.2320278696725</v>
      </c>
    </row>
    <row r="1216" spans="1:7" x14ac:dyDescent="0.2">
      <c r="A1216" s="6">
        <f ca="1">Model!$F$13+RAND()*(Model!$G$13-Model!$F$13)</f>
        <v>1416.3843814234042</v>
      </c>
      <c r="B1216" s="31">
        <f ca="1">Model!$F$14+RAND()*(Model!$G$14-Model!$F$14)</f>
        <v>0.60755917532055892</v>
      </c>
      <c r="C1216" s="32">
        <f ca="1">Model!$F$15+RAND()*(Model!$G$15-Model!$F$15)</f>
        <v>3.202991435847799E-2</v>
      </c>
      <c r="D1216" s="33">
        <f ca="1">Model!$F$16+RAND()*(Model!$G$16-Model!$F$16)</f>
        <v>47.815762739641116</v>
      </c>
      <c r="E1216" s="33">
        <f>Model!$D$17</f>
        <v>800</v>
      </c>
      <c r="G1216" s="36">
        <f t="shared" ca="1" si="21"/>
        <v>508.70462312532118</v>
      </c>
    </row>
    <row r="1217" spans="1:7" x14ac:dyDescent="0.2">
      <c r="A1217" s="6">
        <f ca="1">Model!$F$13+RAND()*(Model!$G$13-Model!$F$13)</f>
        <v>1510.8968865112085</v>
      </c>
      <c r="B1217" s="31">
        <f ca="1">Model!$F$14+RAND()*(Model!$G$14-Model!$F$14)</f>
        <v>0.77251290140604834</v>
      </c>
      <c r="C1217" s="32">
        <f ca="1">Model!$F$15+RAND()*(Model!$G$15-Model!$F$15)</f>
        <v>2.7877331852830485E-2</v>
      </c>
      <c r="D1217" s="33">
        <f ca="1">Model!$F$16+RAND()*(Model!$G$16-Model!$F$16)</f>
        <v>47.341911905815223</v>
      </c>
      <c r="E1217" s="33">
        <f>Model!$D$17</f>
        <v>800</v>
      </c>
      <c r="G1217" s="36">
        <f t="shared" ca="1" si="21"/>
        <v>26.843287974771783</v>
      </c>
    </row>
    <row r="1218" spans="1:7" x14ac:dyDescent="0.2">
      <c r="A1218" s="6">
        <f ca="1">Model!$F$13+RAND()*(Model!$G$13-Model!$F$13)</f>
        <v>1666.207012749345</v>
      </c>
      <c r="B1218" s="31">
        <f ca="1">Model!$F$14+RAND()*(Model!$G$14-Model!$F$14)</f>
        <v>0.70796169774257689</v>
      </c>
      <c r="C1218" s="32">
        <f ca="1">Model!$F$15+RAND()*(Model!$G$15-Model!$F$15)</f>
        <v>1.7392200156533099E-2</v>
      </c>
      <c r="D1218" s="33">
        <f ca="1">Model!$F$16+RAND()*(Model!$G$16-Model!$F$16)</f>
        <v>52.137575161019093</v>
      </c>
      <c r="E1218" s="33">
        <f>Model!$D$17</f>
        <v>800</v>
      </c>
      <c r="G1218" s="36">
        <f t="shared" ca="1" si="21"/>
        <v>-468.71564900445992</v>
      </c>
    </row>
    <row r="1219" spans="1:7" x14ac:dyDescent="0.2">
      <c r="A1219" s="6">
        <f ca="1">Model!$F$13+RAND()*(Model!$G$13-Model!$F$13)</f>
        <v>1424.7773338107575</v>
      </c>
      <c r="B1219" s="31">
        <f ca="1">Model!$F$14+RAND()*(Model!$G$14-Model!$F$14)</f>
        <v>0.47330377864270778</v>
      </c>
      <c r="C1219" s="32">
        <f ca="1">Model!$F$15+RAND()*(Model!$G$15-Model!$F$15)</f>
        <v>3.0629885221952188E-2</v>
      </c>
      <c r="D1219" s="33">
        <f ca="1">Model!$F$16+RAND()*(Model!$G$16-Model!$F$16)</f>
        <v>52.221706638354348</v>
      </c>
      <c r="E1219" s="33">
        <f>Model!$D$17</f>
        <v>800</v>
      </c>
      <c r="G1219" s="36">
        <f t="shared" ca="1" si="21"/>
        <v>804.64279422867321</v>
      </c>
    </row>
    <row r="1220" spans="1:7" x14ac:dyDescent="0.2">
      <c r="A1220" s="6">
        <f ca="1">Model!$F$13+RAND()*(Model!$G$13-Model!$F$13)</f>
        <v>1249.2263187976168</v>
      </c>
      <c r="B1220" s="31">
        <f ca="1">Model!$F$14+RAND()*(Model!$G$14-Model!$F$14)</f>
        <v>0.49772330607511051</v>
      </c>
      <c r="C1220" s="32">
        <f ca="1">Model!$F$15+RAND()*(Model!$G$15-Model!$F$15)</f>
        <v>4.1517420941892841E-2</v>
      </c>
      <c r="D1220" s="33">
        <f ca="1">Model!$F$16+RAND()*(Model!$G$16-Model!$F$16)</f>
        <v>50.424114385444391</v>
      </c>
      <c r="E1220" s="33">
        <f>Model!$D$17</f>
        <v>800</v>
      </c>
      <c r="G1220" s="36">
        <f t="shared" ca="1" si="21"/>
        <v>1193.4602392841923</v>
      </c>
    </row>
    <row r="1221" spans="1:7" x14ac:dyDescent="0.2">
      <c r="A1221" s="6">
        <f ca="1">Model!$F$13+RAND()*(Model!$G$13-Model!$F$13)</f>
        <v>1533.3708405552452</v>
      </c>
      <c r="B1221" s="31">
        <f ca="1">Model!$F$14+RAND()*(Model!$G$14-Model!$F$14)</f>
        <v>0.66366052439107293</v>
      </c>
      <c r="C1221" s="32">
        <f ca="1">Model!$F$15+RAND()*(Model!$G$15-Model!$F$15)</f>
        <v>3.2129791464800904E-2</v>
      </c>
      <c r="D1221" s="33">
        <f ca="1">Model!$F$16+RAND()*(Model!$G$16-Model!$F$16)</f>
        <v>47.553697781815742</v>
      </c>
      <c r="E1221" s="33">
        <f>Model!$D$17</f>
        <v>800</v>
      </c>
      <c r="G1221" s="36">
        <f t="shared" ca="1" si="21"/>
        <v>525.18488023034524</v>
      </c>
    </row>
    <row r="1222" spans="1:7" x14ac:dyDescent="0.2">
      <c r="A1222" s="6">
        <f ca="1">Model!$F$13+RAND()*(Model!$G$13-Model!$F$13)</f>
        <v>1629.1156766598353</v>
      </c>
      <c r="B1222" s="31">
        <f ca="1">Model!$F$14+RAND()*(Model!$G$14-Model!$F$14)</f>
        <v>0.31753260389604021</v>
      </c>
      <c r="C1222" s="32">
        <f ca="1">Model!$F$15+RAND()*(Model!$G$15-Model!$F$15)</f>
        <v>3.6603686197260725E-2</v>
      </c>
      <c r="D1222" s="33">
        <f ca="1">Model!$F$16+RAND()*(Model!$G$16-Model!$F$16)</f>
        <v>50.803008082805711</v>
      </c>
      <c r="E1222" s="33">
        <f>Model!$D$17</f>
        <v>800</v>
      </c>
      <c r="G1222" s="36">
        <f t="shared" ca="1" si="21"/>
        <v>1712.1692956310476</v>
      </c>
    </row>
    <row r="1223" spans="1:7" x14ac:dyDescent="0.2">
      <c r="A1223" s="6">
        <f ca="1">Model!$F$13+RAND()*(Model!$G$13-Model!$F$13)</f>
        <v>1557.2196395852097</v>
      </c>
      <c r="B1223" s="31">
        <f ca="1">Model!$F$14+RAND()*(Model!$G$14-Model!$F$14)</f>
        <v>0.621132705227743</v>
      </c>
      <c r="C1223" s="32">
        <f ca="1">Model!$F$15+RAND()*(Model!$G$15-Model!$F$15)</f>
        <v>4.6804602390316093E-2</v>
      </c>
      <c r="D1223" s="33">
        <f ca="1">Model!$F$16+RAND()*(Model!$G$16-Model!$F$16)</f>
        <v>52.361719691413249</v>
      </c>
      <c r="E1223" s="33">
        <f>Model!$D$17</f>
        <v>800</v>
      </c>
      <c r="G1223" s="36">
        <f t="shared" ca="1" si="21"/>
        <v>2049.1463043912122</v>
      </c>
    </row>
    <row r="1224" spans="1:7" x14ac:dyDescent="0.2">
      <c r="A1224" s="6">
        <f ca="1">Model!$F$13+RAND()*(Model!$G$13-Model!$F$13)</f>
        <v>1633.234014784472</v>
      </c>
      <c r="B1224" s="31">
        <f ca="1">Model!$F$14+RAND()*(Model!$G$14-Model!$F$14)</f>
        <v>0.56132151005179098</v>
      </c>
      <c r="C1224" s="32">
        <f ca="1">Model!$F$15+RAND()*(Model!$G$15-Model!$F$15)</f>
        <v>1.8548039869416364E-2</v>
      </c>
      <c r="D1224" s="33">
        <f ca="1">Model!$F$16+RAND()*(Model!$G$16-Model!$F$16)</f>
        <v>49.706300236069957</v>
      </c>
      <c r="E1224" s="33">
        <f>Model!$D$17</f>
        <v>800</v>
      </c>
      <c r="G1224" s="36">
        <f t="shared" ca="1" si="21"/>
        <v>-211.00203434203877</v>
      </c>
    </row>
    <row r="1225" spans="1:7" x14ac:dyDescent="0.2">
      <c r="A1225" s="6">
        <f ca="1">Model!$F$13+RAND()*(Model!$G$13-Model!$F$13)</f>
        <v>1392.3835042965318</v>
      </c>
      <c r="B1225" s="31">
        <f ca="1">Model!$F$14+RAND()*(Model!$G$14-Model!$F$14)</f>
        <v>0.3998306719461544</v>
      </c>
      <c r="C1225" s="32">
        <f ca="1">Model!$F$15+RAND()*(Model!$G$15-Model!$F$15)</f>
        <v>1.0367155313620331E-2</v>
      </c>
      <c r="D1225" s="33">
        <f ca="1">Model!$F$16+RAND()*(Model!$G$16-Model!$F$16)</f>
        <v>48.103827881780816</v>
      </c>
      <c r="E1225" s="33">
        <f>Model!$D$17</f>
        <v>800</v>
      </c>
      <c r="G1225" s="36">
        <f t="shared" ca="1" si="21"/>
        <v>-662.33618066914232</v>
      </c>
    </row>
    <row r="1226" spans="1:7" x14ac:dyDescent="0.2">
      <c r="A1226" s="6">
        <f ca="1">Model!$F$13+RAND()*(Model!$G$13-Model!$F$13)</f>
        <v>1609.1953599712042</v>
      </c>
      <c r="B1226" s="31">
        <f ca="1">Model!$F$14+RAND()*(Model!$G$14-Model!$F$14)</f>
        <v>0.59599033613405217</v>
      </c>
      <c r="C1226" s="32">
        <f ca="1">Model!$F$15+RAND()*(Model!$G$15-Model!$F$15)</f>
        <v>2.4349776334492826E-2</v>
      </c>
      <c r="D1226" s="33">
        <f ca="1">Model!$F$16+RAND()*(Model!$G$16-Model!$F$16)</f>
        <v>51.35653283165712</v>
      </c>
      <c r="E1226" s="33">
        <f>Model!$D$17</f>
        <v>800</v>
      </c>
      <c r="G1226" s="36">
        <f t="shared" ca="1" si="21"/>
        <v>253.26623928905565</v>
      </c>
    </row>
    <row r="1227" spans="1:7" x14ac:dyDescent="0.2">
      <c r="A1227" s="6">
        <f ca="1">Model!$F$13+RAND()*(Model!$G$13-Model!$F$13)</f>
        <v>1723.1404679088059</v>
      </c>
      <c r="B1227" s="31">
        <f ca="1">Model!$F$14+RAND()*(Model!$G$14-Model!$F$14)</f>
        <v>0.64260836607520189</v>
      </c>
      <c r="C1227" s="32">
        <f ca="1">Model!$F$15+RAND()*(Model!$G$15-Model!$F$15)</f>
        <v>4.8922648539525646E-2</v>
      </c>
      <c r="D1227" s="33">
        <f ca="1">Model!$F$16+RAND()*(Model!$G$16-Model!$F$16)</f>
        <v>48.031453886505929</v>
      </c>
      <c r="E1227" s="33">
        <f>Model!$D$17</f>
        <v>800</v>
      </c>
      <c r="G1227" s="36">
        <f t="shared" ca="1" si="21"/>
        <v>2141.7756845575104</v>
      </c>
    </row>
    <row r="1228" spans="1:7" x14ac:dyDescent="0.2">
      <c r="A1228" s="6">
        <f ca="1">Model!$F$13+RAND()*(Model!$G$13-Model!$F$13)</f>
        <v>1239.3252391981168</v>
      </c>
      <c r="B1228" s="31">
        <f ca="1">Model!$F$14+RAND()*(Model!$G$14-Model!$F$14)</f>
        <v>0.65804218082631494</v>
      </c>
      <c r="C1228" s="32">
        <f ca="1">Model!$F$15+RAND()*(Model!$G$15-Model!$F$15)</f>
        <v>2.81887174009905E-2</v>
      </c>
      <c r="D1228" s="33">
        <f ca="1">Model!$F$16+RAND()*(Model!$G$16-Model!$F$16)</f>
        <v>50.394356818512207</v>
      </c>
      <c r="E1228" s="33">
        <f>Model!$D$17</f>
        <v>800</v>
      </c>
      <c r="G1228" s="36">
        <f t="shared" ca="1" si="21"/>
        <v>144.99801471994033</v>
      </c>
    </row>
    <row r="1229" spans="1:7" x14ac:dyDescent="0.2">
      <c r="A1229" s="6">
        <f ca="1">Model!$F$13+RAND()*(Model!$G$13-Model!$F$13)</f>
        <v>1617.7018229337377</v>
      </c>
      <c r="B1229" s="31">
        <f ca="1">Model!$F$14+RAND()*(Model!$G$14-Model!$F$14)</f>
        <v>0.72383254520732065</v>
      </c>
      <c r="C1229" s="32">
        <f ca="1">Model!$F$15+RAND()*(Model!$G$15-Model!$F$15)</f>
        <v>1.7883290739564843E-2</v>
      </c>
      <c r="D1229" s="33">
        <f ca="1">Model!$F$16+RAND()*(Model!$G$16-Model!$F$16)</f>
        <v>50.114772568001982</v>
      </c>
      <c r="E1229" s="33">
        <f>Model!$D$17</f>
        <v>800</v>
      </c>
      <c r="G1229" s="36">
        <f t="shared" ca="1" si="21"/>
        <v>-521.13327529436015</v>
      </c>
    </row>
    <row r="1230" spans="1:7" x14ac:dyDescent="0.2">
      <c r="A1230" s="6">
        <f ca="1">Model!$F$13+RAND()*(Model!$G$13-Model!$F$13)</f>
        <v>1458.4188038608756</v>
      </c>
      <c r="B1230" s="31">
        <f ca="1">Model!$F$14+RAND()*(Model!$G$14-Model!$F$14)</f>
        <v>0.74313971616614083</v>
      </c>
      <c r="C1230" s="32">
        <f ca="1">Model!$F$15+RAND()*(Model!$G$15-Model!$F$15)</f>
        <v>1.7286141167867041E-2</v>
      </c>
      <c r="D1230" s="33">
        <f ca="1">Model!$F$16+RAND()*(Model!$G$16-Model!$F$16)</f>
        <v>48.775093881568544</v>
      </c>
      <c r="E1230" s="33">
        <f>Model!$D$17</f>
        <v>800</v>
      </c>
      <c r="G1230" s="36">
        <f t="shared" ca="1" si="21"/>
        <v>-654.16768371059334</v>
      </c>
    </row>
    <row r="1231" spans="1:7" x14ac:dyDescent="0.2">
      <c r="A1231" s="6">
        <f ca="1">Model!$F$13+RAND()*(Model!$G$13-Model!$F$13)</f>
        <v>1487.0407505832675</v>
      </c>
      <c r="B1231" s="31">
        <f ca="1">Model!$F$14+RAND()*(Model!$G$14-Model!$F$14)</f>
        <v>0.58927218529328029</v>
      </c>
      <c r="C1231" s="32">
        <f ca="1">Model!$F$15+RAND()*(Model!$G$15-Model!$F$15)</f>
        <v>1.7361405882645693E-2</v>
      </c>
      <c r="D1231" s="33">
        <f ca="1">Model!$F$16+RAND()*(Model!$G$16-Model!$F$16)</f>
        <v>50.077190922434156</v>
      </c>
      <c r="E1231" s="33">
        <f>Model!$D$17</f>
        <v>800</v>
      </c>
      <c r="G1231" s="36">
        <f t="shared" ca="1" si="21"/>
        <v>-383.42300381514542</v>
      </c>
    </row>
    <row r="1232" spans="1:7" x14ac:dyDescent="0.2">
      <c r="A1232" s="6">
        <f ca="1">Model!$F$13+RAND()*(Model!$G$13-Model!$F$13)</f>
        <v>1533.9430902883466</v>
      </c>
      <c r="B1232" s="31">
        <f ca="1">Model!$F$14+RAND()*(Model!$G$14-Model!$F$14)</f>
        <v>0.5385907411804759</v>
      </c>
      <c r="C1232" s="32">
        <f ca="1">Model!$F$15+RAND()*(Model!$G$15-Model!$F$15)</f>
        <v>2.9046808613386592E-2</v>
      </c>
      <c r="D1232" s="33">
        <f ca="1">Model!$F$16+RAND()*(Model!$G$16-Model!$F$16)</f>
        <v>47.384751754843798</v>
      </c>
      <c r="E1232" s="33">
        <f>Model!$D$17</f>
        <v>800</v>
      </c>
      <c r="G1232" s="36">
        <f t="shared" ca="1" si="21"/>
        <v>485.11462576995768</v>
      </c>
    </row>
    <row r="1233" spans="1:7" x14ac:dyDescent="0.2">
      <c r="A1233" s="6">
        <f ca="1">Model!$F$13+RAND()*(Model!$G$13-Model!$F$13)</f>
        <v>1351.8593738908971</v>
      </c>
      <c r="B1233" s="31">
        <f ca="1">Model!$F$14+RAND()*(Model!$G$14-Model!$F$14)</f>
        <v>0.74178599522811206</v>
      </c>
      <c r="C1233" s="32">
        <f ca="1">Model!$F$15+RAND()*(Model!$G$15-Model!$F$15)</f>
        <v>1.175947906743772E-2</v>
      </c>
      <c r="D1233" s="33">
        <f ca="1">Model!$F$16+RAND()*(Model!$G$16-Model!$F$16)</f>
        <v>49.976144813990089</v>
      </c>
      <c r="E1233" s="33">
        <f>Model!$D$17</f>
        <v>800</v>
      </c>
      <c r="G1233" s="36">
        <f t="shared" ca="1" si="21"/>
        <v>-1008.311480357402</v>
      </c>
    </row>
    <row r="1234" spans="1:7" x14ac:dyDescent="0.2">
      <c r="A1234" s="6">
        <f ca="1">Model!$F$13+RAND()*(Model!$G$13-Model!$F$13)</f>
        <v>1700.0501618702199</v>
      </c>
      <c r="B1234" s="31">
        <f ca="1">Model!$F$14+RAND()*(Model!$G$14-Model!$F$14)</f>
        <v>0.51287638255057244</v>
      </c>
      <c r="C1234" s="32">
        <f ca="1">Model!$F$15+RAND()*(Model!$G$15-Model!$F$15)</f>
        <v>3.2924790207474242E-2</v>
      </c>
      <c r="D1234" s="33">
        <f ca="1">Model!$F$16+RAND()*(Model!$G$16-Model!$F$16)</f>
        <v>50.541158210361431</v>
      </c>
      <c r="E1234" s="33">
        <f>Model!$D$17</f>
        <v>800</v>
      </c>
      <c r="G1234" s="36">
        <f t="shared" ca="1" si="21"/>
        <v>1157.0648476004644</v>
      </c>
    </row>
    <row r="1235" spans="1:7" x14ac:dyDescent="0.2">
      <c r="A1235" s="6">
        <f ca="1">Model!$F$13+RAND()*(Model!$G$13-Model!$F$13)</f>
        <v>1750.2275171596664</v>
      </c>
      <c r="B1235" s="31">
        <f ca="1">Model!$F$14+RAND()*(Model!$G$14-Model!$F$14)</f>
        <v>0.27447736694676811</v>
      </c>
      <c r="C1235" s="32">
        <f ca="1">Model!$F$15+RAND()*(Model!$G$15-Model!$F$15)</f>
        <v>4.0586101918815246E-2</v>
      </c>
      <c r="D1235" s="33">
        <f ca="1">Model!$F$16+RAND()*(Model!$G$16-Model!$F$16)</f>
        <v>51.363780192763677</v>
      </c>
      <c r="E1235" s="33">
        <f>Model!$D$17</f>
        <v>800</v>
      </c>
      <c r="G1235" s="36">
        <f t="shared" ca="1" si="21"/>
        <v>2368.2237856757665</v>
      </c>
    </row>
    <row r="1236" spans="1:7" x14ac:dyDescent="0.2">
      <c r="A1236" s="6">
        <f ca="1">Model!$F$13+RAND()*(Model!$G$13-Model!$F$13)</f>
        <v>1525.9406792249313</v>
      </c>
      <c r="B1236" s="31">
        <f ca="1">Model!$F$14+RAND()*(Model!$G$14-Model!$F$14)</f>
        <v>0.78625833356107555</v>
      </c>
      <c r="C1236" s="32">
        <f ca="1">Model!$F$15+RAND()*(Model!$G$15-Model!$F$15)</f>
        <v>1.3963234989027953E-2</v>
      </c>
      <c r="D1236" s="33">
        <f ca="1">Model!$F$16+RAND()*(Model!$G$16-Model!$F$16)</f>
        <v>51.239708093383079</v>
      </c>
      <c r="E1236" s="33">
        <f>Model!$D$17</f>
        <v>800</v>
      </c>
      <c r="G1236" s="36">
        <f t="shared" ca="1" si="21"/>
        <v>-908.01561639660213</v>
      </c>
    </row>
    <row r="1237" spans="1:7" x14ac:dyDescent="0.2">
      <c r="A1237" s="6">
        <f ca="1">Model!$F$13+RAND()*(Model!$G$13-Model!$F$13)</f>
        <v>1558.3485075527626</v>
      </c>
      <c r="B1237" s="31">
        <f ca="1">Model!$F$14+RAND()*(Model!$G$14-Model!$F$14)</f>
        <v>0.54302539817955409</v>
      </c>
      <c r="C1237" s="32">
        <f ca="1">Model!$F$15+RAND()*(Model!$G$15-Model!$F$15)</f>
        <v>3.3098131937920557E-2</v>
      </c>
      <c r="D1237" s="33">
        <f ca="1">Model!$F$16+RAND()*(Model!$G$16-Model!$F$16)</f>
        <v>52.29488508732436</v>
      </c>
      <c r="E1237" s="33">
        <f>Model!$D$17</f>
        <v>800</v>
      </c>
      <c r="G1237" s="36">
        <f t="shared" ca="1" si="21"/>
        <v>1051.0649638274458</v>
      </c>
    </row>
    <row r="1238" spans="1:7" x14ac:dyDescent="0.2">
      <c r="A1238" s="6">
        <f ca="1">Model!$F$13+RAND()*(Model!$G$13-Model!$F$13)</f>
        <v>1361.0470044401218</v>
      </c>
      <c r="B1238" s="31">
        <f ca="1">Model!$F$14+RAND()*(Model!$G$14-Model!$F$14)</f>
        <v>0.75607496780493744</v>
      </c>
      <c r="C1238" s="32">
        <f ca="1">Model!$F$15+RAND()*(Model!$G$15-Model!$F$15)</f>
        <v>2.716806465345796E-2</v>
      </c>
      <c r="D1238" s="33">
        <f ca="1">Model!$F$16+RAND()*(Model!$G$16-Model!$F$16)</f>
        <v>48.512809220406574</v>
      </c>
      <c r="E1238" s="33">
        <f>Model!$D$17</f>
        <v>800</v>
      </c>
      <c r="G1238" s="36">
        <f t="shared" ca="1" si="21"/>
        <v>-35.194792221722309</v>
      </c>
    </row>
    <row r="1239" spans="1:7" x14ac:dyDescent="0.2">
      <c r="A1239" s="6">
        <f ca="1">Model!$F$13+RAND()*(Model!$G$13-Model!$F$13)</f>
        <v>1316.783255611341</v>
      </c>
      <c r="B1239" s="31">
        <f ca="1">Model!$F$14+RAND()*(Model!$G$14-Model!$F$14)</f>
        <v>0.61606951602369664</v>
      </c>
      <c r="C1239" s="32">
        <f ca="1">Model!$F$15+RAND()*(Model!$G$15-Model!$F$15)</f>
        <v>3.4926886128023076E-2</v>
      </c>
      <c r="D1239" s="33">
        <f ca="1">Model!$F$16+RAND()*(Model!$G$16-Model!$F$16)</f>
        <v>47.375086351883226</v>
      </c>
      <c r="E1239" s="33">
        <f>Model!$D$17</f>
        <v>800</v>
      </c>
      <c r="G1239" s="36">
        <f t="shared" ca="1" si="21"/>
        <v>567.6041502170383</v>
      </c>
    </row>
    <row r="1240" spans="1:7" x14ac:dyDescent="0.2">
      <c r="A1240" s="6">
        <f ca="1">Model!$F$13+RAND()*(Model!$G$13-Model!$F$13)</f>
        <v>1516.0476886542856</v>
      </c>
      <c r="B1240" s="31">
        <f ca="1">Model!$F$14+RAND()*(Model!$G$14-Model!$F$14)</f>
        <v>0.69610509577916813</v>
      </c>
      <c r="C1240" s="32">
        <f ca="1">Model!$F$15+RAND()*(Model!$G$15-Model!$F$15)</f>
        <v>3.0747550891367083E-2</v>
      </c>
      <c r="D1240" s="33">
        <f ca="1">Model!$F$16+RAND()*(Model!$G$16-Model!$F$16)</f>
        <v>49.83203530295409</v>
      </c>
      <c r="E1240" s="33">
        <f>Model!$D$17</f>
        <v>800</v>
      </c>
      <c r="G1240" s="36">
        <f t="shared" ca="1" si="21"/>
        <v>467.57951857249054</v>
      </c>
    </row>
    <row r="1241" spans="1:7" x14ac:dyDescent="0.2">
      <c r="A1241" s="6">
        <f ca="1">Model!$F$13+RAND()*(Model!$G$13-Model!$F$13)</f>
        <v>1580.3402530586673</v>
      </c>
      <c r="B1241" s="31">
        <f ca="1">Model!$F$14+RAND()*(Model!$G$14-Model!$F$14)</f>
        <v>0.21302770667687765</v>
      </c>
      <c r="C1241" s="32">
        <f ca="1">Model!$F$15+RAND()*(Model!$G$15-Model!$F$15)</f>
        <v>3.6654994196023485E-2</v>
      </c>
      <c r="D1241" s="33">
        <f ca="1">Model!$F$16+RAND()*(Model!$G$16-Model!$F$16)</f>
        <v>49.716245120525485</v>
      </c>
      <c r="E1241" s="33">
        <f>Model!$D$17</f>
        <v>800</v>
      </c>
      <c r="G1241" s="36">
        <f t="shared" ca="1" si="21"/>
        <v>1743.2747084515281</v>
      </c>
    </row>
    <row r="1242" spans="1:7" x14ac:dyDescent="0.2">
      <c r="A1242" s="6">
        <f ca="1">Model!$F$13+RAND()*(Model!$G$13-Model!$F$13)</f>
        <v>1395.1504207850519</v>
      </c>
      <c r="B1242" s="31">
        <f ca="1">Model!$F$14+RAND()*(Model!$G$14-Model!$F$14)</f>
        <v>0.6725408372540016</v>
      </c>
      <c r="C1242" s="32">
        <f ca="1">Model!$F$15+RAND()*(Model!$G$15-Model!$F$15)</f>
        <v>4.5167941971552383E-2</v>
      </c>
      <c r="D1242" s="33">
        <f ca="1">Model!$F$16+RAND()*(Model!$G$16-Model!$F$16)</f>
        <v>51.265747025347153</v>
      </c>
      <c r="E1242" s="33">
        <f>Model!$D$17</f>
        <v>800</v>
      </c>
      <c r="G1242" s="36">
        <f t="shared" ca="1" si="21"/>
        <v>1492.2704375524702</v>
      </c>
    </row>
    <row r="1243" spans="1:7" x14ac:dyDescent="0.2">
      <c r="A1243" s="6">
        <f ca="1">Model!$F$13+RAND()*(Model!$G$13-Model!$F$13)</f>
        <v>1500.1879196099853</v>
      </c>
      <c r="B1243" s="31">
        <f ca="1">Model!$F$14+RAND()*(Model!$G$14-Model!$F$14)</f>
        <v>0.46488334062106745</v>
      </c>
      <c r="C1243" s="32">
        <f ca="1">Model!$F$15+RAND()*(Model!$G$15-Model!$F$15)</f>
        <v>1.4052640508343154E-2</v>
      </c>
      <c r="D1243" s="33">
        <f ca="1">Model!$F$16+RAND()*(Model!$G$16-Model!$F$16)</f>
        <v>48.732348716585548</v>
      </c>
      <c r="E1243" s="33">
        <f>Model!$D$17</f>
        <v>800</v>
      </c>
      <c r="G1243" s="36">
        <f t="shared" ca="1" si="21"/>
        <v>-470.0564144007144</v>
      </c>
    </row>
    <row r="1244" spans="1:7" x14ac:dyDescent="0.2">
      <c r="A1244" s="6">
        <f ca="1">Model!$F$13+RAND()*(Model!$G$13-Model!$F$13)</f>
        <v>1515.1954356530598</v>
      </c>
      <c r="B1244" s="31">
        <f ca="1">Model!$F$14+RAND()*(Model!$G$14-Model!$F$14)</f>
        <v>0.51680426562879633</v>
      </c>
      <c r="C1244" s="32">
        <f ca="1">Model!$F$15+RAND()*(Model!$G$15-Model!$F$15)</f>
        <v>1.4648723606122793E-2</v>
      </c>
      <c r="D1244" s="33">
        <f ca="1">Model!$F$16+RAND()*(Model!$G$16-Model!$F$16)</f>
        <v>51.263891896400224</v>
      </c>
      <c r="E1244" s="33">
        <f>Model!$D$17</f>
        <v>800</v>
      </c>
      <c r="G1244" s="36">
        <f t="shared" ca="1" si="21"/>
        <v>-445.22256809185296</v>
      </c>
    </row>
    <row r="1245" spans="1:7" x14ac:dyDescent="0.2">
      <c r="A1245" s="6">
        <f ca="1">Model!$F$13+RAND()*(Model!$G$13-Model!$F$13)</f>
        <v>1232.6139956519012</v>
      </c>
      <c r="B1245" s="31">
        <f ca="1">Model!$F$14+RAND()*(Model!$G$14-Model!$F$14)</f>
        <v>0.32250422277306456</v>
      </c>
      <c r="C1245" s="32">
        <f ca="1">Model!$F$15+RAND()*(Model!$G$15-Model!$F$15)</f>
        <v>2.7010369125808661E-2</v>
      </c>
      <c r="D1245" s="33">
        <f ca="1">Model!$F$16+RAND()*(Model!$G$16-Model!$F$16)</f>
        <v>47.41177918450591</v>
      </c>
      <c r="E1245" s="33">
        <f>Model!$D$17</f>
        <v>800</v>
      </c>
      <c r="G1245" s="36">
        <f t="shared" ca="1" si="21"/>
        <v>380.97416714978749</v>
      </c>
    </row>
    <row r="1246" spans="1:7" x14ac:dyDescent="0.2">
      <c r="A1246" s="6">
        <f ca="1">Model!$F$13+RAND()*(Model!$G$13-Model!$F$13)</f>
        <v>1529.0659735873669</v>
      </c>
      <c r="B1246" s="31">
        <f ca="1">Model!$F$14+RAND()*(Model!$G$14-Model!$F$14)</f>
        <v>0.21703575869976965</v>
      </c>
      <c r="C1246" s="32">
        <f ca="1">Model!$F$15+RAND()*(Model!$G$15-Model!$F$15)</f>
        <v>4.7063011111318387E-2</v>
      </c>
      <c r="D1246" s="33">
        <f ca="1">Model!$F$16+RAND()*(Model!$G$16-Model!$F$16)</f>
        <v>49.463584560014596</v>
      </c>
      <c r="E1246" s="33">
        <f>Model!$D$17</f>
        <v>800</v>
      </c>
      <c r="G1246" s="36">
        <f t="shared" ca="1" si="21"/>
        <v>2427.6586828727804</v>
      </c>
    </row>
    <row r="1247" spans="1:7" x14ac:dyDescent="0.2">
      <c r="A1247" s="6">
        <f ca="1">Model!$F$13+RAND()*(Model!$G$13-Model!$F$13)</f>
        <v>1586.967432344182</v>
      </c>
      <c r="B1247" s="31">
        <f ca="1">Model!$F$14+RAND()*(Model!$G$14-Model!$F$14)</f>
        <v>0.79709764741767319</v>
      </c>
      <c r="C1247" s="32">
        <f ca="1">Model!$F$15+RAND()*(Model!$G$15-Model!$F$15)</f>
        <v>1.9261347864451786E-2</v>
      </c>
      <c r="D1247" s="33">
        <f ca="1">Model!$F$16+RAND()*(Model!$G$16-Model!$F$16)</f>
        <v>49.719283422672419</v>
      </c>
      <c r="E1247" s="33">
        <f>Model!$D$17</f>
        <v>800</v>
      </c>
      <c r="G1247" s="36">
        <f t="shared" ca="1" si="21"/>
        <v>-545.19211926064941</v>
      </c>
    </row>
    <row r="1248" spans="1:7" x14ac:dyDescent="0.2">
      <c r="A1248" s="6">
        <f ca="1">Model!$F$13+RAND()*(Model!$G$13-Model!$F$13)</f>
        <v>1521.6791931983812</v>
      </c>
      <c r="B1248" s="31">
        <f ca="1">Model!$F$14+RAND()*(Model!$G$14-Model!$F$14)</f>
        <v>0.39519207906758769</v>
      </c>
      <c r="C1248" s="32">
        <f ca="1">Model!$F$15+RAND()*(Model!$G$15-Model!$F$15)</f>
        <v>4.8673045743350372E-2</v>
      </c>
      <c r="D1248" s="33">
        <f ca="1">Model!$F$16+RAND()*(Model!$G$16-Model!$F$16)</f>
        <v>48.019115878024742</v>
      </c>
      <c r="E1248" s="33">
        <f>Model!$D$17</f>
        <v>800</v>
      </c>
      <c r="G1248" s="36">
        <f t="shared" ca="1" si="21"/>
        <v>2155.168775810781</v>
      </c>
    </row>
    <row r="1249" spans="1:7" x14ac:dyDescent="0.2">
      <c r="A1249" s="6">
        <f ca="1">Model!$F$13+RAND()*(Model!$G$13-Model!$F$13)</f>
        <v>1762.6560769031216</v>
      </c>
      <c r="B1249" s="31">
        <f ca="1">Model!$F$14+RAND()*(Model!$G$14-Model!$F$14)</f>
        <v>0.34256001179964091</v>
      </c>
      <c r="C1249" s="32">
        <f ca="1">Model!$F$15+RAND()*(Model!$G$15-Model!$F$15)</f>
        <v>2.5945035217223869E-2</v>
      </c>
      <c r="D1249" s="33">
        <f ca="1">Model!$F$16+RAND()*(Model!$G$16-Model!$F$16)</f>
        <v>49.152481751319904</v>
      </c>
      <c r="E1249" s="33">
        <f>Model!$D$17</f>
        <v>800</v>
      </c>
      <c r="G1249" s="36">
        <f t="shared" ca="1" si="21"/>
        <v>844.0343610433406</v>
      </c>
    </row>
    <row r="1250" spans="1:7" x14ac:dyDescent="0.2">
      <c r="A1250" s="6">
        <f ca="1">Model!$F$13+RAND()*(Model!$G$13-Model!$F$13)</f>
        <v>1712.6542245948885</v>
      </c>
      <c r="B1250" s="31">
        <f ca="1">Model!$F$14+RAND()*(Model!$G$14-Model!$F$14)</f>
        <v>0.41597354995290942</v>
      </c>
      <c r="C1250" s="32">
        <f ca="1">Model!$F$15+RAND()*(Model!$G$15-Model!$F$15)</f>
        <v>1.3971940788553728E-2</v>
      </c>
      <c r="D1250" s="33">
        <f ca="1">Model!$F$16+RAND()*(Model!$G$16-Model!$F$16)</f>
        <v>52.646680914680957</v>
      </c>
      <c r="E1250" s="33">
        <f>Model!$D$17</f>
        <v>800</v>
      </c>
      <c r="G1250" s="36">
        <f t="shared" ca="1" si="21"/>
        <v>-252.63098546126298</v>
      </c>
    </row>
    <row r="1251" spans="1:7" x14ac:dyDescent="0.2">
      <c r="A1251" s="6">
        <f ca="1">Model!$F$13+RAND()*(Model!$G$13-Model!$F$13)</f>
        <v>1693.7571612628581</v>
      </c>
      <c r="B1251" s="31">
        <f ca="1">Model!$F$14+RAND()*(Model!$G$14-Model!$F$14)</f>
        <v>0.24909231984948346</v>
      </c>
      <c r="C1251" s="32">
        <f ca="1">Model!$F$15+RAND()*(Model!$G$15-Model!$F$15)</f>
        <v>4.2545583472914351E-2</v>
      </c>
      <c r="D1251" s="33">
        <f ca="1">Model!$F$16+RAND()*(Model!$G$16-Model!$F$16)</f>
        <v>48.504307876119675</v>
      </c>
      <c r="E1251" s="33">
        <f>Model!$D$17</f>
        <v>800</v>
      </c>
      <c r="G1251" s="36">
        <f t="shared" ca="1" si="21"/>
        <v>2273.4100374568943</v>
      </c>
    </row>
    <row r="1252" spans="1:7" x14ac:dyDescent="0.2">
      <c r="A1252" s="6">
        <f ca="1">Model!$F$13+RAND()*(Model!$G$13-Model!$F$13)</f>
        <v>1737.0008910588479</v>
      </c>
      <c r="B1252" s="31">
        <f ca="1">Model!$F$14+RAND()*(Model!$G$14-Model!$F$14)</f>
        <v>0.51175273794809706</v>
      </c>
      <c r="C1252" s="32">
        <f ca="1">Model!$F$15+RAND()*(Model!$G$15-Model!$F$15)</f>
        <v>2.1793686730505434E-2</v>
      </c>
      <c r="D1252" s="33">
        <f ca="1">Model!$F$16+RAND()*(Model!$G$16-Model!$F$16)</f>
        <v>48.374140085834611</v>
      </c>
      <c r="E1252" s="33">
        <f>Model!$D$17</f>
        <v>800</v>
      </c>
      <c r="G1252" s="36">
        <f t="shared" ca="1" si="21"/>
        <v>142.31971252281824</v>
      </c>
    </row>
    <row r="1253" spans="1:7" x14ac:dyDescent="0.2">
      <c r="A1253" s="6">
        <f ca="1">Model!$F$13+RAND()*(Model!$G$13-Model!$F$13)</f>
        <v>1526.7457106980605</v>
      </c>
      <c r="B1253" s="31">
        <f ca="1">Model!$F$14+RAND()*(Model!$G$14-Model!$F$14)</f>
        <v>0.61726337996236857</v>
      </c>
      <c r="C1253" s="32">
        <f ca="1">Model!$F$15+RAND()*(Model!$G$15-Model!$F$15)</f>
        <v>2.1337716268212438E-2</v>
      </c>
      <c r="D1253" s="33">
        <f ca="1">Model!$F$16+RAND()*(Model!$G$16-Model!$F$16)</f>
        <v>49.90061723657481</v>
      </c>
      <c r="E1253" s="33">
        <f>Model!$D$17</f>
        <v>800</v>
      </c>
      <c r="G1253" s="36">
        <f t="shared" ca="1" si="21"/>
        <v>-116.77849709754423</v>
      </c>
    </row>
    <row r="1254" spans="1:7" x14ac:dyDescent="0.2">
      <c r="A1254" s="6">
        <f ca="1">Model!$F$13+RAND()*(Model!$G$13-Model!$F$13)</f>
        <v>1649.1885817323707</v>
      </c>
      <c r="B1254" s="31">
        <f ca="1">Model!$F$14+RAND()*(Model!$G$14-Model!$F$14)</f>
        <v>0.32413041386360314</v>
      </c>
      <c r="C1254" s="32">
        <f ca="1">Model!$F$15+RAND()*(Model!$G$15-Model!$F$15)</f>
        <v>3.2615237597196166E-2</v>
      </c>
      <c r="D1254" s="33">
        <f ca="1">Model!$F$16+RAND()*(Model!$G$16-Model!$F$16)</f>
        <v>49.721279767467564</v>
      </c>
      <c r="E1254" s="33">
        <f>Model!$D$17</f>
        <v>800</v>
      </c>
      <c r="G1254" s="36">
        <f t="shared" ca="1" si="21"/>
        <v>1339.8897015706557</v>
      </c>
    </row>
    <row r="1255" spans="1:7" x14ac:dyDescent="0.2">
      <c r="A1255" s="6">
        <f ca="1">Model!$F$13+RAND()*(Model!$G$13-Model!$F$13)</f>
        <v>1668.6240133494309</v>
      </c>
      <c r="B1255" s="31">
        <f ca="1">Model!$F$14+RAND()*(Model!$G$14-Model!$F$14)</f>
        <v>0.7098083485003619</v>
      </c>
      <c r="C1255" s="32">
        <f ca="1">Model!$F$15+RAND()*(Model!$G$15-Model!$F$15)</f>
        <v>1.4007808322135426E-2</v>
      </c>
      <c r="D1255" s="33">
        <f ca="1">Model!$F$16+RAND()*(Model!$G$16-Model!$F$16)</f>
        <v>48.118728614313554</v>
      </c>
      <c r="E1255" s="33">
        <f>Model!$D$17</f>
        <v>800</v>
      </c>
      <c r="G1255" s="36">
        <f t="shared" ca="1" si="21"/>
        <v>-859.68738405927616</v>
      </c>
    </row>
    <row r="1256" spans="1:7" x14ac:dyDescent="0.2">
      <c r="A1256" s="6">
        <f ca="1">Model!$F$13+RAND()*(Model!$G$13-Model!$F$13)</f>
        <v>1295.6142747699148</v>
      </c>
      <c r="B1256" s="31">
        <f ca="1">Model!$F$14+RAND()*(Model!$G$14-Model!$F$14)</f>
        <v>0.63756668021469154</v>
      </c>
      <c r="C1256" s="32">
        <f ca="1">Model!$F$15+RAND()*(Model!$G$15-Model!$F$15)</f>
        <v>1.6004166337931384E-2</v>
      </c>
      <c r="D1256" s="33">
        <f ca="1">Model!$F$16+RAND()*(Model!$G$16-Model!$F$16)</f>
        <v>48.218651270999196</v>
      </c>
      <c r="E1256" s="33">
        <f>Model!$D$17</f>
        <v>800</v>
      </c>
      <c r="G1256" s="36">
        <f t="shared" ca="1" si="21"/>
        <v>-626.21584297067591</v>
      </c>
    </row>
    <row r="1257" spans="1:7" x14ac:dyDescent="0.2">
      <c r="A1257" s="6">
        <f ca="1">Model!$F$13+RAND()*(Model!$G$13-Model!$F$13)</f>
        <v>1726.7703976939299</v>
      </c>
      <c r="B1257" s="31">
        <f ca="1">Model!$F$14+RAND()*(Model!$G$14-Model!$F$14)</f>
        <v>0.25441898535674745</v>
      </c>
      <c r="C1257" s="32">
        <f ca="1">Model!$F$15+RAND()*(Model!$G$15-Model!$F$15)</f>
        <v>3.3125348429749686E-2</v>
      </c>
      <c r="D1257" s="33">
        <f ca="1">Model!$F$16+RAND()*(Model!$G$16-Model!$F$16)</f>
        <v>48.289171050123755</v>
      </c>
      <c r="E1257" s="33">
        <f>Model!$D$17</f>
        <v>800</v>
      </c>
      <c r="G1257" s="36">
        <f t="shared" ref="G1257:G1320" ca="1" si="22">A1257*C1257*D1257-(E1257+A1257*B1257)</f>
        <v>1522.8111861881728</v>
      </c>
    </row>
    <row r="1258" spans="1:7" x14ac:dyDescent="0.2">
      <c r="A1258" s="6">
        <f ca="1">Model!$F$13+RAND()*(Model!$G$13-Model!$F$13)</f>
        <v>1749.5644921203275</v>
      </c>
      <c r="B1258" s="31">
        <f ca="1">Model!$F$14+RAND()*(Model!$G$14-Model!$F$14)</f>
        <v>0.31266747003278472</v>
      </c>
      <c r="C1258" s="32">
        <f ca="1">Model!$F$15+RAND()*(Model!$G$15-Model!$F$15)</f>
        <v>3.5815632735564283E-2</v>
      </c>
      <c r="D1258" s="33">
        <f ca="1">Model!$F$16+RAND()*(Model!$G$16-Model!$F$16)</f>
        <v>50.112407869784548</v>
      </c>
      <c r="E1258" s="33">
        <f>Model!$D$17</f>
        <v>800</v>
      </c>
      <c r="G1258" s="36">
        <f t="shared" ca="1" si="22"/>
        <v>1793.0997363173519</v>
      </c>
    </row>
    <row r="1259" spans="1:7" x14ac:dyDescent="0.2">
      <c r="A1259" s="6">
        <f ca="1">Model!$F$13+RAND()*(Model!$G$13-Model!$F$13)</f>
        <v>1744.975791728797</v>
      </c>
      <c r="B1259" s="31">
        <f ca="1">Model!$F$14+RAND()*(Model!$G$14-Model!$F$14)</f>
        <v>0.68537547013541489</v>
      </c>
      <c r="C1259" s="32">
        <f ca="1">Model!$F$15+RAND()*(Model!$G$15-Model!$F$15)</f>
        <v>4.2534583575247961E-2</v>
      </c>
      <c r="D1259" s="33">
        <f ca="1">Model!$F$16+RAND()*(Model!$G$16-Model!$F$16)</f>
        <v>52.73925465621798</v>
      </c>
      <c r="E1259" s="33">
        <f>Model!$D$17</f>
        <v>800</v>
      </c>
      <c r="G1259" s="36">
        <f t="shared" ca="1" si="22"/>
        <v>1918.4397912027871</v>
      </c>
    </row>
    <row r="1260" spans="1:7" x14ac:dyDescent="0.2">
      <c r="A1260" s="6">
        <f ca="1">Model!$F$13+RAND()*(Model!$G$13-Model!$F$13)</f>
        <v>1646.8517645407328</v>
      </c>
      <c r="B1260" s="31">
        <f ca="1">Model!$F$14+RAND()*(Model!$G$14-Model!$F$14)</f>
        <v>0.60353311680205945</v>
      </c>
      <c r="C1260" s="32">
        <f ca="1">Model!$F$15+RAND()*(Model!$G$15-Model!$F$15)</f>
        <v>3.8044193063393364E-2</v>
      </c>
      <c r="D1260" s="33">
        <f ca="1">Model!$F$16+RAND()*(Model!$G$16-Model!$F$16)</f>
        <v>51.100548966706342</v>
      </c>
      <c r="E1260" s="33">
        <f>Model!$D$17</f>
        <v>800</v>
      </c>
      <c r="G1260" s="36">
        <f t="shared" ca="1" si="22"/>
        <v>1407.6806011007825</v>
      </c>
    </row>
    <row r="1261" spans="1:7" x14ac:dyDescent="0.2">
      <c r="A1261" s="6">
        <f ca="1">Model!$F$13+RAND()*(Model!$G$13-Model!$F$13)</f>
        <v>1593.7373893039887</v>
      </c>
      <c r="B1261" s="31">
        <f ca="1">Model!$F$14+RAND()*(Model!$G$14-Model!$F$14)</f>
        <v>0.4171006052773264</v>
      </c>
      <c r="C1261" s="32">
        <f ca="1">Model!$F$15+RAND()*(Model!$G$15-Model!$F$15)</f>
        <v>3.3912581673351226E-2</v>
      </c>
      <c r="D1261" s="33">
        <f ca="1">Model!$F$16+RAND()*(Model!$G$16-Model!$F$16)</f>
        <v>50.568250866459096</v>
      </c>
      <c r="E1261" s="33">
        <f>Model!$D$17</f>
        <v>800</v>
      </c>
      <c r="G1261" s="36">
        <f t="shared" ca="1" si="22"/>
        <v>1268.3513197161701</v>
      </c>
    </row>
    <row r="1262" spans="1:7" x14ac:dyDescent="0.2">
      <c r="A1262" s="6">
        <f ca="1">Model!$F$13+RAND()*(Model!$G$13-Model!$F$13)</f>
        <v>1365.1532445945661</v>
      </c>
      <c r="B1262" s="31">
        <f ca="1">Model!$F$14+RAND()*(Model!$G$14-Model!$F$14)</f>
        <v>0.73044877466834079</v>
      </c>
      <c r="C1262" s="32">
        <f ca="1">Model!$F$15+RAND()*(Model!$G$15-Model!$F$15)</f>
        <v>3.9309085418691242E-2</v>
      </c>
      <c r="D1262" s="33">
        <f ca="1">Model!$F$16+RAND()*(Model!$G$16-Model!$F$16)</f>
        <v>51.385099488608638</v>
      </c>
      <c r="E1262" s="33">
        <f>Model!$D$17</f>
        <v>800</v>
      </c>
      <c r="G1262" s="36">
        <f t="shared" ca="1" si="22"/>
        <v>960.30025098914734</v>
      </c>
    </row>
    <row r="1263" spans="1:7" x14ac:dyDescent="0.2">
      <c r="A1263" s="6">
        <f ca="1">Model!$F$13+RAND()*(Model!$G$13-Model!$F$13)</f>
        <v>1241.9628245298563</v>
      </c>
      <c r="B1263" s="31">
        <f ca="1">Model!$F$14+RAND()*(Model!$G$14-Model!$F$14)</f>
        <v>0.70567645039579174</v>
      </c>
      <c r="C1263" s="32">
        <f ca="1">Model!$F$15+RAND()*(Model!$G$15-Model!$F$15)</f>
        <v>3.9232761194125276E-2</v>
      </c>
      <c r="D1263" s="33">
        <f ca="1">Model!$F$16+RAND()*(Model!$G$16-Model!$F$16)</f>
        <v>52.0270011316249</v>
      </c>
      <c r="E1263" s="33">
        <f>Model!$D$17</f>
        <v>800</v>
      </c>
      <c r="G1263" s="36">
        <f t="shared" ca="1" si="22"/>
        <v>858.62453678743987</v>
      </c>
    </row>
    <row r="1264" spans="1:7" x14ac:dyDescent="0.2">
      <c r="A1264" s="6">
        <f ca="1">Model!$F$13+RAND()*(Model!$G$13-Model!$F$13)</f>
        <v>1447.713524090203</v>
      </c>
      <c r="B1264" s="31">
        <f ca="1">Model!$F$14+RAND()*(Model!$G$14-Model!$F$14)</f>
        <v>0.36288816271205615</v>
      </c>
      <c r="C1264" s="32">
        <f ca="1">Model!$F$15+RAND()*(Model!$G$15-Model!$F$15)</f>
        <v>2.8967767668486168E-2</v>
      </c>
      <c r="D1264" s="33">
        <f ca="1">Model!$F$16+RAND()*(Model!$G$16-Model!$F$16)</f>
        <v>50.252892939107362</v>
      </c>
      <c r="E1264" s="33">
        <f>Model!$D$17</f>
        <v>800</v>
      </c>
      <c r="G1264" s="36">
        <f t="shared" ca="1" si="22"/>
        <v>782.09892845340846</v>
      </c>
    </row>
    <row r="1265" spans="1:7" x14ac:dyDescent="0.2">
      <c r="A1265" s="6">
        <f ca="1">Model!$F$13+RAND()*(Model!$G$13-Model!$F$13)</f>
        <v>1353.1947761987983</v>
      </c>
      <c r="B1265" s="31">
        <f ca="1">Model!$F$14+RAND()*(Model!$G$14-Model!$F$14)</f>
        <v>0.76577328608283501</v>
      </c>
      <c r="C1265" s="32">
        <f ca="1">Model!$F$15+RAND()*(Model!$G$15-Model!$F$15)</f>
        <v>2.2271573955980194E-2</v>
      </c>
      <c r="D1265" s="33">
        <f ca="1">Model!$F$16+RAND()*(Model!$G$16-Model!$F$16)</f>
        <v>47.740559064098221</v>
      </c>
      <c r="E1265" s="33">
        <f>Model!$D$17</f>
        <v>800</v>
      </c>
      <c r="G1265" s="36">
        <f t="shared" ca="1" si="22"/>
        <v>-397.44606201158422</v>
      </c>
    </row>
    <row r="1266" spans="1:7" x14ac:dyDescent="0.2">
      <c r="A1266" s="6">
        <f ca="1">Model!$F$13+RAND()*(Model!$G$13-Model!$F$13)</f>
        <v>1292.6554161018996</v>
      </c>
      <c r="B1266" s="31">
        <f ca="1">Model!$F$14+RAND()*(Model!$G$14-Model!$F$14)</f>
        <v>0.72959255880678597</v>
      </c>
      <c r="C1266" s="32">
        <f ca="1">Model!$F$15+RAND()*(Model!$G$15-Model!$F$15)</f>
        <v>4.9398975327752059E-2</v>
      </c>
      <c r="D1266" s="33">
        <f ca="1">Model!$F$16+RAND()*(Model!$G$16-Model!$F$16)</f>
        <v>47.396879625543946</v>
      </c>
      <c r="E1266" s="33">
        <f>Model!$D$17</f>
        <v>800</v>
      </c>
      <c r="G1266" s="36">
        <f t="shared" ca="1" si="22"/>
        <v>1283.4564056843242</v>
      </c>
    </row>
    <row r="1267" spans="1:7" x14ac:dyDescent="0.2">
      <c r="A1267" s="6">
        <f ca="1">Model!$F$13+RAND()*(Model!$G$13-Model!$F$13)</f>
        <v>1259.0776536312394</v>
      </c>
      <c r="B1267" s="31">
        <f ca="1">Model!$F$14+RAND()*(Model!$G$14-Model!$F$14)</f>
        <v>0.76167979642529215</v>
      </c>
      <c r="C1267" s="32">
        <f ca="1">Model!$F$15+RAND()*(Model!$G$15-Model!$F$15)</f>
        <v>4.5693458492562213E-2</v>
      </c>
      <c r="D1267" s="33">
        <f ca="1">Model!$F$16+RAND()*(Model!$G$16-Model!$F$16)</f>
        <v>52.478672681336477</v>
      </c>
      <c r="E1267" s="33">
        <f>Model!$D$17</f>
        <v>800</v>
      </c>
      <c r="G1267" s="36">
        <f t="shared" ca="1" si="22"/>
        <v>1260.1686505837624</v>
      </c>
    </row>
    <row r="1268" spans="1:7" x14ac:dyDescent="0.2">
      <c r="A1268" s="6">
        <f ca="1">Model!$F$13+RAND()*(Model!$G$13-Model!$F$13)</f>
        <v>1729.804051976751</v>
      </c>
      <c r="B1268" s="31">
        <f ca="1">Model!$F$14+RAND()*(Model!$G$14-Model!$F$14)</f>
        <v>0.32806511633390611</v>
      </c>
      <c r="C1268" s="32">
        <f ca="1">Model!$F$15+RAND()*(Model!$G$15-Model!$F$15)</f>
        <v>2.7541585825893534E-2</v>
      </c>
      <c r="D1268" s="33">
        <f ca="1">Model!$F$16+RAND()*(Model!$G$16-Model!$F$16)</f>
        <v>48.213788412051343</v>
      </c>
      <c r="E1268" s="33">
        <f>Model!$D$17</f>
        <v>800</v>
      </c>
      <c r="G1268" s="36">
        <f t="shared" ca="1" si="22"/>
        <v>929.4910875385799</v>
      </c>
    </row>
    <row r="1269" spans="1:7" x14ac:dyDescent="0.2">
      <c r="A1269" s="6">
        <f ca="1">Model!$F$13+RAND()*(Model!$G$13-Model!$F$13)</f>
        <v>1311.1061521935237</v>
      </c>
      <c r="B1269" s="31">
        <f ca="1">Model!$F$14+RAND()*(Model!$G$14-Model!$F$14)</f>
        <v>0.34778896417495081</v>
      </c>
      <c r="C1269" s="32">
        <f ca="1">Model!$F$15+RAND()*(Model!$G$15-Model!$F$15)</f>
        <v>3.2000983162004365E-2</v>
      </c>
      <c r="D1269" s="33">
        <f ca="1">Model!$F$16+RAND()*(Model!$G$16-Model!$F$16)</f>
        <v>48.614142367796262</v>
      </c>
      <c r="E1269" s="33">
        <f>Model!$D$17</f>
        <v>800</v>
      </c>
      <c r="G1269" s="36">
        <f t="shared" ca="1" si="22"/>
        <v>783.7000510260591</v>
      </c>
    </row>
    <row r="1270" spans="1:7" x14ac:dyDescent="0.2">
      <c r="A1270" s="6">
        <f ca="1">Model!$F$13+RAND()*(Model!$G$13-Model!$F$13)</f>
        <v>1497.4237433058281</v>
      </c>
      <c r="B1270" s="31">
        <f ca="1">Model!$F$14+RAND()*(Model!$G$14-Model!$F$14)</f>
        <v>0.57712827278109846</v>
      </c>
      <c r="C1270" s="32">
        <f ca="1">Model!$F$15+RAND()*(Model!$G$15-Model!$F$15)</f>
        <v>3.2382437632157993E-2</v>
      </c>
      <c r="D1270" s="33">
        <f ca="1">Model!$F$16+RAND()*(Model!$G$16-Model!$F$16)</f>
        <v>49.051557166255996</v>
      </c>
      <c r="E1270" s="33">
        <f>Model!$D$17</f>
        <v>800</v>
      </c>
      <c r="G1270" s="36">
        <f t="shared" ca="1" si="22"/>
        <v>714.3157581539117</v>
      </c>
    </row>
    <row r="1271" spans="1:7" x14ac:dyDescent="0.2">
      <c r="A1271" s="6">
        <f ca="1">Model!$F$13+RAND()*(Model!$G$13-Model!$F$13)</f>
        <v>1291.724776521856</v>
      </c>
      <c r="B1271" s="31">
        <f ca="1">Model!$F$14+RAND()*(Model!$G$14-Model!$F$14)</f>
        <v>0.76043529815704658</v>
      </c>
      <c r="C1271" s="32">
        <f ca="1">Model!$F$15+RAND()*(Model!$G$15-Model!$F$15)</f>
        <v>4.0225964063652635E-2</v>
      </c>
      <c r="D1271" s="33">
        <f ca="1">Model!$F$16+RAND()*(Model!$G$16-Model!$F$16)</f>
        <v>48.165698991160234</v>
      </c>
      <c r="E1271" s="33">
        <f>Model!$D$17</f>
        <v>800</v>
      </c>
      <c r="G1271" s="36">
        <f t="shared" ca="1" si="22"/>
        <v>720.45872204725197</v>
      </c>
    </row>
    <row r="1272" spans="1:7" x14ac:dyDescent="0.2">
      <c r="A1272" s="6">
        <f ca="1">Model!$F$13+RAND()*(Model!$G$13-Model!$F$13)</f>
        <v>1216.8184976570114</v>
      </c>
      <c r="B1272" s="31">
        <f ca="1">Model!$F$14+RAND()*(Model!$G$14-Model!$F$14)</f>
        <v>0.47057474237943886</v>
      </c>
      <c r="C1272" s="32">
        <f ca="1">Model!$F$15+RAND()*(Model!$G$15-Model!$F$15)</f>
        <v>2.2876457578751102E-2</v>
      </c>
      <c r="D1272" s="33">
        <f ca="1">Model!$F$16+RAND()*(Model!$G$16-Model!$F$16)</f>
        <v>48.939271912183223</v>
      </c>
      <c r="E1272" s="33">
        <f>Model!$D$17</f>
        <v>800</v>
      </c>
      <c r="G1272" s="36">
        <f t="shared" ca="1" si="22"/>
        <v>-10.306167884362367</v>
      </c>
    </row>
    <row r="1273" spans="1:7" x14ac:dyDescent="0.2">
      <c r="A1273" s="6">
        <f ca="1">Model!$F$13+RAND()*(Model!$G$13-Model!$F$13)</f>
        <v>1466.3095624232365</v>
      </c>
      <c r="B1273" s="31">
        <f ca="1">Model!$F$14+RAND()*(Model!$G$14-Model!$F$14)</f>
        <v>0.52940639808329171</v>
      </c>
      <c r="C1273" s="32">
        <f ca="1">Model!$F$15+RAND()*(Model!$G$15-Model!$F$15)</f>
        <v>3.7959801650525211E-2</v>
      </c>
      <c r="D1273" s="33">
        <f ca="1">Model!$F$16+RAND()*(Model!$G$16-Model!$F$16)</f>
        <v>48.163754585034447</v>
      </c>
      <c r="E1273" s="33">
        <f>Model!$D$17</f>
        <v>800</v>
      </c>
      <c r="G1273" s="36">
        <f t="shared" ca="1" si="22"/>
        <v>1104.5604176854304</v>
      </c>
    </row>
    <row r="1274" spans="1:7" x14ac:dyDescent="0.2">
      <c r="A1274" s="6">
        <f ca="1">Model!$F$13+RAND()*(Model!$G$13-Model!$F$13)</f>
        <v>1300.2448486803698</v>
      </c>
      <c r="B1274" s="31">
        <f ca="1">Model!$F$14+RAND()*(Model!$G$14-Model!$F$14)</f>
        <v>0.58470072135609075</v>
      </c>
      <c r="C1274" s="32">
        <f ca="1">Model!$F$15+RAND()*(Model!$G$15-Model!$F$15)</f>
        <v>4.983673892425796E-2</v>
      </c>
      <c r="D1274" s="33">
        <f ca="1">Model!$F$16+RAND()*(Model!$G$16-Model!$F$16)</f>
        <v>52.521921409554011</v>
      </c>
      <c r="E1274" s="33">
        <f>Model!$D$17</f>
        <v>800</v>
      </c>
      <c r="G1274" s="36">
        <f t="shared" ca="1" si="22"/>
        <v>1843.1644662843798</v>
      </c>
    </row>
    <row r="1275" spans="1:7" x14ac:dyDescent="0.2">
      <c r="A1275" s="6">
        <f ca="1">Model!$F$13+RAND()*(Model!$G$13-Model!$F$13)</f>
        <v>1476.553254765674</v>
      </c>
      <c r="B1275" s="31">
        <f ca="1">Model!$F$14+RAND()*(Model!$G$14-Model!$F$14)</f>
        <v>0.70300961451448041</v>
      </c>
      <c r="C1275" s="32">
        <f ca="1">Model!$F$15+RAND()*(Model!$G$15-Model!$F$15)</f>
        <v>4.0437264392101886E-2</v>
      </c>
      <c r="D1275" s="33">
        <f ca="1">Model!$F$16+RAND()*(Model!$G$16-Model!$F$16)</f>
        <v>49.802080185509489</v>
      </c>
      <c r="E1275" s="33">
        <f>Model!$D$17</f>
        <v>800</v>
      </c>
      <c r="G1275" s="36">
        <f t="shared" ca="1" si="22"/>
        <v>1135.5402315326037</v>
      </c>
    </row>
    <row r="1276" spans="1:7" x14ac:dyDescent="0.2">
      <c r="A1276" s="6">
        <f ca="1">Model!$F$13+RAND()*(Model!$G$13-Model!$F$13)</f>
        <v>1297.1243763003747</v>
      </c>
      <c r="B1276" s="31">
        <f ca="1">Model!$F$14+RAND()*(Model!$G$14-Model!$F$14)</f>
        <v>0.29442392287961916</v>
      </c>
      <c r="C1276" s="32">
        <f ca="1">Model!$F$15+RAND()*(Model!$G$15-Model!$F$15)</f>
        <v>2.5082990610011742E-2</v>
      </c>
      <c r="D1276" s="33">
        <f ca="1">Model!$F$16+RAND()*(Model!$G$16-Model!$F$16)</f>
        <v>47.66585406885315</v>
      </c>
      <c r="E1276" s="33">
        <f>Model!$D$17</f>
        <v>800</v>
      </c>
      <c r="G1276" s="36">
        <f t="shared" ca="1" si="22"/>
        <v>368.94027176681448</v>
      </c>
    </row>
    <row r="1277" spans="1:7" x14ac:dyDescent="0.2">
      <c r="A1277" s="6">
        <f ca="1">Model!$F$13+RAND()*(Model!$G$13-Model!$F$13)</f>
        <v>1247.5407327784344</v>
      </c>
      <c r="B1277" s="31">
        <f ca="1">Model!$F$14+RAND()*(Model!$G$14-Model!$F$14)</f>
        <v>0.46078031434846584</v>
      </c>
      <c r="C1277" s="32">
        <f ca="1">Model!$F$15+RAND()*(Model!$G$15-Model!$F$15)</f>
        <v>3.5848415298708192E-2</v>
      </c>
      <c r="D1277" s="33">
        <f ca="1">Model!$F$16+RAND()*(Model!$G$16-Model!$F$16)</f>
        <v>50.657326718429751</v>
      </c>
      <c r="E1277" s="33">
        <f>Model!$D$17</f>
        <v>800</v>
      </c>
      <c r="G1277" s="36">
        <f t="shared" ca="1" si="22"/>
        <v>890.6729045383031</v>
      </c>
    </row>
    <row r="1278" spans="1:7" x14ac:dyDescent="0.2">
      <c r="A1278" s="6">
        <f ca="1">Model!$F$13+RAND()*(Model!$G$13-Model!$F$13)</f>
        <v>1530.3075655937087</v>
      </c>
      <c r="B1278" s="31">
        <f ca="1">Model!$F$14+RAND()*(Model!$G$14-Model!$F$14)</f>
        <v>0.29885984674953925</v>
      </c>
      <c r="C1278" s="32">
        <f ca="1">Model!$F$15+RAND()*(Model!$G$15-Model!$F$15)</f>
        <v>4.3083070593437335E-2</v>
      </c>
      <c r="D1278" s="33">
        <f ca="1">Model!$F$16+RAND()*(Model!$G$16-Model!$F$16)</f>
        <v>52.850227510196035</v>
      </c>
      <c r="E1278" s="33">
        <f>Model!$D$17</f>
        <v>800</v>
      </c>
      <c r="G1278" s="36">
        <f t="shared" ca="1" si="22"/>
        <v>2227.0864535035644</v>
      </c>
    </row>
    <row r="1279" spans="1:7" x14ac:dyDescent="0.2">
      <c r="A1279" s="6">
        <f ca="1">Model!$F$13+RAND()*(Model!$G$13-Model!$F$13)</f>
        <v>1429.7541093291761</v>
      </c>
      <c r="B1279" s="31">
        <f ca="1">Model!$F$14+RAND()*(Model!$G$14-Model!$F$14)</f>
        <v>0.56046474021630588</v>
      </c>
      <c r="C1279" s="32">
        <f ca="1">Model!$F$15+RAND()*(Model!$G$15-Model!$F$15)</f>
        <v>4.3829209235716808E-2</v>
      </c>
      <c r="D1279" s="33">
        <f ca="1">Model!$F$16+RAND()*(Model!$G$16-Model!$F$16)</f>
        <v>48.298280495931088</v>
      </c>
      <c r="E1279" s="33">
        <f>Model!$D$17</f>
        <v>800</v>
      </c>
      <c r="G1279" s="36">
        <f t="shared" ca="1" si="22"/>
        <v>1425.2845960807967</v>
      </c>
    </row>
    <row r="1280" spans="1:7" x14ac:dyDescent="0.2">
      <c r="A1280" s="6">
        <f ca="1">Model!$F$13+RAND()*(Model!$G$13-Model!$F$13)</f>
        <v>1473.1925938209927</v>
      </c>
      <c r="B1280" s="31">
        <f ca="1">Model!$F$14+RAND()*(Model!$G$14-Model!$F$14)</f>
        <v>0.71191928649906289</v>
      </c>
      <c r="C1280" s="32">
        <f ca="1">Model!$F$15+RAND()*(Model!$G$15-Model!$F$15)</f>
        <v>1.3185927320676791E-2</v>
      </c>
      <c r="D1280" s="33">
        <f ca="1">Model!$F$16+RAND()*(Model!$G$16-Model!$F$16)</f>
        <v>47.209771897268112</v>
      </c>
      <c r="E1280" s="33">
        <f>Model!$D$17</f>
        <v>800</v>
      </c>
      <c r="G1280" s="36">
        <f t="shared" ca="1" si="22"/>
        <v>-931.72502289923204</v>
      </c>
    </row>
    <row r="1281" spans="1:7" x14ac:dyDescent="0.2">
      <c r="A1281" s="6">
        <f ca="1">Model!$F$13+RAND()*(Model!$G$13-Model!$F$13)</f>
        <v>1264.2241684032922</v>
      </c>
      <c r="B1281" s="31">
        <f ca="1">Model!$F$14+RAND()*(Model!$G$14-Model!$F$14)</f>
        <v>0.54177798344721029</v>
      </c>
      <c r="C1281" s="32">
        <f ca="1">Model!$F$15+RAND()*(Model!$G$15-Model!$F$15)</f>
        <v>4.0712446297548346E-2</v>
      </c>
      <c r="D1281" s="33">
        <f ca="1">Model!$F$16+RAND()*(Model!$G$16-Model!$F$16)</f>
        <v>50.174357978927176</v>
      </c>
      <c r="E1281" s="33">
        <f>Model!$D$17</f>
        <v>800</v>
      </c>
      <c r="G1281" s="36">
        <f t="shared" ca="1" si="22"/>
        <v>1097.5282532696478</v>
      </c>
    </row>
    <row r="1282" spans="1:7" x14ac:dyDescent="0.2">
      <c r="A1282" s="6">
        <f ca="1">Model!$F$13+RAND()*(Model!$G$13-Model!$F$13)</f>
        <v>1345.6984382711482</v>
      </c>
      <c r="B1282" s="31">
        <f ca="1">Model!$F$14+RAND()*(Model!$G$14-Model!$F$14)</f>
        <v>0.49377295276132088</v>
      </c>
      <c r="C1282" s="32">
        <f ca="1">Model!$F$15+RAND()*(Model!$G$15-Model!$F$15)</f>
        <v>4.48892245085033E-2</v>
      </c>
      <c r="D1282" s="33">
        <f ca="1">Model!$F$16+RAND()*(Model!$G$16-Model!$F$16)</f>
        <v>52.352773393595683</v>
      </c>
      <c r="E1282" s="33">
        <f>Model!$D$17</f>
        <v>800</v>
      </c>
      <c r="G1282" s="36">
        <f t="shared" ca="1" si="22"/>
        <v>1698.0233022001046</v>
      </c>
    </row>
    <row r="1283" spans="1:7" x14ac:dyDescent="0.2">
      <c r="A1283" s="6">
        <f ca="1">Model!$F$13+RAND()*(Model!$G$13-Model!$F$13)</f>
        <v>1768.0489055716512</v>
      </c>
      <c r="B1283" s="31">
        <f ca="1">Model!$F$14+RAND()*(Model!$G$14-Model!$F$14)</f>
        <v>0.64859517363940844</v>
      </c>
      <c r="C1283" s="32">
        <f ca="1">Model!$F$15+RAND()*(Model!$G$15-Model!$F$15)</f>
        <v>3.4783112687029577E-2</v>
      </c>
      <c r="D1283" s="33">
        <f ca="1">Model!$F$16+RAND()*(Model!$G$16-Model!$F$16)</f>
        <v>51.184134852691088</v>
      </c>
      <c r="E1283" s="33">
        <f>Model!$D$17</f>
        <v>800</v>
      </c>
      <c r="G1283" s="36">
        <f t="shared" ca="1" si="22"/>
        <v>1200.9864434987503</v>
      </c>
    </row>
    <row r="1284" spans="1:7" x14ac:dyDescent="0.2">
      <c r="A1284" s="6">
        <f ca="1">Model!$F$13+RAND()*(Model!$G$13-Model!$F$13)</f>
        <v>1405.7833673405182</v>
      </c>
      <c r="B1284" s="31">
        <f ca="1">Model!$F$14+RAND()*(Model!$G$14-Model!$F$14)</f>
        <v>0.24582145379984283</v>
      </c>
      <c r="C1284" s="32">
        <f ca="1">Model!$F$15+RAND()*(Model!$G$15-Model!$F$15)</f>
        <v>1.2279428862748914E-2</v>
      </c>
      <c r="D1284" s="33">
        <f ca="1">Model!$F$16+RAND()*(Model!$G$16-Model!$F$16)</f>
        <v>52.10309169136432</v>
      </c>
      <c r="E1284" s="33">
        <f>Model!$D$17</f>
        <v>800</v>
      </c>
      <c r="G1284" s="36">
        <f t="shared" ca="1" si="22"/>
        <v>-246.15684345887053</v>
      </c>
    </row>
    <row r="1285" spans="1:7" x14ac:dyDescent="0.2">
      <c r="A1285" s="6">
        <f ca="1">Model!$F$13+RAND()*(Model!$G$13-Model!$F$13)</f>
        <v>1606.3958242957256</v>
      </c>
      <c r="B1285" s="31">
        <f ca="1">Model!$F$14+RAND()*(Model!$G$14-Model!$F$14)</f>
        <v>0.65356290492727043</v>
      </c>
      <c r="C1285" s="32">
        <f ca="1">Model!$F$15+RAND()*(Model!$G$15-Model!$F$15)</f>
        <v>1.5814987096601198E-2</v>
      </c>
      <c r="D1285" s="33">
        <f ca="1">Model!$F$16+RAND()*(Model!$G$16-Model!$F$16)</f>
        <v>51.994529582628246</v>
      </c>
      <c r="E1285" s="33">
        <f>Model!$D$17</f>
        <v>800</v>
      </c>
      <c r="G1285" s="36">
        <f t="shared" ca="1" si="22"/>
        <v>-528.95297791995176</v>
      </c>
    </row>
    <row r="1286" spans="1:7" x14ac:dyDescent="0.2">
      <c r="A1286" s="6">
        <f ca="1">Model!$F$13+RAND()*(Model!$G$13-Model!$F$13)</f>
        <v>1680.379018072377</v>
      </c>
      <c r="B1286" s="31">
        <f ca="1">Model!$F$14+RAND()*(Model!$G$14-Model!$F$14)</f>
        <v>0.59185216356192805</v>
      </c>
      <c r="C1286" s="32">
        <f ca="1">Model!$F$15+RAND()*(Model!$G$15-Model!$F$15)</f>
        <v>4.2758908458237654E-2</v>
      </c>
      <c r="D1286" s="33">
        <f ca="1">Model!$F$16+RAND()*(Model!$G$16-Model!$F$16)</f>
        <v>47.002002230337716</v>
      </c>
      <c r="E1286" s="33">
        <f>Model!$D$17</f>
        <v>800</v>
      </c>
      <c r="G1286" s="36">
        <f t="shared" ca="1" si="22"/>
        <v>1582.6130177656955</v>
      </c>
    </row>
    <row r="1287" spans="1:7" x14ac:dyDescent="0.2">
      <c r="A1287" s="6">
        <f ca="1">Model!$F$13+RAND()*(Model!$G$13-Model!$F$13)</f>
        <v>1733.2289955312738</v>
      </c>
      <c r="B1287" s="31">
        <f ca="1">Model!$F$14+RAND()*(Model!$G$14-Model!$F$14)</f>
        <v>0.51800820247036361</v>
      </c>
      <c r="C1287" s="32">
        <f ca="1">Model!$F$15+RAND()*(Model!$G$15-Model!$F$15)</f>
        <v>3.6471874398870743E-2</v>
      </c>
      <c r="D1287" s="33">
        <f ca="1">Model!$F$16+RAND()*(Model!$G$16-Model!$F$16)</f>
        <v>49.530349856873251</v>
      </c>
      <c r="E1287" s="33">
        <f>Model!$D$17</f>
        <v>800</v>
      </c>
      <c r="G1287" s="36">
        <f t="shared" ca="1" si="22"/>
        <v>1433.1901591132937</v>
      </c>
    </row>
    <row r="1288" spans="1:7" x14ac:dyDescent="0.2">
      <c r="A1288" s="6">
        <f ca="1">Model!$F$13+RAND()*(Model!$G$13-Model!$F$13)</f>
        <v>1727.5121475386327</v>
      </c>
      <c r="B1288" s="31">
        <f ca="1">Model!$F$14+RAND()*(Model!$G$14-Model!$F$14)</f>
        <v>0.65374987182337629</v>
      </c>
      <c r="C1288" s="32">
        <f ca="1">Model!$F$15+RAND()*(Model!$G$15-Model!$F$15)</f>
        <v>2.7837742394701152E-2</v>
      </c>
      <c r="D1288" s="33">
        <f ca="1">Model!$F$16+RAND()*(Model!$G$16-Model!$F$16)</f>
        <v>48.081521087894046</v>
      </c>
      <c r="E1288" s="33">
        <f>Model!$D$17</f>
        <v>800</v>
      </c>
      <c r="G1288" s="36">
        <f t="shared" ca="1" si="22"/>
        <v>382.88133825097111</v>
      </c>
    </row>
    <row r="1289" spans="1:7" x14ac:dyDescent="0.2">
      <c r="A1289" s="6">
        <f ca="1">Model!$F$13+RAND()*(Model!$G$13-Model!$F$13)</f>
        <v>1761.983579050757</v>
      </c>
      <c r="B1289" s="31">
        <f ca="1">Model!$F$14+RAND()*(Model!$G$14-Model!$F$14)</f>
        <v>0.64032227162594857</v>
      </c>
      <c r="C1289" s="32">
        <f ca="1">Model!$F$15+RAND()*(Model!$G$15-Model!$F$15)</f>
        <v>4.5089203488101248E-2</v>
      </c>
      <c r="D1289" s="33">
        <f ca="1">Model!$F$16+RAND()*(Model!$G$16-Model!$F$16)</f>
        <v>52.532976314049336</v>
      </c>
      <c r="E1289" s="33">
        <f>Model!$D$17</f>
        <v>800</v>
      </c>
      <c r="G1289" s="36">
        <f t="shared" ca="1" si="22"/>
        <v>2245.3204199947113</v>
      </c>
    </row>
    <row r="1290" spans="1:7" x14ac:dyDescent="0.2">
      <c r="A1290" s="6">
        <f ca="1">Model!$F$13+RAND()*(Model!$G$13-Model!$F$13)</f>
        <v>1259.9966682861029</v>
      </c>
      <c r="B1290" s="31">
        <f ca="1">Model!$F$14+RAND()*(Model!$G$14-Model!$F$14)</f>
        <v>0.25963045026951498</v>
      </c>
      <c r="C1290" s="32">
        <f ca="1">Model!$F$15+RAND()*(Model!$G$15-Model!$F$15)</f>
        <v>3.6061266861450156E-2</v>
      </c>
      <c r="D1290" s="33">
        <f ca="1">Model!$F$16+RAND()*(Model!$G$16-Model!$F$16)</f>
        <v>50.243222436304301</v>
      </c>
      <c r="E1290" s="33">
        <f>Model!$D$17</f>
        <v>800</v>
      </c>
      <c r="G1290" s="36">
        <f t="shared" ca="1" si="22"/>
        <v>1155.7716190024421</v>
      </c>
    </row>
    <row r="1291" spans="1:7" x14ac:dyDescent="0.2">
      <c r="A1291" s="6">
        <f ca="1">Model!$F$13+RAND()*(Model!$G$13-Model!$F$13)</f>
        <v>1368.110563296982</v>
      </c>
      <c r="B1291" s="31">
        <f ca="1">Model!$F$14+RAND()*(Model!$G$14-Model!$F$14)</f>
        <v>0.59669494690201719</v>
      </c>
      <c r="C1291" s="32">
        <f ca="1">Model!$F$15+RAND()*(Model!$G$15-Model!$F$15)</f>
        <v>4.114434809225901E-2</v>
      </c>
      <c r="D1291" s="33">
        <f ca="1">Model!$F$16+RAND()*(Model!$G$16-Model!$F$16)</f>
        <v>48.406451090074299</v>
      </c>
      <c r="E1291" s="33">
        <f>Model!$D$17</f>
        <v>800</v>
      </c>
      <c r="G1291" s="36">
        <f t="shared" ca="1" si="22"/>
        <v>1108.4553067063487</v>
      </c>
    </row>
    <row r="1292" spans="1:7" x14ac:dyDescent="0.2">
      <c r="A1292" s="6">
        <f ca="1">Model!$F$13+RAND()*(Model!$G$13-Model!$F$13)</f>
        <v>1636.5302311902651</v>
      </c>
      <c r="B1292" s="31">
        <f ca="1">Model!$F$14+RAND()*(Model!$G$14-Model!$F$14)</f>
        <v>0.31649181135063581</v>
      </c>
      <c r="C1292" s="32">
        <f ca="1">Model!$F$15+RAND()*(Model!$G$15-Model!$F$15)</f>
        <v>3.0182613502727336E-2</v>
      </c>
      <c r="D1292" s="33">
        <f ca="1">Model!$F$16+RAND()*(Model!$G$16-Model!$F$16)</f>
        <v>47.018213346565119</v>
      </c>
      <c r="E1292" s="33">
        <f>Model!$D$17</f>
        <v>800</v>
      </c>
      <c r="G1292" s="36">
        <f t="shared" ca="1" si="22"/>
        <v>1004.5049209895515</v>
      </c>
    </row>
    <row r="1293" spans="1:7" x14ac:dyDescent="0.2">
      <c r="A1293" s="6">
        <f ca="1">Model!$F$13+RAND()*(Model!$G$13-Model!$F$13)</f>
        <v>1440.0213407112508</v>
      </c>
      <c r="B1293" s="31">
        <f ca="1">Model!$F$14+RAND()*(Model!$G$14-Model!$F$14)</f>
        <v>0.29282495028485983</v>
      </c>
      <c r="C1293" s="32">
        <f ca="1">Model!$F$15+RAND()*(Model!$G$15-Model!$F$15)</f>
        <v>2.2843580478009086E-2</v>
      </c>
      <c r="D1293" s="33">
        <f ca="1">Model!$F$16+RAND()*(Model!$G$16-Model!$F$16)</f>
        <v>47.713267689344121</v>
      </c>
      <c r="E1293" s="33">
        <f>Model!$D$17</f>
        <v>800</v>
      </c>
      <c r="G1293" s="36">
        <f t="shared" ca="1" si="22"/>
        <v>347.86537590749072</v>
      </c>
    </row>
    <row r="1294" spans="1:7" x14ac:dyDescent="0.2">
      <c r="A1294" s="6">
        <f ca="1">Model!$F$13+RAND()*(Model!$G$13-Model!$F$13)</f>
        <v>1744.315206031843</v>
      </c>
      <c r="B1294" s="31">
        <f ca="1">Model!$F$14+RAND()*(Model!$G$14-Model!$F$14)</f>
        <v>0.28354403866289368</v>
      </c>
      <c r="C1294" s="32">
        <f ca="1">Model!$F$15+RAND()*(Model!$G$15-Model!$F$15)</f>
        <v>1.0581723378298432E-2</v>
      </c>
      <c r="D1294" s="33">
        <f ca="1">Model!$F$16+RAND()*(Model!$G$16-Model!$F$16)</f>
        <v>52.627333054468913</v>
      </c>
      <c r="E1294" s="33">
        <f>Model!$D$17</f>
        <v>800</v>
      </c>
      <c r="G1294" s="36">
        <f t="shared" ca="1" si="22"/>
        <v>-323.20218017353568</v>
      </c>
    </row>
    <row r="1295" spans="1:7" x14ac:dyDescent="0.2">
      <c r="A1295" s="6">
        <f ca="1">Model!$F$13+RAND()*(Model!$G$13-Model!$F$13)</f>
        <v>1279.994868599535</v>
      </c>
      <c r="B1295" s="31">
        <f ca="1">Model!$F$14+RAND()*(Model!$G$14-Model!$F$14)</f>
        <v>0.31281664625428646</v>
      </c>
      <c r="C1295" s="32">
        <f ca="1">Model!$F$15+RAND()*(Model!$G$15-Model!$F$15)</f>
        <v>4.2773392274469461E-2</v>
      </c>
      <c r="D1295" s="33">
        <f ca="1">Model!$F$16+RAND()*(Model!$G$16-Model!$F$16)</f>
        <v>52.847061720792084</v>
      </c>
      <c r="E1295" s="33">
        <f>Model!$D$17</f>
        <v>800</v>
      </c>
      <c r="G1295" s="36">
        <f t="shared" ca="1" si="22"/>
        <v>1692.9582686843282</v>
      </c>
    </row>
    <row r="1296" spans="1:7" x14ac:dyDescent="0.2">
      <c r="A1296" s="6">
        <f ca="1">Model!$F$13+RAND()*(Model!$G$13-Model!$F$13)</f>
        <v>1354.1533863063828</v>
      </c>
      <c r="B1296" s="31">
        <f ca="1">Model!$F$14+RAND()*(Model!$G$14-Model!$F$14)</f>
        <v>0.66839375519124034</v>
      </c>
      <c r="C1296" s="32">
        <f ca="1">Model!$F$15+RAND()*(Model!$G$15-Model!$F$15)</f>
        <v>1.8856247981470755E-2</v>
      </c>
      <c r="D1296" s="33">
        <f ca="1">Model!$F$16+RAND()*(Model!$G$16-Model!$F$16)</f>
        <v>50.266042232068635</v>
      </c>
      <c r="E1296" s="33">
        <f>Model!$D$17</f>
        <v>800</v>
      </c>
      <c r="G1296" s="36">
        <f t="shared" ca="1" si="22"/>
        <v>-421.6018747096964</v>
      </c>
    </row>
    <row r="1297" spans="1:7" x14ac:dyDescent="0.2">
      <c r="A1297" s="6">
        <f ca="1">Model!$F$13+RAND()*(Model!$G$13-Model!$F$13)</f>
        <v>1512.4302564620666</v>
      </c>
      <c r="B1297" s="31">
        <f ca="1">Model!$F$14+RAND()*(Model!$G$14-Model!$F$14)</f>
        <v>0.72680964127381831</v>
      </c>
      <c r="C1297" s="32">
        <f ca="1">Model!$F$15+RAND()*(Model!$G$15-Model!$F$15)</f>
        <v>3.0574742056076507E-2</v>
      </c>
      <c r="D1297" s="33">
        <f ca="1">Model!$F$16+RAND()*(Model!$G$16-Model!$F$16)</f>
        <v>49.158627073807473</v>
      </c>
      <c r="E1297" s="33">
        <f>Model!$D$17</f>
        <v>800</v>
      </c>
      <c r="G1297" s="36">
        <f t="shared" ca="1" si="22"/>
        <v>373.95245065224549</v>
      </c>
    </row>
    <row r="1298" spans="1:7" x14ac:dyDescent="0.2">
      <c r="A1298" s="6">
        <f ca="1">Model!$F$13+RAND()*(Model!$G$13-Model!$F$13)</f>
        <v>1374.2338154044796</v>
      </c>
      <c r="B1298" s="31">
        <f ca="1">Model!$F$14+RAND()*(Model!$G$14-Model!$F$14)</f>
        <v>0.59590563099356764</v>
      </c>
      <c r="C1298" s="32">
        <f ca="1">Model!$F$15+RAND()*(Model!$G$15-Model!$F$15)</f>
        <v>3.7269791498268118E-2</v>
      </c>
      <c r="D1298" s="33">
        <f ca="1">Model!$F$16+RAND()*(Model!$G$16-Model!$F$16)</f>
        <v>47.997928544833215</v>
      </c>
      <c r="E1298" s="33">
        <f>Model!$D$17</f>
        <v>800</v>
      </c>
      <c r="G1298" s="36">
        <f t="shared" ca="1" si="22"/>
        <v>839.41580949447371</v>
      </c>
    </row>
    <row r="1299" spans="1:7" x14ac:dyDescent="0.2">
      <c r="A1299" s="6">
        <f ca="1">Model!$F$13+RAND()*(Model!$G$13-Model!$F$13)</f>
        <v>1266.2402542699642</v>
      </c>
      <c r="B1299" s="31">
        <f ca="1">Model!$F$14+RAND()*(Model!$G$14-Model!$F$14)</f>
        <v>0.34668801111506276</v>
      </c>
      <c r="C1299" s="32">
        <f ca="1">Model!$F$15+RAND()*(Model!$G$15-Model!$F$15)</f>
        <v>2.9656038162035749E-2</v>
      </c>
      <c r="D1299" s="33">
        <f ca="1">Model!$F$16+RAND()*(Model!$G$16-Model!$F$16)</f>
        <v>52.638980174997471</v>
      </c>
      <c r="E1299" s="33">
        <f>Model!$D$17</f>
        <v>800</v>
      </c>
      <c r="G1299" s="36">
        <f t="shared" ca="1" si="22"/>
        <v>737.69126062861892</v>
      </c>
    </row>
    <row r="1300" spans="1:7" x14ac:dyDescent="0.2">
      <c r="A1300" s="6">
        <f ca="1">Model!$F$13+RAND()*(Model!$G$13-Model!$F$13)</f>
        <v>1310.5054745415055</v>
      </c>
      <c r="B1300" s="31">
        <f ca="1">Model!$F$14+RAND()*(Model!$G$14-Model!$F$14)</f>
        <v>0.68125506822098747</v>
      </c>
      <c r="C1300" s="32">
        <f ca="1">Model!$F$15+RAND()*(Model!$G$15-Model!$F$15)</f>
        <v>3.1360946854678169E-2</v>
      </c>
      <c r="D1300" s="33">
        <f ca="1">Model!$F$16+RAND()*(Model!$G$16-Model!$F$16)</f>
        <v>52.590523345809913</v>
      </c>
      <c r="E1300" s="33">
        <f>Model!$D$17</f>
        <v>800</v>
      </c>
      <c r="G1300" s="36">
        <f t="shared" ca="1" si="22"/>
        <v>468.61325303707008</v>
      </c>
    </row>
    <row r="1301" spans="1:7" x14ac:dyDescent="0.2">
      <c r="A1301" s="6">
        <f ca="1">Model!$F$13+RAND()*(Model!$G$13-Model!$F$13)</f>
        <v>1793.9775609193412</v>
      </c>
      <c r="B1301" s="31">
        <f ca="1">Model!$F$14+RAND()*(Model!$G$14-Model!$F$14)</f>
        <v>0.72010332688656908</v>
      </c>
      <c r="C1301" s="32">
        <f ca="1">Model!$F$15+RAND()*(Model!$G$15-Model!$F$15)</f>
        <v>3.1318885337279799E-2</v>
      </c>
      <c r="D1301" s="33">
        <f ca="1">Model!$F$16+RAND()*(Model!$G$16-Model!$F$16)</f>
        <v>47.274264147577604</v>
      </c>
      <c r="E1301" s="33">
        <f>Model!$D$17</f>
        <v>800</v>
      </c>
      <c r="G1301" s="36">
        <f t="shared" ca="1" si="22"/>
        <v>564.27316851622527</v>
      </c>
    </row>
    <row r="1302" spans="1:7" x14ac:dyDescent="0.2">
      <c r="A1302" s="6">
        <f ca="1">Model!$F$13+RAND()*(Model!$G$13-Model!$F$13)</f>
        <v>1607.3185050521686</v>
      </c>
      <c r="B1302" s="31">
        <f ca="1">Model!$F$14+RAND()*(Model!$G$14-Model!$F$14)</f>
        <v>0.29953064972797966</v>
      </c>
      <c r="C1302" s="32">
        <f ca="1">Model!$F$15+RAND()*(Model!$G$15-Model!$F$15)</f>
        <v>1.6537397038757569E-2</v>
      </c>
      <c r="D1302" s="33">
        <f ca="1">Model!$F$16+RAND()*(Model!$G$16-Model!$F$16)</f>
        <v>50.041608281120574</v>
      </c>
      <c r="E1302" s="33">
        <f>Model!$D$17</f>
        <v>800</v>
      </c>
      <c r="G1302" s="36">
        <f t="shared" ca="1" si="22"/>
        <v>48.708042225048757</v>
      </c>
    </row>
    <row r="1303" spans="1:7" x14ac:dyDescent="0.2">
      <c r="A1303" s="6">
        <f ca="1">Model!$F$13+RAND()*(Model!$G$13-Model!$F$13)</f>
        <v>1564.1529748654907</v>
      </c>
      <c r="B1303" s="31">
        <f ca="1">Model!$F$14+RAND()*(Model!$G$14-Model!$F$14)</f>
        <v>0.36519262838646249</v>
      </c>
      <c r="C1303" s="32">
        <f ca="1">Model!$F$15+RAND()*(Model!$G$15-Model!$F$15)</f>
        <v>1.5454501140777236E-2</v>
      </c>
      <c r="D1303" s="33">
        <f ca="1">Model!$F$16+RAND()*(Model!$G$16-Model!$F$16)</f>
        <v>52.112445044727735</v>
      </c>
      <c r="E1303" s="33">
        <f>Model!$D$17</f>
        <v>800</v>
      </c>
      <c r="G1303" s="36">
        <f t="shared" ca="1" si="22"/>
        <v>-111.49237450275632</v>
      </c>
    </row>
    <row r="1304" spans="1:7" x14ac:dyDescent="0.2">
      <c r="A1304" s="6">
        <f ca="1">Model!$F$13+RAND()*(Model!$G$13-Model!$F$13)</f>
        <v>1770.1183273275019</v>
      </c>
      <c r="B1304" s="31">
        <f ca="1">Model!$F$14+RAND()*(Model!$G$14-Model!$F$14)</f>
        <v>0.51135526857198488</v>
      </c>
      <c r="C1304" s="32">
        <f ca="1">Model!$F$15+RAND()*(Model!$G$15-Model!$F$15)</f>
        <v>1.1351154815038261E-2</v>
      </c>
      <c r="D1304" s="33">
        <f ca="1">Model!$F$16+RAND()*(Model!$G$16-Model!$F$16)</f>
        <v>47.372074126880293</v>
      </c>
      <c r="E1304" s="33">
        <f>Model!$D$17</f>
        <v>800</v>
      </c>
      <c r="G1304" s="36">
        <f t="shared" ca="1" si="22"/>
        <v>-753.31759202455771</v>
      </c>
    </row>
    <row r="1305" spans="1:7" x14ac:dyDescent="0.2">
      <c r="A1305" s="6">
        <f ca="1">Model!$F$13+RAND()*(Model!$G$13-Model!$F$13)</f>
        <v>1284.0296465957085</v>
      </c>
      <c r="B1305" s="31">
        <f ca="1">Model!$F$14+RAND()*(Model!$G$14-Model!$F$14)</f>
        <v>0.51189509897207452</v>
      </c>
      <c r="C1305" s="32">
        <f ca="1">Model!$F$15+RAND()*(Model!$G$15-Model!$F$15)</f>
        <v>1.01367789718338E-2</v>
      </c>
      <c r="D1305" s="33">
        <f ca="1">Model!$F$16+RAND()*(Model!$G$16-Model!$F$16)</f>
        <v>49.578604168153902</v>
      </c>
      <c r="E1305" s="33">
        <f>Model!$D$17</f>
        <v>800</v>
      </c>
      <c r="G1305" s="36">
        <f t="shared" ca="1" si="22"/>
        <v>-811.97710341103721</v>
      </c>
    </row>
    <row r="1306" spans="1:7" x14ac:dyDescent="0.2">
      <c r="A1306" s="6">
        <f ca="1">Model!$F$13+RAND()*(Model!$G$13-Model!$F$13)</f>
        <v>1769.7104123411737</v>
      </c>
      <c r="B1306" s="31">
        <f ca="1">Model!$F$14+RAND()*(Model!$G$14-Model!$F$14)</f>
        <v>0.68173027818207843</v>
      </c>
      <c r="C1306" s="32">
        <f ca="1">Model!$F$15+RAND()*(Model!$G$15-Model!$F$15)</f>
        <v>2.5526798921721019E-2</v>
      </c>
      <c r="D1306" s="33">
        <f ca="1">Model!$F$16+RAND()*(Model!$G$16-Model!$F$16)</f>
        <v>51.244494524490563</v>
      </c>
      <c r="E1306" s="33">
        <f>Model!$D$17</f>
        <v>800</v>
      </c>
      <c r="G1306" s="36">
        <f t="shared" ca="1" si="22"/>
        <v>308.50701278875545</v>
      </c>
    </row>
    <row r="1307" spans="1:7" x14ac:dyDescent="0.2">
      <c r="A1307" s="6">
        <f ca="1">Model!$F$13+RAND()*(Model!$G$13-Model!$F$13)</f>
        <v>1405.1169077218156</v>
      </c>
      <c r="B1307" s="31">
        <f ca="1">Model!$F$14+RAND()*(Model!$G$14-Model!$F$14)</f>
        <v>0.30376289988298671</v>
      </c>
      <c r="C1307" s="32">
        <f ca="1">Model!$F$15+RAND()*(Model!$G$15-Model!$F$15)</f>
        <v>4.755452294311318E-2</v>
      </c>
      <c r="D1307" s="33">
        <f ca="1">Model!$F$16+RAND()*(Model!$G$16-Model!$F$16)</f>
        <v>49.159897058697375</v>
      </c>
      <c r="E1307" s="33">
        <f>Model!$D$17</f>
        <v>800</v>
      </c>
      <c r="G1307" s="36">
        <f t="shared" ca="1" si="22"/>
        <v>2058.0254282833448</v>
      </c>
    </row>
    <row r="1308" spans="1:7" x14ac:dyDescent="0.2">
      <c r="A1308" s="6">
        <f ca="1">Model!$F$13+RAND()*(Model!$G$13-Model!$F$13)</f>
        <v>1347.1996086150723</v>
      </c>
      <c r="B1308" s="31">
        <f ca="1">Model!$F$14+RAND()*(Model!$G$14-Model!$F$14)</f>
        <v>0.6461488903887217</v>
      </c>
      <c r="C1308" s="32">
        <f ca="1">Model!$F$15+RAND()*(Model!$G$15-Model!$F$15)</f>
        <v>1.438895041817876E-2</v>
      </c>
      <c r="D1308" s="33">
        <f ca="1">Model!$F$16+RAND()*(Model!$G$16-Model!$F$16)</f>
        <v>51.880314264601083</v>
      </c>
      <c r="E1308" s="33">
        <f>Model!$D$17</f>
        <v>800</v>
      </c>
      <c r="G1308" s="36">
        <f t="shared" ca="1" si="22"/>
        <v>-664.80261955946526</v>
      </c>
    </row>
    <row r="1309" spans="1:7" x14ac:dyDescent="0.2">
      <c r="A1309" s="6">
        <f ca="1">Model!$F$13+RAND()*(Model!$G$13-Model!$F$13)</f>
        <v>1404.4090136846403</v>
      </c>
      <c r="B1309" s="31">
        <f ca="1">Model!$F$14+RAND()*(Model!$G$14-Model!$F$14)</f>
        <v>0.54709153947917766</v>
      </c>
      <c r="C1309" s="32">
        <f ca="1">Model!$F$15+RAND()*(Model!$G$15-Model!$F$15)</f>
        <v>2.870368324261096E-2</v>
      </c>
      <c r="D1309" s="33">
        <f ca="1">Model!$F$16+RAND()*(Model!$G$16-Model!$F$16)</f>
        <v>47.402238481741314</v>
      </c>
      <c r="E1309" s="33">
        <f>Model!$D$17</f>
        <v>800</v>
      </c>
      <c r="G1309" s="36">
        <f t="shared" ca="1" si="22"/>
        <v>342.52507144164133</v>
      </c>
    </row>
    <row r="1310" spans="1:7" x14ac:dyDescent="0.2">
      <c r="A1310" s="6">
        <f ca="1">Model!$F$13+RAND()*(Model!$G$13-Model!$F$13)</f>
        <v>1322.9885076772468</v>
      </c>
      <c r="B1310" s="31">
        <f ca="1">Model!$F$14+RAND()*(Model!$G$14-Model!$F$14)</f>
        <v>0.39857360911719497</v>
      </c>
      <c r="C1310" s="32">
        <f ca="1">Model!$F$15+RAND()*(Model!$G$15-Model!$F$15)</f>
        <v>3.0691378460744469E-2</v>
      </c>
      <c r="D1310" s="33">
        <f ca="1">Model!$F$16+RAND()*(Model!$G$16-Model!$F$16)</f>
        <v>50.099835865420076</v>
      </c>
      <c r="E1310" s="33">
        <f>Model!$D$17</f>
        <v>800</v>
      </c>
      <c r="G1310" s="36">
        <f t="shared" ca="1" si="22"/>
        <v>706.96251461378688</v>
      </c>
    </row>
    <row r="1311" spans="1:7" x14ac:dyDescent="0.2">
      <c r="A1311" s="6">
        <f ca="1">Model!$F$13+RAND()*(Model!$G$13-Model!$F$13)</f>
        <v>1458.371526721487</v>
      </c>
      <c r="B1311" s="31">
        <f ca="1">Model!$F$14+RAND()*(Model!$G$14-Model!$F$14)</f>
        <v>0.43021093306400621</v>
      </c>
      <c r="C1311" s="32">
        <f ca="1">Model!$F$15+RAND()*(Model!$G$15-Model!$F$15)</f>
        <v>3.7836799394023027E-2</v>
      </c>
      <c r="D1311" s="33">
        <f ca="1">Model!$F$16+RAND()*(Model!$G$16-Model!$F$16)</f>
        <v>50.366218441223751</v>
      </c>
      <c r="E1311" s="33">
        <f>Model!$D$17</f>
        <v>800</v>
      </c>
      <c r="G1311" s="36">
        <f t="shared" ca="1" si="22"/>
        <v>1351.8061438607779</v>
      </c>
    </row>
    <row r="1312" spans="1:7" x14ac:dyDescent="0.2">
      <c r="A1312" s="6">
        <f ca="1">Model!$F$13+RAND()*(Model!$G$13-Model!$F$13)</f>
        <v>1267.3902316387562</v>
      </c>
      <c r="B1312" s="31">
        <f ca="1">Model!$F$14+RAND()*(Model!$G$14-Model!$F$14)</f>
        <v>0.27871710741307298</v>
      </c>
      <c r="C1312" s="32">
        <f ca="1">Model!$F$15+RAND()*(Model!$G$15-Model!$F$15)</f>
        <v>1.1110823492503844E-2</v>
      </c>
      <c r="D1312" s="33">
        <f ca="1">Model!$F$16+RAND()*(Model!$G$16-Model!$F$16)</f>
        <v>48.303238448698266</v>
      </c>
      <c r="E1312" s="33">
        <f>Model!$D$17</f>
        <v>800</v>
      </c>
      <c r="G1312" s="36">
        <f t="shared" ca="1" si="22"/>
        <v>-473.0492518823786</v>
      </c>
    </row>
    <row r="1313" spans="1:7" x14ac:dyDescent="0.2">
      <c r="A1313" s="6">
        <f ca="1">Model!$F$13+RAND()*(Model!$G$13-Model!$F$13)</f>
        <v>1404.072494695248</v>
      </c>
      <c r="B1313" s="31">
        <f ca="1">Model!$F$14+RAND()*(Model!$G$14-Model!$F$14)</f>
        <v>0.58776945808186376</v>
      </c>
      <c r="C1313" s="32">
        <f ca="1">Model!$F$15+RAND()*(Model!$G$15-Model!$F$15)</f>
        <v>1.7429805133445928E-2</v>
      </c>
      <c r="D1313" s="33">
        <f ca="1">Model!$F$16+RAND()*(Model!$G$16-Model!$F$16)</f>
        <v>51.761922877172523</v>
      </c>
      <c r="E1313" s="33">
        <f>Model!$D$17</f>
        <v>800</v>
      </c>
      <c r="G1313" s="36">
        <f t="shared" ca="1" si="22"/>
        <v>-358.5164029534867</v>
      </c>
    </row>
    <row r="1314" spans="1:7" x14ac:dyDescent="0.2">
      <c r="A1314" s="6">
        <f ca="1">Model!$F$13+RAND()*(Model!$G$13-Model!$F$13)</f>
        <v>1341.831978465686</v>
      </c>
      <c r="B1314" s="31">
        <f ca="1">Model!$F$14+RAND()*(Model!$G$14-Model!$F$14)</f>
        <v>0.62946983945900759</v>
      </c>
      <c r="C1314" s="32">
        <f ca="1">Model!$F$15+RAND()*(Model!$G$15-Model!$F$15)</f>
        <v>3.0402262837340606E-2</v>
      </c>
      <c r="D1314" s="33">
        <f ca="1">Model!$F$16+RAND()*(Model!$G$16-Model!$F$16)</f>
        <v>51.665863788658562</v>
      </c>
      <c r="E1314" s="33">
        <f>Model!$D$17</f>
        <v>800</v>
      </c>
      <c r="G1314" s="36">
        <f t="shared" ca="1" si="22"/>
        <v>463.05212554178661</v>
      </c>
    </row>
    <row r="1315" spans="1:7" x14ac:dyDescent="0.2">
      <c r="A1315" s="6">
        <f ca="1">Model!$F$13+RAND()*(Model!$G$13-Model!$F$13)</f>
        <v>1676.8989268810863</v>
      </c>
      <c r="B1315" s="31">
        <f ca="1">Model!$F$14+RAND()*(Model!$G$14-Model!$F$14)</f>
        <v>0.77265879312376828</v>
      </c>
      <c r="C1315" s="32">
        <f ca="1">Model!$F$15+RAND()*(Model!$G$15-Model!$F$15)</f>
        <v>3.1199638148508207E-2</v>
      </c>
      <c r="D1315" s="33">
        <f ca="1">Model!$F$16+RAND()*(Model!$G$16-Model!$F$16)</f>
        <v>52.540290994505106</v>
      </c>
      <c r="E1315" s="33">
        <f>Model!$D$17</f>
        <v>800</v>
      </c>
      <c r="G1315" s="36">
        <f t="shared" ca="1" si="22"/>
        <v>653.16585483276594</v>
      </c>
    </row>
    <row r="1316" spans="1:7" x14ac:dyDescent="0.2">
      <c r="A1316" s="6">
        <f ca="1">Model!$F$13+RAND()*(Model!$G$13-Model!$F$13)</f>
        <v>1645.7636505523674</v>
      </c>
      <c r="B1316" s="31">
        <f ca="1">Model!$F$14+RAND()*(Model!$G$14-Model!$F$14)</f>
        <v>0.61887712461528943</v>
      </c>
      <c r="C1316" s="32">
        <f ca="1">Model!$F$15+RAND()*(Model!$G$15-Model!$F$15)</f>
        <v>2.3137506159603069E-2</v>
      </c>
      <c r="D1316" s="33">
        <f ca="1">Model!$F$16+RAND()*(Model!$G$16-Model!$F$16)</f>
        <v>47.638971950403487</v>
      </c>
      <c r="E1316" s="33">
        <f>Model!$D$17</f>
        <v>800</v>
      </c>
      <c r="G1316" s="36">
        <f t="shared" ca="1" si="22"/>
        <v>-4.4874178988436597</v>
      </c>
    </row>
    <row r="1317" spans="1:7" x14ac:dyDescent="0.2">
      <c r="A1317" s="6">
        <f ca="1">Model!$F$13+RAND()*(Model!$G$13-Model!$F$13)</f>
        <v>1623.5451657064737</v>
      </c>
      <c r="B1317" s="31">
        <f ca="1">Model!$F$14+RAND()*(Model!$G$14-Model!$F$14)</f>
        <v>0.31590750977159304</v>
      </c>
      <c r="C1317" s="32">
        <f ca="1">Model!$F$15+RAND()*(Model!$G$15-Model!$F$15)</f>
        <v>4.2653894002344393E-2</v>
      </c>
      <c r="D1317" s="33">
        <f ca="1">Model!$F$16+RAND()*(Model!$G$16-Model!$F$16)</f>
        <v>51.32986001906923</v>
      </c>
      <c r="E1317" s="33">
        <f>Model!$D$17</f>
        <v>800</v>
      </c>
      <c r="G1317" s="36">
        <f t="shared" ca="1" si="22"/>
        <v>2241.7295623804293</v>
      </c>
    </row>
    <row r="1318" spans="1:7" x14ac:dyDescent="0.2">
      <c r="A1318" s="6">
        <f ca="1">Model!$F$13+RAND()*(Model!$G$13-Model!$F$13)</f>
        <v>1230.4720952311654</v>
      </c>
      <c r="B1318" s="31">
        <f ca="1">Model!$F$14+RAND()*(Model!$G$14-Model!$F$14)</f>
        <v>0.43308074223584814</v>
      </c>
      <c r="C1318" s="32">
        <f ca="1">Model!$F$15+RAND()*(Model!$G$15-Model!$F$15)</f>
        <v>1.5431910253646871E-2</v>
      </c>
      <c r="D1318" s="33">
        <f ca="1">Model!$F$16+RAND()*(Model!$G$16-Model!$F$16)</f>
        <v>47.152620565194283</v>
      </c>
      <c r="E1318" s="33">
        <f>Model!$D$17</f>
        <v>800</v>
      </c>
      <c r="G1318" s="36">
        <f t="shared" ca="1" si="22"/>
        <v>-437.53458503643003</v>
      </c>
    </row>
    <row r="1319" spans="1:7" x14ac:dyDescent="0.2">
      <c r="A1319" s="6">
        <f ca="1">Model!$F$13+RAND()*(Model!$G$13-Model!$F$13)</f>
        <v>1492.8098127875078</v>
      </c>
      <c r="B1319" s="31">
        <f ca="1">Model!$F$14+RAND()*(Model!$G$14-Model!$F$14)</f>
        <v>0.25530120475347989</v>
      </c>
      <c r="C1319" s="32">
        <f ca="1">Model!$F$15+RAND()*(Model!$G$15-Model!$F$15)</f>
        <v>3.1222272051002149E-2</v>
      </c>
      <c r="D1319" s="33">
        <f ca="1">Model!$F$16+RAND()*(Model!$G$16-Model!$F$16)</f>
        <v>52.935828385326055</v>
      </c>
      <c r="E1319" s="33">
        <f>Model!$D$17</f>
        <v>800</v>
      </c>
      <c r="G1319" s="36">
        <f t="shared" ca="1" si="22"/>
        <v>1286.1653341004699</v>
      </c>
    </row>
    <row r="1320" spans="1:7" x14ac:dyDescent="0.2">
      <c r="A1320" s="6">
        <f ca="1">Model!$F$13+RAND()*(Model!$G$13-Model!$F$13)</f>
        <v>1544.7421623391385</v>
      </c>
      <c r="B1320" s="31">
        <f ca="1">Model!$F$14+RAND()*(Model!$G$14-Model!$F$14)</f>
        <v>0.45660548159434006</v>
      </c>
      <c r="C1320" s="32">
        <f ca="1">Model!$F$15+RAND()*(Model!$G$15-Model!$F$15)</f>
        <v>4.5625994348035631E-2</v>
      </c>
      <c r="D1320" s="33">
        <f ca="1">Model!$F$16+RAND()*(Model!$G$16-Model!$F$16)</f>
        <v>50.794805506581767</v>
      </c>
      <c r="E1320" s="33">
        <f>Model!$D$17</f>
        <v>800</v>
      </c>
      <c r="G1320" s="36">
        <f t="shared" ca="1" si="22"/>
        <v>2074.700327204192</v>
      </c>
    </row>
    <row r="1321" spans="1:7" x14ac:dyDescent="0.2">
      <c r="A1321" s="6">
        <f ca="1">Model!$F$13+RAND()*(Model!$G$13-Model!$F$13)</f>
        <v>1571.9152734473037</v>
      </c>
      <c r="B1321" s="31">
        <f ca="1">Model!$F$14+RAND()*(Model!$G$14-Model!$F$14)</f>
        <v>0.31743468327788249</v>
      </c>
      <c r="C1321" s="32">
        <f ca="1">Model!$F$15+RAND()*(Model!$G$15-Model!$F$15)</f>
        <v>4.6334853533564639E-2</v>
      </c>
      <c r="D1321" s="33">
        <f ca="1">Model!$F$16+RAND()*(Model!$G$16-Model!$F$16)</f>
        <v>49.181383600675488</v>
      </c>
      <c r="E1321" s="33">
        <f>Model!$D$17</f>
        <v>800</v>
      </c>
      <c r="G1321" s="36">
        <f t="shared" ref="G1321:G1384" ca="1" si="23">A1321*C1321*D1321-(E1321+A1321*B1321)</f>
        <v>2283.119284515697</v>
      </c>
    </row>
    <row r="1322" spans="1:7" x14ac:dyDescent="0.2">
      <c r="A1322" s="6">
        <f ca="1">Model!$F$13+RAND()*(Model!$G$13-Model!$F$13)</f>
        <v>1391.3224558129161</v>
      </c>
      <c r="B1322" s="31">
        <f ca="1">Model!$F$14+RAND()*(Model!$G$14-Model!$F$14)</f>
        <v>0.75271465802123383</v>
      </c>
      <c r="C1322" s="32">
        <f ca="1">Model!$F$15+RAND()*(Model!$G$15-Model!$F$15)</f>
        <v>2.6549566539272734E-2</v>
      </c>
      <c r="D1322" s="33">
        <f ca="1">Model!$F$16+RAND()*(Model!$G$16-Model!$F$16)</f>
        <v>48.285445160857542</v>
      </c>
      <c r="E1322" s="33">
        <f>Model!$D$17</f>
        <v>800</v>
      </c>
      <c r="G1322" s="36">
        <f t="shared" ca="1" si="23"/>
        <v>-63.652355737178368</v>
      </c>
    </row>
    <row r="1323" spans="1:7" x14ac:dyDescent="0.2">
      <c r="A1323" s="6">
        <f ca="1">Model!$F$13+RAND()*(Model!$G$13-Model!$F$13)</f>
        <v>1663.2291161031987</v>
      </c>
      <c r="B1323" s="31">
        <f ca="1">Model!$F$14+RAND()*(Model!$G$14-Model!$F$14)</f>
        <v>0.35505191656574542</v>
      </c>
      <c r="C1323" s="32">
        <f ca="1">Model!$F$15+RAND()*(Model!$G$15-Model!$F$15)</f>
        <v>4.4720995954555885E-2</v>
      </c>
      <c r="D1323" s="33">
        <f ca="1">Model!$F$16+RAND()*(Model!$G$16-Model!$F$16)</f>
        <v>50.883494886451885</v>
      </c>
      <c r="E1323" s="33">
        <f>Model!$D$17</f>
        <v>800</v>
      </c>
      <c r="G1323" s="36">
        <f t="shared" ca="1" si="23"/>
        <v>2394.2459084080047</v>
      </c>
    </row>
    <row r="1324" spans="1:7" x14ac:dyDescent="0.2">
      <c r="A1324" s="6">
        <f ca="1">Model!$F$13+RAND()*(Model!$G$13-Model!$F$13)</f>
        <v>1495.0393740086881</v>
      </c>
      <c r="B1324" s="31">
        <f ca="1">Model!$F$14+RAND()*(Model!$G$14-Model!$F$14)</f>
        <v>0.56767622289608877</v>
      </c>
      <c r="C1324" s="32">
        <f ca="1">Model!$F$15+RAND()*(Model!$G$15-Model!$F$15)</f>
        <v>2.5629725455777477E-2</v>
      </c>
      <c r="D1324" s="33">
        <f ca="1">Model!$F$16+RAND()*(Model!$G$16-Model!$F$16)</f>
        <v>50.495191501597049</v>
      </c>
      <c r="E1324" s="33">
        <f>Model!$D$17</f>
        <v>800</v>
      </c>
      <c r="G1324" s="36">
        <f t="shared" ca="1" si="23"/>
        <v>286.14860511264396</v>
      </c>
    </row>
    <row r="1325" spans="1:7" x14ac:dyDescent="0.2">
      <c r="A1325" s="6">
        <f ca="1">Model!$F$13+RAND()*(Model!$G$13-Model!$F$13)</f>
        <v>1576.7161471259221</v>
      </c>
      <c r="B1325" s="31">
        <f ca="1">Model!$F$14+RAND()*(Model!$G$14-Model!$F$14)</f>
        <v>0.47872839216987578</v>
      </c>
      <c r="C1325" s="32">
        <f ca="1">Model!$F$15+RAND()*(Model!$G$15-Model!$F$15)</f>
        <v>4.2314854597560562E-2</v>
      </c>
      <c r="D1325" s="33">
        <f ca="1">Model!$F$16+RAND()*(Model!$G$16-Model!$F$16)</f>
        <v>51.473117439922341</v>
      </c>
      <c r="E1325" s="33">
        <f>Model!$D$17</f>
        <v>800</v>
      </c>
      <c r="G1325" s="36">
        <f t="shared" ca="1" si="23"/>
        <v>1879.3911466274462</v>
      </c>
    </row>
    <row r="1326" spans="1:7" x14ac:dyDescent="0.2">
      <c r="A1326" s="6">
        <f ca="1">Model!$F$13+RAND()*(Model!$G$13-Model!$F$13)</f>
        <v>1719.1983941999879</v>
      </c>
      <c r="B1326" s="31">
        <f ca="1">Model!$F$14+RAND()*(Model!$G$14-Model!$F$14)</f>
        <v>0.40896705147433721</v>
      </c>
      <c r="C1326" s="32">
        <f ca="1">Model!$F$15+RAND()*(Model!$G$15-Model!$F$15)</f>
        <v>2.6535015173858742E-2</v>
      </c>
      <c r="D1326" s="33">
        <f ca="1">Model!$F$16+RAND()*(Model!$G$16-Model!$F$16)</f>
        <v>50.970599366681974</v>
      </c>
      <c r="E1326" s="33">
        <f>Model!$D$17</f>
        <v>800</v>
      </c>
      <c r="G1326" s="36">
        <f t="shared" ca="1" si="23"/>
        <v>822.13000496776931</v>
      </c>
    </row>
    <row r="1327" spans="1:7" x14ac:dyDescent="0.2">
      <c r="A1327" s="6">
        <f ca="1">Model!$F$13+RAND()*(Model!$G$13-Model!$F$13)</f>
        <v>1781.0989175381897</v>
      </c>
      <c r="B1327" s="31">
        <f ca="1">Model!$F$14+RAND()*(Model!$G$14-Model!$F$14)</f>
        <v>0.30809937055255832</v>
      </c>
      <c r="C1327" s="32">
        <f ca="1">Model!$F$15+RAND()*(Model!$G$15-Model!$F$15)</f>
        <v>3.3893505913672968E-2</v>
      </c>
      <c r="D1327" s="33">
        <f ca="1">Model!$F$16+RAND()*(Model!$G$16-Model!$F$16)</f>
        <v>50.418512565244555</v>
      </c>
      <c r="E1327" s="33">
        <f>Model!$D$17</f>
        <v>800</v>
      </c>
      <c r="G1327" s="36">
        <f t="shared" ca="1" si="23"/>
        <v>1694.8935147518587</v>
      </c>
    </row>
    <row r="1328" spans="1:7" x14ac:dyDescent="0.2">
      <c r="A1328" s="6">
        <f ca="1">Model!$F$13+RAND()*(Model!$G$13-Model!$F$13)</f>
        <v>1612.6041815611009</v>
      </c>
      <c r="B1328" s="31">
        <f ca="1">Model!$F$14+RAND()*(Model!$G$14-Model!$F$14)</f>
        <v>0.42978908566387819</v>
      </c>
      <c r="C1328" s="32">
        <f ca="1">Model!$F$15+RAND()*(Model!$G$15-Model!$F$15)</f>
        <v>1.1976555504469407E-2</v>
      </c>
      <c r="D1328" s="33">
        <f ca="1">Model!$F$16+RAND()*(Model!$G$16-Model!$F$16)</f>
        <v>49.745136943949277</v>
      </c>
      <c r="E1328" s="33">
        <f>Model!$D$17</f>
        <v>800</v>
      </c>
      <c r="G1328" s="36">
        <f t="shared" ca="1" si="23"/>
        <v>-532.32978560060496</v>
      </c>
    </row>
    <row r="1329" spans="1:7" x14ac:dyDescent="0.2">
      <c r="A1329" s="6">
        <f ca="1">Model!$F$13+RAND()*(Model!$G$13-Model!$F$13)</f>
        <v>1646.7105932605389</v>
      </c>
      <c r="B1329" s="31">
        <f ca="1">Model!$F$14+RAND()*(Model!$G$14-Model!$F$14)</f>
        <v>0.37576061756425505</v>
      </c>
      <c r="C1329" s="32">
        <f ca="1">Model!$F$15+RAND()*(Model!$G$15-Model!$F$15)</f>
        <v>3.5250842151334706E-2</v>
      </c>
      <c r="D1329" s="33">
        <f ca="1">Model!$F$16+RAND()*(Model!$G$16-Model!$F$16)</f>
        <v>51.784358825969434</v>
      </c>
      <c r="E1329" s="33">
        <f>Model!$D$17</f>
        <v>800</v>
      </c>
      <c r="G1329" s="36">
        <f t="shared" ca="1" si="23"/>
        <v>1587.20611561379</v>
      </c>
    </row>
    <row r="1330" spans="1:7" x14ac:dyDescent="0.2">
      <c r="A1330" s="6">
        <f ca="1">Model!$F$13+RAND()*(Model!$G$13-Model!$F$13)</f>
        <v>1748.3636223202134</v>
      </c>
      <c r="B1330" s="31">
        <f ca="1">Model!$F$14+RAND()*(Model!$G$14-Model!$F$14)</f>
        <v>0.48531320960157265</v>
      </c>
      <c r="C1330" s="32">
        <f ca="1">Model!$F$15+RAND()*(Model!$G$15-Model!$F$15)</f>
        <v>4.5217045981701995E-2</v>
      </c>
      <c r="D1330" s="33">
        <f ca="1">Model!$F$16+RAND()*(Model!$G$16-Model!$F$16)</f>
        <v>50.711448933789555</v>
      </c>
      <c r="E1330" s="33">
        <f>Model!$D$17</f>
        <v>800</v>
      </c>
      <c r="G1330" s="36">
        <f t="shared" ca="1" si="23"/>
        <v>2360.5321459311963</v>
      </c>
    </row>
    <row r="1331" spans="1:7" x14ac:dyDescent="0.2">
      <c r="A1331" s="6">
        <f ca="1">Model!$F$13+RAND()*(Model!$G$13-Model!$F$13)</f>
        <v>1558.1581363766727</v>
      </c>
      <c r="B1331" s="31">
        <f ca="1">Model!$F$14+RAND()*(Model!$G$14-Model!$F$14)</f>
        <v>0.493548120844366</v>
      </c>
      <c r="C1331" s="32">
        <f ca="1">Model!$F$15+RAND()*(Model!$G$15-Model!$F$15)</f>
        <v>3.2880549400273303E-2</v>
      </c>
      <c r="D1331" s="33">
        <f ca="1">Model!$F$16+RAND()*(Model!$G$16-Model!$F$16)</f>
        <v>47.060905050895755</v>
      </c>
      <c r="E1331" s="33">
        <f>Model!$D$17</f>
        <v>800</v>
      </c>
      <c r="G1331" s="36">
        <f t="shared" ca="1" si="23"/>
        <v>842.04982620540795</v>
      </c>
    </row>
    <row r="1332" spans="1:7" x14ac:dyDescent="0.2">
      <c r="A1332" s="6">
        <f ca="1">Model!$F$13+RAND()*(Model!$G$13-Model!$F$13)</f>
        <v>1731.1078925724728</v>
      </c>
      <c r="B1332" s="31">
        <f ca="1">Model!$F$14+RAND()*(Model!$G$14-Model!$F$14)</f>
        <v>0.21490835311055415</v>
      </c>
      <c r="C1332" s="32">
        <f ca="1">Model!$F$15+RAND()*(Model!$G$15-Model!$F$15)</f>
        <v>4.07788663326294E-2</v>
      </c>
      <c r="D1332" s="33">
        <f ca="1">Model!$F$16+RAND()*(Model!$G$16-Model!$F$16)</f>
        <v>51.283719108187626</v>
      </c>
      <c r="E1332" s="33">
        <f>Model!$D$17</f>
        <v>800</v>
      </c>
      <c r="G1332" s="36">
        <f t="shared" ca="1" si="23"/>
        <v>2448.2224134793769</v>
      </c>
    </row>
    <row r="1333" spans="1:7" x14ac:dyDescent="0.2">
      <c r="A1333" s="6">
        <f ca="1">Model!$F$13+RAND()*(Model!$G$13-Model!$F$13)</f>
        <v>1568.5885476860813</v>
      </c>
      <c r="B1333" s="31">
        <f ca="1">Model!$F$14+RAND()*(Model!$G$14-Model!$F$14)</f>
        <v>0.75245711568834661</v>
      </c>
      <c r="C1333" s="32">
        <f ca="1">Model!$F$15+RAND()*(Model!$G$15-Model!$F$15)</f>
        <v>4.3875405747068469E-2</v>
      </c>
      <c r="D1333" s="33">
        <f ca="1">Model!$F$16+RAND()*(Model!$G$16-Model!$F$16)</f>
        <v>50.666468230886558</v>
      </c>
      <c r="E1333" s="33">
        <f>Model!$D$17</f>
        <v>800</v>
      </c>
      <c r="G1333" s="36">
        <f t="shared" ca="1" si="23"/>
        <v>1506.6953171845601</v>
      </c>
    </row>
    <row r="1334" spans="1:7" x14ac:dyDescent="0.2">
      <c r="A1334" s="6">
        <f ca="1">Model!$F$13+RAND()*(Model!$G$13-Model!$F$13)</f>
        <v>1647.1131556002213</v>
      </c>
      <c r="B1334" s="31">
        <f ca="1">Model!$F$14+RAND()*(Model!$G$14-Model!$F$14)</f>
        <v>0.79725042400763568</v>
      </c>
      <c r="C1334" s="32">
        <f ca="1">Model!$F$15+RAND()*(Model!$G$15-Model!$F$15)</f>
        <v>3.2099283395289058E-2</v>
      </c>
      <c r="D1334" s="33">
        <f ca="1">Model!$F$16+RAND()*(Model!$G$16-Model!$F$16)</f>
        <v>47.48731787231101</v>
      </c>
      <c r="E1334" s="33">
        <f>Model!$D$17</f>
        <v>800</v>
      </c>
      <c r="G1334" s="36">
        <f t="shared" ca="1" si="23"/>
        <v>397.54753798059164</v>
      </c>
    </row>
    <row r="1335" spans="1:7" x14ac:dyDescent="0.2">
      <c r="A1335" s="6">
        <f ca="1">Model!$F$13+RAND()*(Model!$G$13-Model!$F$13)</f>
        <v>1438.3903092733651</v>
      </c>
      <c r="B1335" s="31">
        <f ca="1">Model!$F$14+RAND()*(Model!$G$14-Model!$F$14)</f>
        <v>0.69107522728230086</v>
      </c>
      <c r="C1335" s="32">
        <f ca="1">Model!$F$15+RAND()*(Model!$G$15-Model!$F$15)</f>
        <v>2.6397970302802561E-2</v>
      </c>
      <c r="D1335" s="33">
        <f ca="1">Model!$F$16+RAND()*(Model!$G$16-Model!$F$16)</f>
        <v>51.04589523142878</v>
      </c>
      <c r="E1335" s="33">
        <f>Model!$D$17</f>
        <v>800</v>
      </c>
      <c r="G1335" s="36">
        <f t="shared" ca="1" si="23"/>
        <v>144.20657693897715</v>
      </c>
    </row>
    <row r="1336" spans="1:7" x14ac:dyDescent="0.2">
      <c r="A1336" s="6">
        <f ca="1">Model!$F$13+RAND()*(Model!$G$13-Model!$F$13)</f>
        <v>1470.7591431229762</v>
      </c>
      <c r="B1336" s="31">
        <f ca="1">Model!$F$14+RAND()*(Model!$G$14-Model!$F$14)</f>
        <v>0.37292488269890084</v>
      </c>
      <c r="C1336" s="32">
        <f ca="1">Model!$F$15+RAND()*(Model!$G$15-Model!$F$15)</f>
        <v>3.643786373858706E-2</v>
      </c>
      <c r="D1336" s="33">
        <f ca="1">Model!$F$16+RAND()*(Model!$G$16-Model!$F$16)</f>
        <v>48.813441122276743</v>
      </c>
      <c r="E1336" s="33">
        <f>Model!$D$17</f>
        <v>800</v>
      </c>
      <c r="G1336" s="36">
        <f t="shared" ca="1" si="23"/>
        <v>1267.4941235449414</v>
      </c>
    </row>
    <row r="1337" spans="1:7" x14ac:dyDescent="0.2">
      <c r="A1337" s="6">
        <f ca="1">Model!$F$13+RAND()*(Model!$G$13-Model!$F$13)</f>
        <v>1546.9429198363596</v>
      </c>
      <c r="B1337" s="31">
        <f ca="1">Model!$F$14+RAND()*(Model!$G$14-Model!$F$14)</f>
        <v>0.26806601439814337</v>
      </c>
      <c r="C1337" s="32">
        <f ca="1">Model!$F$15+RAND()*(Model!$G$15-Model!$F$15)</f>
        <v>4.5674371523670279E-2</v>
      </c>
      <c r="D1337" s="33">
        <f ca="1">Model!$F$16+RAND()*(Model!$G$16-Model!$F$16)</f>
        <v>48.661456733462472</v>
      </c>
      <c r="E1337" s="33">
        <f>Model!$D$17</f>
        <v>800</v>
      </c>
      <c r="G1337" s="36">
        <f t="shared" ca="1" si="23"/>
        <v>2223.5238205808919</v>
      </c>
    </row>
    <row r="1338" spans="1:7" x14ac:dyDescent="0.2">
      <c r="A1338" s="6">
        <f ca="1">Model!$F$13+RAND()*(Model!$G$13-Model!$F$13)</f>
        <v>1733.8027000364491</v>
      </c>
      <c r="B1338" s="31">
        <f ca="1">Model!$F$14+RAND()*(Model!$G$14-Model!$F$14)</f>
        <v>0.5461902091152806</v>
      </c>
      <c r="C1338" s="32">
        <f ca="1">Model!$F$15+RAND()*(Model!$G$15-Model!$F$15)</f>
        <v>2.1323069248336719E-2</v>
      </c>
      <c r="D1338" s="33">
        <f ca="1">Model!$F$16+RAND()*(Model!$G$16-Model!$F$16)</f>
        <v>52.936064560426644</v>
      </c>
      <c r="E1338" s="33">
        <f>Model!$D$17</f>
        <v>800</v>
      </c>
      <c r="G1338" s="36">
        <f t="shared" ca="1" si="23"/>
        <v>210.05998471782323</v>
      </c>
    </row>
    <row r="1339" spans="1:7" x14ac:dyDescent="0.2">
      <c r="A1339" s="6">
        <f ca="1">Model!$F$13+RAND()*(Model!$G$13-Model!$F$13)</f>
        <v>1558.0872097174745</v>
      </c>
      <c r="B1339" s="31">
        <f ca="1">Model!$F$14+RAND()*(Model!$G$14-Model!$F$14)</f>
        <v>0.52036636710663098</v>
      </c>
      <c r="C1339" s="32">
        <f ca="1">Model!$F$15+RAND()*(Model!$G$15-Model!$F$15)</f>
        <v>2.5166624519396039E-2</v>
      </c>
      <c r="D1339" s="33">
        <f ca="1">Model!$F$16+RAND()*(Model!$G$16-Model!$F$16)</f>
        <v>48.355475837207727</v>
      </c>
      <c r="E1339" s="33">
        <f>Model!$D$17</f>
        <v>800</v>
      </c>
      <c r="G1339" s="36">
        <f t="shared" ca="1" si="23"/>
        <v>285.32886219649208</v>
      </c>
    </row>
    <row r="1340" spans="1:7" x14ac:dyDescent="0.2">
      <c r="A1340" s="6">
        <f ca="1">Model!$F$13+RAND()*(Model!$G$13-Model!$F$13)</f>
        <v>1342.889974284556</v>
      </c>
      <c r="B1340" s="31">
        <f ca="1">Model!$F$14+RAND()*(Model!$G$14-Model!$F$14)</f>
        <v>0.26630733986265898</v>
      </c>
      <c r="C1340" s="32">
        <f ca="1">Model!$F$15+RAND()*(Model!$G$15-Model!$F$15)</f>
        <v>2.1901078809762678E-2</v>
      </c>
      <c r="D1340" s="33">
        <f ca="1">Model!$F$16+RAND()*(Model!$G$16-Model!$F$16)</f>
        <v>48.997878804543824</v>
      </c>
      <c r="E1340" s="33">
        <f>Model!$D$17</f>
        <v>800</v>
      </c>
      <c r="G1340" s="36">
        <f t="shared" ca="1" si="23"/>
        <v>283.44237611644257</v>
      </c>
    </row>
    <row r="1341" spans="1:7" x14ac:dyDescent="0.2">
      <c r="A1341" s="6">
        <f ca="1">Model!$F$13+RAND()*(Model!$G$13-Model!$F$13)</f>
        <v>1506.4359036419114</v>
      </c>
      <c r="B1341" s="31">
        <f ca="1">Model!$F$14+RAND()*(Model!$G$14-Model!$F$14)</f>
        <v>0.79301436199752184</v>
      </c>
      <c r="C1341" s="32">
        <f ca="1">Model!$F$15+RAND()*(Model!$G$15-Model!$F$15)</f>
        <v>4.3304624274438056E-2</v>
      </c>
      <c r="D1341" s="33">
        <f ca="1">Model!$F$16+RAND()*(Model!$G$16-Model!$F$16)</f>
        <v>52.476731361450014</v>
      </c>
      <c r="E1341" s="33">
        <f>Model!$D$17</f>
        <v>800</v>
      </c>
      <c r="G1341" s="36">
        <f t="shared" ca="1" si="23"/>
        <v>1428.7278904755492</v>
      </c>
    </row>
    <row r="1342" spans="1:7" x14ac:dyDescent="0.2">
      <c r="A1342" s="6">
        <f ca="1">Model!$F$13+RAND()*(Model!$G$13-Model!$F$13)</f>
        <v>1351.5892919423434</v>
      </c>
      <c r="B1342" s="31">
        <f ca="1">Model!$F$14+RAND()*(Model!$G$14-Model!$F$14)</f>
        <v>0.2437811641020369</v>
      </c>
      <c r="C1342" s="32">
        <f ca="1">Model!$F$15+RAND()*(Model!$G$15-Model!$F$15)</f>
        <v>4.6909509702662583E-2</v>
      </c>
      <c r="D1342" s="33">
        <f ca="1">Model!$F$16+RAND()*(Model!$G$16-Model!$F$16)</f>
        <v>48.347711172335543</v>
      </c>
      <c r="E1342" s="33">
        <f>Model!$D$17</f>
        <v>800</v>
      </c>
      <c r="G1342" s="36">
        <f t="shared" ca="1" si="23"/>
        <v>1935.8684769379004</v>
      </c>
    </row>
    <row r="1343" spans="1:7" x14ac:dyDescent="0.2">
      <c r="A1343" s="6">
        <f ca="1">Model!$F$13+RAND()*(Model!$G$13-Model!$F$13)</f>
        <v>1282.0316335611951</v>
      </c>
      <c r="B1343" s="31">
        <f ca="1">Model!$F$14+RAND()*(Model!$G$14-Model!$F$14)</f>
        <v>0.21050990676535172</v>
      </c>
      <c r="C1343" s="32">
        <f ca="1">Model!$F$15+RAND()*(Model!$G$15-Model!$F$15)</f>
        <v>3.9110287706547293E-2</v>
      </c>
      <c r="D1343" s="33">
        <f ca="1">Model!$F$16+RAND()*(Model!$G$16-Model!$F$16)</f>
        <v>48.765160745607197</v>
      </c>
      <c r="E1343" s="33">
        <f>Model!$D$17</f>
        <v>800</v>
      </c>
      <c r="G1343" s="36">
        <f t="shared" ca="1" si="23"/>
        <v>1375.2353289515572</v>
      </c>
    </row>
    <row r="1344" spans="1:7" x14ac:dyDescent="0.2">
      <c r="A1344" s="6">
        <f ca="1">Model!$F$13+RAND()*(Model!$G$13-Model!$F$13)</f>
        <v>1245.9631701626272</v>
      </c>
      <c r="B1344" s="31">
        <f ca="1">Model!$F$14+RAND()*(Model!$G$14-Model!$F$14)</f>
        <v>0.66712152023535798</v>
      </c>
      <c r="C1344" s="32">
        <f ca="1">Model!$F$15+RAND()*(Model!$G$15-Model!$F$15)</f>
        <v>3.1328987925938905E-2</v>
      </c>
      <c r="D1344" s="33">
        <f ca="1">Model!$F$16+RAND()*(Model!$G$16-Model!$F$16)</f>
        <v>52.618399626890039</v>
      </c>
      <c r="E1344" s="33">
        <f>Model!$D$17</f>
        <v>800</v>
      </c>
      <c r="G1344" s="36">
        <f t="shared" ca="1" si="23"/>
        <v>422.73802588405169</v>
      </c>
    </row>
    <row r="1345" spans="1:7" x14ac:dyDescent="0.2">
      <c r="A1345" s="6">
        <f ca="1">Model!$F$13+RAND()*(Model!$G$13-Model!$F$13)</f>
        <v>1436.7999210703772</v>
      </c>
      <c r="B1345" s="31">
        <f ca="1">Model!$F$14+RAND()*(Model!$G$14-Model!$F$14)</f>
        <v>0.75489392745759831</v>
      </c>
      <c r="C1345" s="32">
        <f ca="1">Model!$F$15+RAND()*(Model!$G$15-Model!$F$15)</f>
        <v>1.4478394152505004E-2</v>
      </c>
      <c r="D1345" s="33">
        <f ca="1">Model!$F$16+RAND()*(Model!$G$16-Model!$F$16)</f>
        <v>50.061367762624343</v>
      </c>
      <c r="E1345" s="33">
        <f>Model!$D$17</f>
        <v>800</v>
      </c>
      <c r="G1345" s="36">
        <f t="shared" ca="1" si="23"/>
        <v>-843.22715031779467</v>
      </c>
    </row>
    <row r="1346" spans="1:7" x14ac:dyDescent="0.2">
      <c r="A1346" s="6">
        <f ca="1">Model!$F$13+RAND()*(Model!$G$13-Model!$F$13)</f>
        <v>1430.3211503058051</v>
      </c>
      <c r="B1346" s="31">
        <f ca="1">Model!$F$14+RAND()*(Model!$G$14-Model!$F$14)</f>
        <v>0.42121350771602617</v>
      </c>
      <c r="C1346" s="32">
        <f ca="1">Model!$F$15+RAND()*(Model!$G$15-Model!$F$15)</f>
        <v>1.2677285661445672E-2</v>
      </c>
      <c r="D1346" s="33">
        <f ca="1">Model!$F$16+RAND()*(Model!$G$16-Model!$F$16)</f>
        <v>48.463477865336365</v>
      </c>
      <c r="E1346" s="33">
        <f>Model!$D$17</f>
        <v>800</v>
      </c>
      <c r="G1346" s="36">
        <f t="shared" ca="1" si="23"/>
        <v>-523.7022239809105</v>
      </c>
    </row>
    <row r="1347" spans="1:7" x14ac:dyDescent="0.2">
      <c r="A1347" s="6">
        <f ca="1">Model!$F$13+RAND()*(Model!$G$13-Model!$F$13)</f>
        <v>1779.6488810422597</v>
      </c>
      <c r="B1347" s="31">
        <f ca="1">Model!$F$14+RAND()*(Model!$G$14-Model!$F$14)</f>
        <v>0.76707110236615117</v>
      </c>
      <c r="C1347" s="32">
        <f ca="1">Model!$F$15+RAND()*(Model!$G$15-Model!$F$15)</f>
        <v>2.3193416989871325E-2</v>
      </c>
      <c r="D1347" s="33">
        <f ca="1">Model!$F$16+RAND()*(Model!$G$16-Model!$F$16)</f>
        <v>50.832696652747885</v>
      </c>
      <c r="E1347" s="33">
        <f>Model!$D$17</f>
        <v>800</v>
      </c>
      <c r="G1347" s="36">
        <f t="shared" ca="1" si="23"/>
        <v>-66.939796881997609</v>
      </c>
    </row>
    <row r="1348" spans="1:7" x14ac:dyDescent="0.2">
      <c r="A1348" s="6">
        <f ca="1">Model!$F$13+RAND()*(Model!$G$13-Model!$F$13)</f>
        <v>1309.1306195811078</v>
      </c>
      <c r="B1348" s="31">
        <f ca="1">Model!$F$14+RAND()*(Model!$G$14-Model!$F$14)</f>
        <v>0.6121406103658158</v>
      </c>
      <c r="C1348" s="32">
        <f ca="1">Model!$F$15+RAND()*(Model!$G$15-Model!$F$15)</f>
        <v>3.5055765846151131E-2</v>
      </c>
      <c r="D1348" s="33">
        <f ca="1">Model!$F$16+RAND()*(Model!$G$16-Model!$F$16)</f>
        <v>50.232716471478668</v>
      </c>
      <c r="E1348" s="33">
        <f>Model!$D$17</f>
        <v>800</v>
      </c>
      <c r="G1348" s="36">
        <f t="shared" ca="1" si="23"/>
        <v>703.93676504546147</v>
      </c>
    </row>
    <row r="1349" spans="1:7" x14ac:dyDescent="0.2">
      <c r="A1349" s="6">
        <f ca="1">Model!$F$13+RAND()*(Model!$G$13-Model!$F$13)</f>
        <v>1728.3335940668446</v>
      </c>
      <c r="B1349" s="31">
        <f ca="1">Model!$F$14+RAND()*(Model!$G$14-Model!$F$14)</f>
        <v>0.49105896788921122</v>
      </c>
      <c r="C1349" s="32">
        <f ca="1">Model!$F$15+RAND()*(Model!$G$15-Model!$F$15)</f>
        <v>3.4309429002423335E-2</v>
      </c>
      <c r="D1349" s="33">
        <f ca="1">Model!$F$16+RAND()*(Model!$G$16-Model!$F$16)</f>
        <v>47.107459705987402</v>
      </c>
      <c r="E1349" s="33">
        <f>Model!$D$17</f>
        <v>800</v>
      </c>
      <c r="G1349" s="36">
        <f t="shared" ca="1" si="23"/>
        <v>1144.670970376244</v>
      </c>
    </row>
    <row r="1350" spans="1:7" x14ac:dyDescent="0.2">
      <c r="A1350" s="6">
        <f ca="1">Model!$F$13+RAND()*(Model!$G$13-Model!$F$13)</f>
        <v>1758.2535480021161</v>
      </c>
      <c r="B1350" s="31">
        <f ca="1">Model!$F$14+RAND()*(Model!$G$14-Model!$F$14)</f>
        <v>0.45288464159788483</v>
      </c>
      <c r="C1350" s="32">
        <f ca="1">Model!$F$15+RAND()*(Model!$G$15-Model!$F$15)</f>
        <v>3.6528439429267631E-2</v>
      </c>
      <c r="D1350" s="33">
        <f ca="1">Model!$F$16+RAND()*(Model!$G$16-Model!$F$16)</f>
        <v>49.983861541231732</v>
      </c>
      <c r="E1350" s="33">
        <f>Model!$D$17</f>
        <v>800</v>
      </c>
      <c r="G1350" s="36">
        <f t="shared" ca="1" si="23"/>
        <v>1613.9903707290855</v>
      </c>
    </row>
    <row r="1351" spans="1:7" x14ac:dyDescent="0.2">
      <c r="A1351" s="6">
        <f ca="1">Model!$F$13+RAND()*(Model!$G$13-Model!$F$13)</f>
        <v>1612.0958635695536</v>
      </c>
      <c r="B1351" s="31">
        <f ca="1">Model!$F$14+RAND()*(Model!$G$14-Model!$F$14)</f>
        <v>0.24656884514168451</v>
      </c>
      <c r="C1351" s="32">
        <f ca="1">Model!$F$15+RAND()*(Model!$G$15-Model!$F$15)</f>
        <v>2.5114913293770698E-2</v>
      </c>
      <c r="D1351" s="33">
        <f ca="1">Model!$F$16+RAND()*(Model!$G$16-Model!$F$16)</f>
        <v>52.747349753656799</v>
      </c>
      <c r="E1351" s="33">
        <f>Model!$D$17</f>
        <v>800</v>
      </c>
      <c r="G1351" s="36">
        <f t="shared" ca="1" si="23"/>
        <v>938.12350570682497</v>
      </c>
    </row>
    <row r="1352" spans="1:7" x14ac:dyDescent="0.2">
      <c r="A1352" s="6">
        <f ca="1">Model!$F$13+RAND()*(Model!$G$13-Model!$F$13)</f>
        <v>1264.4572591434194</v>
      </c>
      <c r="B1352" s="31">
        <f ca="1">Model!$F$14+RAND()*(Model!$G$14-Model!$F$14)</f>
        <v>0.65483104814498083</v>
      </c>
      <c r="C1352" s="32">
        <f ca="1">Model!$F$15+RAND()*(Model!$G$15-Model!$F$15)</f>
        <v>2.2035073693380765E-2</v>
      </c>
      <c r="D1352" s="33">
        <f ca="1">Model!$F$16+RAND()*(Model!$G$16-Model!$F$16)</f>
        <v>50.321283835855255</v>
      </c>
      <c r="E1352" s="33">
        <f>Model!$D$17</f>
        <v>800</v>
      </c>
      <c r="G1352" s="36">
        <f t="shared" ca="1" si="23"/>
        <v>-225.93368636814262</v>
      </c>
    </row>
    <row r="1353" spans="1:7" x14ac:dyDescent="0.2">
      <c r="A1353" s="6">
        <f ca="1">Model!$F$13+RAND()*(Model!$G$13-Model!$F$13)</f>
        <v>1528.2443286253229</v>
      </c>
      <c r="B1353" s="31">
        <f ca="1">Model!$F$14+RAND()*(Model!$G$14-Model!$F$14)</f>
        <v>0.67409917201836156</v>
      </c>
      <c r="C1353" s="32">
        <f ca="1">Model!$F$15+RAND()*(Model!$G$15-Model!$F$15)</f>
        <v>3.2221555175834533E-2</v>
      </c>
      <c r="D1353" s="33">
        <f ca="1">Model!$F$16+RAND()*(Model!$G$16-Model!$F$16)</f>
        <v>52.996840317846242</v>
      </c>
      <c r="E1353" s="33">
        <f>Model!$D$17</f>
        <v>800</v>
      </c>
      <c r="G1353" s="36">
        <f t="shared" ca="1" si="23"/>
        <v>779.50384778984676</v>
      </c>
    </row>
    <row r="1354" spans="1:7" x14ac:dyDescent="0.2">
      <c r="A1354" s="6">
        <f ca="1">Model!$F$13+RAND()*(Model!$G$13-Model!$F$13)</f>
        <v>1475.228454320647</v>
      </c>
      <c r="B1354" s="31">
        <f ca="1">Model!$F$14+RAND()*(Model!$G$14-Model!$F$14)</f>
        <v>0.53989930103579864</v>
      </c>
      <c r="C1354" s="32">
        <f ca="1">Model!$F$15+RAND()*(Model!$G$15-Model!$F$15)</f>
        <v>2.2612916366379278E-2</v>
      </c>
      <c r="D1354" s="33">
        <f ca="1">Model!$F$16+RAND()*(Model!$G$16-Model!$F$16)</f>
        <v>50.658964317302193</v>
      </c>
      <c r="E1354" s="33">
        <f>Model!$D$17</f>
        <v>800</v>
      </c>
      <c r="G1354" s="36">
        <f t="shared" ca="1" si="23"/>
        <v>93.468605677252299</v>
      </c>
    </row>
    <row r="1355" spans="1:7" x14ac:dyDescent="0.2">
      <c r="A1355" s="6">
        <f ca="1">Model!$F$13+RAND()*(Model!$G$13-Model!$F$13)</f>
        <v>1726.6589150450777</v>
      </c>
      <c r="B1355" s="31">
        <f ca="1">Model!$F$14+RAND()*(Model!$G$14-Model!$F$14)</f>
        <v>0.41491759279686335</v>
      </c>
      <c r="C1355" s="32">
        <f ca="1">Model!$F$15+RAND()*(Model!$G$15-Model!$F$15)</f>
        <v>4.1136097401594109E-2</v>
      </c>
      <c r="D1355" s="33">
        <f ca="1">Model!$F$16+RAND()*(Model!$G$16-Model!$F$16)</f>
        <v>47.407103491661957</v>
      </c>
      <c r="E1355" s="33">
        <f>Model!$D$17</f>
        <v>800</v>
      </c>
      <c r="G1355" s="36">
        <f t="shared" ca="1" si="23"/>
        <v>1850.8110274889732</v>
      </c>
    </row>
    <row r="1356" spans="1:7" x14ac:dyDescent="0.2">
      <c r="A1356" s="6">
        <f ca="1">Model!$F$13+RAND()*(Model!$G$13-Model!$F$13)</f>
        <v>1769.6707095747756</v>
      </c>
      <c r="B1356" s="31">
        <f ca="1">Model!$F$14+RAND()*(Model!$G$14-Model!$F$14)</f>
        <v>0.68069085617122127</v>
      </c>
      <c r="C1356" s="32">
        <f ca="1">Model!$F$15+RAND()*(Model!$G$15-Model!$F$15)</f>
        <v>1.2429894858307255E-2</v>
      </c>
      <c r="D1356" s="33">
        <f ca="1">Model!$F$16+RAND()*(Model!$G$16-Model!$F$16)</f>
        <v>48.193439754335252</v>
      </c>
      <c r="E1356" s="33">
        <f>Model!$D$17</f>
        <v>800</v>
      </c>
      <c r="G1356" s="36">
        <f t="shared" ca="1" si="23"/>
        <v>-944.49620983512114</v>
      </c>
    </row>
    <row r="1357" spans="1:7" x14ac:dyDescent="0.2">
      <c r="A1357" s="6">
        <f ca="1">Model!$F$13+RAND()*(Model!$G$13-Model!$F$13)</f>
        <v>1361.7877145488217</v>
      </c>
      <c r="B1357" s="31">
        <f ca="1">Model!$F$14+RAND()*(Model!$G$14-Model!$F$14)</f>
        <v>0.46297743305782091</v>
      </c>
      <c r="C1357" s="32">
        <f ca="1">Model!$F$15+RAND()*(Model!$G$15-Model!$F$15)</f>
        <v>1.0497556962111316E-2</v>
      </c>
      <c r="D1357" s="33">
        <f ca="1">Model!$F$16+RAND()*(Model!$G$16-Model!$F$16)</f>
        <v>49.967105016007253</v>
      </c>
      <c r="E1357" s="33">
        <f>Model!$D$17</f>
        <v>800</v>
      </c>
      <c r="G1357" s="36">
        <f t="shared" ca="1" si="23"/>
        <v>-716.1750236674709</v>
      </c>
    </row>
    <row r="1358" spans="1:7" x14ac:dyDescent="0.2">
      <c r="A1358" s="6">
        <f ca="1">Model!$F$13+RAND()*(Model!$G$13-Model!$F$13)</f>
        <v>1435.7953263704619</v>
      </c>
      <c r="B1358" s="31">
        <f ca="1">Model!$F$14+RAND()*(Model!$G$14-Model!$F$14)</f>
        <v>0.77118531993476869</v>
      </c>
      <c r="C1358" s="32">
        <f ca="1">Model!$F$15+RAND()*(Model!$G$15-Model!$F$15)</f>
        <v>4.9800051482137744E-2</v>
      </c>
      <c r="D1358" s="33">
        <f ca="1">Model!$F$16+RAND()*(Model!$G$16-Model!$F$16)</f>
        <v>51.034354819994405</v>
      </c>
      <c r="E1358" s="33">
        <f>Model!$D$17</f>
        <v>800</v>
      </c>
      <c r="G1358" s="36">
        <f t="shared" ca="1" si="23"/>
        <v>1741.828923337049</v>
      </c>
    </row>
    <row r="1359" spans="1:7" x14ac:dyDescent="0.2">
      <c r="A1359" s="6">
        <f ca="1">Model!$F$13+RAND()*(Model!$G$13-Model!$F$13)</f>
        <v>1412.5905621910201</v>
      </c>
      <c r="B1359" s="31">
        <f ca="1">Model!$F$14+RAND()*(Model!$G$14-Model!$F$14)</f>
        <v>0.32020272480266776</v>
      </c>
      <c r="C1359" s="32">
        <f ca="1">Model!$F$15+RAND()*(Model!$G$15-Model!$F$15)</f>
        <v>1.4042696731741021E-2</v>
      </c>
      <c r="D1359" s="33">
        <f ca="1">Model!$F$16+RAND()*(Model!$G$16-Model!$F$16)</f>
        <v>47.949011329535885</v>
      </c>
      <c r="E1359" s="33">
        <f>Model!$D$17</f>
        <v>800</v>
      </c>
      <c r="G1359" s="36">
        <f t="shared" ca="1" si="23"/>
        <v>-301.17090612279526</v>
      </c>
    </row>
    <row r="1360" spans="1:7" x14ac:dyDescent="0.2">
      <c r="A1360" s="6">
        <f ca="1">Model!$F$13+RAND()*(Model!$G$13-Model!$F$13)</f>
        <v>1724.7365304182526</v>
      </c>
      <c r="B1360" s="31">
        <f ca="1">Model!$F$14+RAND()*(Model!$G$14-Model!$F$14)</f>
        <v>0.47646322724594281</v>
      </c>
      <c r="C1360" s="32">
        <f ca="1">Model!$F$15+RAND()*(Model!$G$15-Model!$F$15)</f>
        <v>4.4620190856992072E-2</v>
      </c>
      <c r="D1360" s="33">
        <f ca="1">Model!$F$16+RAND()*(Model!$G$16-Model!$F$16)</f>
        <v>47.50214754141772</v>
      </c>
      <c r="E1360" s="33">
        <f>Model!$D$17</f>
        <v>800</v>
      </c>
      <c r="G1360" s="36">
        <f t="shared" ca="1" si="23"/>
        <v>2033.9002125687143</v>
      </c>
    </row>
    <row r="1361" spans="1:7" x14ac:dyDescent="0.2">
      <c r="A1361" s="6">
        <f ca="1">Model!$F$13+RAND()*(Model!$G$13-Model!$F$13)</f>
        <v>1235.4512201270497</v>
      </c>
      <c r="B1361" s="31">
        <f ca="1">Model!$F$14+RAND()*(Model!$G$14-Model!$F$14)</f>
        <v>0.39862267257233075</v>
      </c>
      <c r="C1361" s="32">
        <f ca="1">Model!$F$15+RAND()*(Model!$G$15-Model!$F$15)</f>
        <v>3.4420707831148915E-2</v>
      </c>
      <c r="D1361" s="33">
        <f ca="1">Model!$F$16+RAND()*(Model!$G$16-Model!$F$16)</f>
        <v>52.325420538521755</v>
      </c>
      <c r="E1361" s="33">
        <f>Model!$D$17</f>
        <v>800</v>
      </c>
      <c r="G1361" s="36">
        <f t="shared" ca="1" si="23"/>
        <v>932.66516088542789</v>
      </c>
    </row>
    <row r="1362" spans="1:7" x14ac:dyDescent="0.2">
      <c r="A1362" s="6">
        <f ca="1">Model!$F$13+RAND()*(Model!$G$13-Model!$F$13)</f>
        <v>1761.4397888379374</v>
      </c>
      <c r="B1362" s="31">
        <f ca="1">Model!$F$14+RAND()*(Model!$G$14-Model!$F$14)</f>
        <v>0.71645777194557891</v>
      </c>
      <c r="C1362" s="32">
        <f ca="1">Model!$F$15+RAND()*(Model!$G$15-Model!$F$15)</f>
        <v>4.3130009373148988E-2</v>
      </c>
      <c r="D1362" s="33">
        <f ca="1">Model!$F$16+RAND()*(Model!$G$16-Model!$F$16)</f>
        <v>51.799887544025978</v>
      </c>
      <c r="E1362" s="33">
        <f>Model!$D$17</f>
        <v>800</v>
      </c>
      <c r="G1362" s="36">
        <f t="shared" ca="1" si="23"/>
        <v>1873.2876065156438</v>
      </c>
    </row>
    <row r="1363" spans="1:7" x14ac:dyDescent="0.2">
      <c r="A1363" s="6">
        <f ca="1">Model!$F$13+RAND()*(Model!$G$13-Model!$F$13)</f>
        <v>1719.1753997082392</v>
      </c>
      <c r="B1363" s="31">
        <f ca="1">Model!$F$14+RAND()*(Model!$G$14-Model!$F$14)</f>
        <v>0.65570401599958639</v>
      </c>
      <c r="C1363" s="32">
        <f ca="1">Model!$F$15+RAND()*(Model!$G$15-Model!$F$15)</f>
        <v>1.1536127679973531E-2</v>
      </c>
      <c r="D1363" s="33">
        <f ca="1">Model!$F$16+RAND()*(Model!$G$16-Model!$F$16)</f>
        <v>51.198167353615531</v>
      </c>
      <c r="E1363" s="33">
        <f>Model!$D$17</f>
        <v>800</v>
      </c>
      <c r="G1363" s="36">
        <f t="shared" ca="1" si="23"/>
        <v>-911.87606192484395</v>
      </c>
    </row>
    <row r="1364" spans="1:7" x14ac:dyDescent="0.2">
      <c r="A1364" s="6">
        <f ca="1">Model!$F$13+RAND()*(Model!$G$13-Model!$F$13)</f>
        <v>1508.3192089190934</v>
      </c>
      <c r="B1364" s="31">
        <f ca="1">Model!$F$14+RAND()*(Model!$G$14-Model!$F$14)</f>
        <v>0.4334612078271235</v>
      </c>
      <c r="C1364" s="32">
        <f ca="1">Model!$F$15+RAND()*(Model!$G$15-Model!$F$15)</f>
        <v>2.7417455602227712E-2</v>
      </c>
      <c r="D1364" s="33">
        <f ca="1">Model!$F$16+RAND()*(Model!$G$16-Model!$F$16)</f>
        <v>52.52496404856582</v>
      </c>
      <c r="E1364" s="33">
        <f>Model!$D$17</f>
        <v>800</v>
      </c>
      <c r="G1364" s="36">
        <f t="shared" ca="1" si="23"/>
        <v>718.33393862883713</v>
      </c>
    </row>
    <row r="1365" spans="1:7" x14ac:dyDescent="0.2">
      <c r="A1365" s="6">
        <f ca="1">Model!$F$13+RAND()*(Model!$G$13-Model!$F$13)</f>
        <v>1796.6651357563046</v>
      </c>
      <c r="B1365" s="31">
        <f ca="1">Model!$F$14+RAND()*(Model!$G$14-Model!$F$14)</f>
        <v>0.26050457629463342</v>
      </c>
      <c r="C1365" s="32">
        <f ca="1">Model!$F$15+RAND()*(Model!$G$15-Model!$F$15)</f>
        <v>4.7675643625431162E-2</v>
      </c>
      <c r="D1365" s="33">
        <f ca="1">Model!$F$16+RAND()*(Model!$G$16-Model!$F$16)</f>
        <v>52.942787390276607</v>
      </c>
      <c r="E1365" s="33">
        <f>Model!$D$17</f>
        <v>800</v>
      </c>
      <c r="G1365" s="36">
        <f t="shared" ca="1" si="23"/>
        <v>3266.8896765239133</v>
      </c>
    </row>
    <row r="1366" spans="1:7" x14ac:dyDescent="0.2">
      <c r="A1366" s="6">
        <f ca="1">Model!$F$13+RAND()*(Model!$G$13-Model!$F$13)</f>
        <v>1427.1778150248201</v>
      </c>
      <c r="B1366" s="31">
        <f ca="1">Model!$F$14+RAND()*(Model!$G$14-Model!$F$14)</f>
        <v>0.39281696773554842</v>
      </c>
      <c r="C1366" s="32">
        <f ca="1">Model!$F$15+RAND()*(Model!$G$15-Model!$F$15)</f>
        <v>3.8441738944850472E-2</v>
      </c>
      <c r="D1366" s="33">
        <f ca="1">Model!$F$16+RAND()*(Model!$G$16-Model!$F$16)</f>
        <v>47.795137352010222</v>
      </c>
      <c r="E1366" s="33">
        <f>Model!$D$17</f>
        <v>800</v>
      </c>
      <c r="G1366" s="36">
        <f t="shared" ca="1" si="23"/>
        <v>1261.5743741364995</v>
      </c>
    </row>
    <row r="1367" spans="1:7" x14ac:dyDescent="0.2">
      <c r="A1367" s="6">
        <f ca="1">Model!$F$13+RAND()*(Model!$G$13-Model!$F$13)</f>
        <v>1775.2028553713901</v>
      </c>
      <c r="B1367" s="31">
        <f ca="1">Model!$F$14+RAND()*(Model!$G$14-Model!$F$14)</f>
        <v>0.72515508095711123</v>
      </c>
      <c r="C1367" s="32">
        <f ca="1">Model!$F$15+RAND()*(Model!$G$15-Model!$F$15)</f>
        <v>3.6300548446265228E-2</v>
      </c>
      <c r="D1367" s="33">
        <f ca="1">Model!$F$16+RAND()*(Model!$G$16-Model!$F$16)</f>
        <v>52.013633119022771</v>
      </c>
      <c r="E1367" s="33">
        <f>Model!$D$17</f>
        <v>800</v>
      </c>
      <c r="G1367" s="36">
        <f t="shared" ca="1" si="23"/>
        <v>1264.5046964766575</v>
      </c>
    </row>
    <row r="1368" spans="1:7" x14ac:dyDescent="0.2">
      <c r="A1368" s="6">
        <f ca="1">Model!$F$13+RAND()*(Model!$G$13-Model!$F$13)</f>
        <v>1285.8849547457883</v>
      </c>
      <c r="B1368" s="31">
        <f ca="1">Model!$F$14+RAND()*(Model!$G$14-Model!$F$14)</f>
        <v>0.25635269531921895</v>
      </c>
      <c r="C1368" s="32">
        <f ca="1">Model!$F$15+RAND()*(Model!$G$15-Model!$F$15)</f>
        <v>4.7996723170027976E-2</v>
      </c>
      <c r="D1368" s="33">
        <f ca="1">Model!$F$16+RAND()*(Model!$G$16-Model!$F$16)</f>
        <v>51.141438701089911</v>
      </c>
      <c r="E1368" s="33">
        <f>Model!$D$17</f>
        <v>800</v>
      </c>
      <c r="G1368" s="36">
        <f t="shared" ca="1" si="23"/>
        <v>2026.7207513759756</v>
      </c>
    </row>
    <row r="1369" spans="1:7" x14ac:dyDescent="0.2">
      <c r="A1369" s="6">
        <f ca="1">Model!$F$13+RAND()*(Model!$G$13-Model!$F$13)</f>
        <v>1629.0172428939686</v>
      </c>
      <c r="B1369" s="31">
        <f ca="1">Model!$F$14+RAND()*(Model!$G$14-Model!$F$14)</f>
        <v>0.34288152049337683</v>
      </c>
      <c r="C1369" s="32">
        <f ca="1">Model!$F$15+RAND()*(Model!$G$15-Model!$F$15)</f>
        <v>3.0243163187944518E-2</v>
      </c>
      <c r="D1369" s="33">
        <f ca="1">Model!$F$16+RAND()*(Model!$G$16-Model!$F$16)</f>
        <v>50.036246523097887</v>
      </c>
      <c r="E1369" s="33">
        <f>Model!$D$17</f>
        <v>800</v>
      </c>
      <c r="G1369" s="36">
        <f t="shared" ca="1" si="23"/>
        <v>1106.5575506860494</v>
      </c>
    </row>
    <row r="1370" spans="1:7" x14ac:dyDescent="0.2">
      <c r="A1370" s="6">
        <f ca="1">Model!$F$13+RAND()*(Model!$G$13-Model!$F$13)</f>
        <v>1239.0904090306321</v>
      </c>
      <c r="B1370" s="31">
        <f ca="1">Model!$F$14+RAND()*(Model!$G$14-Model!$F$14)</f>
        <v>0.41065407153493461</v>
      </c>
      <c r="C1370" s="32">
        <f ca="1">Model!$F$15+RAND()*(Model!$G$15-Model!$F$15)</f>
        <v>3.5311035733874833E-2</v>
      </c>
      <c r="D1370" s="33">
        <f ca="1">Model!$F$16+RAND()*(Model!$G$16-Model!$F$16)</f>
        <v>52.441082794559392</v>
      </c>
      <c r="E1370" s="33">
        <f>Model!$D$17</f>
        <v>800</v>
      </c>
      <c r="G1370" s="36">
        <f t="shared" ca="1" si="23"/>
        <v>985.64684052800931</v>
      </c>
    </row>
    <row r="1371" spans="1:7" x14ac:dyDescent="0.2">
      <c r="A1371" s="6">
        <f ca="1">Model!$F$13+RAND()*(Model!$G$13-Model!$F$13)</f>
        <v>1744.1481786796876</v>
      </c>
      <c r="B1371" s="31">
        <f ca="1">Model!$F$14+RAND()*(Model!$G$14-Model!$F$14)</f>
        <v>0.76724720123143575</v>
      </c>
      <c r="C1371" s="32">
        <f ca="1">Model!$F$15+RAND()*(Model!$G$15-Model!$F$15)</f>
        <v>1.3429028727891588E-2</v>
      </c>
      <c r="D1371" s="33">
        <f ca="1">Model!$F$16+RAND()*(Model!$G$16-Model!$F$16)</f>
        <v>47.977039007042883</v>
      </c>
      <c r="E1371" s="33">
        <f>Model!$D$17</f>
        <v>800</v>
      </c>
      <c r="G1371" s="36">
        <f t="shared" ca="1" si="23"/>
        <v>-1014.4642380963608</v>
      </c>
    </row>
    <row r="1372" spans="1:7" x14ac:dyDescent="0.2">
      <c r="A1372" s="6">
        <f ca="1">Model!$F$13+RAND()*(Model!$G$13-Model!$F$13)</f>
        <v>1316.7760232298722</v>
      </c>
      <c r="B1372" s="31">
        <f ca="1">Model!$F$14+RAND()*(Model!$G$14-Model!$F$14)</f>
        <v>0.7096051825884957</v>
      </c>
      <c r="C1372" s="32">
        <f ca="1">Model!$F$15+RAND()*(Model!$G$15-Model!$F$15)</f>
        <v>3.5753513389315879E-2</v>
      </c>
      <c r="D1372" s="33">
        <f ca="1">Model!$F$16+RAND()*(Model!$G$16-Model!$F$16)</f>
        <v>51.047432974359097</v>
      </c>
      <c r="E1372" s="33">
        <f>Model!$D$17</f>
        <v>800</v>
      </c>
      <c r="G1372" s="36">
        <f t="shared" ca="1" si="23"/>
        <v>668.88985216008882</v>
      </c>
    </row>
    <row r="1373" spans="1:7" x14ac:dyDescent="0.2">
      <c r="A1373" s="6">
        <f ca="1">Model!$F$13+RAND()*(Model!$G$13-Model!$F$13)</f>
        <v>1231.8559296507347</v>
      </c>
      <c r="B1373" s="31">
        <f ca="1">Model!$F$14+RAND()*(Model!$G$14-Model!$F$14)</f>
        <v>0.73934683133163492</v>
      </c>
      <c r="C1373" s="32">
        <f ca="1">Model!$F$15+RAND()*(Model!$G$15-Model!$F$15)</f>
        <v>2.7357354876031512E-2</v>
      </c>
      <c r="D1373" s="33">
        <f ca="1">Model!$F$16+RAND()*(Model!$G$16-Model!$F$16)</f>
        <v>50.823814101475946</v>
      </c>
      <c r="E1373" s="33">
        <f>Model!$D$17</f>
        <v>800</v>
      </c>
      <c r="G1373" s="36">
        <f t="shared" ca="1" si="23"/>
        <v>2.0100116305166011</v>
      </c>
    </row>
    <row r="1374" spans="1:7" x14ac:dyDescent="0.2">
      <c r="A1374" s="6">
        <f ca="1">Model!$F$13+RAND()*(Model!$G$13-Model!$F$13)</f>
        <v>1758.9881560162983</v>
      </c>
      <c r="B1374" s="31">
        <f ca="1">Model!$F$14+RAND()*(Model!$G$14-Model!$F$14)</f>
        <v>0.52044125054677415</v>
      </c>
      <c r="C1374" s="32">
        <f ca="1">Model!$F$15+RAND()*(Model!$G$15-Model!$F$15)</f>
        <v>3.0148477521041286E-2</v>
      </c>
      <c r="D1374" s="33">
        <f ca="1">Model!$F$16+RAND()*(Model!$G$16-Model!$F$16)</f>
        <v>50.306174594619719</v>
      </c>
      <c r="E1374" s="33">
        <f>Model!$D$17</f>
        <v>800</v>
      </c>
      <c r="G1374" s="36">
        <f t="shared" ca="1" si="23"/>
        <v>952.32743670635182</v>
      </c>
    </row>
    <row r="1375" spans="1:7" x14ac:dyDescent="0.2">
      <c r="A1375" s="6">
        <f ca="1">Model!$F$13+RAND()*(Model!$G$13-Model!$F$13)</f>
        <v>1783.7274642861216</v>
      </c>
      <c r="B1375" s="31">
        <f ca="1">Model!$F$14+RAND()*(Model!$G$14-Model!$F$14)</f>
        <v>0.24172203688014665</v>
      </c>
      <c r="C1375" s="32">
        <f ca="1">Model!$F$15+RAND()*(Model!$G$15-Model!$F$15)</f>
        <v>1.7801664200783315E-2</v>
      </c>
      <c r="D1375" s="33">
        <f ca="1">Model!$F$16+RAND()*(Model!$G$16-Model!$F$16)</f>
        <v>49.785575543238686</v>
      </c>
      <c r="E1375" s="33">
        <f>Model!$D$17</f>
        <v>800</v>
      </c>
      <c r="G1375" s="36">
        <f t="shared" ca="1" si="23"/>
        <v>349.69094351845456</v>
      </c>
    </row>
    <row r="1376" spans="1:7" x14ac:dyDescent="0.2">
      <c r="A1376" s="6">
        <f ca="1">Model!$F$13+RAND()*(Model!$G$13-Model!$F$13)</f>
        <v>1572.2233654093548</v>
      </c>
      <c r="B1376" s="31">
        <f ca="1">Model!$F$14+RAND()*(Model!$G$14-Model!$F$14)</f>
        <v>0.46605500369279079</v>
      </c>
      <c r="C1376" s="32">
        <f ca="1">Model!$F$15+RAND()*(Model!$G$15-Model!$F$15)</f>
        <v>2.0733861130853244E-2</v>
      </c>
      <c r="D1376" s="33">
        <f ca="1">Model!$F$16+RAND()*(Model!$G$16-Model!$F$16)</f>
        <v>47.30396606092895</v>
      </c>
      <c r="E1376" s="33">
        <f>Model!$D$17</f>
        <v>800</v>
      </c>
      <c r="G1376" s="36">
        <f t="shared" ca="1" si="23"/>
        <v>9.2844620735559147</v>
      </c>
    </row>
    <row r="1377" spans="1:7" x14ac:dyDescent="0.2">
      <c r="A1377" s="6">
        <f ca="1">Model!$F$13+RAND()*(Model!$G$13-Model!$F$13)</f>
        <v>1215.7012039842841</v>
      </c>
      <c r="B1377" s="31">
        <f ca="1">Model!$F$14+RAND()*(Model!$G$14-Model!$F$14)</f>
        <v>0.7809000136962656</v>
      </c>
      <c r="C1377" s="32">
        <f ca="1">Model!$F$15+RAND()*(Model!$G$15-Model!$F$15)</f>
        <v>2.0337333007100628E-2</v>
      </c>
      <c r="D1377" s="33">
        <f ca="1">Model!$F$16+RAND()*(Model!$G$16-Model!$F$16)</f>
        <v>47.993498970949005</v>
      </c>
      <c r="E1377" s="33">
        <f>Model!$D$17</f>
        <v>800</v>
      </c>
      <c r="G1377" s="36">
        <f t="shared" ca="1" si="23"/>
        <v>-562.74404838276655</v>
      </c>
    </row>
    <row r="1378" spans="1:7" x14ac:dyDescent="0.2">
      <c r="A1378" s="6">
        <f ca="1">Model!$F$13+RAND()*(Model!$G$13-Model!$F$13)</f>
        <v>1293.7542448225038</v>
      </c>
      <c r="B1378" s="31">
        <f ca="1">Model!$F$14+RAND()*(Model!$G$14-Model!$F$14)</f>
        <v>0.36612056842734625</v>
      </c>
      <c r="C1378" s="32">
        <f ca="1">Model!$F$15+RAND()*(Model!$G$15-Model!$F$15)</f>
        <v>2.1940802576154442E-2</v>
      </c>
      <c r="D1378" s="33">
        <f ca="1">Model!$F$16+RAND()*(Model!$G$16-Model!$F$16)</f>
        <v>48.437131659231767</v>
      </c>
      <c r="E1378" s="33">
        <f>Model!$D$17</f>
        <v>800</v>
      </c>
      <c r="G1378" s="36">
        <f t="shared" ca="1" si="23"/>
        <v>101.26669303667973</v>
      </c>
    </row>
    <row r="1379" spans="1:7" x14ac:dyDescent="0.2">
      <c r="A1379" s="6">
        <f ca="1">Model!$F$13+RAND()*(Model!$G$13-Model!$F$13)</f>
        <v>1789.5188259301644</v>
      </c>
      <c r="B1379" s="31">
        <f ca="1">Model!$F$14+RAND()*(Model!$G$14-Model!$F$14)</f>
        <v>0.43035094371061944</v>
      </c>
      <c r="C1379" s="32">
        <f ca="1">Model!$F$15+RAND()*(Model!$G$15-Model!$F$15)</f>
        <v>2.4425808384604505E-2</v>
      </c>
      <c r="D1379" s="33">
        <f ca="1">Model!$F$16+RAND()*(Model!$G$16-Model!$F$16)</f>
        <v>50.138054196835718</v>
      </c>
      <c r="E1379" s="33">
        <f>Model!$D$17</f>
        <v>800</v>
      </c>
      <c r="G1379" s="36">
        <f t="shared" ca="1" si="23"/>
        <v>621.43549184552239</v>
      </c>
    </row>
    <row r="1380" spans="1:7" x14ac:dyDescent="0.2">
      <c r="A1380" s="6">
        <f ca="1">Model!$F$13+RAND()*(Model!$G$13-Model!$F$13)</f>
        <v>1738.0744657133116</v>
      </c>
      <c r="B1380" s="31">
        <f ca="1">Model!$F$14+RAND()*(Model!$G$14-Model!$F$14)</f>
        <v>0.60905924424253666</v>
      </c>
      <c r="C1380" s="32">
        <f ca="1">Model!$F$15+RAND()*(Model!$G$15-Model!$F$15)</f>
        <v>4.3476477125898826E-2</v>
      </c>
      <c r="D1380" s="33">
        <f ca="1">Model!$F$16+RAND()*(Model!$G$16-Model!$F$16)</f>
        <v>50.1109433050934</v>
      </c>
      <c r="E1380" s="33">
        <f>Model!$D$17</f>
        <v>800</v>
      </c>
      <c r="G1380" s="36">
        <f t="shared" ca="1" si="23"/>
        <v>1928.0608872667888</v>
      </c>
    </row>
    <row r="1381" spans="1:7" x14ac:dyDescent="0.2">
      <c r="A1381" s="6">
        <f ca="1">Model!$F$13+RAND()*(Model!$G$13-Model!$F$13)</f>
        <v>1268.4702709566573</v>
      </c>
      <c r="B1381" s="31">
        <f ca="1">Model!$F$14+RAND()*(Model!$G$14-Model!$F$14)</f>
        <v>0.74576982962665594</v>
      </c>
      <c r="C1381" s="32">
        <f ca="1">Model!$F$15+RAND()*(Model!$G$15-Model!$F$15)</f>
        <v>4.8311803255311238E-2</v>
      </c>
      <c r="D1381" s="33">
        <f ca="1">Model!$F$16+RAND()*(Model!$G$16-Model!$F$16)</f>
        <v>50.836019197080844</v>
      </c>
      <c r="E1381" s="33">
        <f>Model!$D$17</f>
        <v>800</v>
      </c>
      <c r="G1381" s="36">
        <f t="shared" ca="1" si="23"/>
        <v>1369.3504508973056</v>
      </c>
    </row>
    <row r="1382" spans="1:7" x14ac:dyDescent="0.2">
      <c r="A1382" s="6">
        <f ca="1">Model!$F$13+RAND()*(Model!$G$13-Model!$F$13)</f>
        <v>1756.9220129491732</v>
      </c>
      <c r="B1382" s="31">
        <f ca="1">Model!$F$14+RAND()*(Model!$G$14-Model!$F$14)</f>
        <v>0.76011057814962335</v>
      </c>
      <c r="C1382" s="32">
        <f ca="1">Model!$F$15+RAND()*(Model!$G$15-Model!$F$15)</f>
        <v>2.4657701473924584E-2</v>
      </c>
      <c r="D1382" s="33">
        <f ca="1">Model!$F$16+RAND()*(Model!$G$16-Model!$F$16)</f>
        <v>51.558229107066175</v>
      </c>
      <c r="E1382" s="33">
        <f>Model!$D$17</f>
        <v>800</v>
      </c>
      <c r="G1382" s="36">
        <f t="shared" ca="1" si="23"/>
        <v>98.132987640736246</v>
      </c>
    </row>
    <row r="1383" spans="1:7" x14ac:dyDescent="0.2">
      <c r="A1383" s="6">
        <f ca="1">Model!$F$13+RAND()*(Model!$G$13-Model!$F$13)</f>
        <v>1330.7981565033197</v>
      </c>
      <c r="B1383" s="31">
        <f ca="1">Model!$F$14+RAND()*(Model!$G$14-Model!$F$14)</f>
        <v>0.23290576014563708</v>
      </c>
      <c r="C1383" s="32">
        <f ca="1">Model!$F$15+RAND()*(Model!$G$15-Model!$F$15)</f>
        <v>2.5997927074014104E-2</v>
      </c>
      <c r="D1383" s="33">
        <f ca="1">Model!$F$16+RAND()*(Model!$G$16-Model!$F$16)</f>
        <v>47.769812253641483</v>
      </c>
      <c r="E1383" s="33">
        <f>Model!$D$17</f>
        <v>800</v>
      </c>
      <c r="G1383" s="36">
        <f t="shared" ca="1" si="23"/>
        <v>542.7890939288875</v>
      </c>
    </row>
    <row r="1384" spans="1:7" x14ac:dyDescent="0.2">
      <c r="A1384" s="6">
        <f ca="1">Model!$F$13+RAND()*(Model!$G$13-Model!$F$13)</f>
        <v>1447.0387398372641</v>
      </c>
      <c r="B1384" s="31">
        <f ca="1">Model!$F$14+RAND()*(Model!$G$14-Model!$F$14)</f>
        <v>0.40083825410815399</v>
      </c>
      <c r="C1384" s="32">
        <f ca="1">Model!$F$15+RAND()*(Model!$G$15-Model!$F$15)</f>
        <v>4.6591541291543311E-2</v>
      </c>
      <c r="D1384" s="33">
        <f ca="1">Model!$F$16+RAND()*(Model!$G$16-Model!$F$16)</f>
        <v>52.607168158448779</v>
      </c>
      <c r="E1384" s="33">
        <f>Model!$D$17</f>
        <v>800</v>
      </c>
      <c r="G1384" s="36">
        <f t="shared" ca="1" si="23"/>
        <v>2166.7344428495544</v>
      </c>
    </row>
    <row r="1385" spans="1:7" x14ac:dyDescent="0.2">
      <c r="A1385" s="6">
        <f ca="1">Model!$F$13+RAND()*(Model!$G$13-Model!$F$13)</f>
        <v>1455.2019552580823</v>
      </c>
      <c r="B1385" s="31">
        <f ca="1">Model!$F$14+RAND()*(Model!$G$14-Model!$F$14)</f>
        <v>0.76722291924486674</v>
      </c>
      <c r="C1385" s="32">
        <f ca="1">Model!$F$15+RAND()*(Model!$G$15-Model!$F$15)</f>
        <v>1.8256008492491961E-2</v>
      </c>
      <c r="D1385" s="33">
        <f ca="1">Model!$F$16+RAND()*(Model!$G$16-Model!$F$16)</f>
        <v>52.044958613188946</v>
      </c>
      <c r="E1385" s="33">
        <f>Model!$D$17</f>
        <v>800</v>
      </c>
      <c r="G1385" s="36">
        <f t="shared" ref="G1385:G1448" ca="1" si="24">A1385*C1385*D1385-(E1385+A1385*B1385)</f>
        <v>-533.82859244589054</v>
      </c>
    </row>
    <row r="1386" spans="1:7" x14ac:dyDescent="0.2">
      <c r="A1386" s="6">
        <f ca="1">Model!$F$13+RAND()*(Model!$G$13-Model!$F$13)</f>
        <v>1461.1648879448855</v>
      </c>
      <c r="B1386" s="31">
        <f ca="1">Model!$F$14+RAND()*(Model!$G$14-Model!$F$14)</f>
        <v>0.57608861589513205</v>
      </c>
      <c r="C1386" s="32">
        <f ca="1">Model!$F$15+RAND()*(Model!$G$15-Model!$F$15)</f>
        <v>1.0947254292733404E-2</v>
      </c>
      <c r="D1386" s="33">
        <f ca="1">Model!$F$16+RAND()*(Model!$G$16-Model!$F$16)</f>
        <v>47.393062936733841</v>
      </c>
      <c r="E1386" s="33">
        <f>Model!$D$17</f>
        <v>800</v>
      </c>
      <c r="G1386" s="36">
        <f t="shared" ca="1" si="24"/>
        <v>-883.67317511778242</v>
      </c>
    </row>
    <row r="1387" spans="1:7" x14ac:dyDescent="0.2">
      <c r="A1387" s="6">
        <f ca="1">Model!$F$13+RAND()*(Model!$G$13-Model!$F$13)</f>
        <v>1512.2873220487058</v>
      </c>
      <c r="B1387" s="31">
        <f ca="1">Model!$F$14+RAND()*(Model!$G$14-Model!$F$14)</f>
        <v>0.32348251196820127</v>
      </c>
      <c r="C1387" s="32">
        <f ca="1">Model!$F$15+RAND()*(Model!$G$15-Model!$F$15)</f>
        <v>2.2575208840479588E-2</v>
      </c>
      <c r="D1387" s="33">
        <f ca="1">Model!$F$16+RAND()*(Model!$G$16-Model!$F$16)</f>
        <v>49.810649827000063</v>
      </c>
      <c r="E1387" s="33">
        <f>Model!$D$17</f>
        <v>800</v>
      </c>
      <c r="G1387" s="36">
        <f t="shared" ca="1" si="24"/>
        <v>411.34715117091287</v>
      </c>
    </row>
    <row r="1388" spans="1:7" x14ac:dyDescent="0.2">
      <c r="A1388" s="6">
        <f ca="1">Model!$F$13+RAND()*(Model!$G$13-Model!$F$13)</f>
        <v>1296.9714976645782</v>
      </c>
      <c r="B1388" s="31">
        <f ca="1">Model!$F$14+RAND()*(Model!$G$14-Model!$F$14)</f>
        <v>0.70598571073693583</v>
      </c>
      <c r="C1388" s="32">
        <f ca="1">Model!$F$15+RAND()*(Model!$G$15-Model!$F$15)</f>
        <v>4.5077240855451783E-2</v>
      </c>
      <c r="D1388" s="33">
        <f ca="1">Model!$F$16+RAND()*(Model!$G$16-Model!$F$16)</f>
        <v>48.037488875254915</v>
      </c>
      <c r="E1388" s="33">
        <f>Model!$D$17</f>
        <v>800</v>
      </c>
      <c r="G1388" s="36">
        <f t="shared" ca="1" si="24"/>
        <v>1092.815437119983</v>
      </c>
    </row>
    <row r="1389" spans="1:7" x14ac:dyDescent="0.2">
      <c r="A1389" s="6">
        <f ca="1">Model!$F$13+RAND()*(Model!$G$13-Model!$F$13)</f>
        <v>1292.3311846853219</v>
      </c>
      <c r="B1389" s="31">
        <f ca="1">Model!$F$14+RAND()*(Model!$G$14-Model!$F$14)</f>
        <v>0.52941992422061157</v>
      </c>
      <c r="C1389" s="32">
        <f ca="1">Model!$F$15+RAND()*(Model!$G$15-Model!$F$15)</f>
        <v>2.9732628657075238E-2</v>
      </c>
      <c r="D1389" s="33">
        <f ca="1">Model!$F$16+RAND()*(Model!$G$16-Model!$F$16)</f>
        <v>52.35904367937539</v>
      </c>
      <c r="E1389" s="33">
        <f>Model!$D$17</f>
        <v>800</v>
      </c>
      <c r="G1389" s="36">
        <f t="shared" ca="1" si="24"/>
        <v>527.67912848726723</v>
      </c>
    </row>
    <row r="1390" spans="1:7" x14ac:dyDescent="0.2">
      <c r="A1390" s="6">
        <f ca="1">Model!$F$13+RAND()*(Model!$G$13-Model!$F$13)</f>
        <v>1723.0495661002369</v>
      </c>
      <c r="B1390" s="31">
        <f ca="1">Model!$F$14+RAND()*(Model!$G$14-Model!$F$14)</f>
        <v>0.61987255386821505</v>
      </c>
      <c r="C1390" s="32">
        <f ca="1">Model!$F$15+RAND()*(Model!$G$15-Model!$F$15)</f>
        <v>2.6434889930239416E-2</v>
      </c>
      <c r="D1390" s="33">
        <f ca="1">Model!$F$16+RAND()*(Model!$G$16-Model!$F$16)</f>
        <v>50.001978250456695</v>
      </c>
      <c r="E1390" s="33">
        <f>Model!$D$17</f>
        <v>800</v>
      </c>
      <c r="G1390" s="36">
        <f t="shared" ca="1" si="24"/>
        <v>409.45025281969674</v>
      </c>
    </row>
    <row r="1391" spans="1:7" x14ac:dyDescent="0.2">
      <c r="A1391" s="6">
        <f ca="1">Model!$F$13+RAND()*(Model!$G$13-Model!$F$13)</f>
        <v>1741.802779846229</v>
      </c>
      <c r="B1391" s="31">
        <f ca="1">Model!$F$14+RAND()*(Model!$G$14-Model!$F$14)</f>
        <v>0.77292411610211231</v>
      </c>
      <c r="C1391" s="32">
        <f ca="1">Model!$F$15+RAND()*(Model!$G$15-Model!$F$15)</f>
        <v>3.8878457328329785E-2</v>
      </c>
      <c r="D1391" s="33">
        <f ca="1">Model!$F$16+RAND()*(Model!$G$16-Model!$F$16)</f>
        <v>51.654927193055535</v>
      </c>
      <c r="E1391" s="33">
        <f>Model!$D$17</f>
        <v>800</v>
      </c>
      <c r="G1391" s="36">
        <f t="shared" ca="1" si="24"/>
        <v>1351.7182394680972</v>
      </c>
    </row>
    <row r="1392" spans="1:7" x14ac:dyDescent="0.2">
      <c r="A1392" s="6">
        <f ca="1">Model!$F$13+RAND()*(Model!$G$13-Model!$F$13)</f>
        <v>1787.5194552520816</v>
      </c>
      <c r="B1392" s="31">
        <f ca="1">Model!$F$14+RAND()*(Model!$G$14-Model!$F$14)</f>
        <v>0.60016006521406884</v>
      </c>
      <c r="C1392" s="32">
        <f ca="1">Model!$F$15+RAND()*(Model!$G$15-Model!$F$15)</f>
        <v>4.8502500196683306E-2</v>
      </c>
      <c r="D1392" s="33">
        <f ca="1">Model!$F$16+RAND()*(Model!$G$16-Model!$F$16)</f>
        <v>51.497126387777911</v>
      </c>
      <c r="E1392" s="33">
        <f>Model!$D$17</f>
        <v>800</v>
      </c>
      <c r="G1392" s="36">
        <f t="shared" ca="1" si="24"/>
        <v>2591.9599479827039</v>
      </c>
    </row>
    <row r="1393" spans="1:7" x14ac:dyDescent="0.2">
      <c r="A1393" s="6">
        <f ca="1">Model!$F$13+RAND()*(Model!$G$13-Model!$F$13)</f>
        <v>1265.3823965239337</v>
      </c>
      <c r="B1393" s="31">
        <f ca="1">Model!$F$14+RAND()*(Model!$G$14-Model!$F$14)</f>
        <v>0.66636630235398364</v>
      </c>
      <c r="C1393" s="32">
        <f ca="1">Model!$F$15+RAND()*(Model!$G$15-Model!$F$15)</f>
        <v>1.2485266376559109E-2</v>
      </c>
      <c r="D1393" s="33">
        <f ca="1">Model!$F$16+RAND()*(Model!$G$16-Model!$F$16)</f>
        <v>47.918734860559063</v>
      </c>
      <c r="E1393" s="33">
        <f>Model!$D$17</f>
        <v>800</v>
      </c>
      <c r="G1393" s="36">
        <f t="shared" ca="1" si="24"/>
        <v>-886.1575251535802</v>
      </c>
    </row>
    <row r="1394" spans="1:7" x14ac:dyDescent="0.2">
      <c r="A1394" s="6">
        <f ca="1">Model!$F$13+RAND()*(Model!$G$13-Model!$F$13)</f>
        <v>1771.5477672426227</v>
      </c>
      <c r="B1394" s="31">
        <f ca="1">Model!$F$14+RAND()*(Model!$G$14-Model!$F$14)</f>
        <v>0.42281278776940628</v>
      </c>
      <c r="C1394" s="32">
        <f ca="1">Model!$F$15+RAND()*(Model!$G$15-Model!$F$15)</f>
        <v>2.1458402625022282E-2</v>
      </c>
      <c r="D1394" s="33">
        <f ca="1">Model!$F$16+RAND()*(Model!$G$16-Model!$F$16)</f>
        <v>52.863834077265821</v>
      </c>
      <c r="E1394" s="33">
        <f>Model!$D$17</f>
        <v>800</v>
      </c>
      <c r="G1394" s="36">
        <f t="shared" ca="1" si="24"/>
        <v>460.56367751076436</v>
      </c>
    </row>
    <row r="1395" spans="1:7" x14ac:dyDescent="0.2">
      <c r="A1395" s="6">
        <f ca="1">Model!$F$13+RAND()*(Model!$G$13-Model!$F$13)</f>
        <v>1536.836070151915</v>
      </c>
      <c r="B1395" s="31">
        <f ca="1">Model!$F$14+RAND()*(Model!$G$14-Model!$F$14)</f>
        <v>0.69487071225553454</v>
      </c>
      <c r="C1395" s="32">
        <f ca="1">Model!$F$15+RAND()*(Model!$G$15-Model!$F$15)</f>
        <v>3.4614596911578935E-2</v>
      </c>
      <c r="D1395" s="33">
        <f ca="1">Model!$F$16+RAND()*(Model!$G$16-Model!$F$16)</f>
        <v>49.997774444750085</v>
      </c>
      <c r="E1395" s="33">
        <f>Model!$D$17</f>
        <v>800</v>
      </c>
      <c r="G1395" s="36">
        <f t="shared" ca="1" si="24"/>
        <v>791.82728691169405</v>
      </c>
    </row>
    <row r="1396" spans="1:7" x14ac:dyDescent="0.2">
      <c r="A1396" s="6">
        <f ca="1">Model!$F$13+RAND()*(Model!$G$13-Model!$F$13)</f>
        <v>1708.7395778234845</v>
      </c>
      <c r="B1396" s="31">
        <f ca="1">Model!$F$14+RAND()*(Model!$G$14-Model!$F$14)</f>
        <v>0.36035085606610989</v>
      </c>
      <c r="C1396" s="32">
        <f ca="1">Model!$F$15+RAND()*(Model!$G$15-Model!$F$15)</f>
        <v>2.9198575556191542E-2</v>
      </c>
      <c r="D1396" s="33">
        <f ca="1">Model!$F$16+RAND()*(Model!$G$16-Model!$F$16)</f>
        <v>50.277859805779109</v>
      </c>
      <c r="E1396" s="33">
        <f>Model!$D$17</f>
        <v>800</v>
      </c>
      <c r="G1396" s="36">
        <f t="shared" ca="1" si="24"/>
        <v>1092.7555068510701</v>
      </c>
    </row>
    <row r="1397" spans="1:7" x14ac:dyDescent="0.2">
      <c r="A1397" s="6">
        <f ca="1">Model!$F$13+RAND()*(Model!$G$13-Model!$F$13)</f>
        <v>1249.1665679253811</v>
      </c>
      <c r="B1397" s="31">
        <f ca="1">Model!$F$14+RAND()*(Model!$G$14-Model!$F$14)</f>
        <v>0.67055357998696796</v>
      </c>
      <c r="C1397" s="32">
        <f ca="1">Model!$F$15+RAND()*(Model!$G$15-Model!$F$15)</f>
        <v>2.854287397543348E-2</v>
      </c>
      <c r="D1397" s="33">
        <f ca="1">Model!$F$16+RAND()*(Model!$G$16-Model!$F$16)</f>
        <v>51.228848548545535</v>
      </c>
      <c r="E1397" s="33">
        <f>Model!$D$17</f>
        <v>800</v>
      </c>
      <c r="G1397" s="36">
        <f t="shared" ca="1" si="24"/>
        <v>188.92143605753358</v>
      </c>
    </row>
    <row r="1398" spans="1:7" x14ac:dyDescent="0.2">
      <c r="A1398" s="6">
        <f ca="1">Model!$F$13+RAND()*(Model!$G$13-Model!$F$13)</f>
        <v>1630.6886293566336</v>
      </c>
      <c r="B1398" s="31">
        <f ca="1">Model!$F$14+RAND()*(Model!$G$14-Model!$F$14)</f>
        <v>0.45340736378780572</v>
      </c>
      <c r="C1398" s="32">
        <f ca="1">Model!$F$15+RAND()*(Model!$G$15-Model!$F$15)</f>
        <v>3.4696913400395414E-2</v>
      </c>
      <c r="D1398" s="33">
        <f ca="1">Model!$F$16+RAND()*(Model!$G$16-Model!$F$16)</f>
        <v>48.439141367357095</v>
      </c>
      <c r="E1398" s="33">
        <f>Model!$D$17</f>
        <v>800</v>
      </c>
      <c r="G1398" s="36">
        <f t="shared" ca="1" si="24"/>
        <v>1201.3137089148686</v>
      </c>
    </row>
    <row r="1399" spans="1:7" x14ac:dyDescent="0.2">
      <c r="A1399" s="6">
        <f ca="1">Model!$F$13+RAND()*(Model!$G$13-Model!$F$13)</f>
        <v>1256.2919679947393</v>
      </c>
      <c r="B1399" s="31">
        <f ca="1">Model!$F$14+RAND()*(Model!$G$14-Model!$F$14)</f>
        <v>0.71264312542171315</v>
      </c>
      <c r="C1399" s="32">
        <f ca="1">Model!$F$15+RAND()*(Model!$G$15-Model!$F$15)</f>
        <v>3.6924103810784661E-2</v>
      </c>
      <c r="D1399" s="33">
        <f ca="1">Model!$F$16+RAND()*(Model!$G$16-Model!$F$16)</f>
        <v>48.63338459200957</v>
      </c>
      <c r="E1399" s="33">
        <f>Model!$D$17</f>
        <v>800</v>
      </c>
      <c r="G1399" s="36">
        <f t="shared" ca="1" si="24"/>
        <v>560.69110683158942</v>
      </c>
    </row>
    <row r="1400" spans="1:7" x14ac:dyDescent="0.2">
      <c r="A1400" s="6">
        <f ca="1">Model!$F$13+RAND()*(Model!$G$13-Model!$F$13)</f>
        <v>1476.679843243651</v>
      </c>
      <c r="B1400" s="31">
        <f ca="1">Model!$F$14+RAND()*(Model!$G$14-Model!$F$14)</f>
        <v>0.21312188933106677</v>
      </c>
      <c r="C1400" s="32">
        <f ca="1">Model!$F$15+RAND()*(Model!$G$15-Model!$F$15)</f>
        <v>3.07465940903787E-2</v>
      </c>
      <c r="D1400" s="33">
        <f ca="1">Model!$F$16+RAND()*(Model!$G$16-Model!$F$16)</f>
        <v>51.752695682198571</v>
      </c>
      <c r="E1400" s="33">
        <f>Model!$D$17</f>
        <v>800</v>
      </c>
      <c r="G1400" s="36">
        <f t="shared" ca="1" si="24"/>
        <v>1235.0084132254385</v>
      </c>
    </row>
    <row r="1401" spans="1:7" x14ac:dyDescent="0.2">
      <c r="A1401" s="6">
        <f ca="1">Model!$F$13+RAND()*(Model!$G$13-Model!$F$13)</f>
        <v>1688.5172001523233</v>
      </c>
      <c r="B1401" s="31">
        <f ca="1">Model!$F$14+RAND()*(Model!$G$14-Model!$F$14)</f>
        <v>0.68981288385772199</v>
      </c>
      <c r="C1401" s="32">
        <f ca="1">Model!$F$15+RAND()*(Model!$G$15-Model!$F$15)</f>
        <v>2.8552031236576424E-2</v>
      </c>
      <c r="D1401" s="33">
        <f ca="1">Model!$F$16+RAND()*(Model!$G$16-Model!$F$16)</f>
        <v>48.930232346767284</v>
      </c>
      <c r="E1401" s="33">
        <f>Model!$D$17</f>
        <v>800</v>
      </c>
      <c r="G1401" s="36">
        <f t="shared" ca="1" si="24"/>
        <v>394.19473685673461</v>
      </c>
    </row>
    <row r="1402" spans="1:7" x14ac:dyDescent="0.2">
      <c r="A1402" s="6">
        <f ca="1">Model!$F$13+RAND()*(Model!$G$13-Model!$F$13)</f>
        <v>1657.953093505706</v>
      </c>
      <c r="B1402" s="31">
        <f ca="1">Model!$F$14+RAND()*(Model!$G$14-Model!$F$14)</f>
        <v>0.60173729588878666</v>
      </c>
      <c r="C1402" s="32">
        <f ca="1">Model!$F$15+RAND()*(Model!$G$15-Model!$F$15)</f>
        <v>4.2861875996101931E-2</v>
      </c>
      <c r="D1402" s="33">
        <f ca="1">Model!$F$16+RAND()*(Model!$G$16-Model!$F$16)</f>
        <v>47.224494422609311</v>
      </c>
      <c r="E1402" s="33">
        <f>Model!$D$17</f>
        <v>800</v>
      </c>
      <c r="G1402" s="36">
        <f t="shared" ca="1" si="24"/>
        <v>1558.2610868014165</v>
      </c>
    </row>
    <row r="1403" spans="1:7" x14ac:dyDescent="0.2">
      <c r="A1403" s="6">
        <f ca="1">Model!$F$13+RAND()*(Model!$G$13-Model!$F$13)</f>
        <v>1394.5931966315527</v>
      </c>
      <c r="B1403" s="31">
        <f ca="1">Model!$F$14+RAND()*(Model!$G$14-Model!$F$14)</f>
        <v>0.27121703064290209</v>
      </c>
      <c r="C1403" s="32">
        <f ca="1">Model!$F$15+RAND()*(Model!$G$15-Model!$F$15)</f>
        <v>1.7039065722570801E-2</v>
      </c>
      <c r="D1403" s="33">
        <f ca="1">Model!$F$16+RAND()*(Model!$G$16-Model!$F$16)</f>
        <v>52.683627772037781</v>
      </c>
      <c r="E1403" s="33">
        <f>Model!$D$17</f>
        <v>800</v>
      </c>
      <c r="G1403" s="36">
        <f t="shared" ca="1" si="24"/>
        <v>73.660710665087663</v>
      </c>
    </row>
    <row r="1404" spans="1:7" x14ac:dyDescent="0.2">
      <c r="A1404" s="6">
        <f ca="1">Model!$F$13+RAND()*(Model!$G$13-Model!$F$13)</f>
        <v>1709.9845949905762</v>
      </c>
      <c r="B1404" s="31">
        <f ca="1">Model!$F$14+RAND()*(Model!$G$14-Model!$F$14)</f>
        <v>0.37738269536654423</v>
      </c>
      <c r="C1404" s="32">
        <f ca="1">Model!$F$15+RAND()*(Model!$G$15-Model!$F$15)</f>
        <v>2.2660521864909182E-2</v>
      </c>
      <c r="D1404" s="33">
        <f ca="1">Model!$F$16+RAND()*(Model!$G$16-Model!$F$16)</f>
        <v>48.669785413345565</v>
      </c>
      <c r="E1404" s="33">
        <f>Model!$D$17</f>
        <v>800</v>
      </c>
      <c r="G1404" s="36">
        <f t="shared" ca="1" si="24"/>
        <v>440.59389403667774</v>
      </c>
    </row>
    <row r="1405" spans="1:7" x14ac:dyDescent="0.2">
      <c r="A1405" s="6">
        <f ca="1">Model!$F$13+RAND()*(Model!$G$13-Model!$F$13)</f>
        <v>1282.9565820954467</v>
      </c>
      <c r="B1405" s="31">
        <f ca="1">Model!$F$14+RAND()*(Model!$G$14-Model!$F$14)</f>
        <v>0.77013525674911465</v>
      </c>
      <c r="C1405" s="32">
        <f ca="1">Model!$F$15+RAND()*(Model!$G$15-Model!$F$15)</f>
        <v>2.8141133815780636E-2</v>
      </c>
      <c r="D1405" s="33">
        <f ca="1">Model!$F$16+RAND()*(Model!$G$16-Model!$F$16)</f>
        <v>47.073707014134669</v>
      </c>
      <c r="E1405" s="33">
        <f>Model!$D$17</f>
        <v>800</v>
      </c>
      <c r="G1405" s="36">
        <f t="shared" ca="1" si="24"/>
        <v>-88.507905297754405</v>
      </c>
    </row>
    <row r="1406" spans="1:7" x14ac:dyDescent="0.2">
      <c r="A1406" s="6">
        <f ca="1">Model!$F$13+RAND()*(Model!$G$13-Model!$F$13)</f>
        <v>1576.9584166171874</v>
      </c>
      <c r="B1406" s="31">
        <f ca="1">Model!$F$14+RAND()*(Model!$G$14-Model!$F$14)</f>
        <v>0.37598367368804964</v>
      </c>
      <c r="C1406" s="32">
        <f ca="1">Model!$F$15+RAND()*(Model!$G$15-Model!$F$15)</f>
        <v>1.615202229939389E-2</v>
      </c>
      <c r="D1406" s="33">
        <f ca="1">Model!$F$16+RAND()*(Model!$G$16-Model!$F$16)</f>
        <v>50.433949554255548</v>
      </c>
      <c r="E1406" s="33">
        <f>Model!$D$17</f>
        <v>800</v>
      </c>
      <c r="G1406" s="36">
        <f t="shared" ca="1" si="24"/>
        <v>-108.3040848195767</v>
      </c>
    </row>
    <row r="1407" spans="1:7" x14ac:dyDescent="0.2">
      <c r="A1407" s="6">
        <f ca="1">Model!$F$13+RAND()*(Model!$G$13-Model!$F$13)</f>
        <v>1760.0442910646379</v>
      </c>
      <c r="B1407" s="31">
        <f ca="1">Model!$F$14+RAND()*(Model!$G$14-Model!$F$14)</f>
        <v>0.50790247232103525</v>
      </c>
      <c r="C1407" s="32">
        <f ca="1">Model!$F$15+RAND()*(Model!$G$15-Model!$F$15)</f>
        <v>3.7720303837470145E-2</v>
      </c>
      <c r="D1407" s="33">
        <f ca="1">Model!$F$16+RAND()*(Model!$G$16-Model!$F$16)</f>
        <v>49.097096573195209</v>
      </c>
      <c r="E1407" s="33">
        <f>Model!$D$17</f>
        <v>800</v>
      </c>
      <c r="G1407" s="36">
        <f t="shared" ca="1" si="24"/>
        <v>1565.596202828895</v>
      </c>
    </row>
    <row r="1408" spans="1:7" x14ac:dyDescent="0.2">
      <c r="A1408" s="6">
        <f ca="1">Model!$F$13+RAND()*(Model!$G$13-Model!$F$13)</f>
        <v>1506.1567496520797</v>
      </c>
      <c r="B1408" s="31">
        <f ca="1">Model!$F$14+RAND()*(Model!$G$14-Model!$F$14)</f>
        <v>0.29169749687635455</v>
      </c>
      <c r="C1408" s="32">
        <f ca="1">Model!$F$15+RAND()*(Model!$G$15-Model!$F$15)</f>
        <v>1.3406692783097732E-2</v>
      </c>
      <c r="D1408" s="33">
        <f ca="1">Model!$F$16+RAND()*(Model!$G$16-Model!$F$16)</f>
        <v>48.044864836955263</v>
      </c>
      <c r="E1408" s="33">
        <f>Model!$D$17</f>
        <v>800</v>
      </c>
      <c r="G1408" s="36">
        <f t="shared" ca="1" si="24"/>
        <v>-269.19233729330858</v>
      </c>
    </row>
    <row r="1409" spans="1:7" x14ac:dyDescent="0.2">
      <c r="A1409" s="6">
        <f ca="1">Model!$F$13+RAND()*(Model!$G$13-Model!$F$13)</f>
        <v>1669.5266916170447</v>
      </c>
      <c r="B1409" s="31">
        <f ca="1">Model!$F$14+RAND()*(Model!$G$14-Model!$F$14)</f>
        <v>0.26735008384266146</v>
      </c>
      <c r="C1409" s="32">
        <f ca="1">Model!$F$15+RAND()*(Model!$G$15-Model!$F$15)</f>
        <v>2.0766614938765929E-2</v>
      </c>
      <c r="D1409" s="33">
        <f ca="1">Model!$F$16+RAND()*(Model!$G$16-Model!$F$16)</f>
        <v>51.232881888090418</v>
      </c>
      <c r="E1409" s="33">
        <f>Model!$D$17</f>
        <v>800</v>
      </c>
      <c r="G1409" s="36">
        <f t="shared" ca="1" si="24"/>
        <v>529.9173260831144</v>
      </c>
    </row>
    <row r="1410" spans="1:7" x14ac:dyDescent="0.2">
      <c r="A1410" s="6">
        <f ca="1">Model!$F$13+RAND()*(Model!$G$13-Model!$F$13)</f>
        <v>1239.7528428822677</v>
      </c>
      <c r="B1410" s="31">
        <f ca="1">Model!$F$14+RAND()*(Model!$G$14-Model!$F$14)</f>
        <v>0.76510544531422608</v>
      </c>
      <c r="C1410" s="32">
        <f ca="1">Model!$F$15+RAND()*(Model!$G$15-Model!$F$15)</f>
        <v>4.0796346231619755E-2</v>
      </c>
      <c r="D1410" s="33">
        <f ca="1">Model!$F$16+RAND()*(Model!$G$16-Model!$F$16)</f>
        <v>50.363167767468383</v>
      </c>
      <c r="E1410" s="33">
        <f>Model!$D$17</f>
        <v>800</v>
      </c>
      <c r="G1410" s="36">
        <f t="shared" ca="1" si="24"/>
        <v>798.6957364978316</v>
      </c>
    </row>
    <row r="1411" spans="1:7" x14ac:dyDescent="0.2">
      <c r="A1411" s="6">
        <f ca="1">Model!$F$13+RAND()*(Model!$G$13-Model!$F$13)</f>
        <v>1770.2780066291562</v>
      </c>
      <c r="B1411" s="31">
        <f ca="1">Model!$F$14+RAND()*(Model!$G$14-Model!$F$14)</f>
        <v>0.43488029767523662</v>
      </c>
      <c r="C1411" s="32">
        <f ca="1">Model!$F$15+RAND()*(Model!$G$15-Model!$F$15)</f>
        <v>1.1493675448589164E-2</v>
      </c>
      <c r="D1411" s="33">
        <f ca="1">Model!$F$16+RAND()*(Model!$G$16-Model!$F$16)</f>
        <v>51.892343741954491</v>
      </c>
      <c r="E1411" s="33">
        <f>Model!$D$17</f>
        <v>800</v>
      </c>
      <c r="G1411" s="36">
        <f t="shared" ca="1" si="24"/>
        <v>-514.00546364357388</v>
      </c>
    </row>
    <row r="1412" spans="1:7" x14ac:dyDescent="0.2">
      <c r="A1412" s="6">
        <f ca="1">Model!$F$13+RAND()*(Model!$G$13-Model!$F$13)</f>
        <v>1476.3215829396977</v>
      </c>
      <c r="B1412" s="31">
        <f ca="1">Model!$F$14+RAND()*(Model!$G$14-Model!$F$14)</f>
        <v>0.25100582052655918</v>
      </c>
      <c r="C1412" s="32">
        <f ca="1">Model!$F$15+RAND()*(Model!$G$15-Model!$F$15)</f>
        <v>4.4397835482330755E-2</v>
      </c>
      <c r="D1412" s="33">
        <f ca="1">Model!$F$16+RAND()*(Model!$G$16-Model!$F$16)</f>
        <v>50.868772507042571</v>
      </c>
      <c r="E1412" s="33">
        <f>Model!$D$17</f>
        <v>800</v>
      </c>
      <c r="G1412" s="36">
        <f t="shared" ca="1" si="24"/>
        <v>2163.6529410129988</v>
      </c>
    </row>
    <row r="1413" spans="1:7" x14ac:dyDescent="0.2">
      <c r="A1413" s="6">
        <f ca="1">Model!$F$13+RAND()*(Model!$G$13-Model!$F$13)</f>
        <v>1243.2549904819921</v>
      </c>
      <c r="B1413" s="31">
        <f ca="1">Model!$F$14+RAND()*(Model!$G$14-Model!$F$14)</f>
        <v>0.62801678643963066</v>
      </c>
      <c r="C1413" s="32">
        <f ca="1">Model!$F$15+RAND()*(Model!$G$15-Model!$F$15)</f>
        <v>2.2650211095777584E-2</v>
      </c>
      <c r="D1413" s="33">
        <f ca="1">Model!$F$16+RAND()*(Model!$G$16-Model!$F$16)</f>
        <v>48.495163138395412</v>
      </c>
      <c r="E1413" s="33">
        <f>Model!$D$17</f>
        <v>800</v>
      </c>
      <c r="G1413" s="36">
        <f t="shared" ca="1" si="24"/>
        <v>-215.16179276782236</v>
      </c>
    </row>
    <row r="1414" spans="1:7" x14ac:dyDescent="0.2">
      <c r="A1414" s="6">
        <f ca="1">Model!$F$13+RAND()*(Model!$G$13-Model!$F$13)</f>
        <v>1623.7978851809744</v>
      </c>
      <c r="B1414" s="31">
        <f ca="1">Model!$F$14+RAND()*(Model!$G$14-Model!$F$14)</f>
        <v>0.56863008570575191</v>
      </c>
      <c r="C1414" s="32">
        <f ca="1">Model!$F$15+RAND()*(Model!$G$15-Model!$F$15)</f>
        <v>4.6557707257599508E-2</v>
      </c>
      <c r="D1414" s="33">
        <f ca="1">Model!$F$16+RAND()*(Model!$G$16-Model!$F$16)</f>
        <v>51.467963981064315</v>
      </c>
      <c r="E1414" s="33">
        <f>Model!$D$17</f>
        <v>800</v>
      </c>
      <c r="G1414" s="36">
        <f t="shared" ca="1" si="24"/>
        <v>2167.6535255913595</v>
      </c>
    </row>
    <row r="1415" spans="1:7" x14ac:dyDescent="0.2">
      <c r="A1415" s="6">
        <f ca="1">Model!$F$13+RAND()*(Model!$G$13-Model!$F$13)</f>
        <v>1661.871733435928</v>
      </c>
      <c r="B1415" s="31">
        <f ca="1">Model!$F$14+RAND()*(Model!$G$14-Model!$F$14)</f>
        <v>0.62223478789247411</v>
      </c>
      <c r="C1415" s="32">
        <f ca="1">Model!$F$15+RAND()*(Model!$G$15-Model!$F$15)</f>
        <v>3.0100341893137095E-2</v>
      </c>
      <c r="D1415" s="33">
        <f ca="1">Model!$F$16+RAND()*(Model!$G$16-Model!$F$16)</f>
        <v>52.248711241658249</v>
      </c>
      <c r="E1415" s="33">
        <f>Model!$D$17</f>
        <v>800</v>
      </c>
      <c r="G1415" s="36">
        <f t="shared" ca="1" si="24"/>
        <v>779.55803650761482</v>
      </c>
    </row>
    <row r="1416" spans="1:7" x14ac:dyDescent="0.2">
      <c r="A1416" s="6">
        <f ca="1">Model!$F$13+RAND()*(Model!$G$13-Model!$F$13)</f>
        <v>1571.762533226768</v>
      </c>
      <c r="B1416" s="31">
        <f ca="1">Model!$F$14+RAND()*(Model!$G$14-Model!$F$14)</f>
        <v>0.31592908295193245</v>
      </c>
      <c r="C1416" s="32">
        <f ca="1">Model!$F$15+RAND()*(Model!$G$15-Model!$F$15)</f>
        <v>4.0522702495143281E-2</v>
      </c>
      <c r="D1416" s="33">
        <f ca="1">Model!$F$16+RAND()*(Model!$G$16-Model!$F$16)</f>
        <v>49.246867710613955</v>
      </c>
      <c r="E1416" s="33">
        <f>Model!$D$17</f>
        <v>800</v>
      </c>
      <c r="G1416" s="36">
        <f t="shared" ca="1" si="24"/>
        <v>1840.0692294814689</v>
      </c>
    </row>
    <row r="1417" spans="1:7" x14ac:dyDescent="0.2">
      <c r="A1417" s="6">
        <f ca="1">Model!$F$13+RAND()*(Model!$G$13-Model!$F$13)</f>
        <v>1544.1835907212587</v>
      </c>
      <c r="B1417" s="31">
        <f ca="1">Model!$F$14+RAND()*(Model!$G$14-Model!$F$14)</f>
        <v>0.2203506149982449</v>
      </c>
      <c r="C1417" s="32">
        <f ca="1">Model!$F$15+RAND()*(Model!$G$15-Model!$F$15)</f>
        <v>3.4216535972185345E-2</v>
      </c>
      <c r="D1417" s="33">
        <f ca="1">Model!$F$16+RAND()*(Model!$G$16-Model!$F$16)</f>
        <v>49.055089303280297</v>
      </c>
      <c r="E1417" s="33">
        <f>Model!$D$17</f>
        <v>800</v>
      </c>
      <c r="G1417" s="36">
        <f t="shared" ca="1" si="24"/>
        <v>1451.6429839321856</v>
      </c>
    </row>
    <row r="1418" spans="1:7" x14ac:dyDescent="0.2">
      <c r="A1418" s="6">
        <f ca="1">Model!$F$13+RAND()*(Model!$G$13-Model!$F$13)</f>
        <v>1229.3903337203828</v>
      </c>
      <c r="B1418" s="31">
        <f ca="1">Model!$F$14+RAND()*(Model!$G$14-Model!$F$14)</f>
        <v>0.68737332993126077</v>
      </c>
      <c r="C1418" s="32">
        <f ca="1">Model!$F$15+RAND()*(Model!$G$15-Model!$F$15)</f>
        <v>1.7847657839511172E-2</v>
      </c>
      <c r="D1418" s="33">
        <f ca="1">Model!$F$16+RAND()*(Model!$G$16-Model!$F$16)</f>
        <v>52.723128218284828</v>
      </c>
      <c r="E1418" s="33">
        <f>Model!$D$17</f>
        <v>800</v>
      </c>
      <c r="G1418" s="36">
        <f t="shared" ca="1" si="24"/>
        <v>-488.21306012174546</v>
      </c>
    </row>
    <row r="1419" spans="1:7" x14ac:dyDescent="0.2">
      <c r="A1419" s="6">
        <f ca="1">Model!$F$13+RAND()*(Model!$G$13-Model!$F$13)</f>
        <v>1758.7952538832569</v>
      </c>
      <c r="B1419" s="31">
        <f ca="1">Model!$F$14+RAND()*(Model!$G$14-Model!$F$14)</f>
        <v>0.5005545611456399</v>
      </c>
      <c r="C1419" s="32">
        <f ca="1">Model!$F$15+RAND()*(Model!$G$15-Model!$F$15)</f>
        <v>2.377652598480099E-2</v>
      </c>
      <c r="D1419" s="33">
        <f ca="1">Model!$F$16+RAND()*(Model!$G$16-Model!$F$16)</f>
        <v>49.591237817564263</v>
      </c>
      <c r="E1419" s="33">
        <f>Model!$D$17</f>
        <v>800</v>
      </c>
      <c r="G1419" s="36">
        <f t="shared" ca="1" si="24"/>
        <v>393.43543261523064</v>
      </c>
    </row>
    <row r="1420" spans="1:7" x14ac:dyDescent="0.2">
      <c r="A1420" s="6">
        <f ca="1">Model!$F$13+RAND()*(Model!$G$13-Model!$F$13)</f>
        <v>1208.6597406559981</v>
      </c>
      <c r="B1420" s="31">
        <f ca="1">Model!$F$14+RAND()*(Model!$G$14-Model!$F$14)</f>
        <v>0.63211415796943193</v>
      </c>
      <c r="C1420" s="32">
        <f ca="1">Model!$F$15+RAND()*(Model!$G$15-Model!$F$15)</f>
        <v>3.0920603139675464E-2</v>
      </c>
      <c r="D1420" s="33">
        <f ca="1">Model!$F$16+RAND()*(Model!$G$16-Model!$F$16)</f>
        <v>48.988790619500215</v>
      </c>
      <c r="E1420" s="33">
        <f>Model!$D$17</f>
        <v>800</v>
      </c>
      <c r="G1420" s="36">
        <f t="shared" ca="1" si="24"/>
        <v>266.82206373817326</v>
      </c>
    </row>
    <row r="1421" spans="1:7" x14ac:dyDescent="0.2">
      <c r="A1421" s="6">
        <f ca="1">Model!$F$13+RAND()*(Model!$G$13-Model!$F$13)</f>
        <v>1377.7404276866232</v>
      </c>
      <c r="B1421" s="31">
        <f ca="1">Model!$F$14+RAND()*(Model!$G$14-Model!$F$14)</f>
        <v>0.69126099777261985</v>
      </c>
      <c r="C1421" s="32">
        <f ca="1">Model!$F$15+RAND()*(Model!$G$15-Model!$F$15)</f>
        <v>4.3476143949194371E-2</v>
      </c>
      <c r="D1421" s="33">
        <f ca="1">Model!$F$16+RAND()*(Model!$G$16-Model!$F$16)</f>
        <v>49.541586755009263</v>
      </c>
      <c r="E1421" s="33">
        <f>Model!$D$17</f>
        <v>800</v>
      </c>
      <c r="G1421" s="36">
        <f t="shared" ca="1" si="24"/>
        <v>1215.1054130753237</v>
      </c>
    </row>
    <row r="1422" spans="1:7" x14ac:dyDescent="0.2">
      <c r="A1422" s="6">
        <f ca="1">Model!$F$13+RAND()*(Model!$G$13-Model!$F$13)</f>
        <v>1331.9533527589399</v>
      </c>
      <c r="B1422" s="31">
        <f ca="1">Model!$F$14+RAND()*(Model!$G$14-Model!$F$14)</f>
        <v>0.57447394025194587</v>
      </c>
      <c r="C1422" s="32">
        <f ca="1">Model!$F$15+RAND()*(Model!$G$15-Model!$F$15)</f>
        <v>3.0199614837335985E-2</v>
      </c>
      <c r="D1422" s="33">
        <f ca="1">Model!$F$16+RAND()*(Model!$G$16-Model!$F$16)</f>
        <v>49.706812936418459</v>
      </c>
      <c r="E1422" s="33">
        <f>Model!$D$17</f>
        <v>800</v>
      </c>
      <c r="G1422" s="36">
        <f t="shared" ca="1" si="24"/>
        <v>434.25812428198924</v>
      </c>
    </row>
    <row r="1423" spans="1:7" x14ac:dyDescent="0.2">
      <c r="A1423" s="6">
        <f ca="1">Model!$F$13+RAND()*(Model!$G$13-Model!$F$13)</f>
        <v>1260.723867886885</v>
      </c>
      <c r="B1423" s="31">
        <f ca="1">Model!$F$14+RAND()*(Model!$G$14-Model!$F$14)</f>
        <v>0.25735453536558683</v>
      </c>
      <c r="C1423" s="32">
        <f ca="1">Model!$F$15+RAND()*(Model!$G$15-Model!$F$15)</f>
        <v>2.8704988718228935E-2</v>
      </c>
      <c r="D1423" s="33">
        <f ca="1">Model!$F$16+RAND()*(Model!$G$16-Model!$F$16)</f>
        <v>52.25825670659583</v>
      </c>
      <c r="E1423" s="33">
        <f>Model!$D$17</f>
        <v>800</v>
      </c>
      <c r="G1423" s="36">
        <f t="shared" ca="1" si="24"/>
        <v>766.7244123772939</v>
      </c>
    </row>
    <row r="1424" spans="1:7" x14ac:dyDescent="0.2">
      <c r="A1424" s="6">
        <f ca="1">Model!$F$13+RAND()*(Model!$G$13-Model!$F$13)</f>
        <v>1709.4650588140869</v>
      </c>
      <c r="B1424" s="31">
        <f ca="1">Model!$F$14+RAND()*(Model!$G$14-Model!$F$14)</f>
        <v>0.62920133737591621</v>
      </c>
      <c r="C1424" s="32">
        <f ca="1">Model!$F$15+RAND()*(Model!$G$15-Model!$F$15)</f>
        <v>4.8945363549463244E-2</v>
      </c>
      <c r="D1424" s="33">
        <f ca="1">Model!$F$16+RAND()*(Model!$G$16-Model!$F$16)</f>
        <v>49.191163476307942</v>
      </c>
      <c r="E1424" s="33">
        <f>Model!$D$17</f>
        <v>800</v>
      </c>
      <c r="G1424" s="36">
        <f t="shared" ca="1" si="24"/>
        <v>2240.2460713390046</v>
      </c>
    </row>
    <row r="1425" spans="1:7" x14ac:dyDescent="0.2">
      <c r="A1425" s="6">
        <f ca="1">Model!$F$13+RAND()*(Model!$G$13-Model!$F$13)</f>
        <v>1397.9335391198761</v>
      </c>
      <c r="B1425" s="31">
        <f ca="1">Model!$F$14+RAND()*(Model!$G$14-Model!$F$14)</f>
        <v>0.27367420922561403</v>
      </c>
      <c r="C1425" s="32">
        <f ca="1">Model!$F$15+RAND()*(Model!$G$15-Model!$F$15)</f>
        <v>2.7701547101405252E-2</v>
      </c>
      <c r="D1425" s="33">
        <f ca="1">Model!$F$16+RAND()*(Model!$G$16-Model!$F$16)</f>
        <v>47.206667179219394</v>
      </c>
      <c r="E1425" s="33">
        <f>Model!$D$17</f>
        <v>800</v>
      </c>
      <c r="G1425" s="36">
        <f t="shared" ca="1" si="24"/>
        <v>645.49613807335049</v>
      </c>
    </row>
    <row r="1426" spans="1:7" x14ac:dyDescent="0.2">
      <c r="A1426" s="6">
        <f ca="1">Model!$F$13+RAND()*(Model!$G$13-Model!$F$13)</f>
        <v>1605.5678628823007</v>
      </c>
      <c r="B1426" s="31">
        <f ca="1">Model!$F$14+RAND()*(Model!$G$14-Model!$F$14)</f>
        <v>0.37858334256161119</v>
      </c>
      <c r="C1426" s="32">
        <f ca="1">Model!$F$15+RAND()*(Model!$G$15-Model!$F$15)</f>
        <v>2.1423102315783454E-2</v>
      </c>
      <c r="D1426" s="33">
        <f ca="1">Model!$F$16+RAND()*(Model!$G$16-Model!$F$16)</f>
        <v>51.213785342271514</v>
      </c>
      <c r="E1426" s="33">
        <f>Model!$D$17</f>
        <v>800</v>
      </c>
      <c r="G1426" s="36">
        <f t="shared" ca="1" si="24"/>
        <v>353.72063936002064</v>
      </c>
    </row>
    <row r="1427" spans="1:7" x14ac:dyDescent="0.2">
      <c r="A1427" s="6">
        <f ca="1">Model!$F$13+RAND()*(Model!$G$13-Model!$F$13)</f>
        <v>1694.5676094894295</v>
      </c>
      <c r="B1427" s="31">
        <f ca="1">Model!$F$14+RAND()*(Model!$G$14-Model!$F$14)</f>
        <v>0.21759502143805284</v>
      </c>
      <c r="C1427" s="32">
        <f ca="1">Model!$F$15+RAND()*(Model!$G$15-Model!$F$15)</f>
        <v>3.108817366525593E-2</v>
      </c>
      <c r="D1427" s="33">
        <f ca="1">Model!$F$16+RAND()*(Model!$G$16-Model!$F$16)</f>
        <v>52.44149050979987</v>
      </c>
      <c r="E1427" s="33">
        <f>Model!$D$17</f>
        <v>800</v>
      </c>
      <c r="G1427" s="36">
        <f t="shared" ca="1" si="24"/>
        <v>1593.9413224164482</v>
      </c>
    </row>
    <row r="1428" spans="1:7" x14ac:dyDescent="0.2">
      <c r="A1428" s="6">
        <f ca="1">Model!$F$13+RAND()*(Model!$G$13-Model!$F$13)</f>
        <v>1428.2397580526335</v>
      </c>
      <c r="B1428" s="31">
        <f ca="1">Model!$F$14+RAND()*(Model!$G$14-Model!$F$14)</f>
        <v>0.58664708042470082</v>
      </c>
      <c r="C1428" s="32">
        <f ca="1">Model!$F$15+RAND()*(Model!$G$15-Model!$F$15)</f>
        <v>3.1098257250080051E-2</v>
      </c>
      <c r="D1428" s="33">
        <f ca="1">Model!$F$16+RAND()*(Model!$G$16-Model!$F$16)</f>
        <v>49.496013337605078</v>
      </c>
      <c r="E1428" s="33">
        <f>Model!$D$17</f>
        <v>800</v>
      </c>
      <c r="G1428" s="36">
        <f t="shared" ca="1" si="24"/>
        <v>560.53073195255138</v>
      </c>
    </row>
    <row r="1429" spans="1:7" x14ac:dyDescent="0.2">
      <c r="A1429" s="6">
        <f ca="1">Model!$F$13+RAND()*(Model!$G$13-Model!$F$13)</f>
        <v>1777.3278760192115</v>
      </c>
      <c r="B1429" s="31">
        <f ca="1">Model!$F$14+RAND()*(Model!$G$14-Model!$F$14)</f>
        <v>0.45662536914013219</v>
      </c>
      <c r="C1429" s="32">
        <f ca="1">Model!$F$15+RAND()*(Model!$G$15-Model!$F$15)</f>
        <v>4.2444729789964407E-2</v>
      </c>
      <c r="D1429" s="33">
        <f ca="1">Model!$F$16+RAND()*(Model!$G$16-Model!$F$16)</f>
        <v>47.743416311442758</v>
      </c>
      <c r="E1429" s="33">
        <f>Model!$D$17</f>
        <v>800</v>
      </c>
      <c r="G1429" s="36">
        <f t="shared" ca="1" si="24"/>
        <v>1990.1044599433176</v>
      </c>
    </row>
    <row r="1430" spans="1:7" x14ac:dyDescent="0.2">
      <c r="A1430" s="6">
        <f ca="1">Model!$F$13+RAND()*(Model!$G$13-Model!$F$13)</f>
        <v>1676.0158677759746</v>
      </c>
      <c r="B1430" s="31">
        <f ca="1">Model!$F$14+RAND()*(Model!$G$14-Model!$F$14)</f>
        <v>0.50316416672347564</v>
      </c>
      <c r="C1430" s="32">
        <f ca="1">Model!$F$15+RAND()*(Model!$G$15-Model!$F$15)</f>
        <v>2.6130388137655176E-2</v>
      </c>
      <c r="D1430" s="33">
        <f ca="1">Model!$F$16+RAND()*(Model!$G$16-Model!$F$16)</f>
        <v>52.892887228010451</v>
      </c>
      <c r="E1430" s="33">
        <f>Model!$D$17</f>
        <v>800</v>
      </c>
      <c r="G1430" s="36">
        <f t="shared" ca="1" si="24"/>
        <v>673.1299674433717</v>
      </c>
    </row>
    <row r="1431" spans="1:7" x14ac:dyDescent="0.2">
      <c r="A1431" s="6">
        <f ca="1">Model!$F$13+RAND()*(Model!$G$13-Model!$F$13)</f>
        <v>1412.2548025559811</v>
      </c>
      <c r="B1431" s="31">
        <f ca="1">Model!$F$14+RAND()*(Model!$G$14-Model!$F$14)</f>
        <v>0.5151832277018098</v>
      </c>
      <c r="C1431" s="32">
        <f ca="1">Model!$F$15+RAND()*(Model!$G$15-Model!$F$15)</f>
        <v>1.3975953960935442E-2</v>
      </c>
      <c r="D1431" s="33">
        <f ca="1">Model!$F$16+RAND()*(Model!$G$16-Model!$F$16)</f>
        <v>52.757808772061203</v>
      </c>
      <c r="E1431" s="33">
        <f>Model!$D$17</f>
        <v>800</v>
      </c>
      <c r="G1431" s="36">
        <f t="shared" ca="1" si="24"/>
        <v>-486.25703367436608</v>
      </c>
    </row>
    <row r="1432" spans="1:7" x14ac:dyDescent="0.2">
      <c r="A1432" s="6">
        <f ca="1">Model!$F$13+RAND()*(Model!$G$13-Model!$F$13)</f>
        <v>1673.564981023738</v>
      </c>
      <c r="B1432" s="31">
        <f ca="1">Model!$F$14+RAND()*(Model!$G$14-Model!$F$14)</f>
        <v>0.23415592087845558</v>
      </c>
      <c r="C1432" s="32">
        <f ca="1">Model!$F$15+RAND()*(Model!$G$15-Model!$F$15)</f>
        <v>4.9955333565715486E-2</v>
      </c>
      <c r="D1432" s="33">
        <f ca="1">Model!$F$16+RAND()*(Model!$G$16-Model!$F$16)</f>
        <v>51.296625502191908</v>
      </c>
      <c r="E1432" s="33">
        <f>Model!$D$17</f>
        <v>800</v>
      </c>
      <c r="G1432" s="36">
        <f t="shared" ca="1" si="24"/>
        <v>3096.7021203807926</v>
      </c>
    </row>
    <row r="1433" spans="1:7" x14ac:dyDescent="0.2">
      <c r="A1433" s="6">
        <f ca="1">Model!$F$13+RAND()*(Model!$G$13-Model!$F$13)</f>
        <v>1296.5854244874231</v>
      </c>
      <c r="B1433" s="31">
        <f ca="1">Model!$F$14+RAND()*(Model!$G$14-Model!$F$14)</f>
        <v>0.68752490964221513</v>
      </c>
      <c r="C1433" s="32">
        <f ca="1">Model!$F$15+RAND()*(Model!$G$15-Model!$F$15)</f>
        <v>1.6453136020752927E-2</v>
      </c>
      <c r="D1433" s="33">
        <f ca="1">Model!$F$16+RAND()*(Model!$G$16-Model!$F$16)</f>
        <v>51.679450426340331</v>
      </c>
      <c r="E1433" s="33">
        <f>Model!$D$17</f>
        <v>800</v>
      </c>
      <c r="G1433" s="36">
        <f t="shared" ca="1" si="24"/>
        <v>-588.96241736046863</v>
      </c>
    </row>
    <row r="1434" spans="1:7" x14ac:dyDescent="0.2">
      <c r="A1434" s="6">
        <f ca="1">Model!$F$13+RAND()*(Model!$G$13-Model!$F$13)</f>
        <v>1427.9925193727202</v>
      </c>
      <c r="B1434" s="31">
        <f ca="1">Model!$F$14+RAND()*(Model!$G$14-Model!$F$14)</f>
        <v>0.70247287801678548</v>
      </c>
      <c r="C1434" s="32">
        <f ca="1">Model!$F$15+RAND()*(Model!$G$15-Model!$F$15)</f>
        <v>2.568307691267141E-2</v>
      </c>
      <c r="D1434" s="33">
        <f ca="1">Model!$F$16+RAND()*(Model!$G$16-Model!$F$16)</f>
        <v>49.306728441068124</v>
      </c>
      <c r="E1434" s="33">
        <f>Model!$D$17</f>
        <v>800</v>
      </c>
      <c r="G1434" s="36">
        <f t="shared" ca="1" si="24"/>
        <v>5.2101684266926895</v>
      </c>
    </row>
    <row r="1435" spans="1:7" x14ac:dyDescent="0.2">
      <c r="A1435" s="6">
        <f ca="1">Model!$F$13+RAND()*(Model!$G$13-Model!$F$13)</f>
        <v>1225.9429091088857</v>
      </c>
      <c r="B1435" s="31">
        <f ca="1">Model!$F$14+RAND()*(Model!$G$14-Model!$F$14)</f>
        <v>0.31776129593597369</v>
      </c>
      <c r="C1435" s="32">
        <f ca="1">Model!$F$15+RAND()*(Model!$G$15-Model!$F$15)</f>
        <v>4.4712651044319436E-2</v>
      </c>
      <c r="D1435" s="33">
        <f ca="1">Model!$F$16+RAND()*(Model!$G$16-Model!$F$16)</f>
        <v>52.660259991213159</v>
      </c>
      <c r="E1435" s="33">
        <f>Model!$D$17</f>
        <v>800</v>
      </c>
      <c r="G1435" s="36">
        <f t="shared" ca="1" si="24"/>
        <v>1697.0232376168585</v>
      </c>
    </row>
    <row r="1436" spans="1:7" x14ac:dyDescent="0.2">
      <c r="A1436" s="6">
        <f ca="1">Model!$F$13+RAND()*(Model!$G$13-Model!$F$13)</f>
        <v>1304.7295189607801</v>
      </c>
      <c r="B1436" s="31">
        <f ca="1">Model!$F$14+RAND()*(Model!$G$14-Model!$F$14)</f>
        <v>0.62109280976109627</v>
      </c>
      <c r="C1436" s="32">
        <f ca="1">Model!$F$15+RAND()*(Model!$G$15-Model!$F$15)</f>
        <v>1.2557428751334787E-2</v>
      </c>
      <c r="D1436" s="33">
        <f ca="1">Model!$F$16+RAND()*(Model!$G$16-Model!$F$16)</f>
        <v>48.359950585063075</v>
      </c>
      <c r="E1436" s="33">
        <f>Model!$D$17</f>
        <v>800</v>
      </c>
      <c r="G1436" s="36">
        <f t="shared" ca="1" si="24"/>
        <v>-818.02637249817224</v>
      </c>
    </row>
    <row r="1437" spans="1:7" x14ac:dyDescent="0.2">
      <c r="A1437" s="6">
        <f ca="1">Model!$F$13+RAND()*(Model!$G$13-Model!$F$13)</f>
        <v>1281.8439204787558</v>
      </c>
      <c r="B1437" s="31">
        <f ca="1">Model!$F$14+RAND()*(Model!$G$14-Model!$F$14)</f>
        <v>0.46783107121600304</v>
      </c>
      <c r="C1437" s="32">
        <f ca="1">Model!$F$15+RAND()*(Model!$G$15-Model!$F$15)</f>
        <v>2.3745831211373285E-2</v>
      </c>
      <c r="D1437" s="33">
        <f ca="1">Model!$F$16+RAND()*(Model!$G$16-Model!$F$16)</f>
        <v>50.838157842550487</v>
      </c>
      <c r="E1437" s="33">
        <f>Model!$D$17</f>
        <v>800</v>
      </c>
      <c r="G1437" s="36">
        <f t="shared" ca="1" si="24"/>
        <v>147.74827936012275</v>
      </c>
    </row>
    <row r="1438" spans="1:7" x14ac:dyDescent="0.2">
      <c r="A1438" s="6">
        <f ca="1">Model!$F$13+RAND()*(Model!$G$13-Model!$F$13)</f>
        <v>1633.4433819596161</v>
      </c>
      <c r="B1438" s="31">
        <f ca="1">Model!$F$14+RAND()*(Model!$G$14-Model!$F$14)</f>
        <v>0.66507099410925841</v>
      </c>
      <c r="C1438" s="32">
        <f ca="1">Model!$F$15+RAND()*(Model!$G$15-Model!$F$15)</f>
        <v>1.7932029118748936E-2</v>
      </c>
      <c r="D1438" s="33">
        <f ca="1">Model!$F$16+RAND()*(Model!$G$16-Model!$F$16)</f>
        <v>52.266735274455101</v>
      </c>
      <c r="E1438" s="33">
        <f>Model!$D$17</f>
        <v>800</v>
      </c>
      <c r="G1438" s="36">
        <f t="shared" ca="1" si="24"/>
        <v>-355.41326009507475</v>
      </c>
    </row>
    <row r="1439" spans="1:7" x14ac:dyDescent="0.2">
      <c r="A1439" s="6">
        <f ca="1">Model!$F$13+RAND()*(Model!$G$13-Model!$F$13)</f>
        <v>1474.9247764703337</v>
      </c>
      <c r="B1439" s="31">
        <f ca="1">Model!$F$14+RAND()*(Model!$G$14-Model!$F$14)</f>
        <v>0.75911065670951361</v>
      </c>
      <c r="C1439" s="32">
        <f ca="1">Model!$F$15+RAND()*(Model!$G$15-Model!$F$15)</f>
        <v>3.5591951857913945E-2</v>
      </c>
      <c r="D1439" s="33">
        <f ca="1">Model!$F$16+RAND()*(Model!$G$16-Model!$F$16)</f>
        <v>48.497636435657569</v>
      </c>
      <c r="E1439" s="33">
        <f>Model!$D$17</f>
        <v>800</v>
      </c>
      <c r="G1439" s="36">
        <f t="shared" ca="1" si="24"/>
        <v>626.27421241040611</v>
      </c>
    </row>
    <row r="1440" spans="1:7" x14ac:dyDescent="0.2">
      <c r="A1440" s="6">
        <f ca="1">Model!$F$13+RAND()*(Model!$G$13-Model!$F$13)</f>
        <v>1521.910927346968</v>
      </c>
      <c r="B1440" s="31">
        <f ca="1">Model!$F$14+RAND()*(Model!$G$14-Model!$F$14)</f>
        <v>0.62129019067953362</v>
      </c>
      <c r="C1440" s="32">
        <f ca="1">Model!$F$15+RAND()*(Model!$G$15-Model!$F$15)</f>
        <v>1.7287637953877749E-2</v>
      </c>
      <c r="D1440" s="33">
        <f ca="1">Model!$F$16+RAND()*(Model!$G$16-Model!$F$16)</f>
        <v>51.923442896845472</v>
      </c>
      <c r="E1440" s="33">
        <f>Model!$D$17</f>
        <v>800</v>
      </c>
      <c r="G1440" s="36">
        <f t="shared" ca="1" si="24"/>
        <v>-379.42982067628691</v>
      </c>
    </row>
    <row r="1441" spans="1:7" x14ac:dyDescent="0.2">
      <c r="A1441" s="6">
        <f ca="1">Model!$F$13+RAND()*(Model!$G$13-Model!$F$13)</f>
        <v>1734.3799200939943</v>
      </c>
      <c r="B1441" s="31">
        <f ca="1">Model!$F$14+RAND()*(Model!$G$14-Model!$F$14)</f>
        <v>0.35467340538070713</v>
      </c>
      <c r="C1441" s="32">
        <f ca="1">Model!$F$15+RAND()*(Model!$G$15-Model!$F$15)</f>
        <v>4.9746628417949593E-2</v>
      </c>
      <c r="D1441" s="33">
        <f ca="1">Model!$F$16+RAND()*(Model!$G$16-Model!$F$16)</f>
        <v>49.345675791415978</v>
      </c>
      <c r="E1441" s="33">
        <f>Model!$D$17</f>
        <v>800</v>
      </c>
      <c r="G1441" s="36">
        <f t="shared" ca="1" si="24"/>
        <v>2842.3844380309652</v>
      </c>
    </row>
    <row r="1442" spans="1:7" x14ac:dyDescent="0.2">
      <c r="A1442" s="6">
        <f ca="1">Model!$F$13+RAND()*(Model!$G$13-Model!$F$13)</f>
        <v>1232.8206576681973</v>
      </c>
      <c r="B1442" s="31">
        <f ca="1">Model!$F$14+RAND()*(Model!$G$14-Model!$F$14)</f>
        <v>0.51806800726172408</v>
      </c>
      <c r="C1442" s="32">
        <f ca="1">Model!$F$15+RAND()*(Model!$G$15-Model!$F$15)</f>
        <v>4.3041300864032392E-2</v>
      </c>
      <c r="D1442" s="33">
        <f ca="1">Model!$F$16+RAND()*(Model!$G$16-Model!$F$16)</f>
        <v>47.147516483922892</v>
      </c>
      <c r="E1442" s="33">
        <f>Model!$D$17</f>
        <v>800</v>
      </c>
      <c r="G1442" s="36">
        <f t="shared" ca="1" si="24"/>
        <v>1063.0662358479453</v>
      </c>
    </row>
    <row r="1443" spans="1:7" x14ac:dyDescent="0.2">
      <c r="A1443" s="6">
        <f ca="1">Model!$F$13+RAND()*(Model!$G$13-Model!$F$13)</f>
        <v>1608.2214950899922</v>
      </c>
      <c r="B1443" s="31">
        <f ca="1">Model!$F$14+RAND()*(Model!$G$14-Model!$F$14)</f>
        <v>0.37119290768827862</v>
      </c>
      <c r="C1443" s="32">
        <f ca="1">Model!$F$15+RAND()*(Model!$G$15-Model!$F$15)</f>
        <v>1.2315936236328437E-2</v>
      </c>
      <c r="D1443" s="33">
        <f ca="1">Model!$F$16+RAND()*(Model!$G$16-Model!$F$16)</f>
        <v>52.077574320514849</v>
      </c>
      <c r="E1443" s="33">
        <f>Model!$D$17</f>
        <v>800</v>
      </c>
      <c r="G1443" s="36">
        <f t="shared" ca="1" si="24"/>
        <v>-365.47274138771149</v>
      </c>
    </row>
    <row r="1444" spans="1:7" x14ac:dyDescent="0.2">
      <c r="A1444" s="6">
        <f ca="1">Model!$F$13+RAND()*(Model!$G$13-Model!$F$13)</f>
        <v>1488.5390616764064</v>
      </c>
      <c r="B1444" s="31">
        <f ca="1">Model!$F$14+RAND()*(Model!$G$14-Model!$F$14)</f>
        <v>0.38187580393238618</v>
      </c>
      <c r="C1444" s="32">
        <f ca="1">Model!$F$15+RAND()*(Model!$G$15-Model!$F$15)</f>
        <v>4.4923497199646327E-2</v>
      </c>
      <c r="D1444" s="33">
        <f ca="1">Model!$F$16+RAND()*(Model!$G$16-Model!$F$16)</f>
        <v>52.591470949911802</v>
      </c>
      <c r="E1444" s="33">
        <f>Model!$D$17</f>
        <v>800</v>
      </c>
      <c r="G1444" s="36">
        <f t="shared" ca="1" si="24"/>
        <v>2148.3746157120299</v>
      </c>
    </row>
    <row r="1445" spans="1:7" x14ac:dyDescent="0.2">
      <c r="A1445" s="6">
        <f ca="1">Model!$F$13+RAND()*(Model!$G$13-Model!$F$13)</f>
        <v>1319.9590906946271</v>
      </c>
      <c r="B1445" s="31">
        <f ca="1">Model!$F$14+RAND()*(Model!$G$14-Model!$F$14)</f>
        <v>0.78716865407193426</v>
      </c>
      <c r="C1445" s="32">
        <f ca="1">Model!$F$15+RAND()*(Model!$G$15-Model!$F$15)</f>
        <v>4.0599060826764233E-2</v>
      </c>
      <c r="D1445" s="33">
        <f ca="1">Model!$F$16+RAND()*(Model!$G$16-Model!$F$16)</f>
        <v>49.168943205945027</v>
      </c>
      <c r="E1445" s="33">
        <f>Model!$D$17</f>
        <v>800</v>
      </c>
      <c r="G1445" s="36">
        <f t="shared" ca="1" si="24"/>
        <v>795.88896459188527</v>
      </c>
    </row>
    <row r="1446" spans="1:7" x14ac:dyDescent="0.2">
      <c r="A1446" s="6">
        <f ca="1">Model!$F$13+RAND()*(Model!$G$13-Model!$F$13)</f>
        <v>1219.2389016853579</v>
      </c>
      <c r="B1446" s="31">
        <f ca="1">Model!$F$14+RAND()*(Model!$G$14-Model!$F$14)</f>
        <v>0.45852120272058505</v>
      </c>
      <c r="C1446" s="32">
        <f ca="1">Model!$F$15+RAND()*(Model!$G$15-Model!$F$15)</f>
        <v>3.3212230969583402E-2</v>
      </c>
      <c r="D1446" s="33">
        <f ca="1">Model!$F$16+RAND()*(Model!$G$16-Model!$F$16)</f>
        <v>48.677104927338092</v>
      </c>
      <c r="E1446" s="33">
        <f>Model!$D$17</f>
        <v>800</v>
      </c>
      <c r="G1446" s="36">
        <f t="shared" ca="1" si="24"/>
        <v>612.06647075447995</v>
      </c>
    </row>
    <row r="1447" spans="1:7" x14ac:dyDescent="0.2">
      <c r="A1447" s="6">
        <f ca="1">Model!$F$13+RAND()*(Model!$G$13-Model!$F$13)</f>
        <v>1399.1891082663369</v>
      </c>
      <c r="B1447" s="31">
        <f ca="1">Model!$F$14+RAND()*(Model!$G$14-Model!$F$14)</f>
        <v>0.78870782106345638</v>
      </c>
      <c r="C1447" s="32">
        <f ca="1">Model!$F$15+RAND()*(Model!$G$15-Model!$F$15)</f>
        <v>1.5894617321179798E-2</v>
      </c>
      <c r="D1447" s="33">
        <f ca="1">Model!$F$16+RAND()*(Model!$G$16-Model!$F$16)</f>
        <v>48.033557397642944</v>
      </c>
      <c r="E1447" s="33">
        <f>Model!$D$17</f>
        <v>800</v>
      </c>
      <c r="G1447" s="36">
        <f t="shared" ca="1" si="24"/>
        <v>-835.30546963905272</v>
      </c>
    </row>
    <row r="1448" spans="1:7" x14ac:dyDescent="0.2">
      <c r="A1448" s="6">
        <f ca="1">Model!$F$13+RAND()*(Model!$G$13-Model!$F$13)</f>
        <v>1594.502368143706</v>
      </c>
      <c r="B1448" s="31">
        <f ca="1">Model!$F$14+RAND()*(Model!$G$14-Model!$F$14)</f>
        <v>0.59794958531983999</v>
      </c>
      <c r="C1448" s="32">
        <f ca="1">Model!$F$15+RAND()*(Model!$G$15-Model!$F$15)</f>
        <v>2.749399627904231E-2</v>
      </c>
      <c r="D1448" s="33">
        <f ca="1">Model!$F$16+RAND()*(Model!$G$16-Model!$F$16)</f>
        <v>52.270018570936067</v>
      </c>
      <c r="E1448" s="33">
        <f>Model!$D$17</f>
        <v>800</v>
      </c>
      <c r="G1448" s="36">
        <f t="shared" ca="1" si="24"/>
        <v>538.04597288712648</v>
      </c>
    </row>
    <row r="1449" spans="1:7" x14ac:dyDescent="0.2">
      <c r="A1449" s="6">
        <f ca="1">Model!$F$13+RAND()*(Model!$G$13-Model!$F$13)</f>
        <v>1324.9760505959589</v>
      </c>
      <c r="B1449" s="31">
        <f ca="1">Model!$F$14+RAND()*(Model!$G$14-Model!$F$14)</f>
        <v>0.30019452797115964</v>
      </c>
      <c r="C1449" s="32">
        <f ca="1">Model!$F$15+RAND()*(Model!$G$15-Model!$F$15)</f>
        <v>3.2880134313479428E-2</v>
      </c>
      <c r="D1449" s="33">
        <f ca="1">Model!$F$16+RAND()*(Model!$G$16-Model!$F$16)</f>
        <v>51.376494234203221</v>
      </c>
      <c r="E1449" s="33">
        <f>Model!$D$17</f>
        <v>800</v>
      </c>
      <c r="G1449" s="36">
        <f t="shared" ref="G1449:G1512" ca="1" si="25">A1449*C1449*D1449-(E1449+A1449*B1449)</f>
        <v>1040.4864740471476</v>
      </c>
    </row>
    <row r="1450" spans="1:7" x14ac:dyDescent="0.2">
      <c r="A1450" s="6">
        <f ca="1">Model!$F$13+RAND()*(Model!$G$13-Model!$F$13)</f>
        <v>1305.984786501112</v>
      </c>
      <c r="B1450" s="31">
        <f ca="1">Model!$F$14+RAND()*(Model!$G$14-Model!$F$14)</f>
        <v>0.57423401057796553</v>
      </c>
      <c r="C1450" s="32">
        <f ca="1">Model!$F$15+RAND()*(Model!$G$15-Model!$F$15)</f>
        <v>1.0564819795689484E-2</v>
      </c>
      <c r="D1450" s="33">
        <f ca="1">Model!$F$16+RAND()*(Model!$G$16-Model!$F$16)</f>
        <v>49.745307937078522</v>
      </c>
      <c r="E1450" s="33">
        <f>Model!$D$17</f>
        <v>800</v>
      </c>
      <c r="G1450" s="36">
        <f t="shared" ca="1" si="25"/>
        <v>-863.58029763250943</v>
      </c>
    </row>
    <row r="1451" spans="1:7" x14ac:dyDescent="0.2">
      <c r="A1451" s="6">
        <f ca="1">Model!$F$13+RAND()*(Model!$G$13-Model!$F$13)</f>
        <v>1735.7327826097794</v>
      </c>
      <c r="B1451" s="31">
        <f ca="1">Model!$F$14+RAND()*(Model!$G$14-Model!$F$14)</f>
        <v>0.63179646301049341</v>
      </c>
      <c r="C1451" s="32">
        <f ca="1">Model!$F$15+RAND()*(Model!$G$15-Model!$F$15)</f>
        <v>4.3768864640285045E-2</v>
      </c>
      <c r="D1451" s="33">
        <f ca="1">Model!$F$16+RAND()*(Model!$G$16-Model!$F$16)</f>
        <v>48.266527806787096</v>
      </c>
      <c r="E1451" s="33">
        <f>Model!$D$17</f>
        <v>800</v>
      </c>
      <c r="G1451" s="36">
        <f t="shared" ca="1" si="25"/>
        <v>1770.2291196682784</v>
      </c>
    </row>
    <row r="1452" spans="1:7" x14ac:dyDescent="0.2">
      <c r="A1452" s="6">
        <f ca="1">Model!$F$13+RAND()*(Model!$G$13-Model!$F$13)</f>
        <v>1583.8921494182709</v>
      </c>
      <c r="B1452" s="31">
        <f ca="1">Model!$F$14+RAND()*(Model!$G$14-Model!$F$14)</f>
        <v>0.49190853692047487</v>
      </c>
      <c r="C1452" s="32">
        <f ca="1">Model!$F$15+RAND()*(Model!$G$15-Model!$F$15)</f>
        <v>3.8222883414373486E-2</v>
      </c>
      <c r="D1452" s="33">
        <f ca="1">Model!$F$16+RAND()*(Model!$G$16-Model!$F$16)</f>
        <v>52.433209173815584</v>
      </c>
      <c r="E1452" s="33">
        <f>Model!$D$17</f>
        <v>800</v>
      </c>
      <c r="G1452" s="36">
        <f t="shared" ca="1" si="25"/>
        <v>1595.22491257143</v>
      </c>
    </row>
    <row r="1453" spans="1:7" x14ac:dyDescent="0.2">
      <c r="A1453" s="6">
        <f ca="1">Model!$F$13+RAND()*(Model!$G$13-Model!$F$13)</f>
        <v>1779.835380865492</v>
      </c>
      <c r="B1453" s="31">
        <f ca="1">Model!$F$14+RAND()*(Model!$G$14-Model!$F$14)</f>
        <v>0.34204351372872416</v>
      </c>
      <c r="C1453" s="32">
        <f ca="1">Model!$F$15+RAND()*(Model!$G$15-Model!$F$15)</f>
        <v>3.6111502313724925E-2</v>
      </c>
      <c r="D1453" s="33">
        <f ca="1">Model!$F$16+RAND()*(Model!$G$16-Model!$F$16)</f>
        <v>48.143749101852229</v>
      </c>
      <c r="E1453" s="33">
        <f>Model!$D$17</f>
        <v>800</v>
      </c>
      <c r="G1453" s="36">
        <f t="shared" ca="1" si="25"/>
        <v>1685.5393856160858</v>
      </c>
    </row>
    <row r="1454" spans="1:7" x14ac:dyDescent="0.2">
      <c r="A1454" s="6">
        <f ca="1">Model!$F$13+RAND()*(Model!$G$13-Model!$F$13)</f>
        <v>1688.3466205861753</v>
      </c>
      <c r="B1454" s="31">
        <f ca="1">Model!$F$14+RAND()*(Model!$G$14-Model!$F$14)</f>
        <v>0.50061851087454112</v>
      </c>
      <c r="C1454" s="32">
        <f ca="1">Model!$F$15+RAND()*(Model!$G$15-Model!$F$15)</f>
        <v>1.1927292375023723E-2</v>
      </c>
      <c r="D1454" s="33">
        <f ca="1">Model!$F$16+RAND()*(Model!$G$16-Model!$F$16)</f>
        <v>52.405522568883512</v>
      </c>
      <c r="E1454" s="33">
        <f>Model!$D$17</f>
        <v>800</v>
      </c>
      <c r="G1454" s="36">
        <f t="shared" ca="1" si="25"/>
        <v>-589.90640307483432</v>
      </c>
    </row>
    <row r="1455" spans="1:7" x14ac:dyDescent="0.2">
      <c r="A1455" s="6">
        <f ca="1">Model!$F$13+RAND()*(Model!$G$13-Model!$F$13)</f>
        <v>1517.8540633870971</v>
      </c>
      <c r="B1455" s="31">
        <f ca="1">Model!$F$14+RAND()*(Model!$G$14-Model!$F$14)</f>
        <v>0.46122099036123992</v>
      </c>
      <c r="C1455" s="32">
        <f ca="1">Model!$F$15+RAND()*(Model!$G$15-Model!$F$15)</f>
        <v>1.9907045705340725E-2</v>
      </c>
      <c r="D1455" s="33">
        <f ca="1">Model!$F$16+RAND()*(Model!$G$16-Model!$F$16)</f>
        <v>52.925151104280971</v>
      </c>
      <c r="E1455" s="33">
        <f>Model!$D$17</f>
        <v>800</v>
      </c>
      <c r="G1455" s="36">
        <f t="shared" ca="1" si="25"/>
        <v>99.119693496061018</v>
      </c>
    </row>
    <row r="1456" spans="1:7" x14ac:dyDescent="0.2">
      <c r="A1456" s="6">
        <f ca="1">Model!$F$13+RAND()*(Model!$G$13-Model!$F$13)</f>
        <v>1201.5526125850076</v>
      </c>
      <c r="B1456" s="31">
        <f ca="1">Model!$F$14+RAND()*(Model!$G$14-Model!$F$14)</f>
        <v>0.70546238334753664</v>
      </c>
      <c r="C1456" s="32">
        <f ca="1">Model!$F$15+RAND()*(Model!$G$15-Model!$F$15)</f>
        <v>2.8156087827582978E-2</v>
      </c>
      <c r="D1456" s="33">
        <f ca="1">Model!$F$16+RAND()*(Model!$G$16-Model!$F$16)</f>
        <v>50.57167513328686</v>
      </c>
      <c r="E1456" s="33">
        <f>Model!$D$17</f>
        <v>800</v>
      </c>
      <c r="G1456" s="36">
        <f t="shared" ca="1" si="25"/>
        <v>63.241228054765543</v>
      </c>
    </row>
    <row r="1457" spans="1:7" x14ac:dyDescent="0.2">
      <c r="A1457" s="6">
        <f ca="1">Model!$F$13+RAND()*(Model!$G$13-Model!$F$13)</f>
        <v>1746.843735195712</v>
      </c>
      <c r="B1457" s="31">
        <f ca="1">Model!$F$14+RAND()*(Model!$G$14-Model!$F$14)</f>
        <v>0.49089032761836715</v>
      </c>
      <c r="C1457" s="32">
        <f ca="1">Model!$F$15+RAND()*(Model!$G$15-Model!$F$15)</f>
        <v>1.9136384234931712E-2</v>
      </c>
      <c r="D1457" s="33">
        <f ca="1">Model!$F$16+RAND()*(Model!$G$16-Model!$F$16)</f>
        <v>50.626387622909441</v>
      </c>
      <c r="E1457" s="33">
        <f>Model!$D$17</f>
        <v>800</v>
      </c>
      <c r="G1457" s="36">
        <f t="shared" ca="1" si="25"/>
        <v>34.844008695357388</v>
      </c>
    </row>
    <row r="1458" spans="1:7" x14ac:dyDescent="0.2">
      <c r="A1458" s="6">
        <f ca="1">Model!$F$13+RAND()*(Model!$G$13-Model!$F$13)</f>
        <v>1671.8595501311031</v>
      </c>
      <c r="B1458" s="31">
        <f ca="1">Model!$F$14+RAND()*(Model!$G$14-Model!$F$14)</f>
        <v>0.27444993439539894</v>
      </c>
      <c r="C1458" s="32">
        <f ca="1">Model!$F$15+RAND()*(Model!$G$15-Model!$F$15)</f>
        <v>2.660963478146406E-2</v>
      </c>
      <c r="D1458" s="33">
        <f ca="1">Model!$F$16+RAND()*(Model!$G$16-Model!$F$16)</f>
        <v>48.63498236556994</v>
      </c>
      <c r="E1458" s="33">
        <f>Model!$D$17</f>
        <v>800</v>
      </c>
      <c r="G1458" s="36">
        <f t="shared" ca="1" si="25"/>
        <v>904.81053755216612</v>
      </c>
    </row>
    <row r="1459" spans="1:7" x14ac:dyDescent="0.2">
      <c r="A1459" s="6">
        <f ca="1">Model!$F$13+RAND()*(Model!$G$13-Model!$F$13)</f>
        <v>1788.1800488125023</v>
      </c>
      <c r="B1459" s="31">
        <f ca="1">Model!$F$14+RAND()*(Model!$G$14-Model!$F$14)</f>
        <v>0.49080412497570852</v>
      </c>
      <c r="C1459" s="32">
        <f ca="1">Model!$F$15+RAND()*(Model!$G$15-Model!$F$15)</f>
        <v>4.9804279637240163E-2</v>
      </c>
      <c r="D1459" s="33">
        <f ca="1">Model!$F$16+RAND()*(Model!$G$16-Model!$F$16)</f>
        <v>51.218274824533061</v>
      </c>
      <c r="E1459" s="33">
        <f>Model!$D$17</f>
        <v>800</v>
      </c>
      <c r="G1459" s="36">
        <f t="shared" ca="1" si="25"/>
        <v>2883.8031764633261</v>
      </c>
    </row>
    <row r="1460" spans="1:7" x14ac:dyDescent="0.2">
      <c r="A1460" s="6">
        <f ca="1">Model!$F$13+RAND()*(Model!$G$13-Model!$F$13)</f>
        <v>1312.607439202824</v>
      </c>
      <c r="B1460" s="31">
        <f ca="1">Model!$F$14+RAND()*(Model!$G$14-Model!$F$14)</f>
        <v>0.33672820645594193</v>
      </c>
      <c r="C1460" s="32">
        <f ca="1">Model!$F$15+RAND()*(Model!$G$15-Model!$F$15)</f>
        <v>1.3685950922981327E-2</v>
      </c>
      <c r="D1460" s="33">
        <f ca="1">Model!$F$16+RAND()*(Model!$G$16-Model!$F$16)</f>
        <v>50.65124262247339</v>
      </c>
      <c r="E1460" s="33">
        <f>Model!$D$17</f>
        <v>800</v>
      </c>
      <c r="G1460" s="36">
        <f t="shared" ca="1" si="25"/>
        <v>-332.07879361456435</v>
      </c>
    </row>
    <row r="1461" spans="1:7" x14ac:dyDescent="0.2">
      <c r="A1461" s="6">
        <f ca="1">Model!$F$13+RAND()*(Model!$G$13-Model!$F$13)</f>
        <v>1589.2183172941729</v>
      </c>
      <c r="B1461" s="31">
        <f ca="1">Model!$F$14+RAND()*(Model!$G$14-Model!$F$14)</f>
        <v>0.56271256959107507</v>
      </c>
      <c r="C1461" s="32">
        <f ca="1">Model!$F$15+RAND()*(Model!$G$15-Model!$F$15)</f>
        <v>4.0551211487191111E-2</v>
      </c>
      <c r="D1461" s="33">
        <f ca="1">Model!$F$16+RAND()*(Model!$G$16-Model!$F$16)</f>
        <v>50.934991658997987</v>
      </c>
      <c r="E1461" s="33">
        <f>Model!$D$17</f>
        <v>800</v>
      </c>
      <c r="G1461" s="36">
        <f t="shared" ca="1" si="25"/>
        <v>1588.218564454744</v>
      </c>
    </row>
    <row r="1462" spans="1:7" x14ac:dyDescent="0.2">
      <c r="A1462" s="6">
        <f ca="1">Model!$F$13+RAND()*(Model!$G$13-Model!$F$13)</f>
        <v>1642.2702758395651</v>
      </c>
      <c r="B1462" s="31">
        <f ca="1">Model!$F$14+RAND()*(Model!$G$14-Model!$F$14)</f>
        <v>0.37165661072927825</v>
      </c>
      <c r="C1462" s="32">
        <f ca="1">Model!$F$15+RAND()*(Model!$G$15-Model!$F$15)</f>
        <v>3.3155845016083312E-2</v>
      </c>
      <c r="D1462" s="33">
        <f ca="1">Model!$F$16+RAND()*(Model!$G$16-Model!$F$16)</f>
        <v>50.44255692047674</v>
      </c>
      <c r="E1462" s="33">
        <f>Model!$D$17</f>
        <v>800</v>
      </c>
      <c r="G1462" s="36">
        <f t="shared" ca="1" si="25"/>
        <v>1336.279936754283</v>
      </c>
    </row>
    <row r="1463" spans="1:7" x14ac:dyDescent="0.2">
      <c r="A1463" s="6">
        <f ca="1">Model!$F$13+RAND()*(Model!$G$13-Model!$F$13)</f>
        <v>1758.5384517498348</v>
      </c>
      <c r="B1463" s="31">
        <f ca="1">Model!$F$14+RAND()*(Model!$G$14-Model!$F$14)</f>
        <v>0.20566518964298208</v>
      </c>
      <c r="C1463" s="32">
        <f ca="1">Model!$F$15+RAND()*(Model!$G$15-Model!$F$15)</f>
        <v>3.7330447041235219E-2</v>
      </c>
      <c r="D1463" s="33">
        <f ca="1">Model!$F$16+RAND()*(Model!$G$16-Model!$F$16)</f>
        <v>50.352981495874566</v>
      </c>
      <c r="E1463" s="33">
        <f>Model!$D$17</f>
        <v>800</v>
      </c>
      <c r="G1463" s="36">
        <f t="shared" ca="1" si="25"/>
        <v>2143.853368606417</v>
      </c>
    </row>
    <row r="1464" spans="1:7" x14ac:dyDescent="0.2">
      <c r="A1464" s="6">
        <f ca="1">Model!$F$13+RAND()*(Model!$G$13-Model!$F$13)</f>
        <v>1244.6948313960768</v>
      </c>
      <c r="B1464" s="31">
        <f ca="1">Model!$F$14+RAND()*(Model!$G$14-Model!$F$14)</f>
        <v>0.56740657719969823</v>
      </c>
      <c r="C1464" s="32">
        <f ca="1">Model!$F$15+RAND()*(Model!$G$15-Model!$F$15)</f>
        <v>4.3044061117070466E-2</v>
      </c>
      <c r="D1464" s="33">
        <f ca="1">Model!$F$16+RAND()*(Model!$G$16-Model!$F$16)</f>
        <v>48.779806075341881</v>
      </c>
      <c r="E1464" s="33">
        <f>Model!$D$17</f>
        <v>800</v>
      </c>
      <c r="G1464" s="36">
        <f t="shared" ca="1" si="25"/>
        <v>1107.2139970663816</v>
      </c>
    </row>
    <row r="1465" spans="1:7" x14ac:dyDescent="0.2">
      <c r="A1465" s="6">
        <f ca="1">Model!$F$13+RAND()*(Model!$G$13-Model!$F$13)</f>
        <v>1217.6261333305549</v>
      </c>
      <c r="B1465" s="31">
        <f ca="1">Model!$F$14+RAND()*(Model!$G$14-Model!$F$14)</f>
        <v>0.23328198318431545</v>
      </c>
      <c r="C1465" s="32">
        <f ca="1">Model!$F$15+RAND()*(Model!$G$15-Model!$F$15)</f>
        <v>3.9833147942098017E-2</v>
      </c>
      <c r="D1465" s="33">
        <f ca="1">Model!$F$16+RAND()*(Model!$G$16-Model!$F$16)</f>
        <v>51.712087132427165</v>
      </c>
      <c r="E1465" s="33">
        <f>Model!$D$17</f>
        <v>800</v>
      </c>
      <c r="G1465" s="36">
        <f t="shared" ca="1" si="25"/>
        <v>1424.0833041073199</v>
      </c>
    </row>
    <row r="1466" spans="1:7" x14ac:dyDescent="0.2">
      <c r="A1466" s="6">
        <f ca="1">Model!$F$13+RAND()*(Model!$G$13-Model!$F$13)</f>
        <v>1675.6001889296504</v>
      </c>
      <c r="B1466" s="31">
        <f ca="1">Model!$F$14+RAND()*(Model!$G$14-Model!$F$14)</f>
        <v>0.32551546414616317</v>
      </c>
      <c r="C1466" s="32">
        <f ca="1">Model!$F$15+RAND()*(Model!$G$15-Model!$F$15)</f>
        <v>2.02602029645855E-2</v>
      </c>
      <c r="D1466" s="33">
        <f ca="1">Model!$F$16+RAND()*(Model!$G$16-Model!$F$16)</f>
        <v>50.446236289703045</v>
      </c>
      <c r="E1466" s="33">
        <f>Model!$D$17</f>
        <v>800</v>
      </c>
      <c r="G1466" s="36">
        <f t="shared" ca="1" si="25"/>
        <v>367.11505206279639</v>
      </c>
    </row>
    <row r="1467" spans="1:7" x14ac:dyDescent="0.2">
      <c r="A1467" s="6">
        <f ca="1">Model!$F$13+RAND()*(Model!$G$13-Model!$F$13)</f>
        <v>1364.3649632830079</v>
      </c>
      <c r="B1467" s="31">
        <f ca="1">Model!$F$14+RAND()*(Model!$G$14-Model!$F$14)</f>
        <v>0.27527091659413477</v>
      </c>
      <c r="C1467" s="32">
        <f ca="1">Model!$F$15+RAND()*(Model!$G$15-Model!$F$15)</f>
        <v>2.7301045319504377E-2</v>
      </c>
      <c r="D1467" s="33">
        <f ca="1">Model!$F$16+RAND()*(Model!$G$16-Model!$F$16)</f>
        <v>49.555665162449692</v>
      </c>
      <c r="E1467" s="33">
        <f>Model!$D$17</f>
        <v>800</v>
      </c>
      <c r="G1467" s="36">
        <f t="shared" ca="1" si="25"/>
        <v>670.3086446837533</v>
      </c>
    </row>
    <row r="1468" spans="1:7" x14ac:dyDescent="0.2">
      <c r="A1468" s="6">
        <f ca="1">Model!$F$13+RAND()*(Model!$G$13-Model!$F$13)</f>
        <v>1731.6616786030499</v>
      </c>
      <c r="B1468" s="31">
        <f ca="1">Model!$F$14+RAND()*(Model!$G$14-Model!$F$14)</f>
        <v>0.79830538682612384</v>
      </c>
      <c r="C1468" s="32">
        <f ca="1">Model!$F$15+RAND()*(Model!$G$15-Model!$F$15)</f>
        <v>4.7396255024898769E-2</v>
      </c>
      <c r="D1468" s="33">
        <f ca="1">Model!$F$16+RAND()*(Model!$G$16-Model!$F$16)</f>
        <v>48.420861880929962</v>
      </c>
      <c r="E1468" s="33">
        <f>Model!$D$17</f>
        <v>800</v>
      </c>
      <c r="G1468" s="36">
        <f t="shared" ca="1" si="25"/>
        <v>1791.7124587753051</v>
      </c>
    </row>
    <row r="1469" spans="1:7" x14ac:dyDescent="0.2">
      <c r="A1469" s="6">
        <f ca="1">Model!$F$13+RAND()*(Model!$G$13-Model!$F$13)</f>
        <v>1631.9441807691078</v>
      </c>
      <c r="B1469" s="31">
        <f ca="1">Model!$F$14+RAND()*(Model!$G$14-Model!$F$14)</f>
        <v>0.26894947108330669</v>
      </c>
      <c r="C1469" s="32">
        <f ca="1">Model!$F$15+RAND()*(Model!$G$15-Model!$F$15)</f>
        <v>4.5882347459508283E-2</v>
      </c>
      <c r="D1469" s="33">
        <f ca="1">Model!$F$16+RAND()*(Model!$G$16-Model!$F$16)</f>
        <v>51.408417498665372</v>
      </c>
      <c r="E1469" s="33">
        <f>Model!$D$17</f>
        <v>800</v>
      </c>
      <c r="G1469" s="36">
        <f t="shared" ca="1" si="25"/>
        <v>2610.4196551509644</v>
      </c>
    </row>
    <row r="1470" spans="1:7" x14ac:dyDescent="0.2">
      <c r="A1470" s="6">
        <f ca="1">Model!$F$13+RAND()*(Model!$G$13-Model!$F$13)</f>
        <v>1664.1636343914622</v>
      </c>
      <c r="B1470" s="31">
        <f ca="1">Model!$F$14+RAND()*(Model!$G$14-Model!$F$14)</f>
        <v>0.71272096016588793</v>
      </c>
      <c r="C1470" s="32">
        <f ca="1">Model!$F$15+RAND()*(Model!$G$15-Model!$F$15)</f>
        <v>1.3366866200409121E-2</v>
      </c>
      <c r="D1470" s="33">
        <f ca="1">Model!$F$16+RAND()*(Model!$G$16-Model!$F$16)</f>
        <v>48.263108493409995</v>
      </c>
      <c r="E1470" s="33">
        <f>Model!$D$17</f>
        <v>800</v>
      </c>
      <c r="G1470" s="36">
        <f t="shared" ca="1" si="25"/>
        <v>-912.48821978315164</v>
      </c>
    </row>
    <row r="1471" spans="1:7" x14ac:dyDescent="0.2">
      <c r="A1471" s="6">
        <f ca="1">Model!$F$13+RAND()*(Model!$G$13-Model!$F$13)</f>
        <v>1292.8850419704136</v>
      </c>
      <c r="B1471" s="31">
        <f ca="1">Model!$F$14+RAND()*(Model!$G$14-Model!$F$14)</f>
        <v>0.41372552064266099</v>
      </c>
      <c r="C1471" s="32">
        <f ca="1">Model!$F$15+RAND()*(Model!$G$15-Model!$F$15)</f>
        <v>3.0911247156060292E-2</v>
      </c>
      <c r="D1471" s="33">
        <f ca="1">Model!$F$16+RAND()*(Model!$G$16-Model!$F$16)</f>
        <v>50.618903834765803</v>
      </c>
      <c r="E1471" s="33">
        <f>Model!$D$17</f>
        <v>800</v>
      </c>
      <c r="G1471" s="36">
        <f t="shared" ca="1" si="25"/>
        <v>688.06921604052945</v>
      </c>
    </row>
    <row r="1472" spans="1:7" x14ac:dyDescent="0.2">
      <c r="A1472" s="6">
        <f ca="1">Model!$F$13+RAND()*(Model!$G$13-Model!$F$13)</f>
        <v>1282.5612723535878</v>
      </c>
      <c r="B1472" s="31">
        <f ca="1">Model!$F$14+RAND()*(Model!$G$14-Model!$F$14)</f>
        <v>0.27726391544320661</v>
      </c>
      <c r="C1472" s="32">
        <f ca="1">Model!$F$15+RAND()*(Model!$G$15-Model!$F$15)</f>
        <v>3.3515131174812252E-2</v>
      </c>
      <c r="D1472" s="33">
        <f ca="1">Model!$F$16+RAND()*(Model!$G$16-Model!$F$16)</f>
        <v>51.564298952248414</v>
      </c>
      <c r="E1472" s="33">
        <f>Model!$D$17</f>
        <v>800</v>
      </c>
      <c r="G1472" s="36">
        <f t="shared" ca="1" si="25"/>
        <v>1060.8942218077043</v>
      </c>
    </row>
    <row r="1473" spans="1:7" x14ac:dyDescent="0.2">
      <c r="A1473" s="6">
        <f ca="1">Model!$F$13+RAND()*(Model!$G$13-Model!$F$13)</f>
        <v>1632.7794514462698</v>
      </c>
      <c r="B1473" s="31">
        <f ca="1">Model!$F$14+RAND()*(Model!$G$14-Model!$F$14)</f>
        <v>0.2636906781877042</v>
      </c>
      <c r="C1473" s="32">
        <f ca="1">Model!$F$15+RAND()*(Model!$G$15-Model!$F$15)</f>
        <v>4.741885044919715E-2</v>
      </c>
      <c r="D1473" s="33">
        <f ca="1">Model!$F$16+RAND()*(Model!$G$16-Model!$F$16)</f>
        <v>48.938213219417932</v>
      </c>
      <c r="E1473" s="33">
        <f>Model!$D$17</f>
        <v>800</v>
      </c>
      <c r="G1473" s="36">
        <f t="shared" ca="1" si="25"/>
        <v>2558.4691736105201</v>
      </c>
    </row>
    <row r="1474" spans="1:7" x14ac:dyDescent="0.2">
      <c r="A1474" s="6">
        <f ca="1">Model!$F$13+RAND()*(Model!$G$13-Model!$F$13)</f>
        <v>1282.2772904226117</v>
      </c>
      <c r="B1474" s="31">
        <f ca="1">Model!$F$14+RAND()*(Model!$G$14-Model!$F$14)</f>
        <v>0.70172970317617178</v>
      </c>
      <c r="C1474" s="32">
        <f ca="1">Model!$F$15+RAND()*(Model!$G$15-Model!$F$15)</f>
        <v>3.4736321223128162E-2</v>
      </c>
      <c r="D1474" s="33">
        <f ca="1">Model!$F$16+RAND()*(Model!$G$16-Model!$F$16)</f>
        <v>52.748751147659029</v>
      </c>
      <c r="E1474" s="33">
        <f>Model!$D$17</f>
        <v>800</v>
      </c>
      <c r="G1474" s="36">
        <f t="shared" ca="1" si="25"/>
        <v>649.70149319546636</v>
      </c>
    </row>
    <row r="1475" spans="1:7" x14ac:dyDescent="0.2">
      <c r="A1475" s="6">
        <f ca="1">Model!$F$13+RAND()*(Model!$G$13-Model!$F$13)</f>
        <v>1745.0084706502134</v>
      </c>
      <c r="B1475" s="31">
        <f ca="1">Model!$F$14+RAND()*(Model!$G$14-Model!$F$14)</f>
        <v>0.59476042154486497</v>
      </c>
      <c r="C1475" s="32">
        <f ca="1">Model!$F$15+RAND()*(Model!$G$15-Model!$F$15)</f>
        <v>4.0543548285692253E-2</v>
      </c>
      <c r="D1475" s="33">
        <f ca="1">Model!$F$16+RAND()*(Model!$G$16-Model!$F$16)</f>
        <v>49.087478275878631</v>
      </c>
      <c r="E1475" s="33">
        <f>Model!$D$17</f>
        <v>800</v>
      </c>
      <c r="G1475" s="36">
        <f t="shared" ca="1" si="25"/>
        <v>1635.0199367681494</v>
      </c>
    </row>
    <row r="1476" spans="1:7" x14ac:dyDescent="0.2">
      <c r="A1476" s="6">
        <f ca="1">Model!$F$13+RAND()*(Model!$G$13-Model!$F$13)</f>
        <v>1795.869292844397</v>
      </c>
      <c r="B1476" s="31">
        <f ca="1">Model!$F$14+RAND()*(Model!$G$14-Model!$F$14)</f>
        <v>0.41955672390956184</v>
      </c>
      <c r="C1476" s="32">
        <f ca="1">Model!$F$15+RAND()*(Model!$G$15-Model!$F$15)</f>
        <v>2.1817534459022851E-2</v>
      </c>
      <c r="D1476" s="33">
        <f ca="1">Model!$F$16+RAND()*(Model!$G$16-Model!$F$16)</f>
        <v>48.752972187993372</v>
      </c>
      <c r="E1476" s="33">
        <f>Model!$D$17</f>
        <v>800</v>
      </c>
      <c r="G1476" s="36">
        <f t="shared" ca="1" si="25"/>
        <v>356.74262633150533</v>
      </c>
    </row>
    <row r="1477" spans="1:7" x14ac:dyDescent="0.2">
      <c r="A1477" s="6">
        <f ca="1">Model!$F$13+RAND()*(Model!$G$13-Model!$F$13)</f>
        <v>1431.9139870067636</v>
      </c>
      <c r="B1477" s="31">
        <f ca="1">Model!$F$14+RAND()*(Model!$G$14-Model!$F$14)</f>
        <v>0.61974343606671267</v>
      </c>
      <c r="C1477" s="32">
        <f ca="1">Model!$F$15+RAND()*(Model!$G$15-Model!$F$15)</f>
        <v>3.9410361744061741E-2</v>
      </c>
      <c r="D1477" s="33">
        <f ca="1">Model!$F$16+RAND()*(Model!$G$16-Model!$F$16)</f>
        <v>52.860368591792714</v>
      </c>
      <c r="E1477" s="33">
        <f>Model!$D$17</f>
        <v>800</v>
      </c>
      <c r="G1477" s="36">
        <f t="shared" ca="1" si="25"/>
        <v>1295.6101466128425</v>
      </c>
    </row>
    <row r="1478" spans="1:7" x14ac:dyDescent="0.2">
      <c r="A1478" s="6">
        <f ca="1">Model!$F$13+RAND()*(Model!$G$13-Model!$F$13)</f>
        <v>1645.736950763087</v>
      </c>
      <c r="B1478" s="31">
        <f ca="1">Model!$F$14+RAND()*(Model!$G$14-Model!$F$14)</f>
        <v>0.61482755961872471</v>
      </c>
      <c r="C1478" s="32">
        <f ca="1">Model!$F$15+RAND()*(Model!$G$15-Model!$F$15)</f>
        <v>2.3139090185878078E-2</v>
      </c>
      <c r="D1478" s="33">
        <f ca="1">Model!$F$16+RAND()*(Model!$G$16-Model!$F$16)</f>
        <v>51.303101081421602</v>
      </c>
      <c r="E1478" s="33">
        <f>Model!$D$17</f>
        <v>800</v>
      </c>
      <c r="G1478" s="36">
        <f t="shared" ca="1" si="25"/>
        <v>141.82155736285404</v>
      </c>
    </row>
    <row r="1479" spans="1:7" x14ac:dyDescent="0.2">
      <c r="A1479" s="6">
        <f ca="1">Model!$F$13+RAND()*(Model!$G$13-Model!$F$13)</f>
        <v>1347.2579900341202</v>
      </c>
      <c r="B1479" s="31">
        <f ca="1">Model!$F$14+RAND()*(Model!$G$14-Model!$F$14)</f>
        <v>0.46172063776064848</v>
      </c>
      <c r="C1479" s="32">
        <f ca="1">Model!$F$15+RAND()*(Model!$G$15-Model!$F$15)</f>
        <v>3.7830881555119968E-2</v>
      </c>
      <c r="D1479" s="33">
        <f ca="1">Model!$F$16+RAND()*(Model!$G$16-Model!$F$16)</f>
        <v>48.126075339353662</v>
      </c>
      <c r="E1479" s="33">
        <f>Model!$D$17</f>
        <v>800</v>
      </c>
      <c r="G1479" s="36">
        <f t="shared" ca="1" si="25"/>
        <v>1030.8309415125295</v>
      </c>
    </row>
    <row r="1480" spans="1:7" x14ac:dyDescent="0.2">
      <c r="A1480" s="6">
        <f ca="1">Model!$F$13+RAND()*(Model!$G$13-Model!$F$13)</f>
        <v>1552.5627323562587</v>
      </c>
      <c r="B1480" s="31">
        <f ca="1">Model!$F$14+RAND()*(Model!$G$14-Model!$F$14)</f>
        <v>0.68796793408592372</v>
      </c>
      <c r="C1480" s="32">
        <f ca="1">Model!$F$15+RAND()*(Model!$G$15-Model!$F$15)</f>
        <v>1.4627606013299078E-2</v>
      </c>
      <c r="D1480" s="33">
        <f ca="1">Model!$F$16+RAND()*(Model!$G$16-Model!$F$16)</f>
        <v>52.978729355911291</v>
      </c>
      <c r="E1480" s="33">
        <f>Model!$D$17</f>
        <v>800</v>
      </c>
      <c r="G1480" s="36">
        <f t="shared" ca="1" si="25"/>
        <v>-664.95181184359194</v>
      </c>
    </row>
    <row r="1481" spans="1:7" x14ac:dyDescent="0.2">
      <c r="A1481" s="6">
        <f ca="1">Model!$F$13+RAND()*(Model!$G$13-Model!$F$13)</f>
        <v>1258.3672325994057</v>
      </c>
      <c r="B1481" s="31">
        <f ca="1">Model!$F$14+RAND()*(Model!$G$14-Model!$F$14)</f>
        <v>0.25024052095532334</v>
      </c>
      <c r="C1481" s="32">
        <f ca="1">Model!$F$15+RAND()*(Model!$G$15-Model!$F$15)</f>
        <v>3.1189376171496183E-2</v>
      </c>
      <c r="D1481" s="33">
        <f ca="1">Model!$F$16+RAND()*(Model!$G$16-Model!$F$16)</f>
        <v>51.763927040101393</v>
      </c>
      <c r="E1481" s="33">
        <f>Model!$D$17</f>
        <v>800</v>
      </c>
      <c r="G1481" s="36">
        <f t="shared" ca="1" si="25"/>
        <v>916.72003698489289</v>
      </c>
    </row>
    <row r="1482" spans="1:7" x14ac:dyDescent="0.2">
      <c r="A1482" s="6">
        <f ca="1">Model!$F$13+RAND()*(Model!$G$13-Model!$F$13)</f>
        <v>1543.7961287508581</v>
      </c>
      <c r="B1482" s="31">
        <f ca="1">Model!$F$14+RAND()*(Model!$G$14-Model!$F$14)</f>
        <v>0.27908162002870684</v>
      </c>
      <c r="C1482" s="32">
        <f ca="1">Model!$F$15+RAND()*(Model!$G$15-Model!$F$15)</f>
        <v>2.0339271788543552E-2</v>
      </c>
      <c r="D1482" s="33">
        <f ca="1">Model!$F$16+RAND()*(Model!$G$16-Model!$F$16)</f>
        <v>47.835993406334367</v>
      </c>
      <c r="E1482" s="33">
        <f>Model!$D$17</f>
        <v>800</v>
      </c>
      <c r="G1482" s="36">
        <f t="shared" ca="1" si="25"/>
        <v>271.19019369184002</v>
      </c>
    </row>
    <row r="1483" spans="1:7" x14ac:dyDescent="0.2">
      <c r="A1483" s="6">
        <f ca="1">Model!$F$13+RAND()*(Model!$G$13-Model!$F$13)</f>
        <v>1503.5781987786379</v>
      </c>
      <c r="B1483" s="31">
        <f ca="1">Model!$F$14+RAND()*(Model!$G$14-Model!$F$14)</f>
        <v>0.73461621262449572</v>
      </c>
      <c r="C1483" s="32">
        <f ca="1">Model!$F$15+RAND()*(Model!$G$15-Model!$F$15)</f>
        <v>1.0228950040491337E-2</v>
      </c>
      <c r="D1483" s="33">
        <f ca="1">Model!$F$16+RAND()*(Model!$G$16-Model!$F$16)</f>
        <v>51.670933350329008</v>
      </c>
      <c r="E1483" s="33">
        <f>Model!$D$17</f>
        <v>800</v>
      </c>
      <c r="G1483" s="36">
        <f t="shared" ca="1" si="25"/>
        <v>-1109.8526090719508</v>
      </c>
    </row>
    <row r="1484" spans="1:7" x14ac:dyDescent="0.2">
      <c r="A1484" s="6">
        <f ca="1">Model!$F$13+RAND()*(Model!$G$13-Model!$F$13)</f>
        <v>1724.3917723836403</v>
      </c>
      <c r="B1484" s="31">
        <f ca="1">Model!$F$14+RAND()*(Model!$G$14-Model!$F$14)</f>
        <v>0.36382959827985528</v>
      </c>
      <c r="C1484" s="32">
        <f ca="1">Model!$F$15+RAND()*(Model!$G$15-Model!$F$15)</f>
        <v>2.2255517888749361E-2</v>
      </c>
      <c r="D1484" s="33">
        <f ca="1">Model!$F$16+RAND()*(Model!$G$16-Model!$F$16)</f>
        <v>52.168198374936679</v>
      </c>
      <c r="E1484" s="33">
        <f>Model!$D$17</f>
        <v>800</v>
      </c>
      <c r="G1484" s="36">
        <f t="shared" ca="1" si="25"/>
        <v>574.68628297283612</v>
      </c>
    </row>
    <row r="1485" spans="1:7" x14ac:dyDescent="0.2">
      <c r="A1485" s="6">
        <f ca="1">Model!$F$13+RAND()*(Model!$G$13-Model!$F$13)</f>
        <v>1302.3456224308261</v>
      </c>
      <c r="B1485" s="31">
        <f ca="1">Model!$F$14+RAND()*(Model!$G$14-Model!$F$14)</f>
        <v>0.35803502384842295</v>
      </c>
      <c r="C1485" s="32">
        <f ca="1">Model!$F$15+RAND()*(Model!$G$15-Model!$F$15)</f>
        <v>2.0406854506798536E-2</v>
      </c>
      <c r="D1485" s="33">
        <f ca="1">Model!$F$16+RAND()*(Model!$G$16-Model!$F$16)</f>
        <v>47.695533943469002</v>
      </c>
      <c r="E1485" s="33">
        <f>Model!$D$17</f>
        <v>800</v>
      </c>
      <c r="G1485" s="36">
        <f t="shared" ca="1" si="25"/>
        <v>1.3082537889777086</v>
      </c>
    </row>
    <row r="1486" spans="1:7" x14ac:dyDescent="0.2">
      <c r="A1486" s="6">
        <f ca="1">Model!$F$13+RAND()*(Model!$G$13-Model!$F$13)</f>
        <v>1225.7428489524016</v>
      </c>
      <c r="B1486" s="31">
        <f ca="1">Model!$F$14+RAND()*(Model!$G$14-Model!$F$14)</f>
        <v>0.60501354268465612</v>
      </c>
      <c r="C1486" s="32">
        <f ca="1">Model!$F$15+RAND()*(Model!$G$15-Model!$F$15)</f>
        <v>3.2528515762913039E-2</v>
      </c>
      <c r="D1486" s="33">
        <f ca="1">Model!$F$16+RAND()*(Model!$G$16-Model!$F$16)</f>
        <v>47.058692616139112</v>
      </c>
      <c r="E1486" s="33">
        <f>Model!$D$17</f>
        <v>800</v>
      </c>
      <c r="G1486" s="36">
        <f t="shared" ca="1" si="25"/>
        <v>334.71413721038402</v>
      </c>
    </row>
    <row r="1487" spans="1:7" x14ac:dyDescent="0.2">
      <c r="A1487" s="6">
        <f ca="1">Model!$F$13+RAND()*(Model!$G$13-Model!$F$13)</f>
        <v>1356.9234141948352</v>
      </c>
      <c r="B1487" s="31">
        <f ca="1">Model!$F$14+RAND()*(Model!$G$14-Model!$F$14)</f>
        <v>0.36855052202013738</v>
      </c>
      <c r="C1487" s="32">
        <f ca="1">Model!$F$15+RAND()*(Model!$G$15-Model!$F$15)</f>
        <v>2.4224419846753727E-2</v>
      </c>
      <c r="D1487" s="33">
        <f ca="1">Model!$F$16+RAND()*(Model!$G$16-Model!$F$16)</f>
        <v>47.668246418395071</v>
      </c>
      <c r="E1487" s="33">
        <f>Model!$D$17</f>
        <v>800</v>
      </c>
      <c r="G1487" s="36">
        <f t="shared" ca="1" si="25"/>
        <v>266.79296000945169</v>
      </c>
    </row>
    <row r="1488" spans="1:7" x14ac:dyDescent="0.2">
      <c r="A1488" s="6">
        <f ca="1">Model!$F$13+RAND()*(Model!$G$13-Model!$F$13)</f>
        <v>1415.3411224925469</v>
      </c>
      <c r="B1488" s="31">
        <f ca="1">Model!$F$14+RAND()*(Model!$G$14-Model!$F$14)</f>
        <v>0.61799781156006239</v>
      </c>
      <c r="C1488" s="32">
        <f ca="1">Model!$F$15+RAND()*(Model!$G$15-Model!$F$15)</f>
        <v>1.1291268333844445E-2</v>
      </c>
      <c r="D1488" s="33">
        <f ca="1">Model!$F$16+RAND()*(Model!$G$16-Model!$F$16)</f>
        <v>51.279939539320914</v>
      </c>
      <c r="E1488" s="33">
        <f>Model!$D$17</f>
        <v>800</v>
      </c>
      <c r="G1488" s="36">
        <f t="shared" ca="1" si="25"/>
        <v>-855.17318724442885</v>
      </c>
    </row>
    <row r="1489" spans="1:7" x14ac:dyDescent="0.2">
      <c r="A1489" s="6">
        <f ca="1">Model!$F$13+RAND()*(Model!$G$13-Model!$F$13)</f>
        <v>1392.5676931281284</v>
      </c>
      <c r="B1489" s="31">
        <f ca="1">Model!$F$14+RAND()*(Model!$G$14-Model!$F$14)</f>
        <v>0.27582913629059036</v>
      </c>
      <c r="C1489" s="32">
        <f ca="1">Model!$F$15+RAND()*(Model!$G$15-Model!$F$15)</f>
        <v>3.9069504454319427E-2</v>
      </c>
      <c r="D1489" s="33">
        <f ca="1">Model!$F$16+RAND()*(Model!$G$16-Model!$F$16)</f>
        <v>51.448121216183857</v>
      </c>
      <c r="E1489" s="33">
        <f>Model!$D$17</f>
        <v>800</v>
      </c>
      <c r="G1489" s="36">
        <f t="shared" ca="1" si="25"/>
        <v>1615.0235696497743</v>
      </c>
    </row>
    <row r="1490" spans="1:7" x14ac:dyDescent="0.2">
      <c r="A1490" s="6">
        <f ca="1">Model!$F$13+RAND()*(Model!$G$13-Model!$F$13)</f>
        <v>1716.8173207767893</v>
      </c>
      <c r="B1490" s="31">
        <f ca="1">Model!$F$14+RAND()*(Model!$G$14-Model!$F$14)</f>
        <v>0.55060555505096231</v>
      </c>
      <c r="C1490" s="32">
        <f ca="1">Model!$F$15+RAND()*(Model!$G$15-Model!$F$15)</f>
        <v>2.5111992990102246E-2</v>
      </c>
      <c r="D1490" s="33">
        <f ca="1">Model!$F$16+RAND()*(Model!$G$16-Model!$F$16)</f>
        <v>48.780293161848341</v>
      </c>
      <c r="E1490" s="33">
        <f>Model!$D$17</f>
        <v>800</v>
      </c>
      <c r="G1490" s="36">
        <f t="shared" ca="1" si="25"/>
        <v>357.7612118843258</v>
      </c>
    </row>
    <row r="1491" spans="1:7" x14ac:dyDescent="0.2">
      <c r="A1491" s="6">
        <f ca="1">Model!$F$13+RAND()*(Model!$G$13-Model!$F$13)</f>
        <v>1487.6821645621774</v>
      </c>
      <c r="B1491" s="31">
        <f ca="1">Model!$F$14+RAND()*(Model!$G$14-Model!$F$14)</f>
        <v>0.28459552245443753</v>
      </c>
      <c r="C1491" s="32">
        <f ca="1">Model!$F$15+RAND()*(Model!$G$15-Model!$F$15)</f>
        <v>4.488759813399399E-2</v>
      </c>
      <c r="D1491" s="33">
        <f ca="1">Model!$F$16+RAND()*(Model!$G$16-Model!$F$16)</f>
        <v>49.416294232660263</v>
      </c>
      <c r="E1491" s="33">
        <f>Model!$D$17</f>
        <v>800</v>
      </c>
      <c r="G1491" s="36">
        <f t="shared" ca="1" si="25"/>
        <v>2076.5572914127924</v>
      </c>
    </row>
    <row r="1492" spans="1:7" x14ac:dyDescent="0.2">
      <c r="A1492" s="6">
        <f ca="1">Model!$F$13+RAND()*(Model!$G$13-Model!$F$13)</f>
        <v>1647.381123153325</v>
      </c>
      <c r="B1492" s="31">
        <f ca="1">Model!$F$14+RAND()*(Model!$G$14-Model!$F$14)</f>
        <v>0.41399703808194815</v>
      </c>
      <c r="C1492" s="32">
        <f ca="1">Model!$F$15+RAND()*(Model!$G$15-Model!$F$15)</f>
        <v>1.9767351465068209E-2</v>
      </c>
      <c r="D1492" s="33">
        <f ca="1">Model!$F$16+RAND()*(Model!$G$16-Model!$F$16)</f>
        <v>49.359043155904402</v>
      </c>
      <c r="E1492" s="33">
        <f>Model!$D$17</f>
        <v>800</v>
      </c>
      <c r="G1492" s="36">
        <f t="shared" ca="1" si="25"/>
        <v>125.33482685845433</v>
      </c>
    </row>
    <row r="1493" spans="1:7" x14ac:dyDescent="0.2">
      <c r="A1493" s="6">
        <f ca="1">Model!$F$13+RAND()*(Model!$G$13-Model!$F$13)</f>
        <v>1761.3080520833796</v>
      </c>
      <c r="B1493" s="31">
        <f ca="1">Model!$F$14+RAND()*(Model!$G$14-Model!$F$14)</f>
        <v>0.79294393377254835</v>
      </c>
      <c r="C1493" s="32">
        <f ca="1">Model!$F$15+RAND()*(Model!$G$15-Model!$F$15)</f>
        <v>2.498066060124219E-2</v>
      </c>
      <c r="D1493" s="33">
        <f ca="1">Model!$F$16+RAND()*(Model!$G$16-Model!$F$16)</f>
        <v>48.875754993605653</v>
      </c>
      <c r="E1493" s="33">
        <f>Model!$D$17</f>
        <v>800</v>
      </c>
      <c r="G1493" s="36">
        <f t="shared" ca="1" si="25"/>
        <v>-46.151852043162307</v>
      </c>
    </row>
    <row r="1494" spans="1:7" x14ac:dyDescent="0.2">
      <c r="A1494" s="6">
        <f ca="1">Model!$F$13+RAND()*(Model!$G$13-Model!$F$13)</f>
        <v>1742.7089562498622</v>
      </c>
      <c r="B1494" s="31">
        <f ca="1">Model!$F$14+RAND()*(Model!$G$14-Model!$F$14)</f>
        <v>0.61870255725676016</v>
      </c>
      <c r="C1494" s="32">
        <f ca="1">Model!$F$15+RAND()*(Model!$G$15-Model!$F$15)</f>
        <v>2.1078450768572135E-2</v>
      </c>
      <c r="D1494" s="33">
        <f ca="1">Model!$F$16+RAND()*(Model!$G$16-Model!$F$16)</f>
        <v>50.277233370397582</v>
      </c>
      <c r="E1494" s="33">
        <f>Model!$D$17</f>
        <v>800</v>
      </c>
      <c r="G1494" s="36">
        <f t="shared" ca="1" si="25"/>
        <v>-31.354459769038613</v>
      </c>
    </row>
    <row r="1495" spans="1:7" x14ac:dyDescent="0.2">
      <c r="A1495" s="6">
        <f ca="1">Model!$F$13+RAND()*(Model!$G$13-Model!$F$13)</f>
        <v>1466.2995278267208</v>
      </c>
      <c r="B1495" s="31">
        <f ca="1">Model!$F$14+RAND()*(Model!$G$14-Model!$F$14)</f>
        <v>0.50800500526209347</v>
      </c>
      <c r="C1495" s="32">
        <f ca="1">Model!$F$15+RAND()*(Model!$G$15-Model!$F$15)</f>
        <v>4.2506867779504402E-2</v>
      </c>
      <c r="D1495" s="33">
        <f ca="1">Model!$F$16+RAND()*(Model!$G$16-Model!$F$16)</f>
        <v>48.377572224286801</v>
      </c>
      <c r="E1495" s="33">
        <f>Model!$D$17</f>
        <v>800</v>
      </c>
      <c r="G1495" s="36">
        <f t="shared" ca="1" si="25"/>
        <v>1470.3801542048593</v>
      </c>
    </row>
    <row r="1496" spans="1:7" x14ac:dyDescent="0.2">
      <c r="A1496" s="6">
        <f ca="1">Model!$F$13+RAND()*(Model!$G$13-Model!$F$13)</f>
        <v>1436.5198908463053</v>
      </c>
      <c r="B1496" s="31">
        <f ca="1">Model!$F$14+RAND()*(Model!$G$14-Model!$F$14)</f>
        <v>0.49878419764674353</v>
      </c>
      <c r="C1496" s="32">
        <f ca="1">Model!$F$15+RAND()*(Model!$G$15-Model!$F$15)</f>
        <v>1.105006370854437E-2</v>
      </c>
      <c r="D1496" s="33">
        <f ca="1">Model!$F$16+RAND()*(Model!$G$16-Model!$F$16)</f>
        <v>47.85608248258157</v>
      </c>
      <c r="E1496" s="33">
        <f>Model!$D$17</f>
        <v>800</v>
      </c>
      <c r="G1496" s="36">
        <f t="shared" ca="1" si="25"/>
        <v>-756.86337249259361</v>
      </c>
    </row>
    <row r="1497" spans="1:7" x14ac:dyDescent="0.2">
      <c r="A1497" s="6">
        <f ca="1">Model!$F$13+RAND()*(Model!$G$13-Model!$F$13)</f>
        <v>1574.8852320761571</v>
      </c>
      <c r="B1497" s="31">
        <f ca="1">Model!$F$14+RAND()*(Model!$G$14-Model!$F$14)</f>
        <v>0.47661710605150565</v>
      </c>
      <c r="C1497" s="32">
        <f ca="1">Model!$F$15+RAND()*(Model!$G$15-Model!$F$15)</f>
        <v>3.8187527173325041E-2</v>
      </c>
      <c r="D1497" s="33">
        <f ca="1">Model!$F$16+RAND()*(Model!$G$16-Model!$F$16)</f>
        <v>51.077537569161848</v>
      </c>
      <c r="E1497" s="33">
        <f>Model!$D$17</f>
        <v>800</v>
      </c>
      <c r="G1497" s="36">
        <f t="shared" ca="1" si="25"/>
        <v>1521.2355454802412</v>
      </c>
    </row>
    <row r="1498" spans="1:7" x14ac:dyDescent="0.2">
      <c r="A1498" s="6">
        <f ca="1">Model!$F$13+RAND()*(Model!$G$13-Model!$F$13)</f>
        <v>1751.1840543254791</v>
      </c>
      <c r="B1498" s="31">
        <f ca="1">Model!$F$14+RAND()*(Model!$G$14-Model!$F$14)</f>
        <v>0.23344447326441328</v>
      </c>
      <c r="C1498" s="32">
        <f ca="1">Model!$F$15+RAND()*(Model!$G$15-Model!$F$15)</f>
        <v>2.1307641086362211E-2</v>
      </c>
      <c r="D1498" s="33">
        <f ca="1">Model!$F$16+RAND()*(Model!$G$16-Model!$F$16)</f>
        <v>50.044608488935381</v>
      </c>
      <c r="E1498" s="33">
        <f>Model!$D$17</f>
        <v>800</v>
      </c>
      <c r="G1498" s="36">
        <f t="shared" ca="1" si="25"/>
        <v>658.54032950633132</v>
      </c>
    </row>
    <row r="1499" spans="1:7" x14ac:dyDescent="0.2">
      <c r="A1499" s="6">
        <f ca="1">Model!$F$13+RAND()*(Model!$G$13-Model!$F$13)</f>
        <v>1654.1677588625089</v>
      </c>
      <c r="B1499" s="31">
        <f ca="1">Model!$F$14+RAND()*(Model!$G$14-Model!$F$14)</f>
        <v>0.55544182515805751</v>
      </c>
      <c r="C1499" s="32">
        <f ca="1">Model!$F$15+RAND()*(Model!$G$15-Model!$F$15)</f>
        <v>2.2980945339530129E-2</v>
      </c>
      <c r="D1499" s="33">
        <f ca="1">Model!$F$16+RAND()*(Model!$G$16-Model!$F$16)</f>
        <v>50.921605802283267</v>
      </c>
      <c r="E1499" s="33">
        <f>Model!$D$17</f>
        <v>800</v>
      </c>
      <c r="G1499" s="36">
        <f t="shared" ca="1" si="25"/>
        <v>216.95721859445939</v>
      </c>
    </row>
    <row r="1500" spans="1:7" x14ac:dyDescent="0.2">
      <c r="A1500" s="6">
        <f ca="1">Model!$F$13+RAND()*(Model!$G$13-Model!$F$13)</f>
        <v>1376.4362302089492</v>
      </c>
      <c r="B1500" s="31">
        <f ca="1">Model!$F$14+RAND()*(Model!$G$14-Model!$F$14)</f>
        <v>0.66125507312990472</v>
      </c>
      <c r="C1500" s="32">
        <f ca="1">Model!$F$15+RAND()*(Model!$G$15-Model!$F$15)</f>
        <v>2.3209153963859346E-2</v>
      </c>
      <c r="D1500" s="33">
        <f ca="1">Model!$F$16+RAND()*(Model!$G$16-Model!$F$16)</f>
        <v>49.539158688738709</v>
      </c>
      <c r="E1500" s="33">
        <f>Model!$D$17</f>
        <v>800</v>
      </c>
      <c r="G1500" s="36">
        <f t="shared" ca="1" si="25"/>
        <v>-127.60142048900434</v>
      </c>
    </row>
    <row r="1501" spans="1:7" x14ac:dyDescent="0.2">
      <c r="A1501" s="6">
        <f ca="1">Model!$F$13+RAND()*(Model!$G$13-Model!$F$13)</f>
        <v>1743.224392020737</v>
      </c>
      <c r="B1501" s="31">
        <f ca="1">Model!$F$14+RAND()*(Model!$G$14-Model!$F$14)</f>
        <v>0.73988773761453897</v>
      </c>
      <c r="C1501" s="32">
        <f ca="1">Model!$F$15+RAND()*(Model!$G$15-Model!$F$15)</f>
        <v>4.5379879790871339E-2</v>
      </c>
      <c r="D1501" s="33">
        <f ca="1">Model!$F$16+RAND()*(Model!$G$16-Model!$F$16)</f>
        <v>50.248966558936701</v>
      </c>
      <c r="E1501" s="33">
        <f>Model!$D$17</f>
        <v>800</v>
      </c>
      <c r="G1501" s="36">
        <f t="shared" ca="1" si="25"/>
        <v>1885.2703919476603</v>
      </c>
    </row>
    <row r="1502" spans="1:7" x14ac:dyDescent="0.2">
      <c r="A1502" s="6">
        <f ca="1">Model!$F$13+RAND()*(Model!$G$13-Model!$F$13)</f>
        <v>1546.7267271191049</v>
      </c>
      <c r="B1502" s="31">
        <f ca="1">Model!$F$14+RAND()*(Model!$G$14-Model!$F$14)</f>
        <v>0.35917569253572745</v>
      </c>
      <c r="C1502" s="32">
        <f ca="1">Model!$F$15+RAND()*(Model!$G$15-Model!$F$15)</f>
        <v>3.9029838938374105E-2</v>
      </c>
      <c r="D1502" s="33">
        <f ca="1">Model!$F$16+RAND()*(Model!$G$16-Model!$F$16)</f>
        <v>49.886038164156119</v>
      </c>
      <c r="E1502" s="33">
        <f>Model!$D$17</f>
        <v>800</v>
      </c>
      <c r="G1502" s="36">
        <f t="shared" ca="1" si="25"/>
        <v>1655.9984041583152</v>
      </c>
    </row>
    <row r="1503" spans="1:7" x14ac:dyDescent="0.2">
      <c r="A1503" s="6">
        <f ca="1">Model!$F$13+RAND()*(Model!$G$13-Model!$F$13)</f>
        <v>1222.7360244679883</v>
      </c>
      <c r="B1503" s="31">
        <f ca="1">Model!$F$14+RAND()*(Model!$G$14-Model!$F$14)</f>
        <v>0.63542610219427487</v>
      </c>
      <c r="C1503" s="32">
        <f ca="1">Model!$F$15+RAND()*(Model!$G$15-Model!$F$15)</f>
        <v>3.5258988888117522E-2</v>
      </c>
      <c r="D1503" s="33">
        <f ca="1">Model!$F$16+RAND()*(Model!$G$16-Model!$F$16)</f>
        <v>52.142694562879186</v>
      </c>
      <c r="E1503" s="33">
        <f>Model!$D$17</f>
        <v>800</v>
      </c>
      <c r="G1503" s="36">
        <f t="shared" ca="1" si="25"/>
        <v>671.04019094568912</v>
      </c>
    </row>
    <row r="1504" spans="1:7" x14ac:dyDescent="0.2">
      <c r="A1504" s="6">
        <f ca="1">Model!$F$13+RAND()*(Model!$G$13-Model!$F$13)</f>
        <v>1494.8289514795479</v>
      </c>
      <c r="B1504" s="31">
        <f ca="1">Model!$F$14+RAND()*(Model!$G$14-Model!$F$14)</f>
        <v>0.56836166068612604</v>
      </c>
      <c r="C1504" s="32">
        <f ca="1">Model!$F$15+RAND()*(Model!$G$15-Model!$F$15)</f>
        <v>3.0951846264922776E-2</v>
      </c>
      <c r="D1504" s="33">
        <f ca="1">Model!$F$16+RAND()*(Model!$G$16-Model!$F$16)</f>
        <v>49.562839095355564</v>
      </c>
      <c r="E1504" s="33">
        <f>Model!$D$17</f>
        <v>800</v>
      </c>
      <c r="G1504" s="36">
        <f t="shared" ca="1" si="25"/>
        <v>643.55589308487515</v>
      </c>
    </row>
    <row r="1505" spans="1:7" x14ac:dyDescent="0.2">
      <c r="A1505" s="6">
        <f ca="1">Model!$F$13+RAND()*(Model!$G$13-Model!$F$13)</f>
        <v>1234.6544934918359</v>
      </c>
      <c r="B1505" s="31">
        <f ca="1">Model!$F$14+RAND()*(Model!$G$14-Model!$F$14)</f>
        <v>0.23373140665126496</v>
      </c>
      <c r="C1505" s="32">
        <f ca="1">Model!$F$15+RAND()*(Model!$G$15-Model!$F$15)</f>
        <v>2.0534513220252085E-2</v>
      </c>
      <c r="D1505" s="33">
        <f ca="1">Model!$F$16+RAND()*(Model!$G$16-Model!$F$16)</f>
        <v>49.515898677057237</v>
      </c>
      <c r="E1505" s="33">
        <f>Model!$D$17</f>
        <v>800</v>
      </c>
      <c r="G1505" s="36">
        <f t="shared" ca="1" si="25"/>
        <v>166.80048457170619</v>
      </c>
    </row>
    <row r="1506" spans="1:7" x14ac:dyDescent="0.2">
      <c r="A1506" s="6">
        <f ca="1">Model!$F$13+RAND()*(Model!$G$13-Model!$F$13)</f>
        <v>1205.1437906721455</v>
      </c>
      <c r="B1506" s="31">
        <f ca="1">Model!$F$14+RAND()*(Model!$G$14-Model!$F$14)</f>
        <v>0.29325984766611551</v>
      </c>
      <c r="C1506" s="32">
        <f ca="1">Model!$F$15+RAND()*(Model!$G$15-Model!$F$15)</f>
        <v>2.7947141586262714E-2</v>
      </c>
      <c r="D1506" s="33">
        <f ca="1">Model!$F$16+RAND()*(Model!$G$16-Model!$F$16)</f>
        <v>49.921779780643483</v>
      </c>
      <c r="E1506" s="33">
        <f>Model!$D$17</f>
        <v>800</v>
      </c>
      <c r="G1506" s="36">
        <f t="shared" ca="1" si="25"/>
        <v>527.96144067472233</v>
      </c>
    </row>
    <row r="1507" spans="1:7" x14ac:dyDescent="0.2">
      <c r="A1507" s="6">
        <f ca="1">Model!$F$13+RAND()*(Model!$G$13-Model!$F$13)</f>
        <v>1337.0120304921008</v>
      </c>
      <c r="B1507" s="31">
        <f ca="1">Model!$F$14+RAND()*(Model!$G$14-Model!$F$14)</f>
        <v>0.58023010548664977</v>
      </c>
      <c r="C1507" s="32">
        <f ca="1">Model!$F$15+RAND()*(Model!$G$15-Model!$F$15)</f>
        <v>4.1744213840024705E-2</v>
      </c>
      <c r="D1507" s="33">
        <f ca="1">Model!$F$16+RAND()*(Model!$G$16-Model!$F$16)</f>
        <v>52.614534629232011</v>
      </c>
      <c r="E1507" s="33">
        <f>Model!$D$17</f>
        <v>800</v>
      </c>
      <c r="G1507" s="36">
        <f t="shared" ca="1" si="25"/>
        <v>1360.7749299957959</v>
      </c>
    </row>
    <row r="1508" spans="1:7" x14ac:dyDescent="0.2">
      <c r="A1508" s="6">
        <f ca="1">Model!$F$13+RAND()*(Model!$G$13-Model!$F$13)</f>
        <v>1655.3147670611686</v>
      </c>
      <c r="B1508" s="31">
        <f ca="1">Model!$F$14+RAND()*(Model!$G$14-Model!$F$14)</f>
        <v>0.60110875525665608</v>
      </c>
      <c r="C1508" s="32">
        <f ca="1">Model!$F$15+RAND()*(Model!$G$15-Model!$F$15)</f>
        <v>1.3534588904866829E-2</v>
      </c>
      <c r="D1508" s="33">
        <f ca="1">Model!$F$16+RAND()*(Model!$G$16-Model!$F$16)</f>
        <v>50.071220988895213</v>
      </c>
      <c r="E1508" s="33">
        <f>Model!$D$17</f>
        <v>800</v>
      </c>
      <c r="G1508" s="36">
        <f t="shared" ca="1" si="25"/>
        <v>-673.2283197868951</v>
      </c>
    </row>
    <row r="1509" spans="1:7" x14ac:dyDescent="0.2">
      <c r="A1509" s="6">
        <f ca="1">Model!$F$13+RAND()*(Model!$G$13-Model!$F$13)</f>
        <v>1433.6984951691786</v>
      </c>
      <c r="B1509" s="31">
        <f ca="1">Model!$F$14+RAND()*(Model!$G$14-Model!$F$14)</f>
        <v>0.30249900021831333</v>
      </c>
      <c r="C1509" s="32">
        <f ca="1">Model!$F$15+RAND()*(Model!$G$15-Model!$F$15)</f>
        <v>4.7100526244355609E-2</v>
      </c>
      <c r="D1509" s="33">
        <f ca="1">Model!$F$16+RAND()*(Model!$G$16-Model!$F$16)</f>
        <v>50.261638402380463</v>
      </c>
      <c r="E1509" s="33">
        <f>Model!$D$17</f>
        <v>800</v>
      </c>
      <c r="G1509" s="36">
        <f t="shared" ca="1" si="25"/>
        <v>2160.3732244027324</v>
      </c>
    </row>
    <row r="1510" spans="1:7" x14ac:dyDescent="0.2">
      <c r="A1510" s="6">
        <f ca="1">Model!$F$13+RAND()*(Model!$G$13-Model!$F$13)</f>
        <v>1615.9151685064835</v>
      </c>
      <c r="B1510" s="31">
        <f ca="1">Model!$F$14+RAND()*(Model!$G$14-Model!$F$14)</f>
        <v>0.59043106212070728</v>
      </c>
      <c r="C1510" s="32">
        <f ca="1">Model!$F$15+RAND()*(Model!$G$15-Model!$F$15)</f>
        <v>3.4145722300381084E-2</v>
      </c>
      <c r="D1510" s="33">
        <f ca="1">Model!$F$16+RAND()*(Model!$G$16-Model!$F$16)</f>
        <v>52.37069591505896</v>
      </c>
      <c r="E1510" s="33">
        <f>Model!$D$17</f>
        <v>800</v>
      </c>
      <c r="G1510" s="36">
        <f t="shared" ca="1" si="25"/>
        <v>1135.5499389552201</v>
      </c>
    </row>
    <row r="1511" spans="1:7" x14ac:dyDescent="0.2">
      <c r="A1511" s="6">
        <f ca="1">Model!$F$13+RAND()*(Model!$G$13-Model!$F$13)</f>
        <v>1711.6393087117913</v>
      </c>
      <c r="B1511" s="31">
        <f ca="1">Model!$F$14+RAND()*(Model!$G$14-Model!$F$14)</f>
        <v>0.72684303748922696</v>
      </c>
      <c r="C1511" s="32">
        <f ca="1">Model!$F$15+RAND()*(Model!$G$15-Model!$F$15)</f>
        <v>4.4906251322691104E-2</v>
      </c>
      <c r="D1511" s="33">
        <f ca="1">Model!$F$16+RAND()*(Model!$G$16-Model!$F$16)</f>
        <v>51.221690235944855</v>
      </c>
      <c r="E1511" s="33">
        <f>Model!$D$17</f>
        <v>800</v>
      </c>
      <c r="G1511" s="36">
        <f t="shared" ca="1" si="25"/>
        <v>1892.9752834956982</v>
      </c>
    </row>
    <row r="1512" spans="1:7" x14ac:dyDescent="0.2">
      <c r="A1512" s="6">
        <f ca="1">Model!$F$13+RAND()*(Model!$G$13-Model!$F$13)</f>
        <v>1569.6471805399051</v>
      </c>
      <c r="B1512" s="31">
        <f ca="1">Model!$F$14+RAND()*(Model!$G$14-Model!$F$14)</f>
        <v>0.72633802923058099</v>
      </c>
      <c r="C1512" s="32">
        <f ca="1">Model!$F$15+RAND()*(Model!$G$15-Model!$F$15)</f>
        <v>2.0971133207896026E-2</v>
      </c>
      <c r="D1512" s="33">
        <f ca="1">Model!$F$16+RAND()*(Model!$G$16-Model!$F$16)</f>
        <v>51.01667137723863</v>
      </c>
      <c r="E1512" s="33">
        <f>Model!$D$17</f>
        <v>800</v>
      </c>
      <c r="G1512" s="36">
        <f t="shared" ca="1" si="25"/>
        <v>-260.76437756872815</v>
      </c>
    </row>
    <row r="1513" spans="1:7" x14ac:dyDescent="0.2">
      <c r="A1513" s="6">
        <f ca="1">Model!$F$13+RAND()*(Model!$G$13-Model!$F$13)</f>
        <v>1654.86939514597</v>
      </c>
      <c r="B1513" s="31">
        <f ca="1">Model!$F$14+RAND()*(Model!$G$14-Model!$F$14)</f>
        <v>0.72186448122930602</v>
      </c>
      <c r="C1513" s="32">
        <f ca="1">Model!$F$15+RAND()*(Model!$G$15-Model!$F$15)</f>
        <v>4.7154284500188576E-2</v>
      </c>
      <c r="D1513" s="33">
        <f ca="1">Model!$F$16+RAND()*(Model!$G$16-Model!$F$16)</f>
        <v>50.608508028531155</v>
      </c>
      <c r="E1513" s="33">
        <f>Model!$D$17</f>
        <v>800</v>
      </c>
      <c r="G1513" s="36">
        <f t="shared" ref="G1513:G1576" ca="1" si="26">A1513*C1513*D1513-(E1513+A1513*B1513)</f>
        <v>1954.6021024498759</v>
      </c>
    </row>
    <row r="1514" spans="1:7" x14ac:dyDescent="0.2">
      <c r="A1514" s="6">
        <f ca="1">Model!$F$13+RAND()*(Model!$G$13-Model!$F$13)</f>
        <v>1201.9480322198465</v>
      </c>
      <c r="B1514" s="31">
        <f ca="1">Model!$F$14+RAND()*(Model!$G$14-Model!$F$14)</f>
        <v>0.27339093064755143</v>
      </c>
      <c r="C1514" s="32">
        <f ca="1">Model!$F$15+RAND()*(Model!$G$15-Model!$F$15)</f>
        <v>1.366825065299342E-2</v>
      </c>
      <c r="D1514" s="33">
        <f ca="1">Model!$F$16+RAND()*(Model!$G$16-Model!$F$16)</f>
        <v>50.288964176197375</v>
      </c>
      <c r="E1514" s="33">
        <f>Model!$D$17</f>
        <v>800</v>
      </c>
      <c r="G1514" s="36">
        <f t="shared" ca="1" si="26"/>
        <v>-302.42808654209421</v>
      </c>
    </row>
    <row r="1515" spans="1:7" x14ac:dyDescent="0.2">
      <c r="A1515" s="6">
        <f ca="1">Model!$F$13+RAND()*(Model!$G$13-Model!$F$13)</f>
        <v>1496.1673579330302</v>
      </c>
      <c r="B1515" s="31">
        <f ca="1">Model!$F$14+RAND()*(Model!$G$14-Model!$F$14)</f>
        <v>0.28175617136668007</v>
      </c>
      <c r="C1515" s="32">
        <f ca="1">Model!$F$15+RAND()*(Model!$G$15-Model!$F$15)</f>
        <v>1.2468919887244452E-2</v>
      </c>
      <c r="D1515" s="33">
        <f ca="1">Model!$F$16+RAND()*(Model!$G$16-Model!$F$16)</f>
        <v>48.38073258857461</v>
      </c>
      <c r="E1515" s="33">
        <f>Model!$D$17</f>
        <v>800</v>
      </c>
      <c r="G1515" s="36">
        <f t="shared" ca="1" si="26"/>
        <v>-318.98323072023391</v>
      </c>
    </row>
    <row r="1516" spans="1:7" x14ac:dyDescent="0.2">
      <c r="A1516" s="6">
        <f ca="1">Model!$F$13+RAND()*(Model!$G$13-Model!$F$13)</f>
        <v>1220.6122341769922</v>
      </c>
      <c r="B1516" s="31">
        <f ca="1">Model!$F$14+RAND()*(Model!$G$14-Model!$F$14)</f>
        <v>0.42452331792035913</v>
      </c>
      <c r="C1516" s="32">
        <f ca="1">Model!$F$15+RAND()*(Model!$G$15-Model!$F$15)</f>
        <v>2.9934060554650609E-2</v>
      </c>
      <c r="D1516" s="33">
        <f ca="1">Model!$F$16+RAND()*(Model!$G$16-Model!$F$16)</f>
        <v>52.255886353939331</v>
      </c>
      <c r="E1516" s="33">
        <f>Model!$D$17</f>
        <v>800</v>
      </c>
      <c r="G1516" s="36">
        <f t="shared" ca="1" si="26"/>
        <v>591.14097712617877</v>
      </c>
    </row>
    <row r="1517" spans="1:7" x14ac:dyDescent="0.2">
      <c r="A1517" s="6">
        <f ca="1">Model!$F$13+RAND()*(Model!$G$13-Model!$F$13)</f>
        <v>1349.0656653934659</v>
      </c>
      <c r="B1517" s="31">
        <f ca="1">Model!$F$14+RAND()*(Model!$G$14-Model!$F$14)</f>
        <v>0.62784198246968914</v>
      </c>
      <c r="C1517" s="32">
        <f ca="1">Model!$F$15+RAND()*(Model!$G$15-Model!$F$15)</f>
        <v>3.2594988330083473E-2</v>
      </c>
      <c r="D1517" s="33">
        <f ca="1">Model!$F$16+RAND()*(Model!$G$16-Model!$F$16)</f>
        <v>51.064454687137214</v>
      </c>
      <c r="E1517" s="33">
        <f>Model!$D$17</f>
        <v>800</v>
      </c>
      <c r="G1517" s="36">
        <f t="shared" ca="1" si="26"/>
        <v>598.44595053137004</v>
      </c>
    </row>
    <row r="1518" spans="1:7" x14ac:dyDescent="0.2">
      <c r="A1518" s="6">
        <f ca="1">Model!$F$13+RAND()*(Model!$G$13-Model!$F$13)</f>
        <v>1693.9549027966818</v>
      </c>
      <c r="B1518" s="31">
        <f ca="1">Model!$F$14+RAND()*(Model!$G$14-Model!$F$14)</f>
        <v>0.7193014758835603</v>
      </c>
      <c r="C1518" s="32">
        <f ca="1">Model!$F$15+RAND()*(Model!$G$15-Model!$F$15)</f>
        <v>1.8912265182201335E-2</v>
      </c>
      <c r="D1518" s="33">
        <f ca="1">Model!$F$16+RAND()*(Model!$G$16-Model!$F$16)</f>
        <v>50.590464046636356</v>
      </c>
      <c r="E1518" s="33">
        <f>Model!$D$17</f>
        <v>800</v>
      </c>
      <c r="G1518" s="36">
        <f t="shared" ca="1" si="26"/>
        <v>-397.72162944769957</v>
      </c>
    </row>
    <row r="1519" spans="1:7" x14ac:dyDescent="0.2">
      <c r="A1519" s="6">
        <f ca="1">Model!$F$13+RAND()*(Model!$G$13-Model!$F$13)</f>
        <v>1379.7290678460331</v>
      </c>
      <c r="B1519" s="31">
        <f ca="1">Model!$F$14+RAND()*(Model!$G$14-Model!$F$14)</f>
        <v>0.76948023951723488</v>
      </c>
      <c r="C1519" s="32">
        <f ca="1">Model!$F$15+RAND()*(Model!$G$15-Model!$F$15)</f>
        <v>2.8872598704924653E-2</v>
      </c>
      <c r="D1519" s="33">
        <f ca="1">Model!$F$16+RAND()*(Model!$G$16-Model!$F$16)</f>
        <v>47.172055276073209</v>
      </c>
      <c r="E1519" s="33">
        <f>Model!$D$17</f>
        <v>800</v>
      </c>
      <c r="G1519" s="36">
        <f t="shared" ca="1" si="26"/>
        <v>17.488896738257608</v>
      </c>
    </row>
    <row r="1520" spans="1:7" x14ac:dyDescent="0.2">
      <c r="A1520" s="6">
        <f ca="1">Model!$F$13+RAND()*(Model!$G$13-Model!$F$13)</f>
        <v>1303.3489243410786</v>
      </c>
      <c r="B1520" s="31">
        <f ca="1">Model!$F$14+RAND()*(Model!$G$14-Model!$F$14)</f>
        <v>0.65634869725217515</v>
      </c>
      <c r="C1520" s="32">
        <f ca="1">Model!$F$15+RAND()*(Model!$G$15-Model!$F$15)</f>
        <v>3.8817754142384406E-2</v>
      </c>
      <c r="D1520" s="33">
        <f ca="1">Model!$F$16+RAND()*(Model!$G$16-Model!$F$16)</f>
        <v>52.682212860770207</v>
      </c>
      <c r="E1520" s="33">
        <f>Model!$D$17</f>
        <v>800</v>
      </c>
      <c r="G1520" s="36">
        <f t="shared" ca="1" si="26"/>
        <v>1009.9039415484135</v>
      </c>
    </row>
    <row r="1521" spans="1:7" x14ac:dyDescent="0.2">
      <c r="A1521" s="6">
        <f ca="1">Model!$F$13+RAND()*(Model!$G$13-Model!$F$13)</f>
        <v>1376.3021886773392</v>
      </c>
      <c r="B1521" s="31">
        <f ca="1">Model!$F$14+RAND()*(Model!$G$14-Model!$F$14)</f>
        <v>0.6787716805004913</v>
      </c>
      <c r="C1521" s="32">
        <f ca="1">Model!$F$15+RAND()*(Model!$G$15-Model!$F$15)</f>
        <v>2.5884317193333881E-2</v>
      </c>
      <c r="D1521" s="33">
        <f ca="1">Model!$F$16+RAND()*(Model!$G$16-Model!$F$16)</f>
        <v>50.4890118287475</v>
      </c>
      <c r="E1521" s="33">
        <f>Model!$D$17</f>
        <v>800</v>
      </c>
      <c r="G1521" s="36">
        <f t="shared" ca="1" si="26"/>
        <v>64.458042326413306</v>
      </c>
    </row>
    <row r="1522" spans="1:7" x14ac:dyDescent="0.2">
      <c r="A1522" s="6">
        <f ca="1">Model!$F$13+RAND()*(Model!$G$13-Model!$F$13)</f>
        <v>1452.4512504170002</v>
      </c>
      <c r="B1522" s="31">
        <f ca="1">Model!$F$14+RAND()*(Model!$G$14-Model!$F$14)</f>
        <v>0.4948474487107371</v>
      </c>
      <c r="C1522" s="32">
        <f ca="1">Model!$F$15+RAND()*(Model!$G$15-Model!$F$15)</f>
        <v>4.5057399836954108E-2</v>
      </c>
      <c r="D1522" s="33">
        <f ca="1">Model!$F$16+RAND()*(Model!$G$16-Model!$F$16)</f>
        <v>47.213630642882151</v>
      </c>
      <c r="E1522" s="33">
        <f>Model!$D$17</f>
        <v>800</v>
      </c>
      <c r="G1522" s="36">
        <f t="shared" ca="1" si="26"/>
        <v>1571.0917855725934</v>
      </c>
    </row>
    <row r="1523" spans="1:7" x14ac:dyDescent="0.2">
      <c r="A1523" s="6">
        <f ca="1">Model!$F$13+RAND()*(Model!$G$13-Model!$F$13)</f>
        <v>1436.3782529380162</v>
      </c>
      <c r="B1523" s="31">
        <f ca="1">Model!$F$14+RAND()*(Model!$G$14-Model!$F$14)</f>
        <v>0.7987646599050513</v>
      </c>
      <c r="C1523" s="32">
        <f ca="1">Model!$F$15+RAND()*(Model!$G$15-Model!$F$15)</f>
        <v>2.5559911267338916E-2</v>
      </c>
      <c r="D1523" s="33">
        <f ca="1">Model!$F$16+RAND()*(Model!$G$16-Model!$F$16)</f>
        <v>52.045646034502347</v>
      </c>
      <c r="E1523" s="33">
        <f>Model!$D$17</f>
        <v>800</v>
      </c>
      <c r="G1523" s="36">
        <f t="shared" ca="1" si="26"/>
        <v>-36.539915900164942</v>
      </c>
    </row>
    <row r="1524" spans="1:7" x14ac:dyDescent="0.2">
      <c r="A1524" s="6">
        <f ca="1">Model!$F$13+RAND()*(Model!$G$13-Model!$F$13)</f>
        <v>1705.0252330774313</v>
      </c>
      <c r="B1524" s="31">
        <f ca="1">Model!$F$14+RAND()*(Model!$G$14-Model!$F$14)</f>
        <v>0.72704098738384149</v>
      </c>
      <c r="C1524" s="32">
        <f ca="1">Model!$F$15+RAND()*(Model!$G$15-Model!$F$15)</f>
        <v>4.7483841512436148E-2</v>
      </c>
      <c r="D1524" s="33">
        <f ca="1">Model!$F$16+RAND()*(Model!$G$16-Model!$F$16)</f>
        <v>47.481017861987702</v>
      </c>
      <c r="E1524" s="33">
        <f>Model!$D$17</f>
        <v>800</v>
      </c>
      <c r="G1524" s="36">
        <f t="shared" ca="1" si="26"/>
        <v>1804.4944825974271</v>
      </c>
    </row>
    <row r="1525" spans="1:7" x14ac:dyDescent="0.2">
      <c r="A1525" s="6">
        <f ca="1">Model!$F$13+RAND()*(Model!$G$13-Model!$F$13)</f>
        <v>1709.3367075092347</v>
      </c>
      <c r="B1525" s="31">
        <f ca="1">Model!$F$14+RAND()*(Model!$G$14-Model!$F$14)</f>
        <v>0.40836126852786203</v>
      </c>
      <c r="C1525" s="32">
        <f ca="1">Model!$F$15+RAND()*(Model!$G$15-Model!$F$15)</f>
        <v>3.2162609916463109E-2</v>
      </c>
      <c r="D1525" s="33">
        <f ca="1">Model!$F$16+RAND()*(Model!$G$16-Model!$F$16)</f>
        <v>51.795013820624689</v>
      </c>
      <c r="E1525" s="33">
        <f>Model!$D$17</f>
        <v>800</v>
      </c>
      <c r="G1525" s="36">
        <f t="shared" ca="1" si="26"/>
        <v>1349.4935704510056</v>
      </c>
    </row>
    <row r="1526" spans="1:7" x14ac:dyDescent="0.2">
      <c r="A1526" s="6">
        <f ca="1">Model!$F$13+RAND()*(Model!$G$13-Model!$F$13)</f>
        <v>1764.83043980199</v>
      </c>
      <c r="B1526" s="31">
        <f ca="1">Model!$F$14+RAND()*(Model!$G$14-Model!$F$14)</f>
        <v>0.5752947206958603</v>
      </c>
      <c r="C1526" s="32">
        <f ca="1">Model!$F$15+RAND()*(Model!$G$15-Model!$F$15)</f>
        <v>2.8061387840026202E-2</v>
      </c>
      <c r="D1526" s="33">
        <f ca="1">Model!$F$16+RAND()*(Model!$G$16-Model!$F$16)</f>
        <v>49.809997060727255</v>
      </c>
      <c r="E1526" s="33">
        <f>Model!$D$17</f>
        <v>800</v>
      </c>
      <c r="G1526" s="36">
        <f t="shared" ca="1" si="26"/>
        <v>651.47230927940018</v>
      </c>
    </row>
    <row r="1527" spans="1:7" x14ac:dyDescent="0.2">
      <c r="A1527" s="6">
        <f ca="1">Model!$F$13+RAND()*(Model!$G$13-Model!$F$13)</f>
        <v>1532.3662858002078</v>
      </c>
      <c r="B1527" s="31">
        <f ca="1">Model!$F$14+RAND()*(Model!$G$14-Model!$F$14)</f>
        <v>0.53396385040803862</v>
      </c>
      <c r="C1527" s="32">
        <f ca="1">Model!$F$15+RAND()*(Model!$G$15-Model!$F$15)</f>
        <v>2.2083787482683609E-2</v>
      </c>
      <c r="D1527" s="33">
        <f ca="1">Model!$F$16+RAND()*(Model!$G$16-Model!$F$16)</f>
        <v>52.192874772233651</v>
      </c>
      <c r="E1527" s="33">
        <f>Model!$D$17</f>
        <v>800</v>
      </c>
      <c r="G1527" s="36">
        <f t="shared" ca="1" si="26"/>
        <v>148.00224001948663</v>
      </c>
    </row>
    <row r="1528" spans="1:7" x14ac:dyDescent="0.2">
      <c r="A1528" s="6">
        <f ca="1">Model!$F$13+RAND()*(Model!$G$13-Model!$F$13)</f>
        <v>1338.0153262257058</v>
      </c>
      <c r="B1528" s="31">
        <f ca="1">Model!$F$14+RAND()*(Model!$G$14-Model!$F$14)</f>
        <v>0.48194265409627862</v>
      </c>
      <c r="C1528" s="32">
        <f ca="1">Model!$F$15+RAND()*(Model!$G$15-Model!$F$15)</f>
        <v>2.7789273640864053E-2</v>
      </c>
      <c r="D1528" s="33">
        <f ca="1">Model!$F$16+RAND()*(Model!$G$16-Model!$F$16)</f>
        <v>50.620766996917347</v>
      </c>
      <c r="E1528" s="33">
        <f>Model!$D$17</f>
        <v>800</v>
      </c>
      <c r="G1528" s="36">
        <f t="shared" ca="1" si="26"/>
        <v>437.35869701047341</v>
      </c>
    </row>
    <row r="1529" spans="1:7" x14ac:dyDescent="0.2">
      <c r="A1529" s="6">
        <f ca="1">Model!$F$13+RAND()*(Model!$G$13-Model!$F$13)</f>
        <v>1661.9169081512457</v>
      </c>
      <c r="B1529" s="31">
        <f ca="1">Model!$F$14+RAND()*(Model!$G$14-Model!$F$14)</f>
        <v>0.72079000600263998</v>
      </c>
      <c r="C1529" s="32">
        <f ca="1">Model!$F$15+RAND()*(Model!$G$15-Model!$F$15)</f>
        <v>3.5728940787765298E-2</v>
      </c>
      <c r="D1529" s="33">
        <f ca="1">Model!$F$16+RAND()*(Model!$G$16-Model!$F$16)</f>
        <v>52.597882298044233</v>
      </c>
      <c r="E1529" s="33">
        <f>Model!$D$17</f>
        <v>800</v>
      </c>
      <c r="G1529" s="36">
        <f t="shared" ca="1" si="26"/>
        <v>1125.2918761374062</v>
      </c>
    </row>
    <row r="1530" spans="1:7" x14ac:dyDescent="0.2">
      <c r="A1530" s="6">
        <f ca="1">Model!$F$13+RAND()*(Model!$G$13-Model!$F$13)</f>
        <v>1201.1624230848945</v>
      </c>
      <c r="B1530" s="31">
        <f ca="1">Model!$F$14+RAND()*(Model!$G$14-Model!$F$14)</f>
        <v>0.49710877183497842</v>
      </c>
      <c r="C1530" s="32">
        <f ca="1">Model!$F$15+RAND()*(Model!$G$15-Model!$F$15)</f>
        <v>3.5742615528908804E-2</v>
      </c>
      <c r="D1530" s="33">
        <f ca="1">Model!$F$16+RAND()*(Model!$G$16-Model!$F$16)</f>
        <v>47.125694806124791</v>
      </c>
      <c r="E1530" s="33">
        <f>Model!$D$17</f>
        <v>800</v>
      </c>
      <c r="G1530" s="36">
        <f t="shared" ca="1" si="26"/>
        <v>626.12431259061577</v>
      </c>
    </row>
    <row r="1531" spans="1:7" x14ac:dyDescent="0.2">
      <c r="A1531" s="6">
        <f ca="1">Model!$F$13+RAND()*(Model!$G$13-Model!$F$13)</f>
        <v>1473.1007879164843</v>
      </c>
      <c r="B1531" s="31">
        <f ca="1">Model!$F$14+RAND()*(Model!$G$14-Model!$F$14)</f>
        <v>0.34646218746398993</v>
      </c>
      <c r="C1531" s="32">
        <f ca="1">Model!$F$15+RAND()*(Model!$G$15-Model!$F$15)</f>
        <v>3.1623006948162662E-2</v>
      </c>
      <c r="D1531" s="33">
        <f ca="1">Model!$F$16+RAND()*(Model!$G$16-Model!$F$16)</f>
        <v>47.723984546903026</v>
      </c>
      <c r="E1531" s="33">
        <f>Model!$D$17</f>
        <v>800</v>
      </c>
      <c r="G1531" s="36">
        <f t="shared" ca="1" si="26"/>
        <v>912.7944785758084</v>
      </c>
    </row>
    <row r="1532" spans="1:7" x14ac:dyDescent="0.2">
      <c r="A1532" s="6">
        <f ca="1">Model!$F$13+RAND()*(Model!$G$13-Model!$F$13)</f>
        <v>1771.1676519895709</v>
      </c>
      <c r="B1532" s="31">
        <f ca="1">Model!$F$14+RAND()*(Model!$G$14-Model!$F$14)</f>
        <v>0.26656740213583568</v>
      </c>
      <c r="C1532" s="32">
        <f ca="1">Model!$F$15+RAND()*(Model!$G$15-Model!$F$15)</f>
        <v>3.004009022160746E-2</v>
      </c>
      <c r="D1532" s="33">
        <f ca="1">Model!$F$16+RAND()*(Model!$G$16-Model!$F$16)</f>
        <v>51.109818589870933</v>
      </c>
      <c r="E1532" s="33">
        <f>Model!$D$17</f>
        <v>800</v>
      </c>
      <c r="G1532" s="36">
        <f t="shared" ca="1" si="26"/>
        <v>1447.2152913465393</v>
      </c>
    </row>
    <row r="1533" spans="1:7" x14ac:dyDescent="0.2">
      <c r="A1533" s="6">
        <f ca="1">Model!$F$13+RAND()*(Model!$G$13-Model!$F$13)</f>
        <v>1216.2367008250669</v>
      </c>
      <c r="B1533" s="31">
        <f ca="1">Model!$F$14+RAND()*(Model!$G$14-Model!$F$14)</f>
        <v>0.32404170180916653</v>
      </c>
      <c r="C1533" s="32">
        <f ca="1">Model!$F$15+RAND()*(Model!$G$15-Model!$F$15)</f>
        <v>4.5891234583331331E-2</v>
      </c>
      <c r="D1533" s="33">
        <f ca="1">Model!$F$16+RAND()*(Model!$G$16-Model!$F$16)</f>
        <v>52.318699697989537</v>
      </c>
      <c r="E1533" s="33">
        <f>Model!$D$17</f>
        <v>800</v>
      </c>
      <c r="G1533" s="36">
        <f t="shared" ca="1" si="26"/>
        <v>1726.0360818331148</v>
      </c>
    </row>
    <row r="1534" spans="1:7" x14ac:dyDescent="0.2">
      <c r="A1534" s="6">
        <f ca="1">Model!$F$13+RAND()*(Model!$G$13-Model!$F$13)</f>
        <v>1220.2024757505956</v>
      </c>
      <c r="B1534" s="31">
        <f ca="1">Model!$F$14+RAND()*(Model!$G$14-Model!$F$14)</f>
        <v>0.74815603085638971</v>
      </c>
      <c r="C1534" s="32">
        <f ca="1">Model!$F$15+RAND()*(Model!$G$15-Model!$F$15)</f>
        <v>3.0353156517253559E-2</v>
      </c>
      <c r="D1534" s="33">
        <f ca="1">Model!$F$16+RAND()*(Model!$G$16-Model!$F$16)</f>
        <v>47.12763506588557</v>
      </c>
      <c r="E1534" s="33">
        <f>Model!$D$17</f>
        <v>800</v>
      </c>
      <c r="G1534" s="36">
        <f t="shared" ca="1" si="26"/>
        <v>32.564224691340542</v>
      </c>
    </row>
    <row r="1535" spans="1:7" x14ac:dyDescent="0.2">
      <c r="A1535" s="6">
        <f ca="1">Model!$F$13+RAND()*(Model!$G$13-Model!$F$13)</f>
        <v>1525.2471494612325</v>
      </c>
      <c r="B1535" s="31">
        <f ca="1">Model!$F$14+RAND()*(Model!$G$14-Model!$F$14)</f>
        <v>0.77673976870445394</v>
      </c>
      <c r="C1535" s="32">
        <f ca="1">Model!$F$15+RAND()*(Model!$G$15-Model!$F$15)</f>
        <v>3.7655234601849441E-2</v>
      </c>
      <c r="D1535" s="33">
        <f ca="1">Model!$F$16+RAND()*(Model!$G$16-Model!$F$16)</f>
        <v>51.377035916486406</v>
      </c>
      <c r="E1535" s="33">
        <f>Model!$D$17</f>
        <v>800</v>
      </c>
      <c r="G1535" s="36">
        <f t="shared" ca="1" si="26"/>
        <v>966.04489019130642</v>
      </c>
    </row>
    <row r="1536" spans="1:7" x14ac:dyDescent="0.2">
      <c r="A1536" s="6">
        <f ca="1">Model!$F$13+RAND()*(Model!$G$13-Model!$F$13)</f>
        <v>1597.7058854018164</v>
      </c>
      <c r="B1536" s="31">
        <f ca="1">Model!$F$14+RAND()*(Model!$G$14-Model!$F$14)</f>
        <v>0.69751339326696893</v>
      </c>
      <c r="C1536" s="32">
        <f ca="1">Model!$F$15+RAND()*(Model!$G$15-Model!$F$15)</f>
        <v>4.4787724257629821E-2</v>
      </c>
      <c r="D1536" s="33">
        <f ca="1">Model!$F$16+RAND()*(Model!$G$16-Model!$F$16)</f>
        <v>51.152116697361372</v>
      </c>
      <c r="E1536" s="33">
        <f>Model!$D$17</f>
        <v>800</v>
      </c>
      <c r="G1536" s="36">
        <f t="shared" ca="1" si="26"/>
        <v>1745.9019964810375</v>
      </c>
    </row>
    <row r="1537" spans="1:7" x14ac:dyDescent="0.2">
      <c r="A1537" s="6">
        <f ca="1">Model!$F$13+RAND()*(Model!$G$13-Model!$F$13)</f>
        <v>1571.7731165766704</v>
      </c>
      <c r="B1537" s="31">
        <f ca="1">Model!$F$14+RAND()*(Model!$G$14-Model!$F$14)</f>
        <v>0.2335683026112054</v>
      </c>
      <c r="C1537" s="32">
        <f ca="1">Model!$F$15+RAND()*(Model!$G$15-Model!$F$15)</f>
        <v>4.1316266544346128E-2</v>
      </c>
      <c r="D1537" s="33">
        <f ca="1">Model!$F$16+RAND()*(Model!$G$16-Model!$F$16)</f>
        <v>52.497734862938557</v>
      </c>
      <c r="E1537" s="33">
        <f>Model!$D$17</f>
        <v>800</v>
      </c>
      <c r="G1537" s="36">
        <f t="shared" ca="1" si="26"/>
        <v>2242.0758676955088</v>
      </c>
    </row>
    <row r="1538" spans="1:7" x14ac:dyDescent="0.2">
      <c r="A1538" s="6">
        <f ca="1">Model!$F$13+RAND()*(Model!$G$13-Model!$F$13)</f>
        <v>1371.8482705632357</v>
      </c>
      <c r="B1538" s="31">
        <f ca="1">Model!$F$14+RAND()*(Model!$G$14-Model!$F$14)</f>
        <v>0.2568897998612869</v>
      </c>
      <c r="C1538" s="32">
        <f ca="1">Model!$F$15+RAND()*(Model!$G$15-Model!$F$15)</f>
        <v>3.357981506956343E-2</v>
      </c>
      <c r="D1538" s="33">
        <f ca="1">Model!$F$16+RAND()*(Model!$G$16-Model!$F$16)</f>
        <v>52.869148587833791</v>
      </c>
      <c r="E1538" s="33">
        <f>Model!$D$17</f>
        <v>800</v>
      </c>
      <c r="G1538" s="36">
        <f t="shared" ca="1" si="26"/>
        <v>1283.0781125099472</v>
      </c>
    </row>
    <row r="1539" spans="1:7" x14ac:dyDescent="0.2">
      <c r="A1539" s="6">
        <f ca="1">Model!$F$13+RAND()*(Model!$G$13-Model!$F$13)</f>
        <v>1585.9394628549665</v>
      </c>
      <c r="B1539" s="31">
        <f ca="1">Model!$F$14+RAND()*(Model!$G$14-Model!$F$14)</f>
        <v>0.79626627421446683</v>
      </c>
      <c r="C1539" s="32">
        <f ca="1">Model!$F$15+RAND()*(Model!$G$15-Model!$F$15)</f>
        <v>3.3609979357006152E-2</v>
      </c>
      <c r="D1539" s="33">
        <f ca="1">Model!$F$16+RAND()*(Model!$G$16-Model!$F$16)</f>
        <v>48.35050056034946</v>
      </c>
      <c r="E1539" s="33">
        <f>Model!$D$17</f>
        <v>800</v>
      </c>
      <c r="G1539" s="36">
        <f t="shared" ca="1" si="26"/>
        <v>514.41560694522877</v>
      </c>
    </row>
    <row r="1540" spans="1:7" x14ac:dyDescent="0.2">
      <c r="A1540" s="6">
        <f ca="1">Model!$F$13+RAND()*(Model!$G$13-Model!$F$13)</f>
        <v>1419.5929961114159</v>
      </c>
      <c r="B1540" s="31">
        <f ca="1">Model!$F$14+RAND()*(Model!$G$14-Model!$F$14)</f>
        <v>0.70235512461218308</v>
      </c>
      <c r="C1540" s="32">
        <f ca="1">Model!$F$15+RAND()*(Model!$G$15-Model!$F$15)</f>
        <v>3.8924858151858664E-2</v>
      </c>
      <c r="D1540" s="33">
        <f ca="1">Model!$F$16+RAND()*(Model!$G$16-Model!$F$16)</f>
        <v>52.074184656721108</v>
      </c>
      <c r="E1540" s="33">
        <f>Model!$D$17</f>
        <v>800</v>
      </c>
      <c r="G1540" s="36">
        <f t="shared" ca="1" si="26"/>
        <v>1080.4285520872093</v>
      </c>
    </row>
    <row r="1541" spans="1:7" x14ac:dyDescent="0.2">
      <c r="A1541" s="6">
        <f ca="1">Model!$F$13+RAND()*(Model!$G$13-Model!$F$13)</f>
        <v>1348.0840828873515</v>
      </c>
      <c r="B1541" s="31">
        <f ca="1">Model!$F$14+RAND()*(Model!$G$14-Model!$F$14)</f>
        <v>0.40051303544869876</v>
      </c>
      <c r="C1541" s="32">
        <f ca="1">Model!$F$15+RAND()*(Model!$G$15-Model!$F$15)</f>
        <v>2.7148730069501845E-2</v>
      </c>
      <c r="D1541" s="33">
        <f ca="1">Model!$F$16+RAND()*(Model!$G$16-Model!$F$16)</f>
        <v>47.763244843920567</v>
      </c>
      <c r="E1541" s="33">
        <f>Model!$D$17</f>
        <v>800</v>
      </c>
      <c r="G1541" s="36">
        <f t="shared" ca="1" si="26"/>
        <v>408.15080632177251</v>
      </c>
    </row>
    <row r="1542" spans="1:7" x14ac:dyDescent="0.2">
      <c r="A1542" s="6">
        <f ca="1">Model!$F$13+RAND()*(Model!$G$13-Model!$F$13)</f>
        <v>1575.2126809848385</v>
      </c>
      <c r="B1542" s="31">
        <f ca="1">Model!$F$14+RAND()*(Model!$G$14-Model!$F$14)</f>
        <v>0.53201306851859376</v>
      </c>
      <c r="C1542" s="32">
        <f ca="1">Model!$F$15+RAND()*(Model!$G$15-Model!$F$15)</f>
        <v>3.260649893777598E-2</v>
      </c>
      <c r="D1542" s="33">
        <f ca="1">Model!$F$16+RAND()*(Model!$G$16-Model!$F$16)</f>
        <v>50.351655509389978</v>
      </c>
      <c r="E1542" s="33">
        <f>Model!$D$17</f>
        <v>800</v>
      </c>
      <c r="G1542" s="36">
        <f t="shared" ca="1" si="26"/>
        <v>948.13658875401461</v>
      </c>
    </row>
    <row r="1543" spans="1:7" x14ac:dyDescent="0.2">
      <c r="A1543" s="6">
        <f ca="1">Model!$F$13+RAND()*(Model!$G$13-Model!$F$13)</f>
        <v>1337.8443137843024</v>
      </c>
      <c r="B1543" s="31">
        <f ca="1">Model!$F$14+RAND()*(Model!$G$14-Model!$F$14)</f>
        <v>0.4102293535855861</v>
      </c>
      <c r="C1543" s="32">
        <f ca="1">Model!$F$15+RAND()*(Model!$G$15-Model!$F$15)</f>
        <v>1.9616429102509124E-2</v>
      </c>
      <c r="D1543" s="33">
        <f ca="1">Model!$F$16+RAND()*(Model!$G$16-Model!$F$16)</f>
        <v>48.574061586219919</v>
      </c>
      <c r="E1543" s="33">
        <f>Model!$D$17</f>
        <v>800</v>
      </c>
      <c r="G1543" s="36">
        <f t="shared" ca="1" si="26"/>
        <v>-74.058541528220076</v>
      </c>
    </row>
    <row r="1544" spans="1:7" x14ac:dyDescent="0.2">
      <c r="A1544" s="6">
        <f ca="1">Model!$F$13+RAND()*(Model!$G$13-Model!$F$13)</f>
        <v>1249.972123175502</v>
      </c>
      <c r="B1544" s="31">
        <f ca="1">Model!$F$14+RAND()*(Model!$G$14-Model!$F$14)</f>
        <v>0.60789854291694501</v>
      </c>
      <c r="C1544" s="32">
        <f ca="1">Model!$F$15+RAND()*(Model!$G$15-Model!$F$15)</f>
        <v>1.409584312371381E-2</v>
      </c>
      <c r="D1544" s="33">
        <f ca="1">Model!$F$16+RAND()*(Model!$G$16-Model!$F$16)</f>
        <v>52.957160177078435</v>
      </c>
      <c r="E1544" s="33">
        <f>Model!$D$17</f>
        <v>800</v>
      </c>
      <c r="G1544" s="36">
        <f t="shared" ca="1" si="26"/>
        <v>-626.78226407382101</v>
      </c>
    </row>
    <row r="1545" spans="1:7" x14ac:dyDescent="0.2">
      <c r="A1545" s="6">
        <f ca="1">Model!$F$13+RAND()*(Model!$G$13-Model!$F$13)</f>
        <v>1225.0775249123776</v>
      </c>
      <c r="B1545" s="31">
        <f ca="1">Model!$F$14+RAND()*(Model!$G$14-Model!$F$14)</f>
        <v>0.47166958535476139</v>
      </c>
      <c r="C1545" s="32">
        <f ca="1">Model!$F$15+RAND()*(Model!$G$15-Model!$F$15)</f>
        <v>3.8408523266730672E-2</v>
      </c>
      <c r="D1545" s="33">
        <f ca="1">Model!$F$16+RAND()*(Model!$G$16-Model!$F$16)</f>
        <v>49.911579384978239</v>
      </c>
      <c r="E1545" s="33">
        <f>Model!$D$17</f>
        <v>800</v>
      </c>
      <c r="G1545" s="36">
        <f t="shared" ca="1" si="26"/>
        <v>970.67863054125428</v>
      </c>
    </row>
    <row r="1546" spans="1:7" x14ac:dyDescent="0.2">
      <c r="A1546" s="6">
        <f ca="1">Model!$F$13+RAND()*(Model!$G$13-Model!$F$13)</f>
        <v>1547.7528207194812</v>
      </c>
      <c r="B1546" s="31">
        <f ca="1">Model!$F$14+RAND()*(Model!$G$14-Model!$F$14)</f>
        <v>0.69432310102229633</v>
      </c>
      <c r="C1546" s="32">
        <f ca="1">Model!$F$15+RAND()*(Model!$G$15-Model!$F$15)</f>
        <v>2.0620878384516123E-2</v>
      </c>
      <c r="D1546" s="33">
        <f ca="1">Model!$F$16+RAND()*(Model!$G$16-Model!$F$16)</f>
        <v>50.916240622333895</v>
      </c>
      <c r="E1546" s="33">
        <f>Model!$D$17</f>
        <v>800</v>
      </c>
      <c r="G1546" s="36">
        <f t="shared" ca="1" si="26"/>
        <v>-249.59664734289981</v>
      </c>
    </row>
    <row r="1547" spans="1:7" x14ac:dyDescent="0.2">
      <c r="A1547" s="6">
        <f ca="1">Model!$F$13+RAND()*(Model!$G$13-Model!$F$13)</f>
        <v>1797.0860742707137</v>
      </c>
      <c r="B1547" s="31">
        <f ca="1">Model!$F$14+RAND()*(Model!$G$14-Model!$F$14)</f>
        <v>0.25520121709168858</v>
      </c>
      <c r="C1547" s="32">
        <f ca="1">Model!$F$15+RAND()*(Model!$G$15-Model!$F$15)</f>
        <v>1.3332162452416765E-2</v>
      </c>
      <c r="D1547" s="33">
        <f ca="1">Model!$F$16+RAND()*(Model!$G$16-Model!$F$16)</f>
        <v>49.250155199781332</v>
      </c>
      <c r="E1547" s="33">
        <f>Model!$D$17</f>
        <v>800</v>
      </c>
      <c r="G1547" s="36">
        <f t="shared" ca="1" si="26"/>
        <v>-78.63194338881317</v>
      </c>
    </row>
    <row r="1548" spans="1:7" x14ac:dyDescent="0.2">
      <c r="A1548" s="6">
        <f ca="1">Model!$F$13+RAND()*(Model!$G$13-Model!$F$13)</f>
        <v>1741.1767197591789</v>
      </c>
      <c r="B1548" s="31">
        <f ca="1">Model!$F$14+RAND()*(Model!$G$14-Model!$F$14)</f>
        <v>0.38074374140839218</v>
      </c>
      <c r="C1548" s="32">
        <f ca="1">Model!$F$15+RAND()*(Model!$G$15-Model!$F$15)</f>
        <v>1.0684462759939178E-2</v>
      </c>
      <c r="D1548" s="33">
        <f ca="1">Model!$F$16+RAND()*(Model!$G$16-Model!$F$16)</f>
        <v>47.202539343221673</v>
      </c>
      <c r="E1548" s="33">
        <f>Model!$D$17</f>
        <v>800</v>
      </c>
      <c r="G1548" s="36">
        <f t="shared" ca="1" si="26"/>
        <v>-584.80791282770906</v>
      </c>
    </row>
    <row r="1549" spans="1:7" x14ac:dyDescent="0.2">
      <c r="A1549" s="6">
        <f ca="1">Model!$F$13+RAND()*(Model!$G$13-Model!$F$13)</f>
        <v>1517.4707486202833</v>
      </c>
      <c r="B1549" s="31">
        <f ca="1">Model!$F$14+RAND()*(Model!$G$14-Model!$F$14)</f>
        <v>0.21274075621355765</v>
      </c>
      <c r="C1549" s="32">
        <f ca="1">Model!$F$15+RAND()*(Model!$G$15-Model!$F$15)</f>
        <v>1.2118905783066337E-2</v>
      </c>
      <c r="D1549" s="33">
        <f ca="1">Model!$F$16+RAND()*(Model!$G$16-Model!$F$16)</f>
        <v>47.266773681918323</v>
      </c>
      <c r="E1549" s="33">
        <f>Model!$D$17</f>
        <v>800</v>
      </c>
      <c r="G1549" s="36">
        <f t="shared" ca="1" si="26"/>
        <v>-253.58788743774551</v>
      </c>
    </row>
    <row r="1550" spans="1:7" x14ac:dyDescent="0.2">
      <c r="A1550" s="6">
        <f ca="1">Model!$F$13+RAND()*(Model!$G$13-Model!$F$13)</f>
        <v>1728.9957439579466</v>
      </c>
      <c r="B1550" s="31">
        <f ca="1">Model!$F$14+RAND()*(Model!$G$14-Model!$F$14)</f>
        <v>0.27032536804115798</v>
      </c>
      <c r="C1550" s="32">
        <f ca="1">Model!$F$15+RAND()*(Model!$G$15-Model!$F$15)</f>
        <v>4.1316819007141042E-2</v>
      </c>
      <c r="D1550" s="33">
        <f ca="1">Model!$F$16+RAND()*(Model!$G$16-Model!$F$16)</f>
        <v>50.075548666186691</v>
      </c>
      <c r="E1550" s="33">
        <f>Model!$D$17</f>
        <v>800</v>
      </c>
      <c r="G1550" s="36">
        <f t="shared" ca="1" si="26"/>
        <v>2309.8357401998728</v>
      </c>
    </row>
    <row r="1551" spans="1:7" x14ac:dyDescent="0.2">
      <c r="A1551" s="6">
        <f ca="1">Model!$F$13+RAND()*(Model!$G$13-Model!$F$13)</f>
        <v>1471.7464959112426</v>
      </c>
      <c r="B1551" s="31">
        <f ca="1">Model!$F$14+RAND()*(Model!$G$14-Model!$F$14)</f>
        <v>0.48423035410326615</v>
      </c>
      <c r="C1551" s="32">
        <f ca="1">Model!$F$15+RAND()*(Model!$G$15-Model!$F$15)</f>
        <v>3.9170331041539538E-2</v>
      </c>
      <c r="D1551" s="33">
        <f ca="1">Model!$F$16+RAND()*(Model!$G$16-Model!$F$16)</f>
        <v>49.501763010639216</v>
      </c>
      <c r="E1551" s="33">
        <f>Model!$D$17</f>
        <v>800</v>
      </c>
      <c r="G1551" s="36">
        <f t="shared" ca="1" si="26"/>
        <v>1341.0527825543322</v>
      </c>
    </row>
    <row r="1552" spans="1:7" x14ac:dyDescent="0.2">
      <c r="A1552" s="6">
        <f ca="1">Model!$F$13+RAND()*(Model!$G$13-Model!$F$13)</f>
        <v>1572.9503594491428</v>
      </c>
      <c r="B1552" s="31">
        <f ca="1">Model!$F$14+RAND()*(Model!$G$14-Model!$F$14)</f>
        <v>0.67326731132043616</v>
      </c>
      <c r="C1552" s="32">
        <f ca="1">Model!$F$15+RAND()*(Model!$G$15-Model!$F$15)</f>
        <v>2.7871719519635275E-2</v>
      </c>
      <c r="D1552" s="33">
        <f ca="1">Model!$F$16+RAND()*(Model!$G$16-Model!$F$16)</f>
        <v>52.582735111699471</v>
      </c>
      <c r="E1552" s="33">
        <f>Model!$D$17</f>
        <v>800</v>
      </c>
      <c r="G1552" s="36">
        <f t="shared" ca="1" si="26"/>
        <v>446.25475665853241</v>
      </c>
    </row>
    <row r="1553" spans="1:7" x14ac:dyDescent="0.2">
      <c r="A1553" s="6">
        <f ca="1">Model!$F$13+RAND()*(Model!$G$13-Model!$F$13)</f>
        <v>1772.5359679475405</v>
      </c>
      <c r="B1553" s="31">
        <f ca="1">Model!$F$14+RAND()*(Model!$G$14-Model!$F$14)</f>
        <v>0.70920420679995444</v>
      </c>
      <c r="C1553" s="32">
        <f ca="1">Model!$F$15+RAND()*(Model!$G$15-Model!$F$15)</f>
        <v>1.5264298976920724E-2</v>
      </c>
      <c r="D1553" s="33">
        <f ca="1">Model!$F$16+RAND()*(Model!$G$16-Model!$F$16)</f>
        <v>47.013819586216854</v>
      </c>
      <c r="E1553" s="33">
        <f>Model!$D$17</f>
        <v>800</v>
      </c>
      <c r="G1553" s="36">
        <f t="shared" ca="1" si="26"/>
        <v>-785.0596640575493</v>
      </c>
    </row>
    <row r="1554" spans="1:7" x14ac:dyDescent="0.2">
      <c r="A1554" s="6">
        <f ca="1">Model!$F$13+RAND()*(Model!$G$13-Model!$F$13)</f>
        <v>1666.2570968811806</v>
      </c>
      <c r="B1554" s="31">
        <f ca="1">Model!$F$14+RAND()*(Model!$G$14-Model!$F$14)</f>
        <v>0.34164823521362109</v>
      </c>
      <c r="C1554" s="32">
        <f ca="1">Model!$F$15+RAND()*(Model!$G$15-Model!$F$15)</f>
        <v>4.8742184858451373E-2</v>
      </c>
      <c r="D1554" s="33">
        <f ca="1">Model!$F$16+RAND()*(Model!$G$16-Model!$F$16)</f>
        <v>49.492672965370396</v>
      </c>
      <c r="E1554" s="33">
        <f>Model!$D$17</f>
        <v>800</v>
      </c>
      <c r="G1554" s="36">
        <f t="shared" ca="1" si="26"/>
        <v>2650.3731897585617</v>
      </c>
    </row>
    <row r="1555" spans="1:7" x14ac:dyDescent="0.2">
      <c r="A1555" s="6">
        <f ca="1">Model!$F$13+RAND()*(Model!$G$13-Model!$F$13)</f>
        <v>1507.6160029691123</v>
      </c>
      <c r="B1555" s="31">
        <f ca="1">Model!$F$14+RAND()*(Model!$G$14-Model!$F$14)</f>
        <v>0.57065957987732197</v>
      </c>
      <c r="C1555" s="32">
        <f ca="1">Model!$F$15+RAND()*(Model!$G$15-Model!$F$15)</f>
        <v>2.6878919049942836E-2</v>
      </c>
      <c r="D1555" s="33">
        <f ca="1">Model!$F$16+RAND()*(Model!$G$16-Model!$F$16)</f>
        <v>51.475895264981141</v>
      </c>
      <c r="E1555" s="33">
        <f>Model!$D$17</f>
        <v>800</v>
      </c>
      <c r="G1555" s="36">
        <f t="shared" ca="1" si="26"/>
        <v>425.62674468239265</v>
      </c>
    </row>
    <row r="1556" spans="1:7" x14ac:dyDescent="0.2">
      <c r="A1556" s="6">
        <f ca="1">Model!$F$13+RAND()*(Model!$G$13-Model!$F$13)</f>
        <v>1795.4537899547781</v>
      </c>
      <c r="B1556" s="31">
        <f ca="1">Model!$F$14+RAND()*(Model!$G$14-Model!$F$14)</f>
        <v>0.5028589691208768</v>
      </c>
      <c r="C1556" s="32">
        <f ca="1">Model!$F$15+RAND()*(Model!$G$15-Model!$F$15)</f>
        <v>1.397538468064528E-2</v>
      </c>
      <c r="D1556" s="33">
        <f ca="1">Model!$F$16+RAND()*(Model!$G$16-Model!$F$16)</f>
        <v>49.463716412423295</v>
      </c>
      <c r="E1556" s="33">
        <f>Model!$D$17</f>
        <v>800</v>
      </c>
      <c r="G1556" s="36">
        <f t="shared" ca="1" si="26"/>
        <v>-461.70868455945811</v>
      </c>
    </row>
    <row r="1557" spans="1:7" x14ac:dyDescent="0.2">
      <c r="A1557" s="6">
        <f ca="1">Model!$F$13+RAND()*(Model!$G$13-Model!$F$13)</f>
        <v>1218.744387423397</v>
      </c>
      <c r="B1557" s="31">
        <f ca="1">Model!$F$14+RAND()*(Model!$G$14-Model!$F$14)</f>
        <v>0.72384668627122162</v>
      </c>
      <c r="C1557" s="32">
        <f ca="1">Model!$F$15+RAND()*(Model!$G$15-Model!$F$15)</f>
        <v>2.1204937240569925E-2</v>
      </c>
      <c r="D1557" s="33">
        <f ca="1">Model!$F$16+RAND()*(Model!$G$16-Model!$F$16)</f>
        <v>51.695957069983528</v>
      </c>
      <c r="E1557" s="33">
        <f>Model!$D$17</f>
        <v>800</v>
      </c>
      <c r="G1557" s="36">
        <f t="shared" ca="1" si="26"/>
        <v>-346.18487989714322</v>
      </c>
    </row>
    <row r="1558" spans="1:7" x14ac:dyDescent="0.2">
      <c r="A1558" s="6">
        <f ca="1">Model!$F$13+RAND()*(Model!$G$13-Model!$F$13)</f>
        <v>1537.462261703186</v>
      </c>
      <c r="B1558" s="31">
        <f ca="1">Model!$F$14+RAND()*(Model!$G$14-Model!$F$14)</f>
        <v>0.34598362247427489</v>
      </c>
      <c r="C1558" s="32">
        <f ca="1">Model!$F$15+RAND()*(Model!$G$15-Model!$F$15)</f>
        <v>2.1528496178909999E-2</v>
      </c>
      <c r="D1558" s="33">
        <f ca="1">Model!$F$16+RAND()*(Model!$G$16-Model!$F$16)</f>
        <v>52.820619645746312</v>
      </c>
      <c r="E1558" s="33">
        <f>Model!$D$17</f>
        <v>800</v>
      </c>
      <c r="G1558" s="36">
        <f t="shared" ca="1" si="26"/>
        <v>416.38615460509391</v>
      </c>
    </row>
    <row r="1559" spans="1:7" x14ac:dyDescent="0.2">
      <c r="A1559" s="6">
        <f ca="1">Model!$F$13+RAND()*(Model!$G$13-Model!$F$13)</f>
        <v>1466.2000989387423</v>
      </c>
      <c r="B1559" s="31">
        <f ca="1">Model!$F$14+RAND()*(Model!$G$14-Model!$F$14)</f>
        <v>0.40017158745470938</v>
      </c>
      <c r="C1559" s="32">
        <f ca="1">Model!$F$15+RAND()*(Model!$G$15-Model!$F$15)</f>
        <v>2.9973894563145149E-2</v>
      </c>
      <c r="D1559" s="33">
        <f ca="1">Model!$F$16+RAND()*(Model!$G$16-Model!$F$16)</f>
        <v>51.047670824269716</v>
      </c>
      <c r="E1559" s="33">
        <f>Model!$D$17</f>
        <v>800</v>
      </c>
      <c r="G1559" s="36">
        <f t="shared" ca="1" si="26"/>
        <v>856.69748913780495</v>
      </c>
    </row>
    <row r="1560" spans="1:7" x14ac:dyDescent="0.2">
      <c r="A1560" s="6">
        <f ca="1">Model!$F$13+RAND()*(Model!$G$13-Model!$F$13)</f>
        <v>1737.1509967676052</v>
      </c>
      <c r="B1560" s="31">
        <f ca="1">Model!$F$14+RAND()*(Model!$G$14-Model!$F$14)</f>
        <v>0.54277420559436695</v>
      </c>
      <c r="C1560" s="32">
        <f ca="1">Model!$F$15+RAND()*(Model!$G$15-Model!$F$15)</f>
        <v>2.9258099412333899E-2</v>
      </c>
      <c r="D1560" s="33">
        <f ca="1">Model!$F$16+RAND()*(Model!$G$16-Model!$F$16)</f>
        <v>48.983596176685822</v>
      </c>
      <c r="E1560" s="33">
        <f>Model!$D$17</f>
        <v>800</v>
      </c>
      <c r="G1560" s="36">
        <f t="shared" ca="1" si="26"/>
        <v>746.74660265511011</v>
      </c>
    </row>
    <row r="1561" spans="1:7" x14ac:dyDescent="0.2">
      <c r="A1561" s="6">
        <f ca="1">Model!$F$13+RAND()*(Model!$G$13-Model!$F$13)</f>
        <v>1272.4313069658449</v>
      </c>
      <c r="B1561" s="31">
        <f ca="1">Model!$F$14+RAND()*(Model!$G$14-Model!$F$14)</f>
        <v>0.36443629500969221</v>
      </c>
      <c r="C1561" s="32">
        <f ca="1">Model!$F$15+RAND()*(Model!$G$15-Model!$F$15)</f>
        <v>2.8026038581312439E-2</v>
      </c>
      <c r="D1561" s="33">
        <f ca="1">Model!$F$16+RAND()*(Model!$G$16-Model!$F$16)</f>
        <v>49.367903519137784</v>
      </c>
      <c r="E1561" s="33">
        <f>Model!$D$17</f>
        <v>800</v>
      </c>
      <c r="G1561" s="36">
        <f t="shared" ca="1" si="26"/>
        <v>496.79896924008222</v>
      </c>
    </row>
    <row r="1562" spans="1:7" x14ac:dyDescent="0.2">
      <c r="A1562" s="6">
        <f ca="1">Model!$F$13+RAND()*(Model!$G$13-Model!$F$13)</f>
        <v>1349.6506306937295</v>
      </c>
      <c r="B1562" s="31">
        <f ca="1">Model!$F$14+RAND()*(Model!$G$14-Model!$F$14)</f>
        <v>0.60007375670589647</v>
      </c>
      <c r="C1562" s="32">
        <f ca="1">Model!$F$15+RAND()*(Model!$G$15-Model!$F$15)</f>
        <v>4.4259816310869615E-2</v>
      </c>
      <c r="D1562" s="33">
        <f ca="1">Model!$F$16+RAND()*(Model!$G$16-Model!$F$16)</f>
        <v>52.030172070645492</v>
      </c>
      <c r="E1562" s="33">
        <f>Model!$D$17</f>
        <v>800</v>
      </c>
      <c r="G1562" s="36">
        <f t="shared" ca="1" si="26"/>
        <v>1498.1474410732153</v>
      </c>
    </row>
    <row r="1563" spans="1:7" x14ac:dyDescent="0.2">
      <c r="A1563" s="6">
        <f ca="1">Model!$F$13+RAND()*(Model!$G$13-Model!$F$13)</f>
        <v>1606.6592800010512</v>
      </c>
      <c r="B1563" s="31">
        <f ca="1">Model!$F$14+RAND()*(Model!$G$14-Model!$F$14)</f>
        <v>0.65801175175385063</v>
      </c>
      <c r="C1563" s="32">
        <f ca="1">Model!$F$15+RAND()*(Model!$G$15-Model!$F$15)</f>
        <v>4.7790656918494254E-2</v>
      </c>
      <c r="D1563" s="33">
        <f ca="1">Model!$F$16+RAND()*(Model!$G$16-Model!$F$16)</f>
        <v>49.079627052852906</v>
      </c>
      <c r="E1563" s="33">
        <f>Model!$D$17</f>
        <v>800</v>
      </c>
      <c r="G1563" s="36">
        <f t="shared" ca="1" si="26"/>
        <v>1911.2951601129923</v>
      </c>
    </row>
    <row r="1564" spans="1:7" x14ac:dyDescent="0.2">
      <c r="A1564" s="6">
        <f ca="1">Model!$F$13+RAND()*(Model!$G$13-Model!$F$13)</f>
        <v>1273.3559084917608</v>
      </c>
      <c r="B1564" s="31">
        <f ca="1">Model!$F$14+RAND()*(Model!$G$14-Model!$F$14)</f>
        <v>0.42632298870125152</v>
      </c>
      <c r="C1564" s="32">
        <f ca="1">Model!$F$15+RAND()*(Model!$G$15-Model!$F$15)</f>
        <v>2.6751612850632829E-2</v>
      </c>
      <c r="D1564" s="33">
        <f ca="1">Model!$F$16+RAND()*(Model!$G$16-Model!$F$16)</f>
        <v>49.858093574543183</v>
      </c>
      <c r="E1564" s="33">
        <f>Model!$D$17</f>
        <v>800</v>
      </c>
      <c r="G1564" s="36">
        <f t="shared" ca="1" si="26"/>
        <v>355.52137116837525</v>
      </c>
    </row>
    <row r="1565" spans="1:7" x14ac:dyDescent="0.2">
      <c r="A1565" s="6">
        <f ca="1">Model!$F$13+RAND()*(Model!$G$13-Model!$F$13)</f>
        <v>1785.3343724310255</v>
      </c>
      <c r="B1565" s="31">
        <f ca="1">Model!$F$14+RAND()*(Model!$G$14-Model!$F$14)</f>
        <v>0.51970094344909423</v>
      </c>
      <c r="C1565" s="32">
        <f ca="1">Model!$F$15+RAND()*(Model!$G$15-Model!$F$15)</f>
        <v>1.875890957209839E-2</v>
      </c>
      <c r="D1565" s="33">
        <f ca="1">Model!$F$16+RAND()*(Model!$G$16-Model!$F$16)</f>
        <v>50.458103207424244</v>
      </c>
      <c r="E1565" s="33">
        <f>Model!$D$17</f>
        <v>800</v>
      </c>
      <c r="G1565" s="36">
        <f t="shared" ca="1" si="26"/>
        <v>-37.951354662491667</v>
      </c>
    </row>
    <row r="1566" spans="1:7" x14ac:dyDescent="0.2">
      <c r="A1566" s="6">
        <f ca="1">Model!$F$13+RAND()*(Model!$G$13-Model!$F$13)</f>
        <v>1566.0012263932331</v>
      </c>
      <c r="B1566" s="31">
        <f ca="1">Model!$F$14+RAND()*(Model!$G$14-Model!$F$14)</f>
        <v>0.6193825859070059</v>
      </c>
      <c r="C1566" s="32">
        <f ca="1">Model!$F$15+RAND()*(Model!$G$15-Model!$F$15)</f>
        <v>4.6766082771427207E-2</v>
      </c>
      <c r="D1566" s="33">
        <f ca="1">Model!$F$16+RAND()*(Model!$G$16-Model!$F$16)</f>
        <v>48.761115567401937</v>
      </c>
      <c r="E1566" s="33">
        <f>Model!$D$17</f>
        <v>800</v>
      </c>
      <c r="G1566" s="36">
        <f t="shared" ca="1" si="26"/>
        <v>1801.1026376663158</v>
      </c>
    </row>
    <row r="1567" spans="1:7" x14ac:dyDescent="0.2">
      <c r="A1567" s="6">
        <f ca="1">Model!$F$13+RAND()*(Model!$G$13-Model!$F$13)</f>
        <v>1728.5271360258175</v>
      </c>
      <c r="B1567" s="31">
        <f ca="1">Model!$F$14+RAND()*(Model!$G$14-Model!$F$14)</f>
        <v>0.74472167535058209</v>
      </c>
      <c r="C1567" s="32">
        <f ca="1">Model!$F$15+RAND()*(Model!$G$15-Model!$F$15)</f>
        <v>1.69219642387477E-2</v>
      </c>
      <c r="D1567" s="33">
        <f ca="1">Model!$F$16+RAND()*(Model!$G$16-Model!$F$16)</f>
        <v>52.546950771528692</v>
      </c>
      <c r="E1567" s="33">
        <f>Model!$D$17</f>
        <v>800</v>
      </c>
      <c r="G1567" s="36">
        <f t="shared" ca="1" si="26"/>
        <v>-550.26940604007814</v>
      </c>
    </row>
    <row r="1568" spans="1:7" x14ac:dyDescent="0.2">
      <c r="A1568" s="6">
        <f ca="1">Model!$F$13+RAND()*(Model!$G$13-Model!$F$13)</f>
        <v>1712.5111512127291</v>
      </c>
      <c r="B1568" s="31">
        <f ca="1">Model!$F$14+RAND()*(Model!$G$14-Model!$F$14)</f>
        <v>0.47805781840440909</v>
      </c>
      <c r="C1568" s="32">
        <f ca="1">Model!$F$15+RAND()*(Model!$G$15-Model!$F$15)</f>
        <v>2.3334822033498206E-2</v>
      </c>
      <c r="D1568" s="33">
        <f ca="1">Model!$F$16+RAND()*(Model!$G$16-Model!$F$16)</f>
        <v>47.900218811814682</v>
      </c>
      <c r="E1568" s="33">
        <f>Model!$D$17</f>
        <v>800</v>
      </c>
      <c r="G1568" s="36">
        <f t="shared" ca="1" si="26"/>
        <v>295.46814604247902</v>
      </c>
    </row>
    <row r="1569" spans="1:7" x14ac:dyDescent="0.2">
      <c r="A1569" s="6">
        <f ca="1">Model!$F$13+RAND()*(Model!$G$13-Model!$F$13)</f>
        <v>1608.4623323406372</v>
      </c>
      <c r="B1569" s="31">
        <f ca="1">Model!$F$14+RAND()*(Model!$G$14-Model!$F$14)</f>
        <v>0.31700831556212489</v>
      </c>
      <c r="C1569" s="32">
        <f ca="1">Model!$F$15+RAND()*(Model!$G$15-Model!$F$15)</f>
        <v>2.3990526495591642E-2</v>
      </c>
      <c r="D1569" s="33">
        <f ca="1">Model!$F$16+RAND()*(Model!$G$16-Model!$F$16)</f>
        <v>50.383333432242182</v>
      </c>
      <c r="E1569" s="33">
        <f>Model!$D$17</f>
        <v>800</v>
      </c>
      <c r="G1569" s="36">
        <f t="shared" ca="1" si="26"/>
        <v>634.2889915656599</v>
      </c>
    </row>
    <row r="1570" spans="1:7" x14ac:dyDescent="0.2">
      <c r="A1570" s="6">
        <f ca="1">Model!$F$13+RAND()*(Model!$G$13-Model!$F$13)</f>
        <v>1632.623180520317</v>
      </c>
      <c r="B1570" s="31">
        <f ca="1">Model!$F$14+RAND()*(Model!$G$14-Model!$F$14)</f>
        <v>0.37206874457962391</v>
      </c>
      <c r="C1570" s="32">
        <f ca="1">Model!$F$15+RAND()*(Model!$G$15-Model!$F$15)</f>
        <v>3.1767781066146229E-2</v>
      </c>
      <c r="D1570" s="33">
        <f ca="1">Model!$F$16+RAND()*(Model!$G$16-Model!$F$16)</f>
        <v>52.520650499297119</v>
      </c>
      <c r="E1570" s="33">
        <f>Model!$D$17</f>
        <v>800</v>
      </c>
      <c r="G1570" s="36">
        <f t="shared" ca="1" si="26"/>
        <v>1316.5258047136072</v>
      </c>
    </row>
    <row r="1571" spans="1:7" x14ac:dyDescent="0.2">
      <c r="A1571" s="6">
        <f ca="1">Model!$F$13+RAND()*(Model!$G$13-Model!$F$13)</f>
        <v>1287.6275982348457</v>
      </c>
      <c r="B1571" s="31">
        <f ca="1">Model!$F$14+RAND()*(Model!$G$14-Model!$F$14)</f>
        <v>0.70318635206852065</v>
      </c>
      <c r="C1571" s="32">
        <f ca="1">Model!$F$15+RAND()*(Model!$G$15-Model!$F$15)</f>
        <v>2.8622720387757108E-2</v>
      </c>
      <c r="D1571" s="33">
        <f ca="1">Model!$F$16+RAND()*(Model!$G$16-Model!$F$16)</f>
        <v>48.311450566247743</v>
      </c>
      <c r="E1571" s="33">
        <f>Model!$D$17</f>
        <v>800</v>
      </c>
      <c r="G1571" s="36">
        <f t="shared" ca="1" si="26"/>
        <v>75.095909016124551</v>
      </c>
    </row>
    <row r="1572" spans="1:7" x14ac:dyDescent="0.2">
      <c r="A1572" s="6">
        <f ca="1">Model!$F$13+RAND()*(Model!$G$13-Model!$F$13)</f>
        <v>1292.7785358138715</v>
      </c>
      <c r="B1572" s="31">
        <f ca="1">Model!$F$14+RAND()*(Model!$G$14-Model!$F$14)</f>
        <v>0.67449491030186315</v>
      </c>
      <c r="C1572" s="32">
        <f ca="1">Model!$F$15+RAND()*(Model!$G$15-Model!$F$15)</f>
        <v>2.5897088170166976E-2</v>
      </c>
      <c r="D1572" s="33">
        <f ca="1">Model!$F$16+RAND()*(Model!$G$16-Model!$F$16)</f>
        <v>51.115601958161918</v>
      </c>
      <c r="E1572" s="33">
        <f>Model!$D$17</f>
        <v>800</v>
      </c>
      <c r="G1572" s="36">
        <f t="shared" ca="1" si="26"/>
        <v>39.336904542153434</v>
      </c>
    </row>
    <row r="1573" spans="1:7" x14ac:dyDescent="0.2">
      <c r="A1573" s="6">
        <f ca="1">Model!$F$13+RAND()*(Model!$G$13-Model!$F$13)</f>
        <v>1286.8267527694316</v>
      </c>
      <c r="B1573" s="31">
        <f ca="1">Model!$F$14+RAND()*(Model!$G$14-Model!$F$14)</f>
        <v>0.62190920050627563</v>
      </c>
      <c r="C1573" s="32">
        <f ca="1">Model!$F$15+RAND()*(Model!$G$15-Model!$F$15)</f>
        <v>3.3996765975902725E-2</v>
      </c>
      <c r="D1573" s="33">
        <f ca="1">Model!$F$16+RAND()*(Model!$G$16-Model!$F$16)</f>
        <v>49.442940515595097</v>
      </c>
      <c r="E1573" s="33">
        <f>Model!$D$17</f>
        <v>800</v>
      </c>
      <c r="G1573" s="36">
        <f t="shared" ca="1" si="26"/>
        <v>562.73779192933898</v>
      </c>
    </row>
    <row r="1574" spans="1:7" x14ac:dyDescent="0.2">
      <c r="A1574" s="6">
        <f ca="1">Model!$F$13+RAND()*(Model!$G$13-Model!$F$13)</f>
        <v>1228.3523883737778</v>
      </c>
      <c r="B1574" s="31">
        <f ca="1">Model!$F$14+RAND()*(Model!$G$14-Model!$F$14)</f>
        <v>0.27466865094080506</v>
      </c>
      <c r="C1574" s="32">
        <f ca="1">Model!$F$15+RAND()*(Model!$G$15-Model!$F$15)</f>
        <v>3.1248303601652642E-2</v>
      </c>
      <c r="D1574" s="33">
        <f ca="1">Model!$F$16+RAND()*(Model!$G$16-Model!$F$16)</f>
        <v>52.11326792357039</v>
      </c>
      <c r="E1574" s="33">
        <f>Model!$D$17</f>
        <v>800</v>
      </c>
      <c r="G1574" s="36">
        <f t="shared" ca="1" si="26"/>
        <v>862.92204927885018</v>
      </c>
    </row>
    <row r="1575" spans="1:7" x14ac:dyDescent="0.2">
      <c r="A1575" s="6">
        <f ca="1">Model!$F$13+RAND()*(Model!$G$13-Model!$F$13)</f>
        <v>1415.3086132888591</v>
      </c>
      <c r="B1575" s="31">
        <f ca="1">Model!$F$14+RAND()*(Model!$G$14-Model!$F$14)</f>
        <v>0.68549028436629533</v>
      </c>
      <c r="C1575" s="32">
        <f ca="1">Model!$F$15+RAND()*(Model!$G$15-Model!$F$15)</f>
        <v>2.7653273036714873E-2</v>
      </c>
      <c r="D1575" s="33">
        <f ca="1">Model!$F$16+RAND()*(Model!$G$16-Model!$F$16)</f>
        <v>50.058611756942874</v>
      </c>
      <c r="E1575" s="33">
        <f>Model!$D$17</f>
        <v>800</v>
      </c>
      <c r="G1575" s="36">
        <f t="shared" ca="1" si="26"/>
        <v>189.00941392649543</v>
      </c>
    </row>
    <row r="1576" spans="1:7" x14ac:dyDescent="0.2">
      <c r="A1576" s="6">
        <f ca="1">Model!$F$13+RAND()*(Model!$G$13-Model!$F$13)</f>
        <v>1500.4551671333181</v>
      </c>
      <c r="B1576" s="31">
        <f ca="1">Model!$F$14+RAND()*(Model!$G$14-Model!$F$14)</f>
        <v>0.35546253131422645</v>
      </c>
      <c r="C1576" s="32">
        <f ca="1">Model!$F$15+RAND()*(Model!$G$15-Model!$F$15)</f>
        <v>4.2270636229665745E-2</v>
      </c>
      <c r="D1576" s="33">
        <f ca="1">Model!$F$16+RAND()*(Model!$G$16-Model!$F$16)</f>
        <v>47.09062302380125</v>
      </c>
      <c r="E1576" s="33">
        <f>Model!$D$17</f>
        <v>800</v>
      </c>
      <c r="G1576" s="36">
        <f t="shared" ca="1" si="26"/>
        <v>1653.3763348767723</v>
      </c>
    </row>
    <row r="1577" spans="1:7" x14ac:dyDescent="0.2">
      <c r="A1577" s="6">
        <f ca="1">Model!$F$13+RAND()*(Model!$G$13-Model!$F$13)</f>
        <v>1401.6666504531122</v>
      </c>
      <c r="B1577" s="31">
        <f ca="1">Model!$F$14+RAND()*(Model!$G$14-Model!$F$14)</f>
        <v>0.46389590095091848</v>
      </c>
      <c r="C1577" s="32">
        <f ca="1">Model!$F$15+RAND()*(Model!$G$15-Model!$F$15)</f>
        <v>2.1303552256424919E-2</v>
      </c>
      <c r="D1577" s="33">
        <f ca="1">Model!$F$16+RAND()*(Model!$G$16-Model!$F$16)</f>
        <v>49.643133526345466</v>
      </c>
      <c r="E1577" s="33">
        <f>Model!$D$17</f>
        <v>800</v>
      </c>
      <c r="G1577" s="36">
        <f t="shared" ref="G1577:G1640" ca="1" si="27">A1577*C1577*D1577-(E1577+A1577*B1577)</f>
        <v>32.140319308550716</v>
      </c>
    </row>
    <row r="1578" spans="1:7" x14ac:dyDescent="0.2">
      <c r="A1578" s="6">
        <f ca="1">Model!$F$13+RAND()*(Model!$G$13-Model!$F$13)</f>
        <v>1303.1576354373497</v>
      </c>
      <c r="B1578" s="31">
        <f ca="1">Model!$F$14+RAND()*(Model!$G$14-Model!$F$14)</f>
        <v>0.64097309328812613</v>
      </c>
      <c r="C1578" s="32">
        <f ca="1">Model!$F$15+RAND()*(Model!$G$15-Model!$F$15)</f>
        <v>4.1664373617100341E-2</v>
      </c>
      <c r="D1578" s="33">
        <f ca="1">Model!$F$16+RAND()*(Model!$G$16-Model!$F$16)</f>
        <v>51.575743859321335</v>
      </c>
      <c r="E1578" s="33">
        <f>Model!$D$17</f>
        <v>800</v>
      </c>
      <c r="G1578" s="36">
        <f t="shared" ca="1" si="27"/>
        <v>1165.0287510415328</v>
      </c>
    </row>
    <row r="1579" spans="1:7" x14ac:dyDescent="0.2">
      <c r="A1579" s="6">
        <f ca="1">Model!$F$13+RAND()*(Model!$G$13-Model!$F$13)</f>
        <v>1481.7965125165606</v>
      </c>
      <c r="B1579" s="31">
        <f ca="1">Model!$F$14+RAND()*(Model!$G$14-Model!$F$14)</f>
        <v>0.5732056390167426</v>
      </c>
      <c r="C1579" s="32">
        <f ca="1">Model!$F$15+RAND()*(Model!$G$15-Model!$F$15)</f>
        <v>4.5061927955273182E-2</v>
      </c>
      <c r="D1579" s="33">
        <f ca="1">Model!$F$16+RAND()*(Model!$G$16-Model!$F$16)</f>
        <v>51.786309712100163</v>
      </c>
      <c r="E1579" s="33">
        <f>Model!$D$17</f>
        <v>800</v>
      </c>
      <c r="G1579" s="36">
        <f t="shared" ca="1" si="27"/>
        <v>1808.5328253413745</v>
      </c>
    </row>
    <row r="1580" spans="1:7" x14ac:dyDescent="0.2">
      <c r="A1580" s="6">
        <f ca="1">Model!$F$13+RAND()*(Model!$G$13-Model!$F$13)</f>
        <v>1255.8659372421596</v>
      </c>
      <c r="B1580" s="31">
        <f ca="1">Model!$F$14+RAND()*(Model!$G$14-Model!$F$14)</f>
        <v>0.69068878203745587</v>
      </c>
      <c r="C1580" s="32">
        <f ca="1">Model!$F$15+RAND()*(Model!$G$15-Model!$F$15)</f>
        <v>3.7194365643236735E-2</v>
      </c>
      <c r="D1580" s="33">
        <f ca="1">Model!$F$16+RAND()*(Model!$G$16-Model!$F$16)</f>
        <v>47.483545910637481</v>
      </c>
      <c r="E1580" s="33">
        <f>Model!$D$17</f>
        <v>800</v>
      </c>
      <c r="G1580" s="36">
        <f t="shared" ca="1" si="27"/>
        <v>550.59789744549926</v>
      </c>
    </row>
    <row r="1581" spans="1:7" x14ac:dyDescent="0.2">
      <c r="A1581" s="6">
        <f ca="1">Model!$F$13+RAND()*(Model!$G$13-Model!$F$13)</f>
        <v>1367.496174781948</v>
      </c>
      <c r="B1581" s="31">
        <f ca="1">Model!$F$14+RAND()*(Model!$G$14-Model!$F$14)</f>
        <v>0.54127315984210589</v>
      </c>
      <c r="C1581" s="32">
        <f ca="1">Model!$F$15+RAND()*(Model!$G$15-Model!$F$15)</f>
        <v>3.1253881782013153E-2</v>
      </c>
      <c r="D1581" s="33">
        <f ca="1">Model!$F$16+RAND()*(Model!$G$16-Model!$F$16)</f>
        <v>52.208458791149766</v>
      </c>
      <c r="E1581" s="33">
        <f>Model!$D$17</f>
        <v>800</v>
      </c>
      <c r="G1581" s="36">
        <f t="shared" ca="1" si="27"/>
        <v>691.17777897195151</v>
      </c>
    </row>
    <row r="1582" spans="1:7" x14ac:dyDescent="0.2">
      <c r="A1582" s="6">
        <f ca="1">Model!$F$13+RAND()*(Model!$G$13-Model!$F$13)</f>
        <v>1515.2956074295946</v>
      </c>
      <c r="B1582" s="31">
        <f ca="1">Model!$F$14+RAND()*(Model!$G$14-Model!$F$14)</f>
        <v>0.50507438194650511</v>
      </c>
      <c r="C1582" s="32">
        <f ca="1">Model!$F$15+RAND()*(Model!$G$15-Model!$F$15)</f>
        <v>2.758958851133049E-2</v>
      </c>
      <c r="D1582" s="33">
        <f ca="1">Model!$F$16+RAND()*(Model!$G$16-Model!$F$16)</f>
        <v>49.406521038037582</v>
      </c>
      <c r="E1582" s="33">
        <f>Model!$D$17</f>
        <v>800</v>
      </c>
      <c r="G1582" s="36">
        <f t="shared" ca="1" si="27"/>
        <v>500.17091335156783</v>
      </c>
    </row>
    <row r="1583" spans="1:7" x14ac:dyDescent="0.2">
      <c r="A1583" s="6">
        <f ca="1">Model!$F$13+RAND()*(Model!$G$13-Model!$F$13)</f>
        <v>1246.2745800565779</v>
      </c>
      <c r="B1583" s="31">
        <f ca="1">Model!$F$14+RAND()*(Model!$G$14-Model!$F$14)</f>
        <v>0.37495404164428658</v>
      </c>
      <c r="C1583" s="32">
        <f ca="1">Model!$F$15+RAND()*(Model!$G$15-Model!$F$15)</f>
        <v>2.6889805348357561E-2</v>
      </c>
      <c r="D1583" s="33">
        <f ca="1">Model!$F$16+RAND()*(Model!$G$16-Model!$F$16)</f>
        <v>51.439415785382614</v>
      </c>
      <c r="E1583" s="33">
        <f>Model!$D$17</f>
        <v>800</v>
      </c>
      <c r="G1583" s="36">
        <f t="shared" ca="1" si="27"/>
        <v>456.54617082851132</v>
      </c>
    </row>
    <row r="1584" spans="1:7" x14ac:dyDescent="0.2">
      <c r="A1584" s="6">
        <f ca="1">Model!$F$13+RAND()*(Model!$G$13-Model!$F$13)</f>
        <v>1684.2188339050385</v>
      </c>
      <c r="B1584" s="31">
        <f ca="1">Model!$F$14+RAND()*(Model!$G$14-Model!$F$14)</f>
        <v>0.6979630597641453</v>
      </c>
      <c r="C1584" s="32">
        <f ca="1">Model!$F$15+RAND()*(Model!$G$15-Model!$F$15)</f>
        <v>4.9785415219873855E-2</v>
      </c>
      <c r="D1584" s="33">
        <f ca="1">Model!$F$16+RAND()*(Model!$G$16-Model!$F$16)</f>
        <v>49.629734128780441</v>
      </c>
      <c r="E1584" s="33">
        <f>Model!$D$17</f>
        <v>800</v>
      </c>
      <c r="G1584" s="36">
        <f t="shared" ca="1" si="27"/>
        <v>2185.9075469842637</v>
      </c>
    </row>
    <row r="1585" spans="1:7" x14ac:dyDescent="0.2">
      <c r="A1585" s="6">
        <f ca="1">Model!$F$13+RAND()*(Model!$G$13-Model!$F$13)</f>
        <v>1609.4257515088523</v>
      </c>
      <c r="B1585" s="31">
        <f ca="1">Model!$F$14+RAND()*(Model!$G$14-Model!$F$14)</f>
        <v>0.21113501025961945</v>
      </c>
      <c r="C1585" s="32">
        <f ca="1">Model!$F$15+RAND()*(Model!$G$15-Model!$F$15)</f>
        <v>2.7301920673635585E-2</v>
      </c>
      <c r="D1585" s="33">
        <f ca="1">Model!$F$16+RAND()*(Model!$G$16-Model!$F$16)</f>
        <v>51.664145949092969</v>
      </c>
      <c r="E1585" s="33">
        <f>Model!$D$17</f>
        <v>800</v>
      </c>
      <c r="G1585" s="36">
        <f t="shared" ca="1" si="27"/>
        <v>1130.3378496218716</v>
      </c>
    </row>
    <row r="1586" spans="1:7" x14ac:dyDescent="0.2">
      <c r="A1586" s="6">
        <f ca="1">Model!$F$13+RAND()*(Model!$G$13-Model!$F$13)</f>
        <v>1417.6990585912229</v>
      </c>
      <c r="B1586" s="31">
        <f ca="1">Model!$F$14+RAND()*(Model!$G$14-Model!$F$14)</f>
        <v>0.60497469272428162</v>
      </c>
      <c r="C1586" s="32">
        <f ca="1">Model!$F$15+RAND()*(Model!$G$15-Model!$F$15)</f>
        <v>2.4016781492233553E-2</v>
      </c>
      <c r="D1586" s="33">
        <f ca="1">Model!$F$16+RAND()*(Model!$G$16-Model!$F$16)</f>
        <v>52.761573563860331</v>
      </c>
      <c r="E1586" s="33">
        <f>Model!$D$17</f>
        <v>800</v>
      </c>
      <c r="G1586" s="36">
        <f t="shared" ca="1" si="27"/>
        <v>138.78399993963694</v>
      </c>
    </row>
    <row r="1587" spans="1:7" x14ac:dyDescent="0.2">
      <c r="A1587" s="6">
        <f ca="1">Model!$F$13+RAND()*(Model!$G$13-Model!$F$13)</f>
        <v>1330.2447269303575</v>
      </c>
      <c r="B1587" s="31">
        <f ca="1">Model!$F$14+RAND()*(Model!$G$14-Model!$F$14)</f>
        <v>0.63394216118803492</v>
      </c>
      <c r="C1587" s="32">
        <f ca="1">Model!$F$15+RAND()*(Model!$G$15-Model!$F$15)</f>
        <v>4.7471351377940368E-2</v>
      </c>
      <c r="D1587" s="33">
        <f ca="1">Model!$F$16+RAND()*(Model!$G$16-Model!$F$16)</f>
        <v>50.646450078677461</v>
      </c>
      <c r="E1587" s="33">
        <f>Model!$D$17</f>
        <v>800</v>
      </c>
      <c r="G1587" s="36">
        <f t="shared" ca="1" si="27"/>
        <v>1554.9498878325894</v>
      </c>
    </row>
    <row r="1588" spans="1:7" x14ac:dyDescent="0.2">
      <c r="A1588" s="6">
        <f ca="1">Model!$F$13+RAND()*(Model!$G$13-Model!$F$13)</f>
        <v>1434.733555065256</v>
      </c>
      <c r="B1588" s="31">
        <f ca="1">Model!$F$14+RAND()*(Model!$G$14-Model!$F$14)</f>
        <v>0.40088513859786334</v>
      </c>
      <c r="C1588" s="32">
        <f ca="1">Model!$F$15+RAND()*(Model!$G$15-Model!$F$15)</f>
        <v>4.2061819544974448E-2</v>
      </c>
      <c r="D1588" s="33">
        <f ca="1">Model!$F$16+RAND()*(Model!$G$16-Model!$F$16)</f>
        <v>48.480762684564077</v>
      </c>
      <c r="E1588" s="33">
        <f>Model!$D$17</f>
        <v>800</v>
      </c>
      <c r="G1588" s="36">
        <f t="shared" ca="1" si="27"/>
        <v>1550.5296545399015</v>
      </c>
    </row>
    <row r="1589" spans="1:7" x14ac:dyDescent="0.2">
      <c r="A1589" s="6">
        <f ca="1">Model!$F$13+RAND()*(Model!$G$13-Model!$F$13)</f>
        <v>1796.805059457055</v>
      </c>
      <c r="B1589" s="31">
        <f ca="1">Model!$F$14+RAND()*(Model!$G$14-Model!$F$14)</f>
        <v>0.34457049261578454</v>
      </c>
      <c r="C1589" s="32">
        <f ca="1">Model!$F$15+RAND()*(Model!$G$15-Model!$F$15)</f>
        <v>1.2688943450880862E-2</v>
      </c>
      <c r="D1589" s="33">
        <f ca="1">Model!$F$16+RAND()*(Model!$G$16-Model!$F$16)</f>
        <v>49.340111576204912</v>
      </c>
      <c r="E1589" s="33">
        <f>Model!$D$17</f>
        <v>800</v>
      </c>
      <c r="G1589" s="36">
        <f t="shared" ca="1" si="27"/>
        <v>-294.1932791406864</v>
      </c>
    </row>
    <row r="1590" spans="1:7" x14ac:dyDescent="0.2">
      <c r="A1590" s="6">
        <f ca="1">Model!$F$13+RAND()*(Model!$G$13-Model!$F$13)</f>
        <v>1517.4390814499679</v>
      </c>
      <c r="B1590" s="31">
        <f ca="1">Model!$F$14+RAND()*(Model!$G$14-Model!$F$14)</f>
        <v>0.64919797227385923</v>
      </c>
      <c r="C1590" s="32">
        <f ca="1">Model!$F$15+RAND()*(Model!$G$15-Model!$F$15)</f>
        <v>2.3917414218769195E-2</v>
      </c>
      <c r="D1590" s="33">
        <f ca="1">Model!$F$16+RAND()*(Model!$G$16-Model!$F$16)</f>
        <v>52.872223686781041</v>
      </c>
      <c r="E1590" s="33">
        <f>Model!$D$17</f>
        <v>800</v>
      </c>
      <c r="G1590" s="36">
        <f t="shared" ca="1" si="27"/>
        <v>133.78482187462123</v>
      </c>
    </row>
    <row r="1591" spans="1:7" x14ac:dyDescent="0.2">
      <c r="A1591" s="6">
        <f ca="1">Model!$F$13+RAND()*(Model!$G$13-Model!$F$13)</f>
        <v>1468.0297707624786</v>
      </c>
      <c r="B1591" s="31">
        <f ca="1">Model!$F$14+RAND()*(Model!$G$14-Model!$F$14)</f>
        <v>0.68942835787649082</v>
      </c>
      <c r="C1591" s="32">
        <f ca="1">Model!$F$15+RAND()*(Model!$G$15-Model!$F$15)</f>
        <v>4.1649618293338991E-2</v>
      </c>
      <c r="D1591" s="33">
        <f ca="1">Model!$F$16+RAND()*(Model!$G$16-Model!$F$16)</f>
        <v>52.102598035965158</v>
      </c>
      <c r="E1591" s="33">
        <f>Model!$D$17</f>
        <v>800</v>
      </c>
      <c r="G1591" s="36">
        <f t="shared" ca="1" si="27"/>
        <v>1373.6015241559662</v>
      </c>
    </row>
    <row r="1592" spans="1:7" x14ac:dyDescent="0.2">
      <c r="A1592" s="6">
        <f ca="1">Model!$F$13+RAND()*(Model!$G$13-Model!$F$13)</f>
        <v>1521.6403704452127</v>
      </c>
      <c r="B1592" s="31">
        <f ca="1">Model!$F$14+RAND()*(Model!$G$14-Model!$F$14)</f>
        <v>0.73999014550166731</v>
      </c>
      <c r="C1592" s="32">
        <f ca="1">Model!$F$15+RAND()*(Model!$G$15-Model!$F$15)</f>
        <v>4.5825638261664664E-2</v>
      </c>
      <c r="D1592" s="33">
        <f ca="1">Model!$F$16+RAND()*(Model!$G$16-Model!$F$16)</f>
        <v>52.470588132966803</v>
      </c>
      <c r="E1592" s="33">
        <f>Model!$D$17</f>
        <v>800</v>
      </c>
      <c r="G1592" s="36">
        <f t="shared" ca="1" si="27"/>
        <v>1732.7826392017396</v>
      </c>
    </row>
    <row r="1593" spans="1:7" x14ac:dyDescent="0.2">
      <c r="A1593" s="6">
        <f ca="1">Model!$F$13+RAND()*(Model!$G$13-Model!$F$13)</f>
        <v>1307.6296496856919</v>
      </c>
      <c r="B1593" s="31">
        <f ca="1">Model!$F$14+RAND()*(Model!$G$14-Model!$F$14)</f>
        <v>0.36025497817508512</v>
      </c>
      <c r="C1593" s="32">
        <f ca="1">Model!$F$15+RAND()*(Model!$G$15-Model!$F$15)</f>
        <v>4.76855496586472E-2</v>
      </c>
      <c r="D1593" s="33">
        <f ca="1">Model!$F$16+RAND()*(Model!$G$16-Model!$F$16)</f>
        <v>51.956269711122317</v>
      </c>
      <c r="E1593" s="33">
        <f>Model!$D$17</f>
        <v>800</v>
      </c>
      <c r="G1593" s="36">
        <f t="shared" ca="1" si="27"/>
        <v>1968.6551121913774</v>
      </c>
    </row>
    <row r="1594" spans="1:7" x14ac:dyDescent="0.2">
      <c r="A1594" s="6">
        <f ca="1">Model!$F$13+RAND()*(Model!$G$13-Model!$F$13)</f>
        <v>1493.1949827224832</v>
      </c>
      <c r="B1594" s="31">
        <f ca="1">Model!$F$14+RAND()*(Model!$G$14-Model!$F$14)</f>
        <v>0.58783756148750654</v>
      </c>
      <c r="C1594" s="32">
        <f ca="1">Model!$F$15+RAND()*(Model!$G$15-Model!$F$15)</f>
        <v>3.7469308545343798E-2</v>
      </c>
      <c r="D1594" s="33">
        <f ca="1">Model!$F$16+RAND()*(Model!$G$16-Model!$F$16)</f>
        <v>51.074579842639757</v>
      </c>
      <c r="E1594" s="33">
        <f>Model!$D$17</f>
        <v>800</v>
      </c>
      <c r="G1594" s="36">
        <f t="shared" ca="1" si="27"/>
        <v>1179.8147287436477</v>
      </c>
    </row>
    <row r="1595" spans="1:7" x14ac:dyDescent="0.2">
      <c r="A1595" s="6">
        <f ca="1">Model!$F$13+RAND()*(Model!$G$13-Model!$F$13)</f>
        <v>1290.3118411904368</v>
      </c>
      <c r="B1595" s="31">
        <f ca="1">Model!$F$14+RAND()*(Model!$G$14-Model!$F$14)</f>
        <v>0.77234520113274741</v>
      </c>
      <c r="C1595" s="32">
        <f ca="1">Model!$F$15+RAND()*(Model!$G$15-Model!$F$15)</f>
        <v>1.2493940701643891E-2</v>
      </c>
      <c r="D1595" s="33">
        <f ca="1">Model!$F$16+RAND()*(Model!$G$16-Model!$F$16)</f>
        <v>48.824227549056218</v>
      </c>
      <c r="E1595" s="33">
        <f>Model!$D$17</f>
        <v>800</v>
      </c>
      <c r="G1595" s="36">
        <f t="shared" ca="1" si="27"/>
        <v>-1009.4668982940486</v>
      </c>
    </row>
    <row r="1596" spans="1:7" x14ac:dyDescent="0.2">
      <c r="A1596" s="6">
        <f ca="1">Model!$F$13+RAND()*(Model!$G$13-Model!$F$13)</f>
        <v>1731.1372131997132</v>
      </c>
      <c r="B1596" s="31">
        <f ca="1">Model!$F$14+RAND()*(Model!$G$14-Model!$F$14)</f>
        <v>0.3659153468246587</v>
      </c>
      <c r="C1596" s="32">
        <f ca="1">Model!$F$15+RAND()*(Model!$G$15-Model!$F$15)</f>
        <v>1.9155053060275345E-2</v>
      </c>
      <c r="D1596" s="33">
        <f ca="1">Model!$F$16+RAND()*(Model!$G$16-Model!$F$16)</f>
        <v>47.129273188091162</v>
      </c>
      <c r="E1596" s="33">
        <f>Model!$D$17</f>
        <v>800</v>
      </c>
      <c r="G1596" s="36">
        <f t="shared" ca="1" si="27"/>
        <v>129.35821155482176</v>
      </c>
    </row>
    <row r="1597" spans="1:7" x14ac:dyDescent="0.2">
      <c r="A1597" s="6">
        <f ca="1">Model!$F$13+RAND()*(Model!$G$13-Model!$F$13)</f>
        <v>1203.6935174316573</v>
      </c>
      <c r="B1597" s="31">
        <f ca="1">Model!$F$14+RAND()*(Model!$G$14-Model!$F$14)</f>
        <v>0.27256671146778949</v>
      </c>
      <c r="C1597" s="32">
        <f ca="1">Model!$F$15+RAND()*(Model!$G$15-Model!$F$15)</f>
        <v>3.5780857887943822E-2</v>
      </c>
      <c r="D1597" s="33">
        <f ca="1">Model!$F$16+RAND()*(Model!$G$16-Model!$F$16)</f>
        <v>52.128600560820836</v>
      </c>
      <c r="E1597" s="33">
        <f>Model!$D$17</f>
        <v>800</v>
      </c>
      <c r="G1597" s="36">
        <f t="shared" ca="1" si="27"/>
        <v>1117.0496456695039</v>
      </c>
    </row>
    <row r="1598" spans="1:7" x14ac:dyDescent="0.2">
      <c r="A1598" s="6">
        <f ca="1">Model!$F$13+RAND()*(Model!$G$13-Model!$F$13)</f>
        <v>1759.9905153470813</v>
      </c>
      <c r="B1598" s="31">
        <f ca="1">Model!$F$14+RAND()*(Model!$G$14-Model!$F$14)</f>
        <v>0.28638601503688654</v>
      </c>
      <c r="C1598" s="32">
        <f ca="1">Model!$F$15+RAND()*(Model!$G$15-Model!$F$15)</f>
        <v>2.8758280301793289E-2</v>
      </c>
      <c r="D1598" s="33">
        <f ca="1">Model!$F$16+RAND()*(Model!$G$16-Model!$F$16)</f>
        <v>49.448820043002435</v>
      </c>
      <c r="E1598" s="33">
        <f>Model!$D$17</f>
        <v>800</v>
      </c>
      <c r="G1598" s="36">
        <f t="shared" ca="1" si="27"/>
        <v>1198.7807702384825</v>
      </c>
    </row>
    <row r="1599" spans="1:7" x14ac:dyDescent="0.2">
      <c r="A1599" s="6">
        <f ca="1">Model!$F$13+RAND()*(Model!$G$13-Model!$F$13)</f>
        <v>1527.7550578374717</v>
      </c>
      <c r="B1599" s="31">
        <f ca="1">Model!$F$14+RAND()*(Model!$G$14-Model!$F$14)</f>
        <v>0.46621014354918738</v>
      </c>
      <c r="C1599" s="32">
        <f ca="1">Model!$F$15+RAND()*(Model!$G$15-Model!$F$15)</f>
        <v>4.8956365142639929E-2</v>
      </c>
      <c r="D1599" s="33">
        <f ca="1">Model!$F$16+RAND()*(Model!$G$16-Model!$F$16)</f>
        <v>49.232177725083069</v>
      </c>
      <c r="E1599" s="33">
        <f>Model!$D$17</f>
        <v>800</v>
      </c>
      <c r="G1599" s="36">
        <f t="shared" ca="1" si="27"/>
        <v>2169.9838299642024</v>
      </c>
    </row>
    <row r="1600" spans="1:7" x14ac:dyDescent="0.2">
      <c r="A1600" s="6">
        <f ca="1">Model!$F$13+RAND()*(Model!$G$13-Model!$F$13)</f>
        <v>1245.8905645072778</v>
      </c>
      <c r="B1600" s="31">
        <f ca="1">Model!$F$14+RAND()*(Model!$G$14-Model!$F$14)</f>
        <v>0.33543679175515229</v>
      </c>
      <c r="C1600" s="32">
        <f ca="1">Model!$F$15+RAND()*(Model!$G$15-Model!$F$15)</f>
        <v>2.5563231885403222E-2</v>
      </c>
      <c r="D1600" s="33">
        <f ca="1">Model!$F$16+RAND()*(Model!$G$16-Model!$F$16)</f>
        <v>50.403430364845228</v>
      </c>
      <c r="E1600" s="33">
        <f>Model!$D$17</f>
        <v>800</v>
      </c>
      <c r="G1600" s="36">
        <f t="shared" ca="1" si="27"/>
        <v>387.38078579577927</v>
      </c>
    </row>
    <row r="1601" spans="1:7" x14ac:dyDescent="0.2">
      <c r="A1601" s="6">
        <f ca="1">Model!$F$13+RAND()*(Model!$G$13-Model!$F$13)</f>
        <v>1279.9807564729067</v>
      </c>
      <c r="B1601" s="31">
        <f ca="1">Model!$F$14+RAND()*(Model!$G$14-Model!$F$14)</f>
        <v>0.64184964484490448</v>
      </c>
      <c r="C1601" s="32">
        <f ca="1">Model!$F$15+RAND()*(Model!$G$15-Model!$F$15)</f>
        <v>1.698715490485652E-2</v>
      </c>
      <c r="D1601" s="33">
        <f ca="1">Model!$F$16+RAND()*(Model!$G$16-Model!$F$16)</f>
        <v>48.605701539796122</v>
      </c>
      <c r="E1601" s="33">
        <f>Model!$D$17</f>
        <v>800</v>
      </c>
      <c r="G1601" s="36">
        <f t="shared" ca="1" si="27"/>
        <v>-564.71017871898903</v>
      </c>
    </row>
    <row r="1602" spans="1:7" x14ac:dyDescent="0.2">
      <c r="A1602" s="6">
        <f ca="1">Model!$F$13+RAND()*(Model!$G$13-Model!$F$13)</f>
        <v>1461.4759825645415</v>
      </c>
      <c r="B1602" s="31">
        <f ca="1">Model!$F$14+RAND()*(Model!$G$14-Model!$F$14)</f>
        <v>0.36545160581349001</v>
      </c>
      <c r="C1602" s="32">
        <f ca="1">Model!$F$15+RAND()*(Model!$G$15-Model!$F$15)</f>
        <v>4.1300792324221874E-2</v>
      </c>
      <c r="D1602" s="33">
        <f ca="1">Model!$F$16+RAND()*(Model!$G$16-Model!$F$16)</f>
        <v>51.713825554977376</v>
      </c>
      <c r="E1602" s="33">
        <f>Model!$D$17</f>
        <v>800</v>
      </c>
      <c r="G1602" s="36">
        <f t="shared" ca="1" si="27"/>
        <v>1787.3537668261934</v>
      </c>
    </row>
    <row r="1603" spans="1:7" x14ac:dyDescent="0.2">
      <c r="A1603" s="6">
        <f ca="1">Model!$F$13+RAND()*(Model!$G$13-Model!$F$13)</f>
        <v>1731.4672027422985</v>
      </c>
      <c r="B1603" s="31">
        <f ca="1">Model!$F$14+RAND()*(Model!$G$14-Model!$F$14)</f>
        <v>0.43699563580921563</v>
      </c>
      <c r="C1603" s="32">
        <f ca="1">Model!$F$15+RAND()*(Model!$G$15-Model!$F$15)</f>
        <v>4.6294039507158345E-2</v>
      </c>
      <c r="D1603" s="33">
        <f ca="1">Model!$F$16+RAND()*(Model!$G$16-Model!$F$16)</f>
        <v>52.494032794660555</v>
      </c>
      <c r="E1603" s="33">
        <f>Model!$D$17</f>
        <v>800</v>
      </c>
      <c r="G1603" s="36">
        <f t="shared" ca="1" si="27"/>
        <v>2651.1001600749405</v>
      </c>
    </row>
    <row r="1604" spans="1:7" x14ac:dyDescent="0.2">
      <c r="A1604" s="6">
        <f ca="1">Model!$F$13+RAND()*(Model!$G$13-Model!$F$13)</f>
        <v>1504.2185672465466</v>
      </c>
      <c r="B1604" s="31">
        <f ca="1">Model!$F$14+RAND()*(Model!$G$14-Model!$F$14)</f>
        <v>0.61717609519273209</v>
      </c>
      <c r="C1604" s="32">
        <f ca="1">Model!$F$15+RAND()*(Model!$G$15-Model!$F$15)</f>
        <v>4.333640659620467E-2</v>
      </c>
      <c r="D1604" s="33">
        <f ca="1">Model!$F$16+RAND()*(Model!$G$16-Model!$F$16)</f>
        <v>51.258892535817537</v>
      </c>
      <c r="E1604" s="33">
        <f>Model!$D$17</f>
        <v>800</v>
      </c>
      <c r="G1604" s="36">
        <f t="shared" ca="1" si="27"/>
        <v>1613.0675961712659</v>
      </c>
    </row>
    <row r="1605" spans="1:7" x14ac:dyDescent="0.2">
      <c r="A1605" s="6">
        <f ca="1">Model!$F$13+RAND()*(Model!$G$13-Model!$F$13)</f>
        <v>1756.8244915250634</v>
      </c>
      <c r="B1605" s="31">
        <f ca="1">Model!$F$14+RAND()*(Model!$G$14-Model!$F$14)</f>
        <v>0.24237651120067991</v>
      </c>
      <c r="C1605" s="32">
        <f ca="1">Model!$F$15+RAND()*(Model!$G$15-Model!$F$15)</f>
        <v>4.6421983052688562E-2</v>
      </c>
      <c r="D1605" s="33">
        <f ca="1">Model!$F$16+RAND()*(Model!$G$16-Model!$F$16)</f>
        <v>51.080236093078774</v>
      </c>
      <c r="E1605" s="33">
        <f>Model!$D$17</f>
        <v>800</v>
      </c>
      <c r="G1605" s="36">
        <f t="shared" ca="1" si="27"/>
        <v>2940.0498011087598</v>
      </c>
    </row>
    <row r="1606" spans="1:7" x14ac:dyDescent="0.2">
      <c r="A1606" s="6">
        <f ca="1">Model!$F$13+RAND()*(Model!$G$13-Model!$F$13)</f>
        <v>1665.2168341492779</v>
      </c>
      <c r="B1606" s="31">
        <f ca="1">Model!$F$14+RAND()*(Model!$G$14-Model!$F$14)</f>
        <v>0.57109096891379929</v>
      </c>
      <c r="C1606" s="32">
        <f ca="1">Model!$F$15+RAND()*(Model!$G$15-Model!$F$15)</f>
        <v>4.2931808250445479E-2</v>
      </c>
      <c r="D1606" s="33">
        <f ca="1">Model!$F$16+RAND()*(Model!$G$16-Model!$F$16)</f>
        <v>49.582696503716029</v>
      </c>
      <c r="E1606" s="33">
        <f>Model!$D$17</f>
        <v>800</v>
      </c>
      <c r="G1606" s="36">
        <f t="shared" ca="1" si="27"/>
        <v>1793.7148474921053</v>
      </c>
    </row>
    <row r="1607" spans="1:7" x14ac:dyDescent="0.2">
      <c r="A1607" s="6">
        <f ca="1">Model!$F$13+RAND()*(Model!$G$13-Model!$F$13)</f>
        <v>1699.4996212100468</v>
      </c>
      <c r="B1607" s="31">
        <f ca="1">Model!$F$14+RAND()*(Model!$G$14-Model!$F$14)</f>
        <v>0.31406265914134895</v>
      </c>
      <c r="C1607" s="32">
        <f ca="1">Model!$F$15+RAND()*(Model!$G$15-Model!$F$15)</f>
        <v>2.523197065128005E-2</v>
      </c>
      <c r="D1607" s="33">
        <f ca="1">Model!$F$16+RAND()*(Model!$G$16-Model!$F$16)</f>
        <v>49.259199011260989</v>
      </c>
      <c r="E1607" s="33">
        <f>Model!$D$17</f>
        <v>800</v>
      </c>
      <c r="G1607" s="36">
        <f t="shared" ca="1" si="27"/>
        <v>778.57003400871258</v>
      </c>
    </row>
    <row r="1608" spans="1:7" x14ac:dyDescent="0.2">
      <c r="A1608" s="6">
        <f ca="1">Model!$F$13+RAND()*(Model!$G$13-Model!$F$13)</f>
        <v>1588.4836867210875</v>
      </c>
      <c r="B1608" s="31">
        <f ca="1">Model!$F$14+RAND()*(Model!$G$14-Model!$F$14)</f>
        <v>0.47515026037635705</v>
      </c>
      <c r="C1608" s="32">
        <f ca="1">Model!$F$15+RAND()*(Model!$G$15-Model!$F$15)</f>
        <v>2.958933050566051E-2</v>
      </c>
      <c r="D1608" s="33">
        <f ca="1">Model!$F$16+RAND()*(Model!$G$16-Model!$F$16)</f>
        <v>47.692659653423632</v>
      </c>
      <c r="E1608" s="33">
        <f>Model!$D$17</f>
        <v>800</v>
      </c>
      <c r="G1608" s="36">
        <f t="shared" ca="1" si="27"/>
        <v>686.89000264274364</v>
      </c>
    </row>
    <row r="1609" spans="1:7" x14ac:dyDescent="0.2">
      <c r="A1609" s="6">
        <f ca="1">Model!$F$13+RAND()*(Model!$G$13-Model!$F$13)</f>
        <v>1583.0962470101238</v>
      </c>
      <c r="B1609" s="31">
        <f ca="1">Model!$F$14+RAND()*(Model!$G$14-Model!$F$14)</f>
        <v>0.6050245619789083</v>
      </c>
      <c r="C1609" s="32">
        <f ca="1">Model!$F$15+RAND()*(Model!$G$15-Model!$F$15)</f>
        <v>1.3266188025665843E-2</v>
      </c>
      <c r="D1609" s="33">
        <f ca="1">Model!$F$16+RAND()*(Model!$G$16-Model!$F$16)</f>
        <v>48.044698719838692</v>
      </c>
      <c r="E1609" s="33">
        <f>Model!$D$17</f>
        <v>800</v>
      </c>
      <c r="G1609" s="36">
        <f t="shared" ca="1" si="27"/>
        <v>-748.79404761061141</v>
      </c>
    </row>
    <row r="1610" spans="1:7" x14ac:dyDescent="0.2">
      <c r="A1610" s="6">
        <f ca="1">Model!$F$13+RAND()*(Model!$G$13-Model!$F$13)</f>
        <v>1526.4161071981562</v>
      </c>
      <c r="B1610" s="31">
        <f ca="1">Model!$F$14+RAND()*(Model!$G$14-Model!$F$14)</f>
        <v>0.5553341179254766</v>
      </c>
      <c r="C1610" s="32">
        <f ca="1">Model!$F$15+RAND()*(Model!$G$15-Model!$F$15)</f>
        <v>3.3178572950962451E-2</v>
      </c>
      <c r="D1610" s="33">
        <f ca="1">Model!$F$16+RAND()*(Model!$G$16-Model!$F$16)</f>
        <v>47.845067063165999</v>
      </c>
      <c r="E1610" s="33">
        <f>Model!$D$17</f>
        <v>800</v>
      </c>
      <c r="G1610" s="36">
        <f t="shared" ca="1" si="27"/>
        <v>775.40937810126752</v>
      </c>
    </row>
    <row r="1611" spans="1:7" x14ac:dyDescent="0.2">
      <c r="A1611" s="6">
        <f ca="1">Model!$F$13+RAND()*(Model!$G$13-Model!$F$13)</f>
        <v>1417.3297538180288</v>
      </c>
      <c r="B1611" s="31">
        <f ca="1">Model!$F$14+RAND()*(Model!$G$14-Model!$F$14)</f>
        <v>0.41938335229861579</v>
      </c>
      <c r="C1611" s="32">
        <f ca="1">Model!$F$15+RAND()*(Model!$G$15-Model!$F$15)</f>
        <v>1.2030417239971567E-2</v>
      </c>
      <c r="D1611" s="33">
        <f ca="1">Model!$F$16+RAND()*(Model!$G$16-Model!$F$16)</f>
        <v>47.332576960694283</v>
      </c>
      <c r="E1611" s="33">
        <f>Model!$D$17</f>
        <v>800</v>
      </c>
      <c r="G1611" s="36">
        <f t="shared" ca="1" si="27"/>
        <v>-587.33350065760783</v>
      </c>
    </row>
    <row r="1612" spans="1:7" x14ac:dyDescent="0.2">
      <c r="A1612" s="6">
        <f ca="1">Model!$F$13+RAND()*(Model!$G$13-Model!$F$13)</f>
        <v>1558.4892846348275</v>
      </c>
      <c r="B1612" s="31">
        <f ca="1">Model!$F$14+RAND()*(Model!$G$14-Model!$F$14)</f>
        <v>0.74373914508605377</v>
      </c>
      <c r="C1612" s="32">
        <f ca="1">Model!$F$15+RAND()*(Model!$G$15-Model!$F$15)</f>
        <v>4.0594284802868412E-2</v>
      </c>
      <c r="D1612" s="33">
        <f ca="1">Model!$F$16+RAND()*(Model!$G$16-Model!$F$16)</f>
        <v>50.652315809080164</v>
      </c>
      <c r="E1612" s="33">
        <f>Model!$D$17</f>
        <v>800</v>
      </c>
      <c r="G1612" s="36">
        <f t="shared" ca="1" si="27"/>
        <v>1245.4476599944735</v>
      </c>
    </row>
    <row r="1613" spans="1:7" x14ac:dyDescent="0.2">
      <c r="A1613" s="6">
        <f ca="1">Model!$F$13+RAND()*(Model!$G$13-Model!$F$13)</f>
        <v>1698.4310939479133</v>
      </c>
      <c r="B1613" s="31">
        <f ca="1">Model!$F$14+RAND()*(Model!$G$14-Model!$F$14)</f>
        <v>0.22677712846390408</v>
      </c>
      <c r="C1613" s="32">
        <f ca="1">Model!$F$15+RAND()*(Model!$G$15-Model!$F$15)</f>
        <v>2.9654767585114712E-2</v>
      </c>
      <c r="D1613" s="33">
        <f ca="1">Model!$F$16+RAND()*(Model!$G$16-Model!$F$16)</f>
        <v>48.865019380912443</v>
      </c>
      <c r="E1613" s="33">
        <f>Model!$D$17</f>
        <v>800</v>
      </c>
      <c r="G1613" s="36">
        <f t="shared" ca="1" si="27"/>
        <v>1275.9985497261687</v>
      </c>
    </row>
    <row r="1614" spans="1:7" x14ac:dyDescent="0.2">
      <c r="A1614" s="6">
        <f ca="1">Model!$F$13+RAND()*(Model!$G$13-Model!$F$13)</f>
        <v>1387.3056450553825</v>
      </c>
      <c r="B1614" s="31">
        <f ca="1">Model!$F$14+RAND()*(Model!$G$14-Model!$F$14)</f>
        <v>0.65919861273440605</v>
      </c>
      <c r="C1614" s="32">
        <f ca="1">Model!$F$15+RAND()*(Model!$G$15-Model!$F$15)</f>
        <v>4.3309048722283416E-2</v>
      </c>
      <c r="D1614" s="33">
        <f ca="1">Model!$F$16+RAND()*(Model!$G$16-Model!$F$16)</f>
        <v>47.501049188271502</v>
      </c>
      <c r="E1614" s="33">
        <f>Model!$D$17</f>
        <v>800</v>
      </c>
      <c r="G1614" s="36">
        <f t="shared" ca="1" si="27"/>
        <v>1139.4902508861655</v>
      </c>
    </row>
    <row r="1615" spans="1:7" x14ac:dyDescent="0.2">
      <c r="A1615" s="6">
        <f ca="1">Model!$F$13+RAND()*(Model!$G$13-Model!$F$13)</f>
        <v>1416.3890831830934</v>
      </c>
      <c r="B1615" s="31">
        <f ca="1">Model!$F$14+RAND()*(Model!$G$14-Model!$F$14)</f>
        <v>0.736789164041876</v>
      </c>
      <c r="C1615" s="32">
        <f ca="1">Model!$F$15+RAND()*(Model!$G$15-Model!$F$15)</f>
        <v>4.7158228382711859E-2</v>
      </c>
      <c r="D1615" s="33">
        <f ca="1">Model!$F$16+RAND()*(Model!$G$16-Model!$F$16)</f>
        <v>52.260171281645881</v>
      </c>
      <c r="E1615" s="33">
        <f>Model!$D$17</f>
        <v>800</v>
      </c>
      <c r="G1615" s="36">
        <f t="shared" ca="1" si="27"/>
        <v>1647.1066489662169</v>
      </c>
    </row>
    <row r="1616" spans="1:7" x14ac:dyDescent="0.2">
      <c r="A1616" s="6">
        <f ca="1">Model!$F$13+RAND()*(Model!$G$13-Model!$F$13)</f>
        <v>1441.1134274220308</v>
      </c>
      <c r="B1616" s="31">
        <f ca="1">Model!$F$14+RAND()*(Model!$G$14-Model!$F$14)</f>
        <v>0.36244156309739345</v>
      </c>
      <c r="C1616" s="32">
        <f ca="1">Model!$F$15+RAND()*(Model!$G$15-Model!$F$15)</f>
        <v>4.6381804102011107E-2</v>
      </c>
      <c r="D1616" s="33">
        <f ca="1">Model!$F$16+RAND()*(Model!$G$16-Model!$F$16)</f>
        <v>51.04810531161116</v>
      </c>
      <c r="E1616" s="33">
        <f>Model!$D$17</f>
        <v>800</v>
      </c>
      <c r="G1616" s="36">
        <f t="shared" ca="1" si="27"/>
        <v>2089.8094997497292</v>
      </c>
    </row>
    <row r="1617" spans="1:7" x14ac:dyDescent="0.2">
      <c r="A1617" s="6">
        <f ca="1">Model!$F$13+RAND()*(Model!$G$13-Model!$F$13)</f>
        <v>1511.3381113321241</v>
      </c>
      <c r="B1617" s="31">
        <f ca="1">Model!$F$14+RAND()*(Model!$G$14-Model!$F$14)</f>
        <v>0.3190099125469405</v>
      </c>
      <c r="C1617" s="32">
        <f ca="1">Model!$F$15+RAND()*(Model!$G$15-Model!$F$15)</f>
        <v>2.6419653642078419E-2</v>
      </c>
      <c r="D1617" s="33">
        <f ca="1">Model!$F$16+RAND()*(Model!$G$16-Model!$F$16)</f>
        <v>50.196912944805753</v>
      </c>
      <c r="E1617" s="33">
        <f>Model!$D$17</f>
        <v>800</v>
      </c>
      <c r="G1617" s="36">
        <f t="shared" ca="1" si="27"/>
        <v>722.18217591823168</v>
      </c>
    </row>
    <row r="1618" spans="1:7" x14ac:dyDescent="0.2">
      <c r="A1618" s="6">
        <f ca="1">Model!$F$13+RAND()*(Model!$G$13-Model!$F$13)</f>
        <v>1441.3947546729751</v>
      </c>
      <c r="B1618" s="31">
        <f ca="1">Model!$F$14+RAND()*(Model!$G$14-Model!$F$14)</f>
        <v>0.25282030630502794</v>
      </c>
      <c r="C1618" s="32">
        <f ca="1">Model!$F$15+RAND()*(Model!$G$15-Model!$F$15)</f>
        <v>1.3536074266242384E-2</v>
      </c>
      <c r="D1618" s="33">
        <f ca="1">Model!$F$16+RAND()*(Model!$G$16-Model!$F$16)</f>
        <v>52.597232236752824</v>
      </c>
      <c r="E1618" s="33">
        <f>Model!$D$17</f>
        <v>800</v>
      </c>
      <c r="G1618" s="36">
        <f t="shared" ca="1" si="27"/>
        <v>-138.19839365977464</v>
      </c>
    </row>
    <row r="1619" spans="1:7" x14ac:dyDescent="0.2">
      <c r="A1619" s="6">
        <f ca="1">Model!$F$13+RAND()*(Model!$G$13-Model!$F$13)</f>
        <v>1256.5994638128038</v>
      </c>
      <c r="B1619" s="31">
        <f ca="1">Model!$F$14+RAND()*(Model!$G$14-Model!$F$14)</f>
        <v>0.67969572208320783</v>
      </c>
      <c r="C1619" s="32">
        <f ca="1">Model!$F$15+RAND()*(Model!$G$15-Model!$F$15)</f>
        <v>3.3302215292355053E-2</v>
      </c>
      <c r="D1619" s="33">
        <f ca="1">Model!$F$16+RAND()*(Model!$G$16-Model!$F$16)</f>
        <v>52.455107695573957</v>
      </c>
      <c r="E1619" s="33">
        <f>Model!$D$17</f>
        <v>800</v>
      </c>
      <c r="G1619" s="36">
        <f t="shared" ca="1" si="27"/>
        <v>541.01224601322565</v>
      </c>
    </row>
    <row r="1620" spans="1:7" x14ac:dyDescent="0.2">
      <c r="A1620" s="6">
        <f ca="1">Model!$F$13+RAND()*(Model!$G$13-Model!$F$13)</f>
        <v>1372.3040533136136</v>
      </c>
      <c r="B1620" s="31">
        <f ca="1">Model!$F$14+RAND()*(Model!$G$14-Model!$F$14)</f>
        <v>0.64442958307484099</v>
      </c>
      <c r="C1620" s="32">
        <f ca="1">Model!$F$15+RAND()*(Model!$G$15-Model!$F$15)</f>
        <v>3.2614686904192329E-2</v>
      </c>
      <c r="D1620" s="33">
        <f ca="1">Model!$F$16+RAND()*(Model!$G$16-Model!$F$16)</f>
        <v>48.558280042077001</v>
      </c>
      <c r="E1620" s="33">
        <f>Model!$D$17</f>
        <v>800</v>
      </c>
      <c r="G1620" s="36">
        <f t="shared" ca="1" si="27"/>
        <v>488.9825777319254</v>
      </c>
    </row>
    <row r="1621" spans="1:7" x14ac:dyDescent="0.2">
      <c r="A1621" s="6">
        <f ca="1">Model!$F$13+RAND()*(Model!$G$13-Model!$F$13)</f>
        <v>1367.2461650505229</v>
      </c>
      <c r="B1621" s="31">
        <f ca="1">Model!$F$14+RAND()*(Model!$G$14-Model!$F$14)</f>
        <v>0.47985856455882742</v>
      </c>
      <c r="C1621" s="32">
        <f ca="1">Model!$F$15+RAND()*(Model!$G$15-Model!$F$15)</f>
        <v>2.7246223958053165E-2</v>
      </c>
      <c r="D1621" s="33">
        <f ca="1">Model!$F$16+RAND()*(Model!$G$16-Model!$F$16)</f>
        <v>50.910561606596829</v>
      </c>
      <c r="E1621" s="33">
        <f>Model!$D$17</f>
        <v>800</v>
      </c>
      <c r="G1621" s="36">
        <f t="shared" ca="1" si="27"/>
        <v>440.4504885618976</v>
      </c>
    </row>
    <row r="1622" spans="1:7" x14ac:dyDescent="0.2">
      <c r="A1622" s="6">
        <f ca="1">Model!$F$13+RAND()*(Model!$G$13-Model!$F$13)</f>
        <v>1366.9469404795973</v>
      </c>
      <c r="B1622" s="31">
        <f ca="1">Model!$F$14+RAND()*(Model!$G$14-Model!$F$14)</f>
        <v>0.20014355873907635</v>
      </c>
      <c r="C1622" s="32">
        <f ca="1">Model!$F$15+RAND()*(Model!$G$15-Model!$F$15)</f>
        <v>2.4873193419155219E-2</v>
      </c>
      <c r="D1622" s="33">
        <f ca="1">Model!$F$16+RAND()*(Model!$G$16-Model!$F$16)</f>
        <v>52.422650657050319</v>
      </c>
      <c r="E1622" s="33">
        <f>Model!$D$17</f>
        <v>800</v>
      </c>
      <c r="G1622" s="36">
        <f t="shared" ca="1" si="27"/>
        <v>708.80209242702063</v>
      </c>
    </row>
    <row r="1623" spans="1:7" x14ac:dyDescent="0.2">
      <c r="A1623" s="6">
        <f ca="1">Model!$F$13+RAND()*(Model!$G$13-Model!$F$13)</f>
        <v>1302.5523672673989</v>
      </c>
      <c r="B1623" s="31">
        <f ca="1">Model!$F$14+RAND()*(Model!$G$14-Model!$F$14)</f>
        <v>0.31084693212409481</v>
      </c>
      <c r="C1623" s="32">
        <f ca="1">Model!$F$15+RAND()*(Model!$G$15-Model!$F$15)</f>
        <v>4.7162878928494467E-2</v>
      </c>
      <c r="D1623" s="33">
        <f ca="1">Model!$F$16+RAND()*(Model!$G$16-Model!$F$16)</f>
        <v>48.305456254568057</v>
      </c>
      <c r="E1623" s="33">
        <f>Model!$D$17</f>
        <v>800</v>
      </c>
      <c r="G1623" s="36">
        <f t="shared" ca="1" si="27"/>
        <v>1762.6121584476539</v>
      </c>
    </row>
    <row r="1624" spans="1:7" x14ac:dyDescent="0.2">
      <c r="A1624" s="6">
        <f ca="1">Model!$F$13+RAND()*(Model!$G$13-Model!$F$13)</f>
        <v>1604.3696743573551</v>
      </c>
      <c r="B1624" s="31">
        <f ca="1">Model!$F$14+RAND()*(Model!$G$14-Model!$F$14)</f>
        <v>0.65831012132752087</v>
      </c>
      <c r="C1624" s="32">
        <f ca="1">Model!$F$15+RAND()*(Model!$G$15-Model!$F$15)</f>
        <v>1.9968780739939573E-2</v>
      </c>
      <c r="D1624" s="33">
        <f ca="1">Model!$F$16+RAND()*(Model!$G$16-Model!$F$16)</f>
        <v>51.446118275374104</v>
      </c>
      <c r="E1624" s="33">
        <f>Model!$D$17</f>
        <v>800</v>
      </c>
      <c r="G1624" s="36">
        <f t="shared" ca="1" si="27"/>
        <v>-207.97774826157865</v>
      </c>
    </row>
    <row r="1625" spans="1:7" x14ac:dyDescent="0.2">
      <c r="A1625" s="6">
        <f ca="1">Model!$F$13+RAND()*(Model!$G$13-Model!$F$13)</f>
        <v>1458.0581047502478</v>
      </c>
      <c r="B1625" s="31">
        <f ca="1">Model!$F$14+RAND()*(Model!$G$14-Model!$F$14)</f>
        <v>0.78648668647279685</v>
      </c>
      <c r="C1625" s="32">
        <f ca="1">Model!$F$15+RAND()*(Model!$G$15-Model!$F$15)</f>
        <v>4.9856527259816069E-2</v>
      </c>
      <c r="D1625" s="33">
        <f ca="1">Model!$F$16+RAND()*(Model!$G$16-Model!$F$16)</f>
        <v>48.823859435311725</v>
      </c>
      <c r="E1625" s="33">
        <f>Model!$D$17</f>
        <v>800</v>
      </c>
      <c r="G1625" s="36">
        <f t="shared" ca="1" si="27"/>
        <v>1602.4443693872468</v>
      </c>
    </row>
    <row r="1626" spans="1:7" x14ac:dyDescent="0.2">
      <c r="A1626" s="6">
        <f ca="1">Model!$F$13+RAND()*(Model!$G$13-Model!$F$13)</f>
        <v>1541.5164266068866</v>
      </c>
      <c r="B1626" s="31">
        <f ca="1">Model!$F$14+RAND()*(Model!$G$14-Model!$F$14)</f>
        <v>0.34275337195084543</v>
      </c>
      <c r="C1626" s="32">
        <f ca="1">Model!$F$15+RAND()*(Model!$G$15-Model!$F$15)</f>
        <v>4.9741967213652656E-2</v>
      </c>
      <c r="D1626" s="33">
        <f ca="1">Model!$F$16+RAND()*(Model!$G$16-Model!$F$16)</f>
        <v>52.909547734663484</v>
      </c>
      <c r="E1626" s="33">
        <f>Model!$D$17</f>
        <v>800</v>
      </c>
      <c r="G1626" s="36">
        <f t="shared" ca="1" si="27"/>
        <v>2728.6414989089203</v>
      </c>
    </row>
    <row r="1627" spans="1:7" x14ac:dyDescent="0.2">
      <c r="A1627" s="6">
        <f ca="1">Model!$F$13+RAND()*(Model!$G$13-Model!$F$13)</f>
        <v>1392.4852485442943</v>
      </c>
      <c r="B1627" s="31">
        <f ca="1">Model!$F$14+RAND()*(Model!$G$14-Model!$F$14)</f>
        <v>0.43506457362100764</v>
      </c>
      <c r="C1627" s="32">
        <f ca="1">Model!$F$15+RAND()*(Model!$G$15-Model!$F$15)</f>
        <v>3.7999109119584318E-2</v>
      </c>
      <c r="D1627" s="33">
        <f ca="1">Model!$F$16+RAND()*(Model!$G$16-Model!$F$16)</f>
        <v>47.767941896953388</v>
      </c>
      <c r="E1627" s="33">
        <f>Model!$D$17</f>
        <v>800</v>
      </c>
      <c r="G1627" s="36">
        <f t="shared" ca="1" si="27"/>
        <v>1121.7336100326975</v>
      </c>
    </row>
    <row r="1628" spans="1:7" x14ac:dyDescent="0.2">
      <c r="A1628" s="6">
        <f ca="1">Model!$F$13+RAND()*(Model!$G$13-Model!$F$13)</f>
        <v>1496.5832126819537</v>
      </c>
      <c r="B1628" s="31">
        <f ca="1">Model!$F$14+RAND()*(Model!$G$14-Model!$F$14)</f>
        <v>0.75041651750447147</v>
      </c>
      <c r="C1628" s="32">
        <f ca="1">Model!$F$15+RAND()*(Model!$G$15-Model!$F$15)</f>
        <v>1.8553537855511393E-2</v>
      </c>
      <c r="D1628" s="33">
        <f ca="1">Model!$F$16+RAND()*(Model!$G$16-Model!$F$16)</f>
        <v>49.797283688453639</v>
      </c>
      <c r="E1628" s="33">
        <f>Model!$D$17</f>
        <v>800</v>
      </c>
      <c r="G1628" s="36">
        <f t="shared" ca="1" si="27"/>
        <v>-540.34390434083207</v>
      </c>
    </row>
    <row r="1629" spans="1:7" x14ac:dyDescent="0.2">
      <c r="A1629" s="6">
        <f ca="1">Model!$F$13+RAND()*(Model!$G$13-Model!$F$13)</f>
        <v>1723.8316899585989</v>
      </c>
      <c r="B1629" s="31">
        <f ca="1">Model!$F$14+RAND()*(Model!$G$14-Model!$F$14)</f>
        <v>0.58217593569578696</v>
      </c>
      <c r="C1629" s="32">
        <f ca="1">Model!$F$15+RAND()*(Model!$G$15-Model!$F$15)</f>
        <v>4.1597525468933881E-2</v>
      </c>
      <c r="D1629" s="33">
        <f ca="1">Model!$F$16+RAND()*(Model!$G$16-Model!$F$16)</f>
        <v>50.917168202623245</v>
      </c>
      <c r="E1629" s="33">
        <f>Model!$D$17</f>
        <v>800</v>
      </c>
      <c r="G1629" s="36">
        <f t="shared" ca="1" si="27"/>
        <v>1847.5508062236738</v>
      </c>
    </row>
    <row r="1630" spans="1:7" x14ac:dyDescent="0.2">
      <c r="A1630" s="6">
        <f ca="1">Model!$F$13+RAND()*(Model!$G$13-Model!$F$13)</f>
        <v>1689.4462218138847</v>
      </c>
      <c r="B1630" s="31">
        <f ca="1">Model!$F$14+RAND()*(Model!$G$14-Model!$F$14)</f>
        <v>0.24451031555408337</v>
      </c>
      <c r="C1630" s="32">
        <f ca="1">Model!$F$15+RAND()*(Model!$G$15-Model!$F$15)</f>
        <v>3.7143767366381607E-2</v>
      </c>
      <c r="D1630" s="33">
        <f ca="1">Model!$F$16+RAND()*(Model!$G$16-Model!$F$16)</f>
        <v>47.84787594885578</v>
      </c>
      <c r="E1630" s="33">
        <f>Model!$D$17</f>
        <v>800</v>
      </c>
      <c r="G1630" s="36">
        <f t="shared" ca="1" si="27"/>
        <v>1789.4818994461148</v>
      </c>
    </row>
    <row r="1631" spans="1:7" x14ac:dyDescent="0.2">
      <c r="A1631" s="6">
        <f ca="1">Model!$F$13+RAND()*(Model!$G$13-Model!$F$13)</f>
        <v>1305.2702585116301</v>
      </c>
      <c r="B1631" s="31">
        <f ca="1">Model!$F$14+RAND()*(Model!$G$14-Model!$F$14)</f>
        <v>0.32969595477503261</v>
      </c>
      <c r="C1631" s="32">
        <f ca="1">Model!$F$15+RAND()*(Model!$G$15-Model!$F$15)</f>
        <v>1.0645650569092974E-2</v>
      </c>
      <c r="D1631" s="33">
        <f ca="1">Model!$F$16+RAND()*(Model!$G$16-Model!$F$16)</f>
        <v>50.198396317576758</v>
      </c>
      <c r="E1631" s="33">
        <f>Model!$D$17</f>
        <v>800</v>
      </c>
      <c r="G1631" s="36">
        <f t="shared" ca="1" si="27"/>
        <v>-532.81296427879772</v>
      </c>
    </row>
    <row r="1632" spans="1:7" x14ac:dyDescent="0.2">
      <c r="A1632" s="6">
        <f ca="1">Model!$F$13+RAND()*(Model!$G$13-Model!$F$13)</f>
        <v>1700.5959697193164</v>
      </c>
      <c r="B1632" s="31">
        <f ca="1">Model!$F$14+RAND()*(Model!$G$14-Model!$F$14)</f>
        <v>0.56063823499408749</v>
      </c>
      <c r="C1632" s="32">
        <f ca="1">Model!$F$15+RAND()*(Model!$G$15-Model!$F$15)</f>
        <v>2.8039435043417452E-2</v>
      </c>
      <c r="D1632" s="33">
        <f ca="1">Model!$F$16+RAND()*(Model!$G$16-Model!$F$16)</f>
        <v>47.749165577099426</v>
      </c>
      <c r="E1632" s="33">
        <f>Model!$D$17</f>
        <v>800</v>
      </c>
      <c r="G1632" s="36">
        <f t="shared" ca="1" si="27"/>
        <v>523.4401620743472</v>
      </c>
    </row>
    <row r="1633" spans="1:7" x14ac:dyDescent="0.2">
      <c r="A1633" s="6">
        <f ca="1">Model!$F$13+RAND()*(Model!$G$13-Model!$F$13)</f>
        <v>1721.9277822844927</v>
      </c>
      <c r="B1633" s="31">
        <f ca="1">Model!$F$14+RAND()*(Model!$G$14-Model!$F$14)</f>
        <v>0.39457503694261709</v>
      </c>
      <c r="C1633" s="32">
        <f ca="1">Model!$F$15+RAND()*(Model!$G$15-Model!$F$15)</f>
        <v>1.0040958977698029E-2</v>
      </c>
      <c r="D1633" s="33">
        <f ca="1">Model!$F$16+RAND()*(Model!$G$16-Model!$F$16)</f>
        <v>47.409250538309607</v>
      </c>
      <c r="E1633" s="33">
        <f>Model!$D$17</f>
        <v>800</v>
      </c>
      <c r="G1633" s="36">
        <f t="shared" ca="1" si="27"/>
        <v>-659.73296325236095</v>
      </c>
    </row>
    <row r="1634" spans="1:7" x14ac:dyDescent="0.2">
      <c r="A1634" s="6">
        <f ca="1">Model!$F$13+RAND()*(Model!$G$13-Model!$F$13)</f>
        <v>1384.8318295678002</v>
      </c>
      <c r="B1634" s="31">
        <f ca="1">Model!$F$14+RAND()*(Model!$G$14-Model!$F$14)</f>
        <v>0.71202986689909653</v>
      </c>
      <c r="C1634" s="32">
        <f ca="1">Model!$F$15+RAND()*(Model!$G$15-Model!$F$15)</f>
        <v>1.8045730649250087E-2</v>
      </c>
      <c r="D1634" s="33">
        <f ca="1">Model!$F$16+RAND()*(Model!$G$16-Model!$F$16)</f>
        <v>47.008746901171413</v>
      </c>
      <c r="E1634" s="33">
        <f>Model!$D$17</f>
        <v>800</v>
      </c>
      <c r="G1634" s="36">
        <f t="shared" ca="1" si="27"/>
        <v>-611.27883260951558</v>
      </c>
    </row>
    <row r="1635" spans="1:7" x14ac:dyDescent="0.2">
      <c r="A1635" s="6">
        <f ca="1">Model!$F$13+RAND()*(Model!$G$13-Model!$F$13)</f>
        <v>1410.6067894992775</v>
      </c>
      <c r="B1635" s="31">
        <f ca="1">Model!$F$14+RAND()*(Model!$G$14-Model!$F$14)</f>
        <v>0.28965666149618441</v>
      </c>
      <c r="C1635" s="32">
        <f ca="1">Model!$F$15+RAND()*(Model!$G$15-Model!$F$15)</f>
        <v>4.3250804677061674E-2</v>
      </c>
      <c r="D1635" s="33">
        <f ca="1">Model!$F$16+RAND()*(Model!$G$16-Model!$F$16)</f>
        <v>49.985080262849642</v>
      </c>
      <c r="E1635" s="33">
        <f>Model!$D$17</f>
        <v>800</v>
      </c>
      <c r="G1635" s="36">
        <f t="shared" ca="1" si="27"/>
        <v>1840.992031754095</v>
      </c>
    </row>
    <row r="1636" spans="1:7" x14ac:dyDescent="0.2">
      <c r="A1636" s="6">
        <f ca="1">Model!$F$13+RAND()*(Model!$G$13-Model!$F$13)</f>
        <v>1426.5368042812177</v>
      </c>
      <c r="B1636" s="31">
        <f ca="1">Model!$F$14+RAND()*(Model!$G$14-Model!$F$14)</f>
        <v>0.20047874243465544</v>
      </c>
      <c r="C1636" s="32">
        <f ca="1">Model!$F$15+RAND()*(Model!$G$15-Model!$F$15)</f>
        <v>3.7984146899235655E-2</v>
      </c>
      <c r="D1636" s="33">
        <f ca="1">Model!$F$16+RAND()*(Model!$G$16-Model!$F$16)</f>
        <v>49.785938171753152</v>
      </c>
      <c r="E1636" s="33">
        <f>Model!$D$17</f>
        <v>800</v>
      </c>
      <c r="G1636" s="36">
        <f t="shared" ca="1" si="27"/>
        <v>1611.6997641025166</v>
      </c>
    </row>
    <row r="1637" spans="1:7" x14ac:dyDescent="0.2">
      <c r="A1637" s="6">
        <f ca="1">Model!$F$13+RAND()*(Model!$G$13-Model!$F$13)</f>
        <v>1346.7594532211008</v>
      </c>
      <c r="B1637" s="31">
        <f ca="1">Model!$F$14+RAND()*(Model!$G$14-Model!$F$14)</f>
        <v>0.73638563958499814</v>
      </c>
      <c r="C1637" s="32">
        <f ca="1">Model!$F$15+RAND()*(Model!$G$15-Model!$F$15)</f>
        <v>3.6444505605915598E-2</v>
      </c>
      <c r="D1637" s="33">
        <f ca="1">Model!$F$16+RAND()*(Model!$G$16-Model!$F$16)</f>
        <v>51.719171775852338</v>
      </c>
      <c r="E1637" s="33">
        <f>Model!$D$17</f>
        <v>800</v>
      </c>
      <c r="G1637" s="36">
        <f t="shared" ca="1" si="27"/>
        <v>746.7451597278814</v>
      </c>
    </row>
    <row r="1638" spans="1:7" x14ac:dyDescent="0.2">
      <c r="A1638" s="6">
        <f ca="1">Model!$F$13+RAND()*(Model!$G$13-Model!$F$13)</f>
        <v>1669.6422275460968</v>
      </c>
      <c r="B1638" s="31">
        <f ca="1">Model!$F$14+RAND()*(Model!$G$14-Model!$F$14)</f>
        <v>0.67306744928406448</v>
      </c>
      <c r="C1638" s="32">
        <f ca="1">Model!$F$15+RAND()*(Model!$G$15-Model!$F$15)</f>
        <v>1.1729130536996295E-2</v>
      </c>
      <c r="D1638" s="33">
        <f ca="1">Model!$F$16+RAND()*(Model!$G$16-Model!$F$16)</f>
        <v>51.734926760467538</v>
      </c>
      <c r="E1638" s="33">
        <f>Model!$D$17</f>
        <v>800</v>
      </c>
      <c r="G1638" s="36">
        <f t="shared" ca="1" si="27"/>
        <v>-910.63339915564268</v>
      </c>
    </row>
    <row r="1639" spans="1:7" x14ac:dyDescent="0.2">
      <c r="A1639" s="6">
        <f ca="1">Model!$F$13+RAND()*(Model!$G$13-Model!$F$13)</f>
        <v>1745.104283472622</v>
      </c>
      <c r="B1639" s="31">
        <f ca="1">Model!$F$14+RAND()*(Model!$G$14-Model!$F$14)</f>
        <v>0.29124830597938189</v>
      </c>
      <c r="C1639" s="32">
        <f ca="1">Model!$F$15+RAND()*(Model!$G$15-Model!$F$15)</f>
        <v>1.2368776681786584E-2</v>
      </c>
      <c r="D1639" s="33">
        <f ca="1">Model!$F$16+RAND()*(Model!$G$16-Model!$F$16)</f>
        <v>52.525170013613241</v>
      </c>
      <c r="E1639" s="33">
        <f>Model!$D$17</f>
        <v>800</v>
      </c>
      <c r="G1639" s="36">
        <f t="shared" ca="1" si="27"/>
        <v>-174.51310512197119</v>
      </c>
    </row>
    <row r="1640" spans="1:7" x14ac:dyDescent="0.2">
      <c r="A1640" s="6">
        <f ca="1">Model!$F$13+RAND()*(Model!$G$13-Model!$F$13)</f>
        <v>1523.1732498428064</v>
      </c>
      <c r="B1640" s="31">
        <f ca="1">Model!$F$14+RAND()*(Model!$G$14-Model!$F$14)</f>
        <v>0.68945347680161029</v>
      </c>
      <c r="C1640" s="32">
        <f ca="1">Model!$F$15+RAND()*(Model!$G$15-Model!$F$15)</f>
        <v>1.4073610620432983E-2</v>
      </c>
      <c r="D1640" s="33">
        <f ca="1">Model!$F$16+RAND()*(Model!$G$16-Model!$F$16)</f>
        <v>52.798923393901248</v>
      </c>
      <c r="E1640" s="33">
        <f>Model!$D$17</f>
        <v>800</v>
      </c>
      <c r="G1640" s="36">
        <f t="shared" ca="1" si="27"/>
        <v>-718.33047807336106</v>
      </c>
    </row>
    <row r="1641" spans="1:7" x14ac:dyDescent="0.2">
      <c r="A1641" s="6">
        <f ca="1">Model!$F$13+RAND()*(Model!$G$13-Model!$F$13)</f>
        <v>1203.7519277251315</v>
      </c>
      <c r="B1641" s="31">
        <f ca="1">Model!$F$14+RAND()*(Model!$G$14-Model!$F$14)</f>
        <v>0.76320457717619394</v>
      </c>
      <c r="C1641" s="32">
        <f ca="1">Model!$F$15+RAND()*(Model!$G$15-Model!$F$15)</f>
        <v>4.1487185607481401E-2</v>
      </c>
      <c r="D1641" s="33">
        <f ca="1">Model!$F$16+RAND()*(Model!$G$16-Model!$F$16)</f>
        <v>47.979143143208638</v>
      </c>
      <c r="E1641" s="33">
        <f>Model!$D$17</f>
        <v>800</v>
      </c>
      <c r="G1641" s="36">
        <f t="shared" ref="G1641:G1704" ca="1" si="28">A1641*C1641*D1641-(E1641+A1641*B1641)</f>
        <v>677.3828449577245</v>
      </c>
    </row>
    <row r="1642" spans="1:7" x14ac:dyDescent="0.2">
      <c r="A1642" s="6">
        <f ca="1">Model!$F$13+RAND()*(Model!$G$13-Model!$F$13)</f>
        <v>1229.6591746955989</v>
      </c>
      <c r="B1642" s="31">
        <f ca="1">Model!$F$14+RAND()*(Model!$G$14-Model!$F$14)</f>
        <v>0.27223677285014092</v>
      </c>
      <c r="C1642" s="32">
        <f ca="1">Model!$F$15+RAND()*(Model!$G$15-Model!$F$15)</f>
        <v>1.6583978330623955E-2</v>
      </c>
      <c r="D1642" s="33">
        <f ca="1">Model!$F$16+RAND()*(Model!$G$16-Model!$F$16)</f>
        <v>51.516617961132113</v>
      </c>
      <c r="E1642" s="33">
        <f>Model!$D$17</f>
        <v>800</v>
      </c>
      <c r="G1642" s="36">
        <f t="shared" ca="1" si="28"/>
        <v>-84.198544286352444</v>
      </c>
    </row>
    <row r="1643" spans="1:7" x14ac:dyDescent="0.2">
      <c r="A1643" s="6">
        <f ca="1">Model!$F$13+RAND()*(Model!$G$13-Model!$F$13)</f>
        <v>1202.2980336245246</v>
      </c>
      <c r="B1643" s="31">
        <f ca="1">Model!$F$14+RAND()*(Model!$G$14-Model!$F$14)</f>
        <v>0.26993886449089977</v>
      </c>
      <c r="C1643" s="32">
        <f ca="1">Model!$F$15+RAND()*(Model!$G$15-Model!$F$15)</f>
        <v>4.0571520167348933E-2</v>
      </c>
      <c r="D1643" s="33">
        <f ca="1">Model!$F$16+RAND()*(Model!$G$16-Model!$F$16)</f>
        <v>49.816187253832744</v>
      </c>
      <c r="E1643" s="33">
        <f>Model!$D$17</f>
        <v>800</v>
      </c>
      <c r="G1643" s="36">
        <f t="shared" ca="1" si="28"/>
        <v>1305.4397671665843</v>
      </c>
    </row>
    <row r="1644" spans="1:7" x14ac:dyDescent="0.2">
      <c r="A1644" s="6">
        <f ca="1">Model!$F$13+RAND()*(Model!$G$13-Model!$F$13)</f>
        <v>1736.8272971814056</v>
      </c>
      <c r="B1644" s="31">
        <f ca="1">Model!$F$14+RAND()*(Model!$G$14-Model!$F$14)</f>
        <v>0.33384800953060301</v>
      </c>
      <c r="C1644" s="32">
        <f ca="1">Model!$F$15+RAND()*(Model!$G$15-Model!$F$15)</f>
        <v>2.1541544690297933E-2</v>
      </c>
      <c r="D1644" s="33">
        <f ca="1">Model!$F$16+RAND()*(Model!$G$16-Model!$F$16)</f>
        <v>49.8428306728539</v>
      </c>
      <c r="E1644" s="33">
        <f>Model!$D$17</f>
        <v>800</v>
      </c>
      <c r="G1644" s="36">
        <f t="shared" ca="1" si="28"/>
        <v>484.98048179341026</v>
      </c>
    </row>
    <row r="1645" spans="1:7" x14ac:dyDescent="0.2">
      <c r="A1645" s="6">
        <f ca="1">Model!$F$13+RAND()*(Model!$G$13-Model!$F$13)</f>
        <v>1482.5363598823506</v>
      </c>
      <c r="B1645" s="31">
        <f ca="1">Model!$F$14+RAND()*(Model!$G$14-Model!$F$14)</f>
        <v>0.52555933462417614</v>
      </c>
      <c r="C1645" s="32">
        <f ca="1">Model!$F$15+RAND()*(Model!$G$15-Model!$F$15)</f>
        <v>2.7176170757213944E-2</v>
      </c>
      <c r="D1645" s="33">
        <f ca="1">Model!$F$16+RAND()*(Model!$G$16-Model!$F$16)</f>
        <v>50.30519110569896</v>
      </c>
      <c r="E1645" s="33">
        <f>Model!$D$17</f>
        <v>800</v>
      </c>
      <c r="G1645" s="36">
        <f t="shared" ca="1" si="28"/>
        <v>447.61828691235087</v>
      </c>
    </row>
    <row r="1646" spans="1:7" x14ac:dyDescent="0.2">
      <c r="A1646" s="6">
        <f ca="1">Model!$F$13+RAND()*(Model!$G$13-Model!$F$13)</f>
        <v>1541.6256502282706</v>
      </c>
      <c r="B1646" s="31">
        <f ca="1">Model!$F$14+RAND()*(Model!$G$14-Model!$F$14)</f>
        <v>0.63315050753131985</v>
      </c>
      <c r="C1646" s="32">
        <f ca="1">Model!$F$15+RAND()*(Model!$G$15-Model!$F$15)</f>
        <v>4.9571865924337363E-2</v>
      </c>
      <c r="D1646" s="33">
        <f ca="1">Model!$F$16+RAND()*(Model!$G$16-Model!$F$16)</f>
        <v>47.351121739167432</v>
      </c>
      <c r="E1646" s="33">
        <f>Model!$D$17</f>
        <v>800</v>
      </c>
      <c r="G1646" s="36">
        <f t="shared" ca="1" si="28"/>
        <v>1842.5513246846579</v>
      </c>
    </row>
    <row r="1647" spans="1:7" x14ac:dyDescent="0.2">
      <c r="A1647" s="6">
        <f ca="1">Model!$F$13+RAND()*(Model!$G$13-Model!$F$13)</f>
        <v>1352.0707611236601</v>
      </c>
      <c r="B1647" s="31">
        <f ca="1">Model!$F$14+RAND()*(Model!$G$14-Model!$F$14)</f>
        <v>0.58363444179632662</v>
      </c>
      <c r="C1647" s="32">
        <f ca="1">Model!$F$15+RAND()*(Model!$G$15-Model!$F$15)</f>
        <v>2.1422201856660786E-2</v>
      </c>
      <c r="D1647" s="33">
        <f ca="1">Model!$F$16+RAND()*(Model!$G$16-Model!$F$16)</f>
        <v>51.844506127753043</v>
      </c>
      <c r="E1647" s="33">
        <f>Model!$D$17</f>
        <v>800</v>
      </c>
      <c r="G1647" s="36">
        <f t="shared" ca="1" si="28"/>
        <v>-87.473536194324879</v>
      </c>
    </row>
    <row r="1648" spans="1:7" x14ac:dyDescent="0.2">
      <c r="A1648" s="6">
        <f ca="1">Model!$F$13+RAND()*(Model!$G$13-Model!$F$13)</f>
        <v>1636.676527054665</v>
      </c>
      <c r="B1648" s="31">
        <f ca="1">Model!$F$14+RAND()*(Model!$G$14-Model!$F$14)</f>
        <v>0.74583217319253325</v>
      </c>
      <c r="C1648" s="32">
        <f ca="1">Model!$F$15+RAND()*(Model!$G$15-Model!$F$15)</f>
        <v>1.6151639011030769E-2</v>
      </c>
      <c r="D1648" s="33">
        <f ca="1">Model!$F$16+RAND()*(Model!$G$16-Model!$F$16)</f>
        <v>49.422226666226607</v>
      </c>
      <c r="E1648" s="33">
        <f>Model!$D$17</f>
        <v>800</v>
      </c>
      <c r="G1648" s="36">
        <f t="shared" ca="1" si="28"/>
        <v>-714.2090318019973</v>
      </c>
    </row>
    <row r="1649" spans="1:7" x14ac:dyDescent="0.2">
      <c r="A1649" s="6">
        <f ca="1">Model!$F$13+RAND()*(Model!$G$13-Model!$F$13)</f>
        <v>1610.271069086752</v>
      </c>
      <c r="B1649" s="31">
        <f ca="1">Model!$F$14+RAND()*(Model!$G$14-Model!$F$14)</f>
        <v>0.40899719840555376</v>
      </c>
      <c r="C1649" s="32">
        <f ca="1">Model!$F$15+RAND()*(Model!$G$15-Model!$F$15)</f>
        <v>3.3301893752931966E-2</v>
      </c>
      <c r="D1649" s="33">
        <f ca="1">Model!$F$16+RAND()*(Model!$G$16-Model!$F$16)</f>
        <v>51.160464314951142</v>
      </c>
      <c r="E1649" s="33">
        <f>Model!$D$17</f>
        <v>800</v>
      </c>
      <c r="G1649" s="36">
        <f t="shared" ca="1" si="28"/>
        <v>1284.8874340270613</v>
      </c>
    </row>
    <row r="1650" spans="1:7" x14ac:dyDescent="0.2">
      <c r="A1650" s="6">
        <f ca="1">Model!$F$13+RAND()*(Model!$G$13-Model!$F$13)</f>
        <v>1641.136763281942</v>
      </c>
      <c r="B1650" s="31">
        <f ca="1">Model!$F$14+RAND()*(Model!$G$14-Model!$F$14)</f>
        <v>0.41316835649558065</v>
      </c>
      <c r="C1650" s="32">
        <f ca="1">Model!$F$15+RAND()*(Model!$G$15-Model!$F$15)</f>
        <v>4.5893090332050281E-2</v>
      </c>
      <c r="D1650" s="33">
        <f ca="1">Model!$F$16+RAND()*(Model!$G$16-Model!$F$16)</f>
        <v>51.953119586601268</v>
      </c>
      <c r="E1650" s="33">
        <f>Model!$D$17</f>
        <v>800</v>
      </c>
      <c r="G1650" s="36">
        <f t="shared" ca="1" si="28"/>
        <v>2434.8788979183446</v>
      </c>
    </row>
    <row r="1651" spans="1:7" x14ac:dyDescent="0.2">
      <c r="A1651" s="6">
        <f ca="1">Model!$F$13+RAND()*(Model!$G$13-Model!$F$13)</f>
        <v>1580.8643767143485</v>
      </c>
      <c r="B1651" s="31">
        <f ca="1">Model!$F$14+RAND()*(Model!$G$14-Model!$F$14)</f>
        <v>0.59355920459270572</v>
      </c>
      <c r="C1651" s="32">
        <f ca="1">Model!$F$15+RAND()*(Model!$G$15-Model!$F$15)</f>
        <v>2.4153975035370923E-2</v>
      </c>
      <c r="D1651" s="33">
        <f ca="1">Model!$F$16+RAND()*(Model!$G$16-Model!$F$16)</f>
        <v>51.607388007884943</v>
      </c>
      <c r="E1651" s="33">
        <f>Model!$D$17</f>
        <v>800</v>
      </c>
      <c r="G1651" s="36">
        <f t="shared" ca="1" si="28"/>
        <v>232.24809123038995</v>
      </c>
    </row>
    <row r="1652" spans="1:7" x14ac:dyDescent="0.2">
      <c r="A1652" s="6">
        <f ca="1">Model!$F$13+RAND()*(Model!$G$13-Model!$F$13)</f>
        <v>1433.3430512406362</v>
      </c>
      <c r="B1652" s="31">
        <f ca="1">Model!$F$14+RAND()*(Model!$G$14-Model!$F$14)</f>
        <v>0.46343359873016005</v>
      </c>
      <c r="C1652" s="32">
        <f ca="1">Model!$F$15+RAND()*(Model!$G$15-Model!$F$15)</f>
        <v>2.2515806741787846E-2</v>
      </c>
      <c r="D1652" s="33">
        <f ca="1">Model!$F$16+RAND()*(Model!$G$16-Model!$F$16)</f>
        <v>51.602425621620121</v>
      </c>
      <c r="E1652" s="33">
        <f>Model!$D$17</f>
        <v>800</v>
      </c>
      <c r="G1652" s="36">
        <f t="shared" ca="1" si="28"/>
        <v>201.09931037156161</v>
      </c>
    </row>
    <row r="1653" spans="1:7" x14ac:dyDescent="0.2">
      <c r="A1653" s="6">
        <f ca="1">Model!$F$13+RAND()*(Model!$G$13-Model!$F$13)</f>
        <v>1286.1684863489691</v>
      </c>
      <c r="B1653" s="31">
        <f ca="1">Model!$F$14+RAND()*(Model!$G$14-Model!$F$14)</f>
        <v>0.34407393212872628</v>
      </c>
      <c r="C1653" s="32">
        <f ca="1">Model!$F$15+RAND()*(Model!$G$15-Model!$F$15)</f>
        <v>2.5282259979220914E-2</v>
      </c>
      <c r="D1653" s="33">
        <f ca="1">Model!$F$16+RAND()*(Model!$G$16-Model!$F$16)</f>
        <v>47.985622516844494</v>
      </c>
      <c r="E1653" s="33">
        <f>Model!$D$17</f>
        <v>800</v>
      </c>
      <c r="G1653" s="36">
        <f t="shared" ca="1" si="28"/>
        <v>317.82324571439881</v>
      </c>
    </row>
    <row r="1654" spans="1:7" x14ac:dyDescent="0.2">
      <c r="A1654" s="6">
        <f ca="1">Model!$F$13+RAND()*(Model!$G$13-Model!$F$13)</f>
        <v>1273.3134648160096</v>
      </c>
      <c r="B1654" s="31">
        <f ca="1">Model!$F$14+RAND()*(Model!$G$14-Model!$F$14)</f>
        <v>0.36350951940773446</v>
      </c>
      <c r="C1654" s="32">
        <f ca="1">Model!$F$15+RAND()*(Model!$G$15-Model!$F$15)</f>
        <v>2.0308048937250335E-2</v>
      </c>
      <c r="D1654" s="33">
        <f ca="1">Model!$F$16+RAND()*(Model!$G$16-Model!$F$16)</f>
        <v>50.943091752725067</v>
      </c>
      <c r="E1654" s="33">
        <f>Model!$D$17</f>
        <v>800</v>
      </c>
      <c r="G1654" s="36">
        <f t="shared" ca="1" si="28"/>
        <v>54.450991698511416</v>
      </c>
    </row>
    <row r="1655" spans="1:7" x14ac:dyDescent="0.2">
      <c r="A1655" s="6">
        <f ca="1">Model!$F$13+RAND()*(Model!$G$13-Model!$F$13)</f>
        <v>1238.2292499171942</v>
      </c>
      <c r="B1655" s="31">
        <f ca="1">Model!$F$14+RAND()*(Model!$G$14-Model!$F$14)</f>
        <v>0.20172588806004921</v>
      </c>
      <c r="C1655" s="32">
        <f ca="1">Model!$F$15+RAND()*(Model!$G$15-Model!$F$15)</f>
        <v>3.7645246135352591E-2</v>
      </c>
      <c r="D1655" s="33">
        <f ca="1">Model!$F$16+RAND()*(Model!$G$16-Model!$F$16)</f>
        <v>52.801549565836844</v>
      </c>
      <c r="E1655" s="33">
        <f>Model!$D$17</f>
        <v>800</v>
      </c>
      <c r="G1655" s="36">
        <f t="shared" ca="1" si="28"/>
        <v>1411.4792254748988</v>
      </c>
    </row>
    <row r="1656" spans="1:7" x14ac:dyDescent="0.2">
      <c r="A1656" s="6">
        <f ca="1">Model!$F$13+RAND()*(Model!$G$13-Model!$F$13)</f>
        <v>1692.5993598340294</v>
      </c>
      <c r="B1656" s="31">
        <f ca="1">Model!$F$14+RAND()*(Model!$G$14-Model!$F$14)</f>
        <v>0.39658033848909591</v>
      </c>
      <c r="C1656" s="32">
        <f ca="1">Model!$F$15+RAND()*(Model!$G$15-Model!$F$15)</f>
        <v>1.166171580710524E-2</v>
      </c>
      <c r="D1656" s="33">
        <f ca="1">Model!$F$16+RAND()*(Model!$G$16-Model!$F$16)</f>
        <v>52.177803870484837</v>
      </c>
      <c r="E1656" s="33">
        <f>Model!$D$17</f>
        <v>800</v>
      </c>
      <c r="G1656" s="36">
        <f t="shared" ca="1" si="28"/>
        <v>-441.33416440864448</v>
      </c>
    </row>
    <row r="1657" spans="1:7" x14ac:dyDescent="0.2">
      <c r="A1657" s="6">
        <f ca="1">Model!$F$13+RAND()*(Model!$G$13-Model!$F$13)</f>
        <v>1470.4082304056117</v>
      </c>
      <c r="B1657" s="31">
        <f ca="1">Model!$F$14+RAND()*(Model!$G$14-Model!$F$14)</f>
        <v>0.47511086296488619</v>
      </c>
      <c r="C1657" s="32">
        <f ca="1">Model!$F$15+RAND()*(Model!$G$15-Model!$F$15)</f>
        <v>1.2906219936434003E-2</v>
      </c>
      <c r="D1657" s="33">
        <f ca="1">Model!$F$16+RAND()*(Model!$G$16-Model!$F$16)</f>
        <v>51.878589565677593</v>
      </c>
      <c r="E1657" s="33">
        <f>Model!$D$17</f>
        <v>800</v>
      </c>
      <c r="G1657" s="36">
        <f t="shared" ca="1" si="28"/>
        <v>-514.08555416030447</v>
      </c>
    </row>
    <row r="1658" spans="1:7" x14ac:dyDescent="0.2">
      <c r="A1658" s="6">
        <f ca="1">Model!$F$13+RAND()*(Model!$G$13-Model!$F$13)</f>
        <v>1549.8826526476967</v>
      </c>
      <c r="B1658" s="31">
        <f ca="1">Model!$F$14+RAND()*(Model!$G$14-Model!$F$14)</f>
        <v>0.29861691270047352</v>
      </c>
      <c r="C1658" s="32">
        <f ca="1">Model!$F$15+RAND()*(Model!$G$15-Model!$F$15)</f>
        <v>1.1759130270720232E-2</v>
      </c>
      <c r="D1658" s="33">
        <f ca="1">Model!$F$16+RAND()*(Model!$G$16-Model!$F$16)</f>
        <v>50.260651359423811</v>
      </c>
      <c r="E1658" s="33">
        <f>Model!$D$17</f>
        <v>800</v>
      </c>
      <c r="G1658" s="36">
        <f t="shared" ca="1" si="28"/>
        <v>-346.80713001393929</v>
      </c>
    </row>
    <row r="1659" spans="1:7" x14ac:dyDescent="0.2">
      <c r="A1659" s="6">
        <f ca="1">Model!$F$13+RAND()*(Model!$G$13-Model!$F$13)</f>
        <v>1386.0996715993799</v>
      </c>
      <c r="B1659" s="31">
        <f ca="1">Model!$F$14+RAND()*(Model!$G$14-Model!$F$14)</f>
        <v>0.24455542879891998</v>
      </c>
      <c r="C1659" s="32">
        <f ca="1">Model!$F$15+RAND()*(Model!$G$15-Model!$F$15)</f>
        <v>2.3578392766023651E-2</v>
      </c>
      <c r="D1659" s="33">
        <f ca="1">Model!$F$16+RAND()*(Model!$G$16-Model!$F$16)</f>
        <v>51.13853351122733</v>
      </c>
      <c r="E1659" s="33">
        <f>Model!$D$17</f>
        <v>800</v>
      </c>
      <c r="G1659" s="36">
        <f t="shared" ca="1" si="28"/>
        <v>532.33147897121239</v>
      </c>
    </row>
    <row r="1660" spans="1:7" x14ac:dyDescent="0.2">
      <c r="A1660" s="6">
        <f ca="1">Model!$F$13+RAND()*(Model!$G$13-Model!$F$13)</f>
        <v>1727.0266317998894</v>
      </c>
      <c r="B1660" s="31">
        <f ca="1">Model!$F$14+RAND()*(Model!$G$14-Model!$F$14)</f>
        <v>0.73959570612225667</v>
      </c>
      <c r="C1660" s="32">
        <f ca="1">Model!$F$15+RAND()*(Model!$G$15-Model!$F$15)</f>
        <v>1.6994310262355865E-2</v>
      </c>
      <c r="D1660" s="33">
        <f ca="1">Model!$F$16+RAND()*(Model!$G$16-Model!$F$16)</f>
        <v>47.212762865991017</v>
      </c>
      <c r="E1660" s="33">
        <f>Model!$D$17</f>
        <v>800</v>
      </c>
      <c r="G1660" s="36">
        <f t="shared" ca="1" si="28"/>
        <v>-691.62452923530395</v>
      </c>
    </row>
    <row r="1661" spans="1:7" x14ac:dyDescent="0.2">
      <c r="A1661" s="6">
        <f ca="1">Model!$F$13+RAND()*(Model!$G$13-Model!$F$13)</f>
        <v>1728.566947217874</v>
      </c>
      <c r="B1661" s="31">
        <f ca="1">Model!$F$14+RAND()*(Model!$G$14-Model!$F$14)</f>
        <v>0.79220382305893322</v>
      </c>
      <c r="C1661" s="32">
        <f ca="1">Model!$F$15+RAND()*(Model!$G$15-Model!$F$15)</f>
        <v>3.9376177776709022E-2</v>
      </c>
      <c r="D1661" s="33">
        <f ca="1">Model!$F$16+RAND()*(Model!$G$16-Model!$F$16)</f>
        <v>52.420917473131595</v>
      </c>
      <c r="E1661" s="33">
        <f>Model!$D$17</f>
        <v>800</v>
      </c>
      <c r="G1661" s="36">
        <f t="shared" ca="1" si="28"/>
        <v>1398.6188236298599</v>
      </c>
    </row>
    <row r="1662" spans="1:7" x14ac:dyDescent="0.2">
      <c r="A1662" s="6">
        <f ca="1">Model!$F$13+RAND()*(Model!$G$13-Model!$F$13)</f>
        <v>1642.1109076391879</v>
      </c>
      <c r="B1662" s="31">
        <f ca="1">Model!$F$14+RAND()*(Model!$G$14-Model!$F$14)</f>
        <v>0.65569973117946057</v>
      </c>
      <c r="C1662" s="32">
        <f ca="1">Model!$F$15+RAND()*(Model!$G$15-Model!$F$15)</f>
        <v>2.6245775907559298E-2</v>
      </c>
      <c r="D1662" s="33">
        <f ca="1">Model!$F$16+RAND()*(Model!$G$16-Model!$F$16)</f>
        <v>50.918221242521881</v>
      </c>
      <c r="E1662" s="33">
        <f>Model!$D$17</f>
        <v>800</v>
      </c>
      <c r="G1662" s="36">
        <f t="shared" ca="1" si="28"/>
        <v>317.76599932792806</v>
      </c>
    </row>
    <row r="1663" spans="1:7" x14ac:dyDescent="0.2">
      <c r="A1663" s="6">
        <f ca="1">Model!$F$13+RAND()*(Model!$G$13-Model!$F$13)</f>
        <v>1490.8786995995083</v>
      </c>
      <c r="B1663" s="31">
        <f ca="1">Model!$F$14+RAND()*(Model!$G$14-Model!$F$14)</f>
        <v>0.32113397881367162</v>
      </c>
      <c r="C1663" s="32">
        <f ca="1">Model!$F$15+RAND()*(Model!$G$15-Model!$F$15)</f>
        <v>3.2293633587562022E-2</v>
      </c>
      <c r="D1663" s="33">
        <f ca="1">Model!$F$16+RAND()*(Model!$G$16-Model!$F$16)</f>
        <v>50.148294045560696</v>
      </c>
      <c r="E1663" s="33">
        <f>Model!$D$17</f>
        <v>800</v>
      </c>
      <c r="G1663" s="36">
        <f t="shared" ca="1" si="28"/>
        <v>1135.6624625591417</v>
      </c>
    </row>
    <row r="1664" spans="1:7" x14ac:dyDescent="0.2">
      <c r="A1664" s="6">
        <f ca="1">Model!$F$13+RAND()*(Model!$G$13-Model!$F$13)</f>
        <v>1631.3189630773336</v>
      </c>
      <c r="B1664" s="31">
        <f ca="1">Model!$F$14+RAND()*(Model!$G$14-Model!$F$14)</f>
        <v>0.39989565141078515</v>
      </c>
      <c r="C1664" s="32">
        <f ca="1">Model!$F$15+RAND()*(Model!$G$15-Model!$F$15)</f>
        <v>3.6774117425787109E-2</v>
      </c>
      <c r="D1664" s="33">
        <f ca="1">Model!$F$16+RAND()*(Model!$G$16-Model!$F$16)</f>
        <v>47.334205243987071</v>
      </c>
      <c r="E1664" s="33">
        <f>Model!$D$17</f>
        <v>800</v>
      </c>
      <c r="G1664" s="36">
        <f t="shared" ca="1" si="28"/>
        <v>1387.236528533258</v>
      </c>
    </row>
    <row r="1665" spans="1:7" x14ac:dyDescent="0.2">
      <c r="A1665" s="6">
        <f ca="1">Model!$F$13+RAND()*(Model!$G$13-Model!$F$13)</f>
        <v>1492.8440538796783</v>
      </c>
      <c r="B1665" s="31">
        <f ca="1">Model!$F$14+RAND()*(Model!$G$14-Model!$F$14)</f>
        <v>0.64805484907282063</v>
      </c>
      <c r="C1665" s="32">
        <f ca="1">Model!$F$15+RAND()*(Model!$G$15-Model!$F$15)</f>
        <v>2.8055271280665893E-2</v>
      </c>
      <c r="D1665" s="33">
        <f ca="1">Model!$F$16+RAND()*(Model!$G$16-Model!$F$16)</f>
        <v>47.575121123325637</v>
      </c>
      <c r="E1665" s="33">
        <f>Model!$D$17</f>
        <v>800</v>
      </c>
      <c r="G1665" s="36">
        <f t="shared" ca="1" si="28"/>
        <v>225.10328903463392</v>
      </c>
    </row>
    <row r="1666" spans="1:7" x14ac:dyDescent="0.2">
      <c r="A1666" s="6">
        <f ca="1">Model!$F$13+RAND()*(Model!$G$13-Model!$F$13)</f>
        <v>1692.6985345463681</v>
      </c>
      <c r="B1666" s="31">
        <f ca="1">Model!$F$14+RAND()*(Model!$G$14-Model!$F$14)</f>
        <v>0.48203284484901548</v>
      </c>
      <c r="C1666" s="32">
        <f ca="1">Model!$F$15+RAND()*(Model!$G$15-Model!$F$15)</f>
        <v>4.7757199924068218E-2</v>
      </c>
      <c r="D1666" s="33">
        <f ca="1">Model!$F$16+RAND()*(Model!$G$16-Model!$F$16)</f>
        <v>50.538398137403227</v>
      </c>
      <c r="E1666" s="33">
        <f>Model!$D$17</f>
        <v>800</v>
      </c>
      <c r="G1666" s="36">
        <f t="shared" ca="1" si="28"/>
        <v>2469.5141468147103</v>
      </c>
    </row>
    <row r="1667" spans="1:7" x14ac:dyDescent="0.2">
      <c r="A1667" s="6">
        <f ca="1">Model!$F$13+RAND()*(Model!$G$13-Model!$F$13)</f>
        <v>1501.3844732013074</v>
      </c>
      <c r="B1667" s="31">
        <f ca="1">Model!$F$14+RAND()*(Model!$G$14-Model!$F$14)</f>
        <v>0.41468973089501576</v>
      </c>
      <c r="C1667" s="32">
        <f ca="1">Model!$F$15+RAND()*(Model!$G$15-Model!$F$15)</f>
        <v>3.8947183141409207E-2</v>
      </c>
      <c r="D1667" s="33">
        <f ca="1">Model!$F$16+RAND()*(Model!$G$16-Model!$F$16)</f>
        <v>49.749185969594798</v>
      </c>
      <c r="E1667" s="33">
        <f>Model!$D$17</f>
        <v>800</v>
      </c>
      <c r="G1667" s="36">
        <f t="shared" ca="1" si="28"/>
        <v>1486.4598048187954</v>
      </c>
    </row>
    <row r="1668" spans="1:7" x14ac:dyDescent="0.2">
      <c r="A1668" s="6">
        <f ca="1">Model!$F$13+RAND()*(Model!$G$13-Model!$F$13)</f>
        <v>1381.6664410572528</v>
      </c>
      <c r="B1668" s="31">
        <f ca="1">Model!$F$14+RAND()*(Model!$G$14-Model!$F$14)</f>
        <v>0.66466955712376041</v>
      </c>
      <c r="C1668" s="32">
        <f ca="1">Model!$F$15+RAND()*(Model!$G$15-Model!$F$15)</f>
        <v>4.928260226095011E-2</v>
      </c>
      <c r="D1668" s="33">
        <f ca="1">Model!$F$16+RAND()*(Model!$G$16-Model!$F$16)</f>
        <v>50.682641899291959</v>
      </c>
      <c r="E1668" s="33">
        <f>Model!$D$17</f>
        <v>800</v>
      </c>
      <c r="G1668" s="36">
        <f t="shared" ca="1" si="28"/>
        <v>1732.7367946604422</v>
      </c>
    </row>
    <row r="1669" spans="1:7" x14ac:dyDescent="0.2">
      <c r="A1669" s="6">
        <f ca="1">Model!$F$13+RAND()*(Model!$G$13-Model!$F$13)</f>
        <v>1227.6585097970378</v>
      </c>
      <c r="B1669" s="31">
        <f ca="1">Model!$F$14+RAND()*(Model!$G$14-Model!$F$14)</f>
        <v>0.65832002410139867</v>
      </c>
      <c r="C1669" s="32">
        <f ca="1">Model!$F$15+RAND()*(Model!$G$15-Model!$F$15)</f>
        <v>1.4645161336356672E-2</v>
      </c>
      <c r="D1669" s="33">
        <f ca="1">Model!$F$16+RAND()*(Model!$G$16-Model!$F$16)</f>
        <v>51.199103589170903</v>
      </c>
      <c r="E1669" s="33">
        <f>Model!$D$17</f>
        <v>800</v>
      </c>
      <c r="G1669" s="36">
        <f t="shared" ca="1" si="28"/>
        <v>-687.67034113173884</v>
      </c>
    </row>
    <row r="1670" spans="1:7" x14ac:dyDescent="0.2">
      <c r="A1670" s="6">
        <f ca="1">Model!$F$13+RAND()*(Model!$G$13-Model!$F$13)</f>
        <v>1397.9944284546987</v>
      </c>
      <c r="B1670" s="31">
        <f ca="1">Model!$F$14+RAND()*(Model!$G$14-Model!$F$14)</f>
        <v>0.63557716257978902</v>
      </c>
      <c r="C1670" s="32">
        <f ca="1">Model!$F$15+RAND()*(Model!$G$15-Model!$F$15)</f>
        <v>4.8969657456553913E-2</v>
      </c>
      <c r="D1670" s="33">
        <f ca="1">Model!$F$16+RAND()*(Model!$G$16-Model!$F$16)</f>
        <v>51.204533984944582</v>
      </c>
      <c r="E1670" s="33">
        <f>Model!$D$17</f>
        <v>800</v>
      </c>
      <c r="G1670" s="36">
        <f t="shared" ca="1" si="28"/>
        <v>1816.8936456584913</v>
      </c>
    </row>
    <row r="1671" spans="1:7" x14ac:dyDescent="0.2">
      <c r="A1671" s="6">
        <f ca="1">Model!$F$13+RAND()*(Model!$G$13-Model!$F$13)</f>
        <v>1251.7107792324628</v>
      </c>
      <c r="B1671" s="31">
        <f ca="1">Model!$F$14+RAND()*(Model!$G$14-Model!$F$14)</f>
        <v>0.5558603565277489</v>
      </c>
      <c r="C1671" s="32">
        <f ca="1">Model!$F$15+RAND()*(Model!$G$15-Model!$F$15)</f>
        <v>2.2120518472297464E-2</v>
      </c>
      <c r="D1671" s="33">
        <f ca="1">Model!$F$16+RAND()*(Model!$G$16-Model!$F$16)</f>
        <v>49.665176758434221</v>
      </c>
      <c r="E1671" s="33">
        <f>Model!$D$17</f>
        <v>800</v>
      </c>
      <c r="G1671" s="36">
        <f t="shared" ca="1" si="28"/>
        <v>-120.62257976380283</v>
      </c>
    </row>
    <row r="1672" spans="1:7" x14ac:dyDescent="0.2">
      <c r="A1672" s="6">
        <f ca="1">Model!$F$13+RAND()*(Model!$G$13-Model!$F$13)</f>
        <v>1578.1775158130499</v>
      </c>
      <c r="B1672" s="31">
        <f ca="1">Model!$F$14+RAND()*(Model!$G$14-Model!$F$14)</f>
        <v>0.23088974649368568</v>
      </c>
      <c r="C1672" s="32">
        <f ca="1">Model!$F$15+RAND()*(Model!$G$15-Model!$F$15)</f>
        <v>1.8833700865937608E-2</v>
      </c>
      <c r="D1672" s="33">
        <f ca="1">Model!$F$16+RAND()*(Model!$G$16-Model!$F$16)</f>
        <v>48.444610008652951</v>
      </c>
      <c r="E1672" s="33">
        <f>Model!$D$17</f>
        <v>800</v>
      </c>
      <c r="G1672" s="36">
        <f t="shared" ca="1" si="28"/>
        <v>275.5304184297936</v>
      </c>
    </row>
    <row r="1673" spans="1:7" x14ac:dyDescent="0.2">
      <c r="A1673" s="6">
        <f ca="1">Model!$F$13+RAND()*(Model!$G$13-Model!$F$13)</f>
        <v>1265.4348525662663</v>
      </c>
      <c r="B1673" s="31">
        <f ca="1">Model!$F$14+RAND()*(Model!$G$14-Model!$F$14)</f>
        <v>0.3250213823498978</v>
      </c>
      <c r="C1673" s="32">
        <f ca="1">Model!$F$15+RAND()*(Model!$G$15-Model!$F$15)</f>
        <v>3.975532875372554E-2</v>
      </c>
      <c r="D1673" s="33">
        <f ca="1">Model!$F$16+RAND()*(Model!$G$16-Model!$F$16)</f>
        <v>47.333014189315527</v>
      </c>
      <c r="E1673" s="33">
        <f>Model!$D$17</f>
        <v>800</v>
      </c>
      <c r="G1673" s="36">
        <f t="shared" ca="1" si="28"/>
        <v>1169.9254123144451</v>
      </c>
    </row>
    <row r="1674" spans="1:7" x14ac:dyDescent="0.2">
      <c r="A1674" s="6">
        <f ca="1">Model!$F$13+RAND()*(Model!$G$13-Model!$F$13)</f>
        <v>1743.3843319311632</v>
      </c>
      <c r="B1674" s="31">
        <f ca="1">Model!$F$14+RAND()*(Model!$G$14-Model!$F$14)</f>
        <v>0.77830256316612534</v>
      </c>
      <c r="C1674" s="32">
        <f ca="1">Model!$F$15+RAND()*(Model!$G$15-Model!$F$15)</f>
        <v>1.3737898004800858E-2</v>
      </c>
      <c r="D1674" s="33">
        <f ca="1">Model!$F$16+RAND()*(Model!$G$16-Model!$F$16)</f>
        <v>50.74074865608322</v>
      </c>
      <c r="E1674" s="33">
        <f>Model!$D$17</f>
        <v>800</v>
      </c>
      <c r="G1674" s="36">
        <f t="shared" ca="1" si="28"/>
        <v>-941.6174339839929</v>
      </c>
    </row>
    <row r="1675" spans="1:7" x14ac:dyDescent="0.2">
      <c r="A1675" s="6">
        <f ca="1">Model!$F$13+RAND()*(Model!$G$13-Model!$F$13)</f>
        <v>1704.3451574904734</v>
      </c>
      <c r="B1675" s="31">
        <f ca="1">Model!$F$14+RAND()*(Model!$G$14-Model!$F$14)</f>
        <v>0.72462347403338745</v>
      </c>
      <c r="C1675" s="32">
        <f ca="1">Model!$F$15+RAND()*(Model!$G$15-Model!$F$15)</f>
        <v>4.2013403790845706E-2</v>
      </c>
      <c r="D1675" s="33">
        <f ca="1">Model!$F$16+RAND()*(Model!$G$16-Model!$F$16)</f>
        <v>47.316034737070865</v>
      </c>
      <c r="E1675" s="33">
        <f>Model!$D$17</f>
        <v>800</v>
      </c>
      <c r="G1675" s="36">
        <f t="shared" ca="1" si="28"/>
        <v>1353.0723073672129</v>
      </c>
    </row>
    <row r="1676" spans="1:7" x14ac:dyDescent="0.2">
      <c r="A1676" s="6">
        <f ca="1">Model!$F$13+RAND()*(Model!$G$13-Model!$F$13)</f>
        <v>1205.0373784049771</v>
      </c>
      <c r="B1676" s="31">
        <f ca="1">Model!$F$14+RAND()*(Model!$G$14-Model!$F$14)</f>
        <v>0.38317349497377118</v>
      </c>
      <c r="C1676" s="32">
        <f ca="1">Model!$F$15+RAND()*(Model!$G$15-Model!$F$15)</f>
        <v>4.1447221609716312E-2</v>
      </c>
      <c r="D1676" s="33">
        <f ca="1">Model!$F$16+RAND()*(Model!$G$16-Model!$F$16)</f>
        <v>49.686840496417389</v>
      </c>
      <c r="E1676" s="33">
        <f>Model!$D$17</f>
        <v>800</v>
      </c>
      <c r="G1676" s="36">
        <f t="shared" ca="1" si="28"/>
        <v>1219.8932869535117</v>
      </c>
    </row>
    <row r="1677" spans="1:7" x14ac:dyDescent="0.2">
      <c r="A1677" s="6">
        <f ca="1">Model!$F$13+RAND()*(Model!$G$13-Model!$F$13)</f>
        <v>1654.9028470117773</v>
      </c>
      <c r="B1677" s="31">
        <f ca="1">Model!$F$14+RAND()*(Model!$G$14-Model!$F$14)</f>
        <v>0.40967568426288853</v>
      </c>
      <c r="C1677" s="32">
        <f ca="1">Model!$F$15+RAND()*(Model!$G$15-Model!$F$15)</f>
        <v>2.8949379644552256E-2</v>
      </c>
      <c r="D1677" s="33">
        <f ca="1">Model!$F$16+RAND()*(Model!$G$16-Model!$F$16)</f>
        <v>51.532281655845793</v>
      </c>
      <c r="E1677" s="33">
        <f>Model!$D$17</f>
        <v>800</v>
      </c>
      <c r="G1677" s="36">
        <f t="shared" ca="1" si="28"/>
        <v>990.8562624303936</v>
      </c>
    </row>
    <row r="1678" spans="1:7" x14ac:dyDescent="0.2">
      <c r="A1678" s="6">
        <f ca="1">Model!$F$13+RAND()*(Model!$G$13-Model!$F$13)</f>
        <v>1208.4397982411872</v>
      </c>
      <c r="B1678" s="31">
        <f ca="1">Model!$F$14+RAND()*(Model!$G$14-Model!$F$14)</f>
        <v>0.75019351956268765</v>
      </c>
      <c r="C1678" s="32">
        <f ca="1">Model!$F$15+RAND()*(Model!$G$15-Model!$F$15)</f>
        <v>4.6672008733399821E-2</v>
      </c>
      <c r="D1678" s="33">
        <f ca="1">Model!$F$16+RAND()*(Model!$G$16-Model!$F$16)</f>
        <v>47.604528786090818</v>
      </c>
      <c r="E1678" s="33">
        <f>Model!$D$17</f>
        <v>800</v>
      </c>
      <c r="G1678" s="36">
        <f t="shared" ca="1" si="28"/>
        <v>978.34660963353349</v>
      </c>
    </row>
    <row r="1679" spans="1:7" x14ac:dyDescent="0.2">
      <c r="A1679" s="6">
        <f ca="1">Model!$F$13+RAND()*(Model!$G$13-Model!$F$13)</f>
        <v>1461.0940832699425</v>
      </c>
      <c r="B1679" s="31">
        <f ca="1">Model!$F$14+RAND()*(Model!$G$14-Model!$F$14)</f>
        <v>0.32206557423813709</v>
      </c>
      <c r="C1679" s="32">
        <f ca="1">Model!$F$15+RAND()*(Model!$G$15-Model!$F$15)</f>
        <v>2.0622274826262332E-2</v>
      </c>
      <c r="D1679" s="33">
        <f ca="1">Model!$F$16+RAND()*(Model!$G$16-Model!$F$16)</f>
        <v>52.063785547104466</v>
      </c>
      <c r="E1679" s="33">
        <f>Model!$D$17</f>
        <v>800</v>
      </c>
      <c r="G1679" s="36">
        <f t="shared" ca="1" si="28"/>
        <v>298.1701767917973</v>
      </c>
    </row>
    <row r="1680" spans="1:7" x14ac:dyDescent="0.2">
      <c r="A1680" s="6">
        <f ca="1">Model!$F$13+RAND()*(Model!$G$13-Model!$F$13)</f>
        <v>1212.3883448085419</v>
      </c>
      <c r="B1680" s="31">
        <f ca="1">Model!$F$14+RAND()*(Model!$G$14-Model!$F$14)</f>
        <v>0.54658102996986591</v>
      </c>
      <c r="C1680" s="32">
        <f ca="1">Model!$F$15+RAND()*(Model!$G$15-Model!$F$15)</f>
        <v>4.5586420081632231E-2</v>
      </c>
      <c r="D1680" s="33">
        <f ca="1">Model!$F$16+RAND()*(Model!$G$16-Model!$F$16)</f>
        <v>47.13086968208021</v>
      </c>
      <c r="E1680" s="33">
        <f>Model!$D$17</f>
        <v>800</v>
      </c>
      <c r="G1680" s="36">
        <f t="shared" ca="1" si="28"/>
        <v>1142.1813797775769</v>
      </c>
    </row>
    <row r="1681" spans="1:7" x14ac:dyDescent="0.2">
      <c r="A1681" s="6">
        <f ca="1">Model!$F$13+RAND()*(Model!$G$13-Model!$F$13)</f>
        <v>1354.6471983377394</v>
      </c>
      <c r="B1681" s="31">
        <f ca="1">Model!$F$14+RAND()*(Model!$G$14-Model!$F$14)</f>
        <v>0.20051887452855444</v>
      </c>
      <c r="C1681" s="32">
        <f ca="1">Model!$F$15+RAND()*(Model!$G$15-Model!$F$15)</f>
        <v>4.9788817653702244E-2</v>
      </c>
      <c r="D1681" s="33">
        <f ca="1">Model!$F$16+RAND()*(Model!$G$16-Model!$F$16)</f>
        <v>47.581289925276117</v>
      </c>
      <c r="E1681" s="33">
        <f>Model!$D$17</f>
        <v>800</v>
      </c>
      <c r="G1681" s="36">
        <f t="shared" ca="1" si="28"/>
        <v>2137.5487829568574</v>
      </c>
    </row>
    <row r="1682" spans="1:7" x14ac:dyDescent="0.2">
      <c r="A1682" s="6">
        <f ca="1">Model!$F$13+RAND()*(Model!$G$13-Model!$F$13)</f>
        <v>1459.762930595542</v>
      </c>
      <c r="B1682" s="31">
        <f ca="1">Model!$F$14+RAND()*(Model!$G$14-Model!$F$14)</f>
        <v>0.35440044984881658</v>
      </c>
      <c r="C1682" s="32">
        <f ca="1">Model!$F$15+RAND()*(Model!$G$15-Model!$F$15)</f>
        <v>4.8075165243463981E-2</v>
      </c>
      <c r="D1682" s="33">
        <f ca="1">Model!$F$16+RAND()*(Model!$G$16-Model!$F$16)</f>
        <v>51.216729881536608</v>
      </c>
      <c r="E1682" s="33">
        <f>Model!$D$17</f>
        <v>800</v>
      </c>
      <c r="G1682" s="36">
        <f t="shared" ca="1" si="28"/>
        <v>2276.9646542664123</v>
      </c>
    </row>
    <row r="1683" spans="1:7" x14ac:dyDescent="0.2">
      <c r="A1683" s="6">
        <f ca="1">Model!$F$13+RAND()*(Model!$G$13-Model!$F$13)</f>
        <v>1742.365164155919</v>
      </c>
      <c r="B1683" s="31">
        <f ca="1">Model!$F$14+RAND()*(Model!$G$14-Model!$F$14)</f>
        <v>0.78525415954407984</v>
      </c>
      <c r="C1683" s="32">
        <f ca="1">Model!$F$15+RAND()*(Model!$G$15-Model!$F$15)</f>
        <v>2.8264577547067252E-2</v>
      </c>
      <c r="D1683" s="33">
        <f ca="1">Model!$F$16+RAND()*(Model!$G$16-Model!$F$16)</f>
        <v>48.32512304661855</v>
      </c>
      <c r="E1683" s="33">
        <f>Model!$D$17</f>
        <v>800</v>
      </c>
      <c r="G1683" s="36">
        <f t="shared" ca="1" si="28"/>
        <v>211.67824636138403</v>
      </c>
    </row>
    <row r="1684" spans="1:7" x14ac:dyDescent="0.2">
      <c r="A1684" s="6">
        <f ca="1">Model!$F$13+RAND()*(Model!$G$13-Model!$F$13)</f>
        <v>1250.6582397490192</v>
      </c>
      <c r="B1684" s="31">
        <f ca="1">Model!$F$14+RAND()*(Model!$G$14-Model!$F$14)</f>
        <v>0.2427019697033107</v>
      </c>
      <c r="C1684" s="32">
        <f ca="1">Model!$F$15+RAND()*(Model!$G$15-Model!$F$15)</f>
        <v>3.326227811753131E-2</v>
      </c>
      <c r="D1684" s="33">
        <f ca="1">Model!$F$16+RAND()*(Model!$G$16-Model!$F$16)</f>
        <v>48.733603468128919</v>
      </c>
      <c r="E1684" s="33">
        <f>Model!$D$17</f>
        <v>800</v>
      </c>
      <c r="G1684" s="36">
        <f t="shared" ca="1" si="28"/>
        <v>923.76812256347716</v>
      </c>
    </row>
    <row r="1685" spans="1:7" x14ac:dyDescent="0.2">
      <c r="A1685" s="6">
        <f ca="1">Model!$F$13+RAND()*(Model!$G$13-Model!$F$13)</f>
        <v>1213.9894088505478</v>
      </c>
      <c r="B1685" s="31">
        <f ca="1">Model!$F$14+RAND()*(Model!$G$14-Model!$F$14)</f>
        <v>0.62549690949530601</v>
      </c>
      <c r="C1685" s="32">
        <f ca="1">Model!$F$15+RAND()*(Model!$G$15-Model!$F$15)</f>
        <v>3.1099222505015255E-2</v>
      </c>
      <c r="D1685" s="33">
        <f ca="1">Model!$F$16+RAND()*(Model!$G$16-Model!$F$16)</f>
        <v>49.907191178894259</v>
      </c>
      <c r="E1685" s="33">
        <f>Model!$D$17</f>
        <v>800</v>
      </c>
      <c r="G1685" s="36">
        <f t="shared" ca="1" si="28"/>
        <v>324.85579783766389</v>
      </c>
    </row>
    <row r="1686" spans="1:7" x14ac:dyDescent="0.2">
      <c r="A1686" s="6">
        <f ca="1">Model!$F$13+RAND()*(Model!$G$13-Model!$F$13)</f>
        <v>1731.8795714773782</v>
      </c>
      <c r="B1686" s="31">
        <f ca="1">Model!$F$14+RAND()*(Model!$G$14-Model!$F$14)</f>
        <v>0.65991646487788724</v>
      </c>
      <c r="C1686" s="32">
        <f ca="1">Model!$F$15+RAND()*(Model!$G$15-Model!$F$15)</f>
        <v>4.9298227457937674E-2</v>
      </c>
      <c r="D1686" s="33">
        <f ca="1">Model!$F$16+RAND()*(Model!$G$16-Model!$F$16)</f>
        <v>51.87619669402865</v>
      </c>
      <c r="E1686" s="33">
        <f>Model!$D$17</f>
        <v>800</v>
      </c>
      <c r="G1686" s="36">
        <f t="shared" ca="1" si="28"/>
        <v>2486.2208418295995</v>
      </c>
    </row>
    <row r="1687" spans="1:7" x14ac:dyDescent="0.2">
      <c r="A1687" s="6">
        <f ca="1">Model!$F$13+RAND()*(Model!$G$13-Model!$F$13)</f>
        <v>1288.1978213219043</v>
      </c>
      <c r="B1687" s="31">
        <f ca="1">Model!$F$14+RAND()*(Model!$G$14-Model!$F$14)</f>
        <v>0.60936106521451006</v>
      </c>
      <c r="C1687" s="32">
        <f ca="1">Model!$F$15+RAND()*(Model!$G$15-Model!$F$15)</f>
        <v>1.4118885642396668E-2</v>
      </c>
      <c r="D1687" s="33">
        <f ca="1">Model!$F$16+RAND()*(Model!$G$16-Model!$F$16)</f>
        <v>52.374769703844287</v>
      </c>
      <c r="E1687" s="33">
        <f>Model!$D$17</f>
        <v>800</v>
      </c>
      <c r="G1687" s="36">
        <f t="shared" ca="1" si="28"/>
        <v>-632.38959441926636</v>
      </c>
    </row>
    <row r="1688" spans="1:7" x14ac:dyDescent="0.2">
      <c r="A1688" s="6">
        <f ca="1">Model!$F$13+RAND()*(Model!$G$13-Model!$F$13)</f>
        <v>1280.5964951959309</v>
      </c>
      <c r="B1688" s="31">
        <f ca="1">Model!$F$14+RAND()*(Model!$G$14-Model!$F$14)</f>
        <v>0.66877997457670646</v>
      </c>
      <c r="C1688" s="32">
        <f ca="1">Model!$F$15+RAND()*(Model!$G$15-Model!$F$15)</f>
        <v>2.8663866132241658E-2</v>
      </c>
      <c r="D1688" s="33">
        <f ca="1">Model!$F$16+RAND()*(Model!$G$16-Model!$F$16)</f>
        <v>48.222544019174549</v>
      </c>
      <c r="E1688" s="33">
        <f>Model!$D$17</f>
        <v>800</v>
      </c>
      <c r="G1688" s="36">
        <f t="shared" ca="1" si="28"/>
        <v>113.66023002316842</v>
      </c>
    </row>
    <row r="1689" spans="1:7" x14ac:dyDescent="0.2">
      <c r="A1689" s="6">
        <f ca="1">Model!$F$13+RAND()*(Model!$G$13-Model!$F$13)</f>
        <v>1282.8622460986576</v>
      </c>
      <c r="B1689" s="31">
        <f ca="1">Model!$F$14+RAND()*(Model!$G$14-Model!$F$14)</f>
        <v>0.26435806480645213</v>
      </c>
      <c r="C1689" s="32">
        <f ca="1">Model!$F$15+RAND()*(Model!$G$15-Model!$F$15)</f>
        <v>1.9156618170271811E-2</v>
      </c>
      <c r="D1689" s="33">
        <f ca="1">Model!$F$16+RAND()*(Model!$G$16-Model!$F$16)</f>
        <v>50.675663335834088</v>
      </c>
      <c r="E1689" s="33">
        <f>Model!$D$17</f>
        <v>800</v>
      </c>
      <c r="G1689" s="36">
        <f t="shared" ca="1" si="28"/>
        <v>106.23476055931405</v>
      </c>
    </row>
    <row r="1690" spans="1:7" x14ac:dyDescent="0.2">
      <c r="A1690" s="6">
        <f ca="1">Model!$F$13+RAND()*(Model!$G$13-Model!$F$13)</f>
        <v>1469.4407821550776</v>
      </c>
      <c r="B1690" s="31">
        <f ca="1">Model!$F$14+RAND()*(Model!$G$14-Model!$F$14)</f>
        <v>0.47732768168685819</v>
      </c>
      <c r="C1690" s="32">
        <f ca="1">Model!$F$15+RAND()*(Model!$G$15-Model!$F$15)</f>
        <v>3.2017171385449752E-2</v>
      </c>
      <c r="D1690" s="33">
        <f ca="1">Model!$F$16+RAND()*(Model!$G$16-Model!$F$16)</f>
        <v>52.954622597030763</v>
      </c>
      <c r="E1690" s="33">
        <f>Model!$D$17</f>
        <v>800</v>
      </c>
      <c r="G1690" s="36">
        <f t="shared" ca="1" si="28"/>
        <v>989.9692323321492</v>
      </c>
    </row>
    <row r="1691" spans="1:7" x14ac:dyDescent="0.2">
      <c r="A1691" s="6">
        <f ca="1">Model!$F$13+RAND()*(Model!$G$13-Model!$F$13)</f>
        <v>1689.9027861460647</v>
      </c>
      <c r="B1691" s="31">
        <f ca="1">Model!$F$14+RAND()*(Model!$G$14-Model!$F$14)</f>
        <v>0.31431192002614788</v>
      </c>
      <c r="C1691" s="32">
        <f ca="1">Model!$F$15+RAND()*(Model!$G$15-Model!$F$15)</f>
        <v>3.3439803063762784E-2</v>
      </c>
      <c r="D1691" s="33">
        <f ca="1">Model!$F$16+RAND()*(Model!$G$16-Model!$F$16)</f>
        <v>52.979472541949292</v>
      </c>
      <c r="E1691" s="33">
        <f>Model!$D$17</f>
        <v>800</v>
      </c>
      <c r="G1691" s="36">
        <f t="shared" ca="1" si="28"/>
        <v>1662.7142710168105</v>
      </c>
    </row>
    <row r="1692" spans="1:7" x14ac:dyDescent="0.2">
      <c r="A1692" s="6">
        <f ca="1">Model!$F$13+RAND()*(Model!$G$13-Model!$F$13)</f>
        <v>1333.9688336275308</v>
      </c>
      <c r="B1692" s="31">
        <f ca="1">Model!$F$14+RAND()*(Model!$G$14-Model!$F$14)</f>
        <v>0.78372606587658278</v>
      </c>
      <c r="C1692" s="32">
        <f ca="1">Model!$F$15+RAND()*(Model!$G$15-Model!$F$15)</f>
        <v>4.1122322260816614E-2</v>
      </c>
      <c r="D1692" s="33">
        <f ca="1">Model!$F$16+RAND()*(Model!$G$16-Model!$F$16)</f>
        <v>50.219701763722057</v>
      </c>
      <c r="E1692" s="33">
        <f>Model!$D$17</f>
        <v>800</v>
      </c>
      <c r="G1692" s="36">
        <f t="shared" ca="1" si="28"/>
        <v>909.38060429435563</v>
      </c>
    </row>
    <row r="1693" spans="1:7" x14ac:dyDescent="0.2">
      <c r="A1693" s="6">
        <f ca="1">Model!$F$13+RAND()*(Model!$G$13-Model!$F$13)</f>
        <v>1261.5807345905901</v>
      </c>
      <c r="B1693" s="31">
        <f ca="1">Model!$F$14+RAND()*(Model!$G$14-Model!$F$14)</f>
        <v>0.23176435727810676</v>
      </c>
      <c r="C1693" s="32">
        <f ca="1">Model!$F$15+RAND()*(Model!$G$15-Model!$F$15)</f>
        <v>2.2463496016001984E-2</v>
      </c>
      <c r="D1693" s="33">
        <f ca="1">Model!$F$16+RAND()*(Model!$G$16-Model!$F$16)</f>
        <v>48.62782786164891</v>
      </c>
      <c r="E1693" s="33">
        <f>Model!$D$17</f>
        <v>800</v>
      </c>
      <c r="G1693" s="36">
        <f t="shared" ca="1" si="28"/>
        <v>285.69955090209464</v>
      </c>
    </row>
    <row r="1694" spans="1:7" x14ac:dyDescent="0.2">
      <c r="A1694" s="6">
        <f ca="1">Model!$F$13+RAND()*(Model!$G$13-Model!$F$13)</f>
        <v>1323.6483474747913</v>
      </c>
      <c r="B1694" s="31">
        <f ca="1">Model!$F$14+RAND()*(Model!$G$14-Model!$F$14)</f>
        <v>0.62708169982123052</v>
      </c>
      <c r="C1694" s="32">
        <f ca="1">Model!$F$15+RAND()*(Model!$G$15-Model!$F$15)</f>
        <v>2.5632208348519932E-2</v>
      </c>
      <c r="D1694" s="33">
        <f ca="1">Model!$F$16+RAND()*(Model!$G$16-Model!$F$16)</f>
        <v>51.96081253047781</v>
      </c>
      <c r="E1694" s="33">
        <f>Model!$D$17</f>
        <v>800</v>
      </c>
      <c r="G1694" s="36">
        <f t="shared" ca="1" si="28"/>
        <v>132.89236222734075</v>
      </c>
    </row>
    <row r="1695" spans="1:7" x14ac:dyDescent="0.2">
      <c r="A1695" s="6">
        <f ca="1">Model!$F$13+RAND()*(Model!$G$13-Model!$F$13)</f>
        <v>1339.407737525861</v>
      </c>
      <c r="B1695" s="31">
        <f ca="1">Model!$F$14+RAND()*(Model!$G$14-Model!$F$14)</f>
        <v>0.29222146199055976</v>
      </c>
      <c r="C1695" s="32">
        <f ca="1">Model!$F$15+RAND()*(Model!$G$15-Model!$F$15)</f>
        <v>2.4096369053931303E-2</v>
      </c>
      <c r="D1695" s="33">
        <f ca="1">Model!$F$16+RAND()*(Model!$G$16-Model!$F$16)</f>
        <v>49.328430090188505</v>
      </c>
      <c r="E1695" s="33">
        <f>Model!$D$17</f>
        <v>800</v>
      </c>
      <c r="G1695" s="36">
        <f t="shared" ca="1" si="28"/>
        <v>400.66464365483807</v>
      </c>
    </row>
    <row r="1696" spans="1:7" x14ac:dyDescent="0.2">
      <c r="A1696" s="6">
        <f ca="1">Model!$F$13+RAND()*(Model!$G$13-Model!$F$13)</f>
        <v>1525.1451792447988</v>
      </c>
      <c r="B1696" s="31">
        <f ca="1">Model!$F$14+RAND()*(Model!$G$14-Model!$F$14)</f>
        <v>0.78535399944356454</v>
      </c>
      <c r="C1696" s="32">
        <f ca="1">Model!$F$15+RAND()*(Model!$G$15-Model!$F$15)</f>
        <v>3.6976285341688779E-2</v>
      </c>
      <c r="D1696" s="33">
        <f ca="1">Model!$F$16+RAND()*(Model!$G$16-Model!$F$16)</f>
        <v>50.497749688178757</v>
      </c>
      <c r="E1696" s="33">
        <f>Model!$D$17</f>
        <v>800</v>
      </c>
      <c r="G1696" s="36">
        <f t="shared" ca="1" si="28"/>
        <v>850.00149763607646</v>
      </c>
    </row>
    <row r="1697" spans="1:7" x14ac:dyDescent="0.2">
      <c r="A1697" s="6">
        <f ca="1">Model!$F$13+RAND()*(Model!$G$13-Model!$F$13)</f>
        <v>1371.8113711069373</v>
      </c>
      <c r="B1697" s="31">
        <f ca="1">Model!$F$14+RAND()*(Model!$G$14-Model!$F$14)</f>
        <v>0.72278280667750661</v>
      </c>
      <c r="C1697" s="32">
        <f ca="1">Model!$F$15+RAND()*(Model!$G$15-Model!$F$15)</f>
        <v>4.3336633745201081E-2</v>
      </c>
      <c r="D1697" s="33">
        <f ca="1">Model!$F$16+RAND()*(Model!$G$16-Model!$F$16)</f>
        <v>50.085025089729314</v>
      </c>
      <c r="E1697" s="33">
        <f>Model!$D$17</f>
        <v>800</v>
      </c>
      <c r="G1697" s="36">
        <f t="shared" ca="1" si="28"/>
        <v>1186.0173897852947</v>
      </c>
    </row>
    <row r="1698" spans="1:7" x14ac:dyDescent="0.2">
      <c r="A1698" s="6">
        <f ca="1">Model!$F$13+RAND()*(Model!$G$13-Model!$F$13)</f>
        <v>1702.5019212576103</v>
      </c>
      <c r="B1698" s="31">
        <f ca="1">Model!$F$14+RAND()*(Model!$G$14-Model!$F$14)</f>
        <v>0.51309238825173642</v>
      </c>
      <c r="C1698" s="32">
        <f ca="1">Model!$F$15+RAND()*(Model!$G$15-Model!$F$15)</f>
        <v>1.674414122020218E-2</v>
      </c>
      <c r="D1698" s="33">
        <f ca="1">Model!$F$16+RAND()*(Model!$G$16-Model!$F$16)</f>
        <v>52.676970536874457</v>
      </c>
      <c r="E1698" s="33">
        <f>Model!$D$17</f>
        <v>800</v>
      </c>
      <c r="G1698" s="36">
        <f t="shared" ca="1" si="28"/>
        <v>-171.88192826171075</v>
      </c>
    </row>
    <row r="1699" spans="1:7" x14ac:dyDescent="0.2">
      <c r="A1699" s="6">
        <f ca="1">Model!$F$13+RAND()*(Model!$G$13-Model!$F$13)</f>
        <v>1732.019594762784</v>
      </c>
      <c r="B1699" s="31">
        <f ca="1">Model!$F$14+RAND()*(Model!$G$14-Model!$F$14)</f>
        <v>0.24629194895358131</v>
      </c>
      <c r="C1699" s="32">
        <f ca="1">Model!$F$15+RAND()*(Model!$G$15-Model!$F$15)</f>
        <v>1.3506254114878598E-2</v>
      </c>
      <c r="D1699" s="33">
        <f ca="1">Model!$F$16+RAND()*(Model!$G$16-Model!$F$16)</f>
        <v>47.499045162608319</v>
      </c>
      <c r="E1699" s="33">
        <f>Model!$D$17</f>
        <v>800</v>
      </c>
      <c r="G1699" s="36">
        <f t="shared" ca="1" si="28"/>
        <v>-115.43272122970711</v>
      </c>
    </row>
    <row r="1700" spans="1:7" x14ac:dyDescent="0.2">
      <c r="A1700" s="6">
        <f ca="1">Model!$F$13+RAND()*(Model!$G$13-Model!$F$13)</f>
        <v>1468.7084066787595</v>
      </c>
      <c r="B1700" s="31">
        <f ca="1">Model!$F$14+RAND()*(Model!$G$14-Model!$F$14)</f>
        <v>0.6550713976604523</v>
      </c>
      <c r="C1700" s="32">
        <f ca="1">Model!$F$15+RAND()*(Model!$G$15-Model!$F$15)</f>
        <v>2.8245545211751606E-2</v>
      </c>
      <c r="D1700" s="33">
        <f ca="1">Model!$F$16+RAND()*(Model!$G$16-Model!$F$16)</f>
        <v>47.654523025856463</v>
      </c>
      <c r="E1700" s="33">
        <f>Model!$D$17</f>
        <v>800</v>
      </c>
      <c r="G1700" s="36">
        <f t="shared" ca="1" si="28"/>
        <v>214.81374799287619</v>
      </c>
    </row>
    <row r="1701" spans="1:7" x14ac:dyDescent="0.2">
      <c r="A1701" s="6">
        <f ca="1">Model!$F$13+RAND()*(Model!$G$13-Model!$F$13)</f>
        <v>1587.6901057497237</v>
      </c>
      <c r="B1701" s="31">
        <f ca="1">Model!$F$14+RAND()*(Model!$G$14-Model!$F$14)</f>
        <v>0.42217078093260696</v>
      </c>
      <c r="C1701" s="32">
        <f ca="1">Model!$F$15+RAND()*(Model!$G$15-Model!$F$15)</f>
        <v>1.1608326773939659E-2</v>
      </c>
      <c r="D1701" s="33">
        <f ca="1">Model!$F$16+RAND()*(Model!$G$16-Model!$F$16)</f>
        <v>52.543074619633039</v>
      </c>
      <c r="E1701" s="33">
        <f>Model!$D$17</f>
        <v>800</v>
      </c>
      <c r="G1701" s="36">
        <f t="shared" ca="1" si="28"/>
        <v>-501.88514617960584</v>
      </c>
    </row>
    <row r="1702" spans="1:7" x14ac:dyDescent="0.2">
      <c r="A1702" s="6">
        <f ca="1">Model!$F$13+RAND()*(Model!$G$13-Model!$F$13)</f>
        <v>1570.1048039916463</v>
      </c>
      <c r="B1702" s="31">
        <f ca="1">Model!$F$14+RAND()*(Model!$G$14-Model!$F$14)</f>
        <v>0.42420444242917638</v>
      </c>
      <c r="C1702" s="32">
        <f ca="1">Model!$F$15+RAND()*(Model!$G$15-Model!$F$15)</f>
        <v>1.548661876259458E-2</v>
      </c>
      <c r="D1702" s="33">
        <f ca="1">Model!$F$16+RAND()*(Model!$G$16-Model!$F$16)</f>
        <v>51.486058890239903</v>
      </c>
      <c r="E1702" s="33">
        <f>Model!$D$17</f>
        <v>800</v>
      </c>
      <c r="G1702" s="36">
        <f t="shared" ca="1" si="28"/>
        <v>-214.13027197155861</v>
      </c>
    </row>
    <row r="1703" spans="1:7" x14ac:dyDescent="0.2">
      <c r="A1703" s="6">
        <f ca="1">Model!$F$13+RAND()*(Model!$G$13-Model!$F$13)</f>
        <v>1775.4351556709275</v>
      </c>
      <c r="B1703" s="31">
        <f ca="1">Model!$F$14+RAND()*(Model!$G$14-Model!$F$14)</f>
        <v>0.48624648359683698</v>
      </c>
      <c r="C1703" s="32">
        <f ca="1">Model!$F$15+RAND()*(Model!$G$15-Model!$F$15)</f>
        <v>4.9964364412543601E-2</v>
      </c>
      <c r="D1703" s="33">
        <f ca="1">Model!$F$16+RAND()*(Model!$G$16-Model!$F$16)</f>
        <v>50.812949000135461</v>
      </c>
      <c r="E1703" s="33">
        <f>Model!$D$17</f>
        <v>800</v>
      </c>
      <c r="G1703" s="36">
        <f t="shared" ca="1" si="28"/>
        <v>2844.240831664486</v>
      </c>
    </row>
    <row r="1704" spans="1:7" x14ac:dyDescent="0.2">
      <c r="A1704" s="6">
        <f ca="1">Model!$F$13+RAND()*(Model!$G$13-Model!$F$13)</f>
        <v>1601.090458284114</v>
      </c>
      <c r="B1704" s="31">
        <f ca="1">Model!$F$14+RAND()*(Model!$G$14-Model!$F$14)</f>
        <v>0.29640133504379917</v>
      </c>
      <c r="C1704" s="32">
        <f ca="1">Model!$F$15+RAND()*(Model!$G$15-Model!$F$15)</f>
        <v>3.7568121600095275E-2</v>
      </c>
      <c r="D1704" s="33">
        <f ca="1">Model!$F$16+RAND()*(Model!$G$16-Model!$F$16)</f>
        <v>49.13113078299488</v>
      </c>
      <c r="E1704" s="33">
        <f>Model!$D$17</f>
        <v>800</v>
      </c>
      <c r="G1704" s="36">
        <f t="shared" ca="1" si="28"/>
        <v>1680.6702525745429</v>
      </c>
    </row>
    <row r="1705" spans="1:7" x14ac:dyDescent="0.2">
      <c r="A1705" s="6">
        <f ca="1">Model!$F$13+RAND()*(Model!$G$13-Model!$F$13)</f>
        <v>1618.5305038461213</v>
      </c>
      <c r="B1705" s="31">
        <f ca="1">Model!$F$14+RAND()*(Model!$G$14-Model!$F$14)</f>
        <v>0.6242614894232219</v>
      </c>
      <c r="C1705" s="32">
        <f ca="1">Model!$F$15+RAND()*(Model!$G$15-Model!$F$15)</f>
        <v>4.8292057707040495E-2</v>
      </c>
      <c r="D1705" s="33">
        <f ca="1">Model!$F$16+RAND()*(Model!$G$16-Model!$F$16)</f>
        <v>49.267777707455501</v>
      </c>
      <c r="E1705" s="33">
        <f>Model!$D$17</f>
        <v>800</v>
      </c>
      <c r="G1705" s="36">
        <f t="shared" ref="G1705:G1768" ca="1" si="29">A1705*C1705*D1705-(E1705+A1705*B1705)</f>
        <v>2040.4900794055011</v>
      </c>
    </row>
    <row r="1706" spans="1:7" x14ac:dyDescent="0.2">
      <c r="A1706" s="6">
        <f ca="1">Model!$F$13+RAND()*(Model!$G$13-Model!$F$13)</f>
        <v>1655.7446777562027</v>
      </c>
      <c r="B1706" s="31">
        <f ca="1">Model!$F$14+RAND()*(Model!$G$14-Model!$F$14)</f>
        <v>0.46559628050627522</v>
      </c>
      <c r="C1706" s="32">
        <f ca="1">Model!$F$15+RAND()*(Model!$G$15-Model!$F$15)</f>
        <v>4.0938463981888856E-2</v>
      </c>
      <c r="D1706" s="33">
        <f ca="1">Model!$F$16+RAND()*(Model!$G$16-Model!$F$16)</f>
        <v>51.724286983629931</v>
      </c>
      <c r="E1706" s="33">
        <f>Model!$D$17</f>
        <v>800</v>
      </c>
      <c r="G1706" s="36">
        <f t="shared" ca="1" si="29"/>
        <v>1935.1520840446169</v>
      </c>
    </row>
    <row r="1707" spans="1:7" x14ac:dyDescent="0.2">
      <c r="A1707" s="6">
        <f ca="1">Model!$F$13+RAND()*(Model!$G$13-Model!$F$13)</f>
        <v>1273.5167305614789</v>
      </c>
      <c r="B1707" s="31">
        <f ca="1">Model!$F$14+RAND()*(Model!$G$14-Model!$F$14)</f>
        <v>0.72346530795619679</v>
      </c>
      <c r="C1707" s="32">
        <f ca="1">Model!$F$15+RAND()*(Model!$G$15-Model!$F$15)</f>
        <v>3.6271083184088664E-2</v>
      </c>
      <c r="D1707" s="33">
        <f ca="1">Model!$F$16+RAND()*(Model!$G$16-Model!$F$16)</f>
        <v>50.944311767750577</v>
      </c>
      <c r="E1707" s="33">
        <f>Model!$D$17</f>
        <v>800</v>
      </c>
      <c r="G1707" s="36">
        <f t="shared" ca="1" si="29"/>
        <v>631.86587970587698</v>
      </c>
    </row>
    <row r="1708" spans="1:7" x14ac:dyDescent="0.2">
      <c r="A1708" s="6">
        <f ca="1">Model!$F$13+RAND()*(Model!$G$13-Model!$F$13)</f>
        <v>1705.0183644483129</v>
      </c>
      <c r="B1708" s="31">
        <f ca="1">Model!$F$14+RAND()*(Model!$G$14-Model!$F$14)</f>
        <v>0.44754087306305268</v>
      </c>
      <c r="C1708" s="32">
        <f ca="1">Model!$F$15+RAND()*(Model!$G$15-Model!$F$15)</f>
        <v>2.8289117874546084E-2</v>
      </c>
      <c r="D1708" s="33">
        <f ca="1">Model!$F$16+RAND()*(Model!$G$16-Model!$F$16)</f>
        <v>50.712637419466731</v>
      </c>
      <c r="E1708" s="33">
        <f>Model!$D$17</f>
        <v>800</v>
      </c>
      <c r="G1708" s="36">
        <f t="shared" ca="1" si="29"/>
        <v>882.9808394723027</v>
      </c>
    </row>
    <row r="1709" spans="1:7" x14ac:dyDescent="0.2">
      <c r="A1709" s="6">
        <f ca="1">Model!$F$13+RAND()*(Model!$G$13-Model!$F$13)</f>
        <v>1693.8945088182456</v>
      </c>
      <c r="B1709" s="31">
        <f ca="1">Model!$F$14+RAND()*(Model!$G$14-Model!$F$14)</f>
        <v>0.34569859717929718</v>
      </c>
      <c r="C1709" s="32">
        <f ca="1">Model!$F$15+RAND()*(Model!$G$15-Model!$F$15)</f>
        <v>1.8379355673991116E-2</v>
      </c>
      <c r="D1709" s="33">
        <f ca="1">Model!$F$16+RAND()*(Model!$G$16-Model!$F$16)</f>
        <v>47.723393586144141</v>
      </c>
      <c r="E1709" s="33">
        <f>Model!$D$17</f>
        <v>800</v>
      </c>
      <c r="G1709" s="36">
        <f t="shared" ca="1" si="29"/>
        <v>100.18064617951745</v>
      </c>
    </row>
    <row r="1710" spans="1:7" x14ac:dyDescent="0.2">
      <c r="A1710" s="6">
        <f ca="1">Model!$F$13+RAND()*(Model!$G$13-Model!$F$13)</f>
        <v>1343.378863415365</v>
      </c>
      <c r="B1710" s="31">
        <f ca="1">Model!$F$14+RAND()*(Model!$G$14-Model!$F$14)</f>
        <v>0.63065541765041222</v>
      </c>
      <c r="C1710" s="32">
        <f ca="1">Model!$F$15+RAND()*(Model!$G$15-Model!$F$15)</f>
        <v>3.1497028461018164E-2</v>
      </c>
      <c r="D1710" s="33">
        <f ca="1">Model!$F$16+RAND()*(Model!$G$16-Model!$F$16)</f>
        <v>51.23425172543817</v>
      </c>
      <c r="E1710" s="33">
        <f>Model!$D$17</f>
        <v>800</v>
      </c>
      <c r="G1710" s="36">
        <f t="shared" ca="1" si="29"/>
        <v>520.63716148625895</v>
      </c>
    </row>
    <row r="1711" spans="1:7" x14ac:dyDescent="0.2">
      <c r="A1711" s="6">
        <f ca="1">Model!$F$13+RAND()*(Model!$G$13-Model!$F$13)</f>
        <v>1761.8163904983139</v>
      </c>
      <c r="B1711" s="31">
        <f ca="1">Model!$F$14+RAND()*(Model!$G$14-Model!$F$14)</f>
        <v>0.47551098985375317</v>
      </c>
      <c r="C1711" s="32">
        <f ca="1">Model!$F$15+RAND()*(Model!$G$15-Model!$F$15)</f>
        <v>3.471537609023341E-2</v>
      </c>
      <c r="D1711" s="33">
        <f ca="1">Model!$F$16+RAND()*(Model!$G$16-Model!$F$16)</f>
        <v>51.592211255066317</v>
      </c>
      <c r="E1711" s="33">
        <f>Model!$D$17</f>
        <v>800</v>
      </c>
      <c r="G1711" s="36">
        <f t="shared" ca="1" si="29"/>
        <v>1517.7258877334789</v>
      </c>
    </row>
    <row r="1712" spans="1:7" x14ac:dyDescent="0.2">
      <c r="A1712" s="6">
        <f ca="1">Model!$F$13+RAND()*(Model!$G$13-Model!$F$13)</f>
        <v>1799.6439707613488</v>
      </c>
      <c r="B1712" s="31">
        <f ca="1">Model!$F$14+RAND()*(Model!$G$14-Model!$F$14)</f>
        <v>0.32646701016072593</v>
      </c>
      <c r="C1712" s="32">
        <f ca="1">Model!$F$15+RAND()*(Model!$G$15-Model!$F$15)</f>
        <v>3.1886290528458969E-2</v>
      </c>
      <c r="D1712" s="33">
        <f ca="1">Model!$F$16+RAND()*(Model!$G$16-Model!$F$16)</f>
        <v>49.148045015863019</v>
      </c>
      <c r="E1712" s="33">
        <f>Model!$D$17</f>
        <v>800</v>
      </c>
      <c r="G1712" s="36">
        <f t="shared" ca="1" si="29"/>
        <v>1432.785578809453</v>
      </c>
    </row>
    <row r="1713" spans="1:7" x14ac:dyDescent="0.2">
      <c r="A1713" s="6">
        <f ca="1">Model!$F$13+RAND()*(Model!$G$13-Model!$F$13)</f>
        <v>1229.2278706117254</v>
      </c>
      <c r="B1713" s="31">
        <f ca="1">Model!$F$14+RAND()*(Model!$G$14-Model!$F$14)</f>
        <v>0.37522091011880554</v>
      </c>
      <c r="C1713" s="32">
        <f ca="1">Model!$F$15+RAND()*(Model!$G$15-Model!$F$15)</f>
        <v>3.7914310542908843E-2</v>
      </c>
      <c r="D1713" s="33">
        <f ca="1">Model!$F$16+RAND()*(Model!$G$16-Model!$F$16)</f>
        <v>52.363758255247959</v>
      </c>
      <c r="E1713" s="33">
        <f>Model!$D$17</f>
        <v>800</v>
      </c>
      <c r="G1713" s="36">
        <f t="shared" ca="1" si="29"/>
        <v>1179.1980873057466</v>
      </c>
    </row>
    <row r="1714" spans="1:7" x14ac:dyDescent="0.2">
      <c r="A1714" s="6">
        <f ca="1">Model!$F$13+RAND()*(Model!$G$13-Model!$F$13)</f>
        <v>1785.0362026234043</v>
      </c>
      <c r="B1714" s="31">
        <f ca="1">Model!$F$14+RAND()*(Model!$G$14-Model!$F$14)</f>
        <v>0.26165166158606501</v>
      </c>
      <c r="C1714" s="32">
        <f ca="1">Model!$F$15+RAND()*(Model!$G$15-Model!$F$15)</f>
        <v>1.6559838757996624E-2</v>
      </c>
      <c r="D1714" s="33">
        <f ca="1">Model!$F$16+RAND()*(Model!$G$16-Model!$F$16)</f>
        <v>48.409857224778527</v>
      </c>
      <c r="E1714" s="33">
        <f>Model!$D$17</f>
        <v>800</v>
      </c>
      <c r="G1714" s="36">
        <f t="shared" ca="1" si="29"/>
        <v>163.93341620959404</v>
      </c>
    </row>
    <row r="1715" spans="1:7" x14ac:dyDescent="0.2">
      <c r="A1715" s="6">
        <f ca="1">Model!$F$13+RAND()*(Model!$G$13-Model!$F$13)</f>
        <v>1717.6108847555545</v>
      </c>
      <c r="B1715" s="31">
        <f ca="1">Model!$F$14+RAND()*(Model!$G$14-Model!$F$14)</f>
        <v>0.21088160844015655</v>
      </c>
      <c r="C1715" s="32">
        <f ca="1">Model!$F$15+RAND()*(Model!$G$15-Model!$F$15)</f>
        <v>2.1493146320971664E-2</v>
      </c>
      <c r="D1715" s="33">
        <f ca="1">Model!$F$16+RAND()*(Model!$G$16-Model!$F$16)</f>
        <v>50.48267486812955</v>
      </c>
      <c r="E1715" s="33">
        <f>Model!$D$17</f>
        <v>800</v>
      </c>
      <c r="G1715" s="36">
        <f t="shared" ca="1" si="29"/>
        <v>701.44939890635646</v>
      </c>
    </row>
    <row r="1716" spans="1:7" x14ac:dyDescent="0.2">
      <c r="A1716" s="6">
        <f ca="1">Model!$F$13+RAND()*(Model!$G$13-Model!$F$13)</f>
        <v>1585.2647535266501</v>
      </c>
      <c r="B1716" s="31">
        <f ca="1">Model!$F$14+RAND()*(Model!$G$14-Model!$F$14)</f>
        <v>0.64378784423293656</v>
      </c>
      <c r="C1716" s="32">
        <f ca="1">Model!$F$15+RAND()*(Model!$G$15-Model!$F$15)</f>
        <v>4.0364810567479641E-2</v>
      </c>
      <c r="D1716" s="33">
        <f ca="1">Model!$F$16+RAND()*(Model!$G$16-Model!$F$16)</f>
        <v>48.313324001594822</v>
      </c>
      <c r="E1716" s="33">
        <f>Model!$D$17</f>
        <v>800</v>
      </c>
      <c r="G1716" s="36">
        <f t="shared" ca="1" si="29"/>
        <v>1270.9428344092571</v>
      </c>
    </row>
    <row r="1717" spans="1:7" x14ac:dyDescent="0.2">
      <c r="A1717" s="6">
        <f ca="1">Model!$F$13+RAND()*(Model!$G$13-Model!$F$13)</f>
        <v>1591.4682944680876</v>
      </c>
      <c r="B1717" s="31">
        <f ca="1">Model!$F$14+RAND()*(Model!$G$14-Model!$F$14)</f>
        <v>0.67654312078293488</v>
      </c>
      <c r="C1717" s="32">
        <f ca="1">Model!$F$15+RAND()*(Model!$G$15-Model!$F$15)</f>
        <v>1.3750616911797344E-2</v>
      </c>
      <c r="D1717" s="33">
        <f ca="1">Model!$F$16+RAND()*(Model!$G$16-Model!$F$16)</f>
        <v>51.901243814517414</v>
      </c>
      <c r="E1717" s="33">
        <f>Model!$D$17</f>
        <v>800</v>
      </c>
      <c r="G1717" s="36">
        <f t="shared" ca="1" si="29"/>
        <v>-740.90719050938173</v>
      </c>
    </row>
    <row r="1718" spans="1:7" x14ac:dyDescent="0.2">
      <c r="A1718" s="6">
        <f ca="1">Model!$F$13+RAND()*(Model!$G$13-Model!$F$13)</f>
        <v>1263.7685903927616</v>
      </c>
      <c r="B1718" s="31">
        <f ca="1">Model!$F$14+RAND()*(Model!$G$14-Model!$F$14)</f>
        <v>0.57315908716721842</v>
      </c>
      <c r="C1718" s="32">
        <f ca="1">Model!$F$15+RAND()*(Model!$G$15-Model!$F$15)</f>
        <v>2.288508857212386E-2</v>
      </c>
      <c r="D1718" s="33">
        <f ca="1">Model!$F$16+RAND()*(Model!$G$16-Model!$F$16)</f>
        <v>50.500081572419703</v>
      </c>
      <c r="E1718" s="33">
        <f>Model!$D$17</f>
        <v>800</v>
      </c>
      <c r="G1718" s="36">
        <f t="shared" ca="1" si="29"/>
        <v>-63.804558113733492</v>
      </c>
    </row>
    <row r="1719" spans="1:7" x14ac:dyDescent="0.2">
      <c r="A1719" s="6">
        <f ca="1">Model!$F$13+RAND()*(Model!$G$13-Model!$F$13)</f>
        <v>1541.9942250320746</v>
      </c>
      <c r="B1719" s="31">
        <f ca="1">Model!$F$14+RAND()*(Model!$G$14-Model!$F$14)</f>
        <v>0.34287273353963277</v>
      </c>
      <c r="C1719" s="32">
        <f ca="1">Model!$F$15+RAND()*(Model!$G$15-Model!$F$15)</f>
        <v>3.9261402941273331E-2</v>
      </c>
      <c r="D1719" s="33">
        <f ca="1">Model!$F$16+RAND()*(Model!$G$16-Model!$F$16)</f>
        <v>52.309478990614821</v>
      </c>
      <c r="E1719" s="33">
        <f>Model!$D$17</f>
        <v>800</v>
      </c>
      <c r="G1719" s="36">
        <f t="shared" ca="1" si="29"/>
        <v>1838.1528914623404</v>
      </c>
    </row>
    <row r="1720" spans="1:7" x14ac:dyDescent="0.2">
      <c r="A1720" s="6">
        <f ca="1">Model!$F$13+RAND()*(Model!$G$13-Model!$F$13)</f>
        <v>1675.3137197664314</v>
      </c>
      <c r="B1720" s="31">
        <f ca="1">Model!$F$14+RAND()*(Model!$G$14-Model!$F$14)</f>
        <v>0.26948310592335339</v>
      </c>
      <c r="C1720" s="32">
        <f ca="1">Model!$F$15+RAND()*(Model!$G$15-Model!$F$15)</f>
        <v>1.8442352868088121E-2</v>
      </c>
      <c r="D1720" s="33">
        <f ca="1">Model!$F$16+RAND()*(Model!$G$16-Model!$F$16)</f>
        <v>47.847406001199971</v>
      </c>
      <c r="E1720" s="33">
        <f>Model!$D$17</f>
        <v>800</v>
      </c>
      <c r="G1720" s="36">
        <f t="shared" ca="1" si="29"/>
        <v>226.85948597615652</v>
      </c>
    </row>
    <row r="1721" spans="1:7" x14ac:dyDescent="0.2">
      <c r="A1721" s="6">
        <f ca="1">Model!$F$13+RAND()*(Model!$G$13-Model!$F$13)</f>
        <v>1257.3281400157887</v>
      </c>
      <c r="B1721" s="31">
        <f ca="1">Model!$F$14+RAND()*(Model!$G$14-Model!$F$14)</f>
        <v>0.77792446261261672</v>
      </c>
      <c r="C1721" s="32">
        <f ca="1">Model!$F$15+RAND()*(Model!$G$15-Model!$F$15)</f>
        <v>3.5061700120424331E-2</v>
      </c>
      <c r="D1721" s="33">
        <f ca="1">Model!$F$16+RAND()*(Model!$G$16-Model!$F$16)</f>
        <v>52.854024175882138</v>
      </c>
      <c r="E1721" s="33">
        <f>Model!$D$17</f>
        <v>800</v>
      </c>
      <c r="G1721" s="36">
        <f t="shared" ca="1" si="29"/>
        <v>551.91377154548786</v>
      </c>
    </row>
    <row r="1722" spans="1:7" x14ac:dyDescent="0.2">
      <c r="A1722" s="6">
        <f ca="1">Model!$F$13+RAND()*(Model!$G$13-Model!$F$13)</f>
        <v>1723.8068422256461</v>
      </c>
      <c r="B1722" s="31">
        <f ca="1">Model!$F$14+RAND()*(Model!$G$14-Model!$F$14)</f>
        <v>0.44032046836958355</v>
      </c>
      <c r="C1722" s="32">
        <f ca="1">Model!$F$15+RAND()*(Model!$G$15-Model!$F$15)</f>
        <v>3.5585342932864646E-2</v>
      </c>
      <c r="D1722" s="33">
        <f ca="1">Model!$F$16+RAND()*(Model!$G$16-Model!$F$16)</f>
        <v>51.80619504038318</v>
      </c>
      <c r="E1722" s="33">
        <f>Model!$D$17</f>
        <v>800</v>
      </c>
      <c r="G1722" s="36">
        <f t="shared" ca="1" si="29"/>
        <v>1618.8815268817461</v>
      </c>
    </row>
    <row r="1723" spans="1:7" x14ac:dyDescent="0.2">
      <c r="A1723" s="6">
        <f ca="1">Model!$F$13+RAND()*(Model!$G$13-Model!$F$13)</f>
        <v>1247.1041404076896</v>
      </c>
      <c r="B1723" s="31">
        <f ca="1">Model!$F$14+RAND()*(Model!$G$14-Model!$F$14)</f>
        <v>0.64478485806904129</v>
      </c>
      <c r="C1723" s="32">
        <f ca="1">Model!$F$15+RAND()*(Model!$G$15-Model!$F$15)</f>
        <v>4.6513660161192467E-2</v>
      </c>
      <c r="D1723" s="33">
        <f ca="1">Model!$F$16+RAND()*(Model!$G$16-Model!$F$16)</f>
        <v>51.314639513185689</v>
      </c>
      <c r="E1723" s="33">
        <f>Model!$D$17</f>
        <v>800</v>
      </c>
      <c r="G1723" s="36">
        <f t="shared" ca="1" si="29"/>
        <v>1372.5138338588056</v>
      </c>
    </row>
    <row r="1724" spans="1:7" x14ac:dyDescent="0.2">
      <c r="A1724" s="6">
        <f ca="1">Model!$F$13+RAND()*(Model!$G$13-Model!$F$13)</f>
        <v>1738.1382901618169</v>
      </c>
      <c r="B1724" s="31">
        <f ca="1">Model!$F$14+RAND()*(Model!$G$14-Model!$F$14)</f>
        <v>0.21190693628707721</v>
      </c>
      <c r="C1724" s="32">
        <f ca="1">Model!$F$15+RAND()*(Model!$G$15-Model!$F$15)</f>
        <v>3.1830004316960918E-2</v>
      </c>
      <c r="D1724" s="33">
        <f ca="1">Model!$F$16+RAND()*(Model!$G$16-Model!$F$16)</f>
        <v>51.039262078932254</v>
      </c>
      <c r="E1724" s="33">
        <f>Model!$D$17</f>
        <v>800</v>
      </c>
      <c r="G1724" s="36">
        <f t="shared" ca="1" si="29"/>
        <v>1655.4210258596891</v>
      </c>
    </row>
    <row r="1725" spans="1:7" x14ac:dyDescent="0.2">
      <c r="A1725" s="6">
        <f ca="1">Model!$F$13+RAND()*(Model!$G$13-Model!$F$13)</f>
        <v>1751.7641256281911</v>
      </c>
      <c r="B1725" s="31">
        <f ca="1">Model!$F$14+RAND()*(Model!$G$14-Model!$F$14)</f>
        <v>0.30954453072207699</v>
      </c>
      <c r="C1725" s="32">
        <f ca="1">Model!$F$15+RAND()*(Model!$G$15-Model!$F$15)</f>
        <v>4.9027510678621385E-2</v>
      </c>
      <c r="D1725" s="33">
        <f ca="1">Model!$F$16+RAND()*(Model!$G$16-Model!$F$16)</f>
        <v>52.479602117346118</v>
      </c>
      <c r="E1725" s="33">
        <f>Model!$D$17</f>
        <v>800</v>
      </c>
      <c r="G1725" s="36">
        <f t="shared" ca="1" si="29"/>
        <v>3164.9424358251399</v>
      </c>
    </row>
    <row r="1726" spans="1:7" x14ac:dyDescent="0.2">
      <c r="A1726" s="6">
        <f ca="1">Model!$F$13+RAND()*(Model!$G$13-Model!$F$13)</f>
        <v>1382.491661783906</v>
      </c>
      <c r="B1726" s="31">
        <f ca="1">Model!$F$14+RAND()*(Model!$G$14-Model!$F$14)</f>
        <v>0.68903602409220266</v>
      </c>
      <c r="C1726" s="32">
        <f ca="1">Model!$F$15+RAND()*(Model!$G$15-Model!$F$15)</f>
        <v>2.8444444368225151E-2</v>
      </c>
      <c r="D1726" s="33">
        <f ca="1">Model!$F$16+RAND()*(Model!$G$16-Model!$F$16)</f>
        <v>49.186107113269429</v>
      </c>
      <c r="E1726" s="33">
        <f>Model!$D$17</f>
        <v>800</v>
      </c>
      <c r="G1726" s="36">
        <f t="shared" ca="1" si="29"/>
        <v>181.61810769476278</v>
      </c>
    </row>
    <row r="1727" spans="1:7" x14ac:dyDescent="0.2">
      <c r="A1727" s="6">
        <f ca="1">Model!$F$13+RAND()*(Model!$G$13-Model!$F$13)</f>
        <v>1306.093849175387</v>
      </c>
      <c r="B1727" s="31">
        <f ca="1">Model!$F$14+RAND()*(Model!$G$14-Model!$F$14)</f>
        <v>0.25703098412703662</v>
      </c>
      <c r="C1727" s="32">
        <f ca="1">Model!$F$15+RAND()*(Model!$G$15-Model!$F$15)</f>
        <v>3.5689751635243891E-2</v>
      </c>
      <c r="D1727" s="33">
        <f ca="1">Model!$F$16+RAND()*(Model!$G$16-Model!$F$16)</f>
        <v>50.174963641802712</v>
      </c>
      <c r="E1727" s="33">
        <f>Model!$D$17</f>
        <v>800</v>
      </c>
      <c r="G1727" s="36">
        <f t="shared" ca="1" si="29"/>
        <v>1203.1574511372762</v>
      </c>
    </row>
    <row r="1728" spans="1:7" x14ac:dyDescent="0.2">
      <c r="A1728" s="6">
        <f ca="1">Model!$F$13+RAND()*(Model!$G$13-Model!$F$13)</f>
        <v>1253.9683295829236</v>
      </c>
      <c r="B1728" s="31">
        <f ca="1">Model!$F$14+RAND()*(Model!$G$14-Model!$F$14)</f>
        <v>0.57955727525772216</v>
      </c>
      <c r="C1728" s="32">
        <f ca="1">Model!$F$15+RAND()*(Model!$G$15-Model!$F$15)</f>
        <v>4.241093039688152E-2</v>
      </c>
      <c r="D1728" s="33">
        <f ca="1">Model!$F$16+RAND()*(Model!$G$16-Model!$F$16)</f>
        <v>49.107831476626139</v>
      </c>
      <c r="E1728" s="33">
        <f>Model!$D$17</f>
        <v>800</v>
      </c>
      <c r="G1728" s="36">
        <f t="shared" ca="1" si="29"/>
        <v>1084.9044350523911</v>
      </c>
    </row>
    <row r="1729" spans="1:7" x14ac:dyDescent="0.2">
      <c r="A1729" s="6">
        <f ca="1">Model!$F$13+RAND()*(Model!$G$13-Model!$F$13)</f>
        <v>1231.6241399377288</v>
      </c>
      <c r="B1729" s="31">
        <f ca="1">Model!$F$14+RAND()*(Model!$G$14-Model!$F$14)</f>
        <v>0.77043255873247185</v>
      </c>
      <c r="C1729" s="32">
        <f ca="1">Model!$F$15+RAND()*(Model!$G$15-Model!$F$15)</f>
        <v>1.2057813972273981E-2</v>
      </c>
      <c r="D1729" s="33">
        <f ca="1">Model!$F$16+RAND()*(Model!$G$16-Model!$F$16)</f>
        <v>47.079296826745797</v>
      </c>
      <c r="E1729" s="33">
        <f>Model!$D$17</f>
        <v>800</v>
      </c>
      <c r="G1729" s="36">
        <f t="shared" ca="1" si="29"/>
        <v>-1049.7230706920573</v>
      </c>
    </row>
    <row r="1730" spans="1:7" x14ac:dyDescent="0.2">
      <c r="A1730" s="6">
        <f ca="1">Model!$F$13+RAND()*(Model!$G$13-Model!$F$13)</f>
        <v>1629.2275396197044</v>
      </c>
      <c r="B1730" s="31">
        <f ca="1">Model!$F$14+RAND()*(Model!$G$14-Model!$F$14)</f>
        <v>0.53440503504299897</v>
      </c>
      <c r="C1730" s="32">
        <f ca="1">Model!$F$15+RAND()*(Model!$G$15-Model!$F$15)</f>
        <v>3.2047405846597446E-2</v>
      </c>
      <c r="D1730" s="33">
        <f ca="1">Model!$F$16+RAND()*(Model!$G$16-Model!$F$16)</f>
        <v>52.337874394847681</v>
      </c>
      <c r="E1730" s="33">
        <f>Model!$D$17</f>
        <v>800</v>
      </c>
      <c r="G1730" s="36">
        <f t="shared" ca="1" si="29"/>
        <v>1062.0247131934443</v>
      </c>
    </row>
    <row r="1731" spans="1:7" x14ac:dyDescent="0.2">
      <c r="A1731" s="6">
        <f ca="1">Model!$F$13+RAND()*(Model!$G$13-Model!$F$13)</f>
        <v>1323.6116188028777</v>
      </c>
      <c r="B1731" s="31">
        <f ca="1">Model!$F$14+RAND()*(Model!$G$14-Model!$F$14)</f>
        <v>0.50204658304207528</v>
      </c>
      <c r="C1731" s="32">
        <f ca="1">Model!$F$15+RAND()*(Model!$G$15-Model!$F$15)</f>
        <v>1.2019550002822E-2</v>
      </c>
      <c r="D1731" s="33">
        <f ca="1">Model!$F$16+RAND()*(Model!$G$16-Model!$F$16)</f>
        <v>47.883565580634134</v>
      </c>
      <c r="E1731" s="33">
        <f>Model!$D$17</f>
        <v>800</v>
      </c>
      <c r="G1731" s="36">
        <f t="shared" ca="1" si="29"/>
        <v>-702.72470107371942</v>
      </c>
    </row>
    <row r="1732" spans="1:7" x14ac:dyDescent="0.2">
      <c r="A1732" s="6">
        <f ca="1">Model!$F$13+RAND()*(Model!$G$13-Model!$F$13)</f>
        <v>1404.0336721110821</v>
      </c>
      <c r="B1732" s="31">
        <f ca="1">Model!$F$14+RAND()*(Model!$G$14-Model!$F$14)</f>
        <v>0.73130162726432868</v>
      </c>
      <c r="C1732" s="32">
        <f ca="1">Model!$F$15+RAND()*(Model!$G$15-Model!$F$15)</f>
        <v>3.5624880760993502E-2</v>
      </c>
      <c r="D1732" s="33">
        <f ca="1">Model!$F$16+RAND()*(Model!$G$16-Model!$F$16)</f>
        <v>51.350310089734705</v>
      </c>
      <c r="E1732" s="33">
        <f>Model!$D$17</f>
        <v>800</v>
      </c>
      <c r="G1732" s="36">
        <f t="shared" ca="1" si="29"/>
        <v>741.69502716053694</v>
      </c>
    </row>
    <row r="1733" spans="1:7" x14ac:dyDescent="0.2">
      <c r="A1733" s="6">
        <f ca="1">Model!$F$13+RAND()*(Model!$G$13-Model!$F$13)</f>
        <v>1449.3492997736594</v>
      </c>
      <c r="B1733" s="31">
        <f ca="1">Model!$F$14+RAND()*(Model!$G$14-Model!$F$14)</f>
        <v>0.75528127884788376</v>
      </c>
      <c r="C1733" s="32">
        <f ca="1">Model!$F$15+RAND()*(Model!$G$15-Model!$F$15)</f>
        <v>1.0343294003998298E-2</v>
      </c>
      <c r="D1733" s="33">
        <f ca="1">Model!$F$16+RAND()*(Model!$G$16-Model!$F$16)</f>
        <v>47.814897384945496</v>
      </c>
      <c r="E1733" s="33">
        <f>Model!$D$17</f>
        <v>800</v>
      </c>
      <c r="G1733" s="36">
        <f t="shared" ca="1" si="29"/>
        <v>-1177.8710701746024</v>
      </c>
    </row>
    <row r="1734" spans="1:7" x14ac:dyDescent="0.2">
      <c r="A1734" s="6">
        <f ca="1">Model!$F$13+RAND()*(Model!$G$13-Model!$F$13)</f>
        <v>1401.7899952418177</v>
      </c>
      <c r="B1734" s="31">
        <f ca="1">Model!$F$14+RAND()*(Model!$G$14-Model!$F$14)</f>
        <v>0.5224338414271037</v>
      </c>
      <c r="C1734" s="32">
        <f ca="1">Model!$F$15+RAND()*(Model!$G$15-Model!$F$15)</f>
        <v>1.9933233647431797E-2</v>
      </c>
      <c r="D1734" s="33">
        <f ca="1">Model!$F$16+RAND()*(Model!$G$16-Model!$F$16)</f>
        <v>50.950774763916776</v>
      </c>
      <c r="E1734" s="33">
        <f>Model!$D$17</f>
        <v>800</v>
      </c>
      <c r="G1734" s="36">
        <f t="shared" ca="1" si="29"/>
        <v>-108.66541135996749</v>
      </c>
    </row>
    <row r="1735" spans="1:7" x14ac:dyDescent="0.2">
      <c r="A1735" s="6">
        <f ca="1">Model!$F$13+RAND()*(Model!$G$13-Model!$F$13)</f>
        <v>1563.4162871066439</v>
      </c>
      <c r="B1735" s="31">
        <f ca="1">Model!$F$14+RAND()*(Model!$G$14-Model!$F$14)</f>
        <v>0.58109642143363605</v>
      </c>
      <c r="C1735" s="32">
        <f ca="1">Model!$F$15+RAND()*(Model!$G$15-Model!$F$15)</f>
        <v>2.011659449803177E-2</v>
      </c>
      <c r="D1735" s="33">
        <f ca="1">Model!$F$16+RAND()*(Model!$G$16-Model!$F$16)</f>
        <v>51.46323022668804</v>
      </c>
      <c r="E1735" s="33">
        <f>Model!$D$17</f>
        <v>800</v>
      </c>
      <c r="G1735" s="36">
        <f t="shared" ca="1" si="29"/>
        <v>-89.945550317198013</v>
      </c>
    </row>
    <row r="1736" spans="1:7" x14ac:dyDescent="0.2">
      <c r="A1736" s="6">
        <f ca="1">Model!$F$13+RAND()*(Model!$G$13-Model!$F$13)</f>
        <v>1265.6020033034602</v>
      </c>
      <c r="B1736" s="31">
        <f ca="1">Model!$F$14+RAND()*(Model!$G$14-Model!$F$14)</f>
        <v>0.23670653312005291</v>
      </c>
      <c r="C1736" s="32">
        <f ca="1">Model!$F$15+RAND()*(Model!$G$15-Model!$F$15)</f>
        <v>4.9681787398716717E-2</v>
      </c>
      <c r="D1736" s="33">
        <f ca="1">Model!$F$16+RAND()*(Model!$G$16-Model!$F$16)</f>
        <v>47.251672554989781</v>
      </c>
      <c r="E1736" s="33">
        <f>Model!$D$17</f>
        <v>800</v>
      </c>
      <c r="G1736" s="36">
        <f t="shared" ca="1" si="29"/>
        <v>1871.4846197585771</v>
      </c>
    </row>
    <row r="1737" spans="1:7" x14ac:dyDescent="0.2">
      <c r="A1737" s="6">
        <f ca="1">Model!$F$13+RAND()*(Model!$G$13-Model!$F$13)</f>
        <v>1795.9314837460852</v>
      </c>
      <c r="B1737" s="31">
        <f ca="1">Model!$F$14+RAND()*(Model!$G$14-Model!$F$14)</f>
        <v>0.49479771145820517</v>
      </c>
      <c r="C1737" s="32">
        <f ca="1">Model!$F$15+RAND()*(Model!$G$15-Model!$F$15)</f>
        <v>2.5684271414532861E-2</v>
      </c>
      <c r="D1737" s="33">
        <f ca="1">Model!$F$16+RAND()*(Model!$G$16-Model!$F$16)</f>
        <v>49.791145356733104</v>
      </c>
      <c r="E1737" s="33">
        <f>Model!$D$17</f>
        <v>800</v>
      </c>
      <c r="G1737" s="36">
        <f t="shared" ca="1" si="29"/>
        <v>608.10291726742275</v>
      </c>
    </row>
    <row r="1738" spans="1:7" x14ac:dyDescent="0.2">
      <c r="A1738" s="6">
        <f ca="1">Model!$F$13+RAND()*(Model!$G$13-Model!$F$13)</f>
        <v>1616.5598720744661</v>
      </c>
      <c r="B1738" s="31">
        <f ca="1">Model!$F$14+RAND()*(Model!$G$14-Model!$F$14)</f>
        <v>0.42693106463285152</v>
      </c>
      <c r="C1738" s="32">
        <f ca="1">Model!$F$15+RAND()*(Model!$G$15-Model!$F$15)</f>
        <v>4.2659108582010143E-2</v>
      </c>
      <c r="D1738" s="33">
        <f ca="1">Model!$F$16+RAND()*(Model!$G$16-Model!$F$16)</f>
        <v>48.427386678332994</v>
      </c>
      <c r="E1738" s="33">
        <f>Model!$D$17</f>
        <v>800</v>
      </c>
      <c r="G1738" s="36">
        <f t="shared" ca="1" si="29"/>
        <v>1849.4415362100765</v>
      </c>
    </row>
    <row r="1739" spans="1:7" x14ac:dyDescent="0.2">
      <c r="A1739" s="6">
        <f ca="1">Model!$F$13+RAND()*(Model!$G$13-Model!$F$13)</f>
        <v>1639.824841802691</v>
      </c>
      <c r="B1739" s="31">
        <f ca="1">Model!$F$14+RAND()*(Model!$G$14-Model!$F$14)</f>
        <v>0.40338022671262852</v>
      </c>
      <c r="C1739" s="32">
        <f ca="1">Model!$F$15+RAND()*(Model!$G$15-Model!$F$15)</f>
        <v>1.1853337348973461E-2</v>
      </c>
      <c r="D1739" s="33">
        <f ca="1">Model!$F$16+RAND()*(Model!$G$16-Model!$F$16)</f>
        <v>50.301600637865015</v>
      </c>
      <c r="E1739" s="33">
        <f>Model!$D$17</f>
        <v>800</v>
      </c>
      <c r="G1739" s="36">
        <f t="shared" ca="1" si="29"/>
        <v>-483.74073295301412</v>
      </c>
    </row>
    <row r="1740" spans="1:7" x14ac:dyDescent="0.2">
      <c r="A1740" s="6">
        <f ca="1">Model!$F$13+RAND()*(Model!$G$13-Model!$F$13)</f>
        <v>1434.5061159671027</v>
      </c>
      <c r="B1740" s="31">
        <f ca="1">Model!$F$14+RAND()*(Model!$G$14-Model!$F$14)</f>
        <v>0.74799532560154369</v>
      </c>
      <c r="C1740" s="32">
        <f ca="1">Model!$F$15+RAND()*(Model!$G$15-Model!$F$15)</f>
        <v>2.1580498629137829E-2</v>
      </c>
      <c r="D1740" s="33">
        <f ca="1">Model!$F$16+RAND()*(Model!$G$16-Model!$F$16)</f>
        <v>49.873014699868513</v>
      </c>
      <c r="E1740" s="33">
        <f>Model!$D$17</f>
        <v>800</v>
      </c>
      <c r="G1740" s="36">
        <f t="shared" ca="1" si="29"/>
        <v>-329.06713513842101</v>
      </c>
    </row>
    <row r="1741" spans="1:7" x14ac:dyDescent="0.2">
      <c r="A1741" s="6">
        <f ca="1">Model!$F$13+RAND()*(Model!$G$13-Model!$F$13)</f>
        <v>1776.3520368542818</v>
      </c>
      <c r="B1741" s="31">
        <f ca="1">Model!$F$14+RAND()*(Model!$G$14-Model!$F$14)</f>
        <v>0.35478596674779522</v>
      </c>
      <c r="C1741" s="32">
        <f ca="1">Model!$F$15+RAND()*(Model!$G$15-Model!$F$15)</f>
        <v>2.5935106246032388E-2</v>
      </c>
      <c r="D1741" s="33">
        <f ca="1">Model!$F$16+RAND()*(Model!$G$16-Model!$F$16)</f>
        <v>48.148214384994937</v>
      </c>
      <c r="E1741" s="33">
        <f>Model!$D$17</f>
        <v>800</v>
      </c>
      <c r="G1741" s="36">
        <f t="shared" ca="1" si="29"/>
        <v>787.95762677053472</v>
      </c>
    </row>
    <row r="1742" spans="1:7" x14ac:dyDescent="0.2">
      <c r="A1742" s="6">
        <f ca="1">Model!$F$13+RAND()*(Model!$G$13-Model!$F$13)</f>
        <v>1789.9877896135699</v>
      </c>
      <c r="B1742" s="31">
        <f ca="1">Model!$F$14+RAND()*(Model!$G$14-Model!$F$14)</f>
        <v>0.79108286802941818</v>
      </c>
      <c r="C1742" s="32">
        <f ca="1">Model!$F$15+RAND()*(Model!$G$15-Model!$F$15)</f>
        <v>4.00462287394769E-2</v>
      </c>
      <c r="D1742" s="33">
        <f ca="1">Model!$F$16+RAND()*(Model!$G$16-Model!$F$16)</f>
        <v>48.16087429084962</v>
      </c>
      <c r="E1742" s="33">
        <f>Model!$D$17</f>
        <v>800</v>
      </c>
      <c r="G1742" s="36">
        <f t="shared" ca="1" si="29"/>
        <v>1236.2516607327721</v>
      </c>
    </row>
    <row r="1743" spans="1:7" x14ac:dyDescent="0.2">
      <c r="A1743" s="6">
        <f ca="1">Model!$F$13+RAND()*(Model!$G$13-Model!$F$13)</f>
        <v>1549.1756808553223</v>
      </c>
      <c r="B1743" s="31">
        <f ca="1">Model!$F$14+RAND()*(Model!$G$14-Model!$F$14)</f>
        <v>0.3223817581627596</v>
      </c>
      <c r="C1743" s="32">
        <f ca="1">Model!$F$15+RAND()*(Model!$G$15-Model!$F$15)</f>
        <v>3.3705772338438252E-2</v>
      </c>
      <c r="D1743" s="33">
        <f ca="1">Model!$F$16+RAND()*(Model!$G$16-Model!$F$16)</f>
        <v>48.064910470825509</v>
      </c>
      <c r="E1743" s="33">
        <f>Model!$D$17</f>
        <v>800</v>
      </c>
      <c r="G1743" s="36">
        <f t="shared" ca="1" si="29"/>
        <v>1210.3392109510639</v>
      </c>
    </row>
    <row r="1744" spans="1:7" x14ac:dyDescent="0.2">
      <c r="A1744" s="6">
        <f ca="1">Model!$F$13+RAND()*(Model!$G$13-Model!$F$13)</f>
        <v>1424.3421124442359</v>
      </c>
      <c r="B1744" s="31">
        <f ca="1">Model!$F$14+RAND()*(Model!$G$14-Model!$F$14)</f>
        <v>0.45877235900142671</v>
      </c>
      <c r="C1744" s="32">
        <f ca="1">Model!$F$15+RAND()*(Model!$G$15-Model!$F$15)</f>
        <v>4.3096128629705202E-2</v>
      </c>
      <c r="D1744" s="33">
        <f ca="1">Model!$F$16+RAND()*(Model!$G$16-Model!$F$16)</f>
        <v>52.20429237908273</v>
      </c>
      <c r="E1744" s="33">
        <f>Model!$D$17</f>
        <v>800</v>
      </c>
      <c r="G1744" s="36">
        <f t="shared" ca="1" si="29"/>
        <v>1751.0402233516065</v>
      </c>
    </row>
    <row r="1745" spans="1:7" x14ac:dyDescent="0.2">
      <c r="A1745" s="6">
        <f ca="1">Model!$F$13+RAND()*(Model!$G$13-Model!$F$13)</f>
        <v>1564.0118716048978</v>
      </c>
      <c r="B1745" s="31">
        <f ca="1">Model!$F$14+RAND()*(Model!$G$14-Model!$F$14)</f>
        <v>0.79975801611499509</v>
      </c>
      <c r="C1745" s="32">
        <f ca="1">Model!$F$15+RAND()*(Model!$G$15-Model!$F$15)</f>
        <v>1.1647478950465962E-2</v>
      </c>
      <c r="D1745" s="33">
        <f ca="1">Model!$F$16+RAND()*(Model!$G$16-Model!$F$16)</f>
        <v>48.290119630213923</v>
      </c>
      <c r="E1745" s="33">
        <f>Model!$D$17</f>
        <v>800</v>
      </c>
      <c r="G1745" s="36">
        <f t="shared" ca="1" si="29"/>
        <v>-1171.1398047493453</v>
      </c>
    </row>
    <row r="1746" spans="1:7" x14ac:dyDescent="0.2">
      <c r="A1746" s="6">
        <f ca="1">Model!$F$13+RAND()*(Model!$G$13-Model!$F$13)</f>
        <v>1685.1711695956728</v>
      </c>
      <c r="B1746" s="31">
        <f ca="1">Model!$F$14+RAND()*(Model!$G$14-Model!$F$14)</f>
        <v>0.40733362990891253</v>
      </c>
      <c r="C1746" s="32">
        <f ca="1">Model!$F$15+RAND()*(Model!$G$15-Model!$F$15)</f>
        <v>4.1295854048944453E-2</v>
      </c>
      <c r="D1746" s="33">
        <f ca="1">Model!$F$16+RAND()*(Model!$G$16-Model!$F$16)</f>
        <v>48.340332733192291</v>
      </c>
      <c r="E1746" s="33">
        <f>Model!$D$17</f>
        <v>800</v>
      </c>
      <c r="G1746" s="36">
        <f t="shared" ca="1" si="29"/>
        <v>1877.6050316956621</v>
      </c>
    </row>
    <row r="1747" spans="1:7" x14ac:dyDescent="0.2">
      <c r="A1747" s="6">
        <f ca="1">Model!$F$13+RAND()*(Model!$G$13-Model!$F$13)</f>
        <v>1284.7238167343783</v>
      </c>
      <c r="B1747" s="31">
        <f ca="1">Model!$F$14+RAND()*(Model!$G$14-Model!$F$14)</f>
        <v>0.57116579751092922</v>
      </c>
      <c r="C1747" s="32">
        <f ca="1">Model!$F$15+RAND()*(Model!$G$15-Model!$F$15)</f>
        <v>3.8520371252658482E-2</v>
      </c>
      <c r="D1747" s="33">
        <f ca="1">Model!$F$16+RAND()*(Model!$G$16-Model!$F$16)</f>
        <v>51.41687837501371</v>
      </c>
      <c r="E1747" s="33">
        <f>Model!$D$17</f>
        <v>800</v>
      </c>
      <c r="G1747" s="36">
        <f t="shared" ca="1" si="29"/>
        <v>1010.7301469199247</v>
      </c>
    </row>
    <row r="1748" spans="1:7" x14ac:dyDescent="0.2">
      <c r="A1748" s="6">
        <f ca="1">Model!$F$13+RAND()*(Model!$G$13-Model!$F$13)</f>
        <v>1415.480484335023</v>
      </c>
      <c r="B1748" s="31">
        <f ca="1">Model!$F$14+RAND()*(Model!$G$14-Model!$F$14)</f>
        <v>0.78604208958878408</v>
      </c>
      <c r="C1748" s="32">
        <f ca="1">Model!$F$15+RAND()*(Model!$G$15-Model!$F$15)</f>
        <v>3.452879353646051E-2</v>
      </c>
      <c r="D1748" s="33">
        <f ca="1">Model!$F$16+RAND()*(Model!$G$16-Model!$F$16)</f>
        <v>47.043929090618725</v>
      </c>
      <c r="E1748" s="33">
        <f>Model!$D$17</f>
        <v>800</v>
      </c>
      <c r="G1748" s="36">
        <f t="shared" ca="1" si="29"/>
        <v>386.63695903566895</v>
      </c>
    </row>
    <row r="1749" spans="1:7" x14ac:dyDescent="0.2">
      <c r="A1749" s="6">
        <f ca="1">Model!$F$13+RAND()*(Model!$G$13-Model!$F$13)</f>
        <v>1411.7749093066689</v>
      </c>
      <c r="B1749" s="31">
        <f ca="1">Model!$F$14+RAND()*(Model!$G$14-Model!$F$14)</f>
        <v>0.76271332575373574</v>
      </c>
      <c r="C1749" s="32">
        <f ca="1">Model!$F$15+RAND()*(Model!$G$15-Model!$F$15)</f>
        <v>1.8505505967463552E-2</v>
      </c>
      <c r="D1749" s="33">
        <f ca="1">Model!$F$16+RAND()*(Model!$G$16-Model!$F$16)</f>
        <v>50.157324265996053</v>
      </c>
      <c r="E1749" s="33">
        <f>Model!$D$17</f>
        <v>800</v>
      </c>
      <c r="G1749" s="36">
        <f t="shared" ca="1" si="29"/>
        <v>-566.38889358745087</v>
      </c>
    </row>
    <row r="1750" spans="1:7" x14ac:dyDescent="0.2">
      <c r="A1750" s="6">
        <f ca="1">Model!$F$13+RAND()*(Model!$G$13-Model!$F$13)</f>
        <v>1677.2152264035242</v>
      </c>
      <c r="B1750" s="31">
        <f ca="1">Model!$F$14+RAND()*(Model!$G$14-Model!$F$14)</f>
        <v>0.50148440861550614</v>
      </c>
      <c r="C1750" s="32">
        <f ca="1">Model!$F$15+RAND()*(Model!$G$15-Model!$F$15)</f>
        <v>4.9502744149354669E-2</v>
      </c>
      <c r="D1750" s="33">
        <f ca="1">Model!$F$16+RAND()*(Model!$G$16-Model!$F$16)</f>
        <v>50.868545443345091</v>
      </c>
      <c r="E1750" s="33">
        <f>Model!$D$17</f>
        <v>800</v>
      </c>
      <c r="G1750" s="36">
        <f t="shared" ca="1" si="29"/>
        <v>2582.3530366734367</v>
      </c>
    </row>
    <row r="1751" spans="1:7" x14ac:dyDescent="0.2">
      <c r="A1751" s="6">
        <f ca="1">Model!$F$13+RAND()*(Model!$G$13-Model!$F$13)</f>
        <v>1332.6490107444554</v>
      </c>
      <c r="B1751" s="31">
        <f ca="1">Model!$F$14+RAND()*(Model!$G$14-Model!$F$14)</f>
        <v>0.64293588516471756</v>
      </c>
      <c r="C1751" s="32">
        <f ca="1">Model!$F$15+RAND()*(Model!$G$15-Model!$F$15)</f>
        <v>1.4937449590043613E-2</v>
      </c>
      <c r="D1751" s="33">
        <f ca="1">Model!$F$16+RAND()*(Model!$G$16-Model!$F$16)</f>
        <v>48.110627930679279</v>
      </c>
      <c r="E1751" s="33">
        <f>Model!$D$17</f>
        <v>800</v>
      </c>
      <c r="G1751" s="36">
        <f t="shared" ca="1" si="29"/>
        <v>-699.09955387325692</v>
      </c>
    </row>
    <row r="1752" spans="1:7" x14ac:dyDescent="0.2">
      <c r="A1752" s="6">
        <f ca="1">Model!$F$13+RAND()*(Model!$G$13-Model!$F$13)</f>
        <v>1312.992457003041</v>
      </c>
      <c r="B1752" s="31">
        <f ca="1">Model!$F$14+RAND()*(Model!$G$14-Model!$F$14)</f>
        <v>0.53384156303095431</v>
      </c>
      <c r="C1752" s="32">
        <f ca="1">Model!$F$15+RAND()*(Model!$G$15-Model!$F$15)</f>
        <v>2.9154587533076558E-2</v>
      </c>
      <c r="D1752" s="33">
        <f ca="1">Model!$F$16+RAND()*(Model!$G$16-Model!$F$16)</f>
        <v>48.930642095203922</v>
      </c>
      <c r="E1752" s="33">
        <f>Model!$D$17</f>
        <v>800</v>
      </c>
      <c r="G1752" s="36">
        <f t="shared" ca="1" si="29"/>
        <v>372.12297338578355</v>
      </c>
    </row>
    <row r="1753" spans="1:7" x14ac:dyDescent="0.2">
      <c r="A1753" s="6">
        <f ca="1">Model!$F$13+RAND()*(Model!$G$13-Model!$F$13)</f>
        <v>1293.7183277144038</v>
      </c>
      <c r="B1753" s="31">
        <f ca="1">Model!$F$14+RAND()*(Model!$G$14-Model!$F$14)</f>
        <v>0.43771085972953194</v>
      </c>
      <c r="C1753" s="32">
        <f ca="1">Model!$F$15+RAND()*(Model!$G$15-Model!$F$15)</f>
        <v>1.9470700481080742E-2</v>
      </c>
      <c r="D1753" s="33">
        <f ca="1">Model!$F$16+RAND()*(Model!$G$16-Model!$F$16)</f>
        <v>47.15346089507954</v>
      </c>
      <c r="E1753" s="33">
        <f>Model!$D$17</f>
        <v>800</v>
      </c>
      <c r="G1753" s="36">
        <f t="shared" ca="1" si="29"/>
        <v>-178.49764549885185</v>
      </c>
    </row>
    <row r="1754" spans="1:7" x14ac:dyDescent="0.2">
      <c r="A1754" s="6">
        <f ca="1">Model!$F$13+RAND()*(Model!$G$13-Model!$F$13)</f>
        <v>1614.0327586146352</v>
      </c>
      <c r="B1754" s="31">
        <f ca="1">Model!$F$14+RAND()*(Model!$G$14-Model!$F$14)</f>
        <v>0.74749269015468989</v>
      </c>
      <c r="C1754" s="32">
        <f ca="1">Model!$F$15+RAND()*(Model!$G$15-Model!$F$15)</f>
        <v>1.0521150363360952E-2</v>
      </c>
      <c r="D1754" s="33">
        <f ca="1">Model!$F$16+RAND()*(Model!$G$16-Model!$F$16)</f>
        <v>51.787867648289314</v>
      </c>
      <c r="E1754" s="33">
        <f>Model!$D$17</f>
        <v>800</v>
      </c>
      <c r="G1754" s="36">
        <f t="shared" ca="1" si="29"/>
        <v>-1127.042980379555</v>
      </c>
    </row>
    <row r="1755" spans="1:7" x14ac:dyDescent="0.2">
      <c r="A1755" s="6">
        <f ca="1">Model!$F$13+RAND()*(Model!$G$13-Model!$F$13)</f>
        <v>1383.2003045254246</v>
      </c>
      <c r="B1755" s="31">
        <f ca="1">Model!$F$14+RAND()*(Model!$G$14-Model!$F$14)</f>
        <v>0.40134143899382235</v>
      </c>
      <c r="C1755" s="32">
        <f ca="1">Model!$F$15+RAND()*(Model!$G$15-Model!$F$15)</f>
        <v>4.8561788433338492E-2</v>
      </c>
      <c r="D1755" s="33">
        <f ca="1">Model!$F$16+RAND()*(Model!$G$16-Model!$F$16)</f>
        <v>48.462565811921678</v>
      </c>
      <c r="E1755" s="33">
        <f>Model!$D$17</f>
        <v>800</v>
      </c>
      <c r="G1755" s="36">
        <f t="shared" ca="1" si="29"/>
        <v>1900.127926116754</v>
      </c>
    </row>
    <row r="1756" spans="1:7" x14ac:dyDescent="0.2">
      <c r="A1756" s="6">
        <f ca="1">Model!$F$13+RAND()*(Model!$G$13-Model!$F$13)</f>
        <v>1384.9230958031708</v>
      </c>
      <c r="B1756" s="31">
        <f ca="1">Model!$F$14+RAND()*(Model!$G$14-Model!$F$14)</f>
        <v>0.25497201036405392</v>
      </c>
      <c r="C1756" s="32">
        <f ca="1">Model!$F$15+RAND()*(Model!$G$15-Model!$F$15)</f>
        <v>2.612804246722971E-2</v>
      </c>
      <c r="D1756" s="33">
        <f ca="1">Model!$F$16+RAND()*(Model!$G$16-Model!$F$16)</f>
        <v>49.218005592014464</v>
      </c>
      <c r="E1756" s="33">
        <f>Model!$D$17</f>
        <v>800</v>
      </c>
      <c r="G1756" s="36">
        <f t="shared" ca="1" si="29"/>
        <v>627.85312182347025</v>
      </c>
    </row>
    <row r="1757" spans="1:7" x14ac:dyDescent="0.2">
      <c r="A1757" s="6">
        <f ca="1">Model!$F$13+RAND()*(Model!$G$13-Model!$F$13)</f>
        <v>1326.7124161044253</v>
      </c>
      <c r="B1757" s="31">
        <f ca="1">Model!$F$14+RAND()*(Model!$G$14-Model!$F$14)</f>
        <v>0.28286769262203953</v>
      </c>
      <c r="C1757" s="32">
        <f ca="1">Model!$F$15+RAND()*(Model!$G$15-Model!$F$15)</f>
        <v>4.0364790058645524E-2</v>
      </c>
      <c r="D1757" s="33">
        <f ca="1">Model!$F$16+RAND()*(Model!$G$16-Model!$F$16)</f>
        <v>48.81776910594715</v>
      </c>
      <c r="E1757" s="33">
        <f>Model!$D$17</f>
        <v>800</v>
      </c>
      <c r="G1757" s="36">
        <f t="shared" ca="1" si="29"/>
        <v>1439.0279450032867</v>
      </c>
    </row>
    <row r="1758" spans="1:7" x14ac:dyDescent="0.2">
      <c r="A1758" s="6">
        <f ca="1">Model!$F$13+RAND()*(Model!$G$13-Model!$F$13)</f>
        <v>1739.6745202951547</v>
      </c>
      <c r="B1758" s="31">
        <f ca="1">Model!$F$14+RAND()*(Model!$G$14-Model!$F$14)</f>
        <v>0.3260968896860606</v>
      </c>
      <c r="C1758" s="32">
        <f ca="1">Model!$F$15+RAND()*(Model!$G$15-Model!$F$15)</f>
        <v>4.4539361406812743E-2</v>
      </c>
      <c r="D1758" s="33">
        <f ca="1">Model!$F$16+RAND()*(Model!$G$16-Model!$F$16)</f>
        <v>47.640891860646001</v>
      </c>
      <c r="E1758" s="33">
        <f>Model!$D$17</f>
        <v>800</v>
      </c>
      <c r="G1758" s="36">
        <f t="shared" ca="1" si="29"/>
        <v>2324.1040427038911</v>
      </c>
    </row>
    <row r="1759" spans="1:7" x14ac:dyDescent="0.2">
      <c r="A1759" s="6">
        <f ca="1">Model!$F$13+RAND()*(Model!$G$13-Model!$F$13)</f>
        <v>1498.7892074516785</v>
      </c>
      <c r="B1759" s="31">
        <f ca="1">Model!$F$14+RAND()*(Model!$G$14-Model!$F$14)</f>
        <v>0.24180537930491039</v>
      </c>
      <c r="C1759" s="32">
        <f ca="1">Model!$F$15+RAND()*(Model!$G$15-Model!$F$15)</f>
        <v>2.8198907172061957E-2</v>
      </c>
      <c r="D1759" s="33">
        <f ca="1">Model!$F$16+RAND()*(Model!$G$16-Model!$F$16)</f>
        <v>50.592033306039582</v>
      </c>
      <c r="E1759" s="33">
        <f>Model!$D$17</f>
        <v>800</v>
      </c>
      <c r="G1759" s="36">
        <f t="shared" ca="1" si="29"/>
        <v>975.81741831565864</v>
      </c>
    </row>
    <row r="1760" spans="1:7" x14ac:dyDescent="0.2">
      <c r="A1760" s="6">
        <f ca="1">Model!$F$13+RAND()*(Model!$G$13-Model!$F$13)</f>
        <v>1380.791253016243</v>
      </c>
      <c r="B1760" s="31">
        <f ca="1">Model!$F$14+RAND()*(Model!$G$14-Model!$F$14)</f>
        <v>0.26847953059414364</v>
      </c>
      <c r="C1760" s="32">
        <f ca="1">Model!$F$15+RAND()*(Model!$G$15-Model!$F$15)</f>
        <v>2.045350961571997E-2</v>
      </c>
      <c r="D1760" s="33">
        <f ca="1">Model!$F$16+RAND()*(Model!$G$16-Model!$F$16)</f>
        <v>48.618230662934941</v>
      </c>
      <c r="E1760" s="33">
        <f>Model!$D$17</f>
        <v>800</v>
      </c>
      <c r="G1760" s="36">
        <f t="shared" ca="1" si="29"/>
        <v>202.36320392392122</v>
      </c>
    </row>
    <row r="1761" spans="1:7" x14ac:dyDescent="0.2">
      <c r="A1761" s="6">
        <f ca="1">Model!$F$13+RAND()*(Model!$G$13-Model!$F$13)</f>
        <v>1579.5532694460971</v>
      </c>
      <c r="B1761" s="31">
        <f ca="1">Model!$F$14+RAND()*(Model!$G$14-Model!$F$14)</f>
        <v>0.2897450614943522</v>
      </c>
      <c r="C1761" s="32">
        <f ca="1">Model!$F$15+RAND()*(Model!$G$15-Model!$F$15)</f>
        <v>1.7030326663965815E-2</v>
      </c>
      <c r="D1761" s="33">
        <f ca="1">Model!$F$16+RAND()*(Model!$G$16-Model!$F$16)</f>
        <v>49.045967262630811</v>
      </c>
      <c r="E1761" s="33">
        <f>Model!$D$17</f>
        <v>800</v>
      </c>
      <c r="G1761" s="36">
        <f t="shared" ca="1" si="29"/>
        <v>61.683874269168882</v>
      </c>
    </row>
    <row r="1762" spans="1:7" x14ac:dyDescent="0.2">
      <c r="A1762" s="6">
        <f ca="1">Model!$F$13+RAND()*(Model!$G$13-Model!$F$13)</f>
        <v>1300.1199485368122</v>
      </c>
      <c r="B1762" s="31">
        <f ca="1">Model!$F$14+RAND()*(Model!$G$14-Model!$F$14)</f>
        <v>0.61638693554841972</v>
      </c>
      <c r="C1762" s="32">
        <f ca="1">Model!$F$15+RAND()*(Model!$G$15-Model!$F$15)</f>
        <v>3.1075379487064583E-2</v>
      </c>
      <c r="D1762" s="33">
        <f ca="1">Model!$F$16+RAND()*(Model!$G$16-Model!$F$16)</f>
        <v>50.724376593992005</v>
      </c>
      <c r="E1762" s="33">
        <f>Model!$D$17</f>
        <v>800</v>
      </c>
      <c r="G1762" s="36">
        <f t="shared" ca="1" si="29"/>
        <v>447.97514893989978</v>
      </c>
    </row>
    <row r="1763" spans="1:7" x14ac:dyDescent="0.2">
      <c r="A1763" s="6">
        <f ca="1">Model!$F$13+RAND()*(Model!$G$13-Model!$F$13)</f>
        <v>1425.7065870911515</v>
      </c>
      <c r="B1763" s="31">
        <f ca="1">Model!$F$14+RAND()*(Model!$G$14-Model!$F$14)</f>
        <v>0.55908575589668918</v>
      </c>
      <c r="C1763" s="32">
        <f ca="1">Model!$F$15+RAND()*(Model!$G$15-Model!$F$15)</f>
        <v>2.1072526335457822E-2</v>
      </c>
      <c r="D1763" s="33">
        <f ca="1">Model!$F$16+RAND()*(Model!$G$16-Model!$F$16)</f>
        <v>51.827191130562966</v>
      </c>
      <c r="E1763" s="33">
        <f>Model!$D$17</f>
        <v>800</v>
      </c>
      <c r="G1763" s="36">
        <f t="shared" ca="1" si="29"/>
        <v>-40.035523838858353</v>
      </c>
    </row>
    <row r="1764" spans="1:7" x14ac:dyDescent="0.2">
      <c r="A1764" s="6">
        <f ca="1">Model!$F$13+RAND()*(Model!$G$13-Model!$F$13)</f>
        <v>1621.6526866250647</v>
      </c>
      <c r="B1764" s="31">
        <f ca="1">Model!$F$14+RAND()*(Model!$G$14-Model!$F$14)</f>
        <v>0.64884542884476426</v>
      </c>
      <c r="C1764" s="32">
        <f ca="1">Model!$F$15+RAND()*(Model!$G$15-Model!$F$15)</f>
        <v>4.9914319221706159E-2</v>
      </c>
      <c r="D1764" s="33">
        <f ca="1">Model!$F$16+RAND()*(Model!$G$16-Model!$F$16)</f>
        <v>50.03843911194371</v>
      </c>
      <c r="E1764" s="33">
        <f>Model!$D$17</f>
        <v>800</v>
      </c>
      <c r="G1764" s="36">
        <f t="shared" ca="1" si="29"/>
        <v>2198.0939640124734</v>
      </c>
    </row>
    <row r="1765" spans="1:7" x14ac:dyDescent="0.2">
      <c r="A1765" s="6">
        <f ca="1">Model!$F$13+RAND()*(Model!$G$13-Model!$F$13)</f>
        <v>1258.4225702421866</v>
      </c>
      <c r="B1765" s="31">
        <f ca="1">Model!$F$14+RAND()*(Model!$G$14-Model!$F$14)</f>
        <v>0.77050664869519214</v>
      </c>
      <c r="C1765" s="32">
        <f ca="1">Model!$F$15+RAND()*(Model!$G$15-Model!$F$15)</f>
        <v>3.3637429868219396E-2</v>
      </c>
      <c r="D1765" s="33">
        <f ca="1">Model!$F$16+RAND()*(Model!$G$16-Model!$F$16)</f>
        <v>47.681231503724874</v>
      </c>
      <c r="E1765" s="33">
        <f>Model!$D$17</f>
        <v>800</v>
      </c>
      <c r="G1765" s="36">
        <f t="shared" ca="1" si="29"/>
        <v>248.72838578602978</v>
      </c>
    </row>
    <row r="1766" spans="1:7" x14ac:dyDescent="0.2">
      <c r="A1766" s="6">
        <f ca="1">Model!$F$13+RAND()*(Model!$G$13-Model!$F$13)</f>
        <v>1790.4444388915008</v>
      </c>
      <c r="B1766" s="31">
        <f ca="1">Model!$F$14+RAND()*(Model!$G$14-Model!$F$14)</f>
        <v>0.25630660810388178</v>
      </c>
      <c r="C1766" s="32">
        <f ca="1">Model!$F$15+RAND()*(Model!$G$15-Model!$F$15)</f>
        <v>1.1812442883997697E-2</v>
      </c>
      <c r="D1766" s="33">
        <f ca="1">Model!$F$16+RAND()*(Model!$G$16-Model!$F$16)</f>
        <v>50.602771810595769</v>
      </c>
      <c r="E1766" s="33">
        <f>Model!$D$17</f>
        <v>800</v>
      </c>
      <c r="G1766" s="36">
        <f t="shared" ca="1" si="29"/>
        <v>-188.67827148801803</v>
      </c>
    </row>
    <row r="1767" spans="1:7" x14ac:dyDescent="0.2">
      <c r="A1767" s="6">
        <f ca="1">Model!$F$13+RAND()*(Model!$G$13-Model!$F$13)</f>
        <v>1579.2176367669974</v>
      </c>
      <c r="B1767" s="31">
        <f ca="1">Model!$F$14+RAND()*(Model!$G$14-Model!$F$14)</f>
        <v>0.36034132567835686</v>
      </c>
      <c r="C1767" s="32">
        <f ca="1">Model!$F$15+RAND()*(Model!$G$15-Model!$F$15)</f>
        <v>1.6408544839263545E-2</v>
      </c>
      <c r="D1767" s="33">
        <f ca="1">Model!$F$16+RAND()*(Model!$G$16-Model!$F$16)</f>
        <v>50.035462492940546</v>
      </c>
      <c r="E1767" s="33">
        <f>Model!$D$17</f>
        <v>800</v>
      </c>
      <c r="G1767" s="36">
        <f t="shared" ca="1" si="29"/>
        <v>-72.505278931877683</v>
      </c>
    </row>
    <row r="1768" spans="1:7" x14ac:dyDescent="0.2">
      <c r="A1768" s="6">
        <f ca="1">Model!$F$13+RAND()*(Model!$G$13-Model!$F$13)</f>
        <v>1360.210990309261</v>
      </c>
      <c r="B1768" s="31">
        <f ca="1">Model!$F$14+RAND()*(Model!$G$14-Model!$F$14)</f>
        <v>0.39193740777142028</v>
      </c>
      <c r="C1768" s="32">
        <f ca="1">Model!$F$15+RAND()*(Model!$G$15-Model!$F$15)</f>
        <v>1.6599916142528332E-2</v>
      </c>
      <c r="D1768" s="33">
        <f ca="1">Model!$F$16+RAND()*(Model!$G$16-Model!$F$16)</f>
        <v>52.804803909550301</v>
      </c>
      <c r="E1768" s="33">
        <f>Model!$D$17</f>
        <v>800</v>
      </c>
      <c r="G1768" s="36">
        <f t="shared" ca="1" si="29"/>
        <v>-140.81739400981292</v>
      </c>
    </row>
    <row r="1769" spans="1:7" x14ac:dyDescent="0.2">
      <c r="A1769" s="6">
        <f ca="1">Model!$F$13+RAND()*(Model!$G$13-Model!$F$13)</f>
        <v>1555.9922458242263</v>
      </c>
      <c r="B1769" s="31">
        <f ca="1">Model!$F$14+RAND()*(Model!$G$14-Model!$F$14)</f>
        <v>0.21563612476612004</v>
      </c>
      <c r="C1769" s="32">
        <f ca="1">Model!$F$15+RAND()*(Model!$G$15-Model!$F$15)</f>
        <v>1.7877537960250052E-2</v>
      </c>
      <c r="D1769" s="33">
        <f ca="1">Model!$F$16+RAND()*(Model!$G$16-Model!$F$16)</f>
        <v>50.445194889616552</v>
      </c>
      <c r="E1769" s="33">
        <f>Model!$D$17</f>
        <v>800</v>
      </c>
      <c r="G1769" s="36">
        <f t="shared" ref="G1769:G1832" ca="1" si="30">A1769*C1769*D1769-(E1769+A1769*B1769)</f>
        <v>267.7215084242207</v>
      </c>
    </row>
    <row r="1770" spans="1:7" x14ac:dyDescent="0.2">
      <c r="A1770" s="6">
        <f ca="1">Model!$F$13+RAND()*(Model!$G$13-Model!$F$13)</f>
        <v>1502.2709902755726</v>
      </c>
      <c r="B1770" s="31">
        <f ca="1">Model!$F$14+RAND()*(Model!$G$14-Model!$F$14)</f>
        <v>0.70410912167602269</v>
      </c>
      <c r="C1770" s="32">
        <f ca="1">Model!$F$15+RAND()*(Model!$G$15-Model!$F$15)</f>
        <v>2.579621892255949E-2</v>
      </c>
      <c r="D1770" s="33">
        <f ca="1">Model!$F$16+RAND()*(Model!$G$16-Model!$F$16)</f>
        <v>48.643370976123997</v>
      </c>
      <c r="E1770" s="33">
        <f>Model!$D$17</f>
        <v>800</v>
      </c>
      <c r="G1770" s="36">
        <f t="shared" ca="1" si="30"/>
        <v>27.309535533750477</v>
      </c>
    </row>
    <row r="1771" spans="1:7" x14ac:dyDescent="0.2">
      <c r="A1771" s="6">
        <f ca="1">Model!$F$13+RAND()*(Model!$G$13-Model!$F$13)</f>
        <v>1511.9942382579748</v>
      </c>
      <c r="B1771" s="31">
        <f ca="1">Model!$F$14+RAND()*(Model!$G$14-Model!$F$14)</f>
        <v>0.29956727234263603</v>
      </c>
      <c r="C1771" s="32">
        <f ca="1">Model!$F$15+RAND()*(Model!$G$15-Model!$F$15)</f>
        <v>3.1642225624054325E-2</v>
      </c>
      <c r="D1771" s="33">
        <f ca="1">Model!$F$16+RAND()*(Model!$G$16-Model!$F$16)</f>
        <v>48.943777852332488</v>
      </c>
      <c r="E1771" s="33">
        <f>Model!$D$17</f>
        <v>800</v>
      </c>
      <c r="G1771" s="36">
        <f t="shared" ca="1" si="30"/>
        <v>1088.6664603806762</v>
      </c>
    </row>
    <row r="1772" spans="1:7" x14ac:dyDescent="0.2">
      <c r="A1772" s="6">
        <f ca="1">Model!$F$13+RAND()*(Model!$G$13-Model!$F$13)</f>
        <v>1695.2703199325092</v>
      </c>
      <c r="B1772" s="31">
        <f ca="1">Model!$F$14+RAND()*(Model!$G$14-Model!$F$14)</f>
        <v>0.75645728995690154</v>
      </c>
      <c r="C1772" s="32">
        <f ca="1">Model!$F$15+RAND()*(Model!$G$15-Model!$F$15)</f>
        <v>4.8053085812346588E-2</v>
      </c>
      <c r="D1772" s="33">
        <f ca="1">Model!$F$16+RAND()*(Model!$G$16-Model!$F$16)</f>
        <v>50.342569889453131</v>
      </c>
      <c r="E1772" s="33">
        <f>Model!$D$17</f>
        <v>800</v>
      </c>
      <c r="G1772" s="36">
        <f t="shared" ca="1" si="30"/>
        <v>2018.655676663378</v>
      </c>
    </row>
    <row r="1773" spans="1:7" x14ac:dyDescent="0.2">
      <c r="A1773" s="6">
        <f ca="1">Model!$F$13+RAND()*(Model!$G$13-Model!$F$13)</f>
        <v>1793.9994358567515</v>
      </c>
      <c r="B1773" s="31">
        <f ca="1">Model!$F$14+RAND()*(Model!$G$14-Model!$F$14)</f>
        <v>0.66103757831859777</v>
      </c>
      <c r="C1773" s="32">
        <f ca="1">Model!$F$15+RAND()*(Model!$G$15-Model!$F$15)</f>
        <v>3.2476393846842651E-2</v>
      </c>
      <c r="D1773" s="33">
        <f ca="1">Model!$F$16+RAND()*(Model!$G$16-Model!$F$16)</f>
        <v>52.076251102264436</v>
      </c>
      <c r="E1773" s="33">
        <f>Model!$D$17</f>
        <v>800</v>
      </c>
      <c r="G1773" s="36">
        <f t="shared" ca="1" si="30"/>
        <v>1048.1984238201064</v>
      </c>
    </row>
    <row r="1774" spans="1:7" x14ac:dyDescent="0.2">
      <c r="A1774" s="6">
        <f ca="1">Model!$F$13+RAND()*(Model!$G$13-Model!$F$13)</f>
        <v>1307.0067910008372</v>
      </c>
      <c r="B1774" s="31">
        <f ca="1">Model!$F$14+RAND()*(Model!$G$14-Model!$F$14)</f>
        <v>0.27713240308566617</v>
      </c>
      <c r="C1774" s="32">
        <f ca="1">Model!$F$15+RAND()*(Model!$G$15-Model!$F$15)</f>
        <v>1.2458329090510612E-2</v>
      </c>
      <c r="D1774" s="33">
        <f ca="1">Model!$F$16+RAND()*(Model!$G$16-Model!$F$16)</f>
        <v>49.907997910543997</v>
      </c>
      <c r="E1774" s="33">
        <f>Model!$D$17</f>
        <v>800</v>
      </c>
      <c r="G1774" s="36">
        <f t="shared" ca="1" si="30"/>
        <v>-349.55597767795427</v>
      </c>
    </row>
    <row r="1775" spans="1:7" x14ac:dyDescent="0.2">
      <c r="A1775" s="6">
        <f ca="1">Model!$F$13+RAND()*(Model!$G$13-Model!$F$13)</f>
        <v>1345.6435735941261</v>
      </c>
      <c r="B1775" s="31">
        <f ca="1">Model!$F$14+RAND()*(Model!$G$14-Model!$F$14)</f>
        <v>0.76711256774031678</v>
      </c>
      <c r="C1775" s="32">
        <f ca="1">Model!$F$15+RAND()*(Model!$G$15-Model!$F$15)</f>
        <v>3.7086535571695292E-2</v>
      </c>
      <c r="D1775" s="33">
        <f ca="1">Model!$F$16+RAND()*(Model!$G$16-Model!$F$16)</f>
        <v>52.668132702021055</v>
      </c>
      <c r="E1775" s="33">
        <f>Model!$D$17</f>
        <v>800</v>
      </c>
      <c r="G1775" s="36">
        <f t="shared" ca="1" si="30"/>
        <v>796.15666750647574</v>
      </c>
    </row>
    <row r="1776" spans="1:7" x14ac:dyDescent="0.2">
      <c r="A1776" s="6">
        <f ca="1">Model!$F$13+RAND()*(Model!$G$13-Model!$F$13)</f>
        <v>1529.1634498530391</v>
      </c>
      <c r="B1776" s="31">
        <f ca="1">Model!$F$14+RAND()*(Model!$G$14-Model!$F$14)</f>
        <v>0.25142894695600482</v>
      </c>
      <c r="C1776" s="32">
        <f ca="1">Model!$F$15+RAND()*(Model!$G$15-Model!$F$15)</f>
        <v>2.9994101846830865E-2</v>
      </c>
      <c r="D1776" s="33">
        <f ca="1">Model!$F$16+RAND()*(Model!$G$16-Model!$F$16)</f>
        <v>48.296620298216432</v>
      </c>
      <c r="E1776" s="33">
        <f>Model!$D$17</f>
        <v>800</v>
      </c>
      <c r="G1776" s="36">
        <f t="shared" ca="1" si="30"/>
        <v>1030.6912406020974</v>
      </c>
    </row>
    <row r="1777" spans="1:7" x14ac:dyDescent="0.2">
      <c r="A1777" s="6">
        <f ca="1">Model!$F$13+RAND()*(Model!$G$13-Model!$F$13)</f>
        <v>1771.947540036238</v>
      </c>
      <c r="B1777" s="31">
        <f ca="1">Model!$F$14+RAND()*(Model!$G$14-Model!$F$14)</f>
        <v>0.46274701411734398</v>
      </c>
      <c r="C1777" s="32">
        <f ca="1">Model!$F$15+RAND()*(Model!$G$15-Model!$F$15)</f>
        <v>4.1177191102161573E-2</v>
      </c>
      <c r="D1777" s="33">
        <f ca="1">Model!$F$16+RAND()*(Model!$G$16-Model!$F$16)</f>
        <v>52.708561129352205</v>
      </c>
      <c r="E1777" s="33">
        <f>Model!$D$17</f>
        <v>800</v>
      </c>
      <c r="G1777" s="36">
        <f t="shared" ca="1" si="30"/>
        <v>2225.8546640453046</v>
      </c>
    </row>
    <row r="1778" spans="1:7" x14ac:dyDescent="0.2">
      <c r="A1778" s="6">
        <f ca="1">Model!$F$13+RAND()*(Model!$G$13-Model!$F$13)</f>
        <v>1224.3370897544676</v>
      </c>
      <c r="B1778" s="31">
        <f ca="1">Model!$F$14+RAND()*(Model!$G$14-Model!$F$14)</f>
        <v>0.71091973916289675</v>
      </c>
      <c r="C1778" s="32">
        <f ca="1">Model!$F$15+RAND()*(Model!$G$15-Model!$F$15)</f>
        <v>3.0801002778844094E-2</v>
      </c>
      <c r="D1778" s="33">
        <f ca="1">Model!$F$16+RAND()*(Model!$G$16-Model!$F$16)</f>
        <v>51.321660445743653</v>
      </c>
      <c r="E1778" s="33">
        <f>Model!$D$17</f>
        <v>800</v>
      </c>
      <c r="G1778" s="36">
        <f t="shared" ca="1" si="30"/>
        <v>264.97598678385816</v>
      </c>
    </row>
    <row r="1779" spans="1:7" x14ac:dyDescent="0.2">
      <c r="A1779" s="6">
        <f ca="1">Model!$F$13+RAND()*(Model!$G$13-Model!$F$13)</f>
        <v>1476.8412535074331</v>
      </c>
      <c r="B1779" s="31">
        <f ca="1">Model!$F$14+RAND()*(Model!$G$14-Model!$F$14)</f>
        <v>0.25849597166154936</v>
      </c>
      <c r="C1779" s="32">
        <f ca="1">Model!$F$15+RAND()*(Model!$G$15-Model!$F$15)</f>
        <v>1.5435218775220636E-2</v>
      </c>
      <c r="D1779" s="33">
        <f ca="1">Model!$F$16+RAND()*(Model!$G$16-Model!$F$16)</f>
        <v>51.960512845651976</v>
      </c>
      <c r="E1779" s="33">
        <f>Model!$D$17</f>
        <v>800</v>
      </c>
      <c r="G1779" s="36">
        <f t="shared" ca="1" si="30"/>
        <v>2.7014888724852426</v>
      </c>
    </row>
    <row r="1780" spans="1:7" x14ac:dyDescent="0.2">
      <c r="A1780" s="6">
        <f ca="1">Model!$F$13+RAND()*(Model!$G$13-Model!$F$13)</f>
        <v>1433.7665181718125</v>
      </c>
      <c r="B1780" s="31">
        <f ca="1">Model!$F$14+RAND()*(Model!$G$14-Model!$F$14)</f>
        <v>0.42884912874921355</v>
      </c>
      <c r="C1780" s="32">
        <f ca="1">Model!$F$15+RAND()*(Model!$G$15-Model!$F$15)</f>
        <v>3.4371975284729135E-2</v>
      </c>
      <c r="D1780" s="33">
        <f ca="1">Model!$F$16+RAND()*(Model!$G$16-Model!$F$16)</f>
        <v>49.282844573251538</v>
      </c>
      <c r="E1780" s="33">
        <f>Model!$D$17</f>
        <v>800</v>
      </c>
      <c r="G1780" s="36">
        <f t="shared" ca="1" si="30"/>
        <v>1013.8574298268923</v>
      </c>
    </row>
    <row r="1781" spans="1:7" x14ac:dyDescent="0.2">
      <c r="A1781" s="6">
        <f ca="1">Model!$F$13+RAND()*(Model!$G$13-Model!$F$13)</f>
        <v>1612.0619638329877</v>
      </c>
      <c r="B1781" s="31">
        <f ca="1">Model!$F$14+RAND()*(Model!$G$14-Model!$F$14)</f>
        <v>0.42458205282822409</v>
      </c>
      <c r="C1781" s="32">
        <f ca="1">Model!$F$15+RAND()*(Model!$G$15-Model!$F$15)</f>
        <v>2.1567068061363839E-2</v>
      </c>
      <c r="D1781" s="33">
        <f ca="1">Model!$F$16+RAND()*(Model!$G$16-Model!$F$16)</f>
        <v>48.412548112183792</v>
      </c>
      <c r="E1781" s="33">
        <f>Model!$D$17</f>
        <v>800</v>
      </c>
      <c r="G1781" s="36">
        <f t="shared" ca="1" si="30"/>
        <v>198.72827248070439</v>
      </c>
    </row>
    <row r="1782" spans="1:7" x14ac:dyDescent="0.2">
      <c r="A1782" s="6">
        <f ca="1">Model!$F$13+RAND()*(Model!$G$13-Model!$F$13)</f>
        <v>1231.9569477614937</v>
      </c>
      <c r="B1782" s="31">
        <f ca="1">Model!$F$14+RAND()*(Model!$G$14-Model!$F$14)</f>
        <v>0.70426362918881069</v>
      </c>
      <c r="C1782" s="32">
        <f ca="1">Model!$F$15+RAND()*(Model!$G$15-Model!$F$15)</f>
        <v>3.844521245034304E-2</v>
      </c>
      <c r="D1782" s="33">
        <f ca="1">Model!$F$16+RAND()*(Model!$G$16-Model!$F$16)</f>
        <v>52.536174829344219</v>
      </c>
      <c r="E1782" s="33">
        <f>Model!$D$17</f>
        <v>800</v>
      </c>
      <c r="G1782" s="36">
        <f t="shared" ca="1" si="30"/>
        <v>820.64031764189485</v>
      </c>
    </row>
    <row r="1783" spans="1:7" x14ac:dyDescent="0.2">
      <c r="A1783" s="6">
        <f ca="1">Model!$F$13+RAND()*(Model!$G$13-Model!$F$13)</f>
        <v>1277.0122340543885</v>
      </c>
      <c r="B1783" s="31">
        <f ca="1">Model!$F$14+RAND()*(Model!$G$14-Model!$F$14)</f>
        <v>0.49279137255674543</v>
      </c>
      <c r="C1783" s="32">
        <f ca="1">Model!$F$15+RAND()*(Model!$G$15-Model!$F$15)</f>
        <v>1.0042231714817921E-2</v>
      </c>
      <c r="D1783" s="33">
        <f ca="1">Model!$F$16+RAND()*(Model!$G$16-Model!$F$16)</f>
        <v>51.172330952467739</v>
      </c>
      <c r="E1783" s="33">
        <f>Model!$D$17</f>
        <v>800</v>
      </c>
      <c r="G1783" s="36">
        <f t="shared" ca="1" si="30"/>
        <v>-773.06393975669744</v>
      </c>
    </row>
    <row r="1784" spans="1:7" x14ac:dyDescent="0.2">
      <c r="A1784" s="6">
        <f ca="1">Model!$F$13+RAND()*(Model!$G$13-Model!$F$13)</f>
        <v>1709.3698067326588</v>
      </c>
      <c r="B1784" s="31">
        <f ca="1">Model!$F$14+RAND()*(Model!$G$14-Model!$F$14)</f>
        <v>0.40102180510932928</v>
      </c>
      <c r="C1784" s="32">
        <f ca="1">Model!$F$15+RAND()*(Model!$G$15-Model!$F$15)</f>
        <v>4.3700317153241609E-2</v>
      </c>
      <c r="D1784" s="33">
        <f ca="1">Model!$F$16+RAND()*(Model!$G$16-Model!$F$16)</f>
        <v>49.578452685802418</v>
      </c>
      <c r="E1784" s="33">
        <f>Model!$D$17</f>
        <v>800</v>
      </c>
      <c r="G1784" s="36">
        <f t="shared" ca="1" si="30"/>
        <v>2218.0159833213083</v>
      </c>
    </row>
    <row r="1785" spans="1:7" x14ac:dyDescent="0.2">
      <c r="A1785" s="6">
        <f ca="1">Model!$F$13+RAND()*(Model!$G$13-Model!$F$13)</f>
        <v>1518.260274945259</v>
      </c>
      <c r="B1785" s="31">
        <f ca="1">Model!$F$14+RAND()*(Model!$G$14-Model!$F$14)</f>
        <v>0.46877458282398349</v>
      </c>
      <c r="C1785" s="32">
        <f ca="1">Model!$F$15+RAND()*(Model!$G$15-Model!$F$15)</f>
        <v>2.0970861115159702E-2</v>
      </c>
      <c r="D1785" s="33">
        <f ca="1">Model!$F$16+RAND()*(Model!$G$16-Model!$F$16)</f>
        <v>48.515549337338506</v>
      </c>
      <c r="E1785" s="33">
        <f>Model!$D$17</f>
        <v>800</v>
      </c>
      <c r="G1785" s="36">
        <f t="shared" ca="1" si="30"/>
        <v>32.975681933317446</v>
      </c>
    </row>
    <row r="1786" spans="1:7" x14ac:dyDescent="0.2">
      <c r="A1786" s="6">
        <f ca="1">Model!$F$13+RAND()*(Model!$G$13-Model!$F$13)</f>
        <v>1621.4295578149581</v>
      </c>
      <c r="B1786" s="31">
        <f ca="1">Model!$F$14+RAND()*(Model!$G$14-Model!$F$14)</f>
        <v>0.30709688121628159</v>
      </c>
      <c r="C1786" s="32">
        <f ca="1">Model!$F$15+RAND()*(Model!$G$15-Model!$F$15)</f>
        <v>2.5609433900551835E-2</v>
      </c>
      <c r="D1786" s="33">
        <f ca="1">Model!$F$16+RAND()*(Model!$G$16-Model!$F$16)</f>
        <v>47.114926153203868</v>
      </c>
      <c r="E1786" s="33">
        <f>Model!$D$17</f>
        <v>800</v>
      </c>
      <c r="G1786" s="36">
        <f t="shared" ca="1" si="30"/>
        <v>658.45919598883825</v>
      </c>
    </row>
    <row r="1787" spans="1:7" x14ac:dyDescent="0.2">
      <c r="A1787" s="6">
        <f ca="1">Model!$F$13+RAND()*(Model!$G$13-Model!$F$13)</f>
        <v>1746.9454618875088</v>
      </c>
      <c r="B1787" s="31">
        <f ca="1">Model!$F$14+RAND()*(Model!$G$14-Model!$F$14)</f>
        <v>0.77139765554643547</v>
      </c>
      <c r="C1787" s="32">
        <f ca="1">Model!$F$15+RAND()*(Model!$G$15-Model!$F$15)</f>
        <v>1.1834587534462244E-2</v>
      </c>
      <c r="D1787" s="33">
        <f ca="1">Model!$F$16+RAND()*(Model!$G$16-Model!$F$16)</f>
        <v>51.062965198374314</v>
      </c>
      <c r="E1787" s="33">
        <f>Model!$D$17</f>
        <v>800</v>
      </c>
      <c r="G1787" s="36">
        <f t="shared" ca="1" si="30"/>
        <v>-1091.8945389747453</v>
      </c>
    </row>
    <row r="1788" spans="1:7" x14ac:dyDescent="0.2">
      <c r="A1788" s="6">
        <f ca="1">Model!$F$13+RAND()*(Model!$G$13-Model!$F$13)</f>
        <v>1779.8926213216987</v>
      </c>
      <c r="B1788" s="31">
        <f ca="1">Model!$F$14+RAND()*(Model!$G$14-Model!$F$14)</f>
        <v>0.26683813770369175</v>
      </c>
      <c r="C1788" s="32">
        <f ca="1">Model!$F$15+RAND()*(Model!$G$15-Model!$F$15)</f>
        <v>3.2600250154283798E-2</v>
      </c>
      <c r="D1788" s="33">
        <f ca="1">Model!$F$16+RAND()*(Model!$G$16-Model!$F$16)</f>
        <v>48.560950145126391</v>
      </c>
      <c r="E1788" s="33">
        <f>Model!$D$17</f>
        <v>800</v>
      </c>
      <c r="G1788" s="36">
        <f t="shared" ca="1" si="30"/>
        <v>1542.8032145028533</v>
      </c>
    </row>
    <row r="1789" spans="1:7" x14ac:dyDescent="0.2">
      <c r="A1789" s="6">
        <f ca="1">Model!$F$13+RAND()*(Model!$G$13-Model!$F$13)</f>
        <v>1234.3879197115818</v>
      </c>
      <c r="B1789" s="31">
        <f ca="1">Model!$F$14+RAND()*(Model!$G$14-Model!$F$14)</f>
        <v>0.79033177010056921</v>
      </c>
      <c r="C1789" s="32">
        <f ca="1">Model!$F$15+RAND()*(Model!$G$15-Model!$F$15)</f>
        <v>3.8182409457986691E-2</v>
      </c>
      <c r="D1789" s="33">
        <f ca="1">Model!$F$16+RAND()*(Model!$G$16-Model!$F$16)</f>
        <v>48.017107658313378</v>
      </c>
      <c r="E1789" s="33">
        <f>Model!$D$17</f>
        <v>800</v>
      </c>
      <c r="G1789" s="36">
        <f t="shared" ca="1" si="30"/>
        <v>487.56176600981075</v>
      </c>
    </row>
    <row r="1790" spans="1:7" x14ac:dyDescent="0.2">
      <c r="A1790" s="6">
        <f ca="1">Model!$F$13+RAND()*(Model!$G$13-Model!$F$13)</f>
        <v>1757.8010265052308</v>
      </c>
      <c r="B1790" s="31">
        <f ca="1">Model!$F$14+RAND()*(Model!$G$14-Model!$F$14)</f>
        <v>0.64364569580660747</v>
      </c>
      <c r="C1790" s="32">
        <f ca="1">Model!$F$15+RAND()*(Model!$G$15-Model!$F$15)</f>
        <v>4.6857016696179948E-2</v>
      </c>
      <c r="D1790" s="33">
        <f ca="1">Model!$F$16+RAND()*(Model!$G$16-Model!$F$16)</f>
        <v>49.62375451618297</v>
      </c>
      <c r="E1790" s="33">
        <f>Model!$D$17</f>
        <v>800</v>
      </c>
      <c r="G1790" s="36">
        <f t="shared" ca="1" si="30"/>
        <v>2155.8749609003053</v>
      </c>
    </row>
    <row r="1791" spans="1:7" x14ac:dyDescent="0.2">
      <c r="A1791" s="6">
        <f ca="1">Model!$F$13+RAND()*(Model!$G$13-Model!$F$13)</f>
        <v>1634.8394304459514</v>
      </c>
      <c r="B1791" s="31">
        <f ca="1">Model!$F$14+RAND()*(Model!$G$14-Model!$F$14)</f>
        <v>0.32995107995099254</v>
      </c>
      <c r="C1791" s="32">
        <f ca="1">Model!$F$15+RAND()*(Model!$G$15-Model!$F$15)</f>
        <v>2.9822389718006444E-2</v>
      </c>
      <c r="D1791" s="33">
        <f ca="1">Model!$F$16+RAND()*(Model!$G$16-Model!$F$16)</f>
        <v>52.791188959363801</v>
      </c>
      <c r="E1791" s="33">
        <f>Model!$D$17</f>
        <v>800</v>
      </c>
      <c r="G1791" s="36">
        <f t="shared" ca="1" si="30"/>
        <v>1234.4078068850981</v>
      </c>
    </row>
    <row r="1792" spans="1:7" x14ac:dyDescent="0.2">
      <c r="A1792" s="6">
        <f ca="1">Model!$F$13+RAND()*(Model!$G$13-Model!$F$13)</f>
        <v>1439.9500429362274</v>
      </c>
      <c r="B1792" s="31">
        <f ca="1">Model!$F$14+RAND()*(Model!$G$14-Model!$F$14)</f>
        <v>0.39672890110049974</v>
      </c>
      <c r="C1792" s="32">
        <f ca="1">Model!$F$15+RAND()*(Model!$G$15-Model!$F$15)</f>
        <v>2.1856229136932744E-2</v>
      </c>
      <c r="D1792" s="33">
        <f ca="1">Model!$F$16+RAND()*(Model!$G$16-Model!$F$16)</f>
        <v>49.098746945153579</v>
      </c>
      <c r="E1792" s="33">
        <f>Model!$D$17</f>
        <v>800</v>
      </c>
      <c r="G1792" s="36">
        <f t="shared" ca="1" si="30"/>
        <v>173.9599797687149</v>
      </c>
    </row>
    <row r="1793" spans="1:7" x14ac:dyDescent="0.2">
      <c r="A1793" s="6">
        <f ca="1">Model!$F$13+RAND()*(Model!$G$13-Model!$F$13)</f>
        <v>1711.4502801423109</v>
      </c>
      <c r="B1793" s="31">
        <f ca="1">Model!$F$14+RAND()*(Model!$G$14-Model!$F$14)</f>
        <v>0.35155394722024291</v>
      </c>
      <c r="C1793" s="32">
        <f ca="1">Model!$F$15+RAND()*(Model!$G$15-Model!$F$15)</f>
        <v>3.173537197664255E-2</v>
      </c>
      <c r="D1793" s="33">
        <f ca="1">Model!$F$16+RAND()*(Model!$G$16-Model!$F$16)</f>
        <v>47.449469536987635</v>
      </c>
      <c r="E1793" s="33">
        <f>Model!$D$17</f>
        <v>800</v>
      </c>
      <c r="G1793" s="36">
        <f t="shared" ca="1" si="30"/>
        <v>1175.4801965156462</v>
      </c>
    </row>
    <row r="1794" spans="1:7" x14ac:dyDescent="0.2">
      <c r="A1794" s="6">
        <f ca="1">Model!$F$13+RAND()*(Model!$G$13-Model!$F$13)</f>
        <v>1792.8176659841256</v>
      </c>
      <c r="B1794" s="31">
        <f ca="1">Model!$F$14+RAND()*(Model!$G$14-Model!$F$14)</f>
        <v>0.26032716358949498</v>
      </c>
      <c r="C1794" s="32">
        <f ca="1">Model!$F$15+RAND()*(Model!$G$15-Model!$F$15)</f>
        <v>2.40468100283521E-2</v>
      </c>
      <c r="D1794" s="33">
        <f ca="1">Model!$F$16+RAND()*(Model!$G$16-Model!$F$16)</f>
        <v>47.559978087508327</v>
      </c>
      <c r="E1794" s="33">
        <f>Model!$D$17</f>
        <v>800</v>
      </c>
      <c r="G1794" s="36">
        <f t="shared" ca="1" si="30"/>
        <v>783.66503714579744</v>
      </c>
    </row>
    <row r="1795" spans="1:7" x14ac:dyDescent="0.2">
      <c r="A1795" s="6">
        <f ca="1">Model!$F$13+RAND()*(Model!$G$13-Model!$F$13)</f>
        <v>1613.2818673686443</v>
      </c>
      <c r="B1795" s="31">
        <f ca="1">Model!$F$14+RAND()*(Model!$G$14-Model!$F$14)</f>
        <v>0.62935614633338655</v>
      </c>
      <c r="C1795" s="32">
        <f ca="1">Model!$F$15+RAND()*(Model!$G$15-Model!$F$15)</f>
        <v>1.5627646222530416E-2</v>
      </c>
      <c r="D1795" s="33">
        <f ca="1">Model!$F$16+RAND()*(Model!$G$16-Model!$F$16)</f>
        <v>51.215828780136285</v>
      </c>
      <c r="E1795" s="33">
        <f>Model!$D$17</f>
        <v>800</v>
      </c>
      <c r="G1795" s="36">
        <f t="shared" ca="1" si="30"/>
        <v>-524.08571502526479</v>
      </c>
    </row>
    <row r="1796" spans="1:7" x14ac:dyDescent="0.2">
      <c r="A1796" s="6">
        <f ca="1">Model!$F$13+RAND()*(Model!$G$13-Model!$F$13)</f>
        <v>1576.7220059515948</v>
      </c>
      <c r="B1796" s="31">
        <f ca="1">Model!$F$14+RAND()*(Model!$G$14-Model!$F$14)</f>
        <v>0.34701558417240852</v>
      </c>
      <c r="C1796" s="32">
        <f ca="1">Model!$F$15+RAND()*(Model!$G$15-Model!$F$15)</f>
        <v>1.8643043850263941E-2</v>
      </c>
      <c r="D1796" s="33">
        <f ca="1">Model!$F$16+RAND()*(Model!$G$16-Model!$F$16)</f>
        <v>52.886799721435473</v>
      </c>
      <c r="E1796" s="33">
        <f>Model!$D$17</f>
        <v>800</v>
      </c>
      <c r="G1796" s="36">
        <f t="shared" ca="1" si="30"/>
        <v>207.4549487637014</v>
      </c>
    </row>
    <row r="1797" spans="1:7" x14ac:dyDescent="0.2">
      <c r="A1797" s="6">
        <f ca="1">Model!$F$13+RAND()*(Model!$G$13-Model!$F$13)</f>
        <v>1611.1809055675922</v>
      </c>
      <c r="B1797" s="31">
        <f ca="1">Model!$F$14+RAND()*(Model!$G$14-Model!$F$14)</f>
        <v>0.74858146848313867</v>
      </c>
      <c r="C1797" s="32">
        <f ca="1">Model!$F$15+RAND()*(Model!$G$15-Model!$F$15)</f>
        <v>2.1354562603122979E-2</v>
      </c>
      <c r="D1797" s="33">
        <f ca="1">Model!$F$16+RAND()*(Model!$G$16-Model!$F$16)</f>
        <v>52.888471196382916</v>
      </c>
      <c r="E1797" s="33">
        <f>Model!$D$17</f>
        <v>800</v>
      </c>
      <c r="G1797" s="36">
        <f t="shared" ca="1" si="30"/>
        <v>-186.41606919887386</v>
      </c>
    </row>
    <row r="1798" spans="1:7" x14ac:dyDescent="0.2">
      <c r="A1798" s="6">
        <f ca="1">Model!$F$13+RAND()*(Model!$G$13-Model!$F$13)</f>
        <v>1268.2278186913084</v>
      </c>
      <c r="B1798" s="31">
        <f ca="1">Model!$F$14+RAND()*(Model!$G$14-Model!$F$14)</f>
        <v>0.241766456225883</v>
      </c>
      <c r="C1798" s="32">
        <f ca="1">Model!$F$15+RAND()*(Model!$G$15-Model!$F$15)</f>
        <v>3.4179036825984888E-2</v>
      </c>
      <c r="D1798" s="33">
        <f ca="1">Model!$F$16+RAND()*(Model!$G$16-Model!$F$16)</f>
        <v>47.721025748213528</v>
      </c>
      <c r="E1798" s="33">
        <f>Model!$D$17</f>
        <v>800</v>
      </c>
      <c r="G1798" s="36">
        <f t="shared" ca="1" si="30"/>
        <v>961.93906730863569</v>
      </c>
    </row>
    <row r="1799" spans="1:7" x14ac:dyDescent="0.2">
      <c r="A1799" s="6">
        <f ca="1">Model!$F$13+RAND()*(Model!$G$13-Model!$F$13)</f>
        <v>1489.5756791932431</v>
      </c>
      <c r="B1799" s="31">
        <f ca="1">Model!$F$14+RAND()*(Model!$G$14-Model!$F$14)</f>
        <v>0.63996008937836968</v>
      </c>
      <c r="C1799" s="32">
        <f ca="1">Model!$F$15+RAND()*(Model!$G$15-Model!$F$15)</f>
        <v>1.5548162128089071E-2</v>
      </c>
      <c r="D1799" s="33">
        <f ca="1">Model!$F$16+RAND()*(Model!$G$16-Model!$F$16)</f>
        <v>47.334945688835205</v>
      </c>
      <c r="E1799" s="33">
        <f>Model!$D$17</f>
        <v>800</v>
      </c>
      <c r="G1799" s="36">
        <f t="shared" ca="1" si="30"/>
        <v>-656.98387203224183</v>
      </c>
    </row>
    <row r="1800" spans="1:7" x14ac:dyDescent="0.2">
      <c r="A1800" s="6">
        <f ca="1">Model!$F$13+RAND()*(Model!$G$13-Model!$F$13)</f>
        <v>1743.1321082428763</v>
      </c>
      <c r="B1800" s="31">
        <f ca="1">Model!$F$14+RAND()*(Model!$G$14-Model!$F$14)</f>
        <v>0.31467150698386215</v>
      </c>
      <c r="C1800" s="32">
        <f ca="1">Model!$F$15+RAND()*(Model!$G$15-Model!$F$15)</f>
        <v>1.9802554791890508E-2</v>
      </c>
      <c r="D1800" s="33">
        <f ca="1">Model!$F$16+RAND()*(Model!$G$16-Model!$F$16)</f>
        <v>51.63154936348289</v>
      </c>
      <c r="E1800" s="33">
        <f>Model!$D$17</f>
        <v>800</v>
      </c>
      <c r="G1800" s="36">
        <f t="shared" ca="1" si="30"/>
        <v>433.72803303716114</v>
      </c>
    </row>
    <row r="1801" spans="1:7" x14ac:dyDescent="0.2">
      <c r="A1801" s="6">
        <f ca="1">Model!$F$13+RAND()*(Model!$G$13-Model!$F$13)</f>
        <v>1491.0232288125378</v>
      </c>
      <c r="B1801" s="31">
        <f ca="1">Model!$F$14+RAND()*(Model!$G$14-Model!$F$14)</f>
        <v>0.70065815676322751</v>
      </c>
      <c r="C1801" s="32">
        <f ca="1">Model!$F$15+RAND()*(Model!$G$15-Model!$F$15)</f>
        <v>3.7829638662401001E-2</v>
      </c>
      <c r="D1801" s="33">
        <f ca="1">Model!$F$16+RAND()*(Model!$G$16-Model!$F$16)</f>
        <v>48.07220314191926</v>
      </c>
      <c r="E1801" s="33">
        <f>Model!$D$17</f>
        <v>800</v>
      </c>
      <c r="G1801" s="36">
        <f t="shared" ca="1" si="30"/>
        <v>866.80878083617586</v>
      </c>
    </row>
    <row r="1802" spans="1:7" x14ac:dyDescent="0.2">
      <c r="A1802" s="6">
        <f ca="1">Model!$F$13+RAND()*(Model!$G$13-Model!$F$13)</f>
        <v>1272.3502657231954</v>
      </c>
      <c r="B1802" s="31">
        <f ca="1">Model!$F$14+RAND()*(Model!$G$14-Model!$F$14)</f>
        <v>0.7379444508281725</v>
      </c>
      <c r="C1802" s="32">
        <f ca="1">Model!$F$15+RAND()*(Model!$G$15-Model!$F$15)</f>
        <v>2.879899612096147E-2</v>
      </c>
      <c r="D1802" s="33">
        <f ca="1">Model!$F$16+RAND()*(Model!$G$16-Model!$F$16)</f>
        <v>52.045686861024862</v>
      </c>
      <c r="E1802" s="33">
        <f>Model!$D$17</f>
        <v>800</v>
      </c>
      <c r="G1802" s="36">
        <f t="shared" ca="1" si="30"/>
        <v>168.15559769733659</v>
      </c>
    </row>
    <row r="1803" spans="1:7" x14ac:dyDescent="0.2">
      <c r="A1803" s="6">
        <f ca="1">Model!$F$13+RAND()*(Model!$G$13-Model!$F$13)</f>
        <v>1567.3483564851717</v>
      </c>
      <c r="B1803" s="31">
        <f ca="1">Model!$F$14+RAND()*(Model!$G$14-Model!$F$14)</f>
        <v>0.68602609477253229</v>
      </c>
      <c r="C1803" s="32">
        <f ca="1">Model!$F$15+RAND()*(Model!$G$15-Model!$F$15)</f>
        <v>2.2774154149238224E-2</v>
      </c>
      <c r="D1803" s="33">
        <f ca="1">Model!$F$16+RAND()*(Model!$G$16-Model!$F$16)</f>
        <v>47.494231790766939</v>
      </c>
      <c r="E1803" s="33">
        <f>Model!$D$17</f>
        <v>800</v>
      </c>
      <c r="G1803" s="36">
        <f t="shared" ca="1" si="30"/>
        <v>-179.93369744998063</v>
      </c>
    </row>
    <row r="1804" spans="1:7" x14ac:dyDescent="0.2">
      <c r="A1804" s="6">
        <f ca="1">Model!$F$13+RAND()*(Model!$G$13-Model!$F$13)</f>
        <v>1449.4709788617197</v>
      </c>
      <c r="B1804" s="31">
        <f ca="1">Model!$F$14+RAND()*(Model!$G$14-Model!$F$14)</f>
        <v>0.54314797196983622</v>
      </c>
      <c r="C1804" s="32">
        <f ca="1">Model!$F$15+RAND()*(Model!$G$15-Model!$F$15)</f>
        <v>4.2957733699175826E-2</v>
      </c>
      <c r="D1804" s="33">
        <f ca="1">Model!$F$16+RAND()*(Model!$G$16-Model!$F$16)</f>
        <v>52.328784718893786</v>
      </c>
      <c r="E1804" s="33">
        <f>Model!$D$17</f>
        <v>800</v>
      </c>
      <c r="G1804" s="36">
        <f t="shared" ca="1" si="30"/>
        <v>1671.0262752273156</v>
      </c>
    </row>
    <row r="1805" spans="1:7" x14ac:dyDescent="0.2">
      <c r="A1805" s="6">
        <f ca="1">Model!$F$13+RAND()*(Model!$G$13-Model!$F$13)</f>
        <v>1623.6820863164162</v>
      </c>
      <c r="B1805" s="31">
        <f ca="1">Model!$F$14+RAND()*(Model!$G$14-Model!$F$14)</f>
        <v>0.74267079011703685</v>
      </c>
      <c r="C1805" s="32">
        <f ca="1">Model!$F$15+RAND()*(Model!$G$15-Model!$F$15)</f>
        <v>2.6130010060858765E-2</v>
      </c>
      <c r="D1805" s="33">
        <f ca="1">Model!$F$16+RAND()*(Model!$G$16-Model!$F$16)</f>
        <v>52.653606822528971</v>
      </c>
      <c r="E1805" s="33">
        <f>Model!$D$17</f>
        <v>800</v>
      </c>
      <c r="G1805" s="36">
        <f t="shared" ca="1" si="30"/>
        <v>228.06432816966208</v>
      </c>
    </row>
    <row r="1806" spans="1:7" x14ac:dyDescent="0.2">
      <c r="A1806" s="6">
        <f ca="1">Model!$F$13+RAND()*(Model!$G$13-Model!$F$13)</f>
        <v>1294.7237727155846</v>
      </c>
      <c r="B1806" s="31">
        <f ca="1">Model!$F$14+RAND()*(Model!$G$14-Model!$F$14)</f>
        <v>0.4972690991349194</v>
      </c>
      <c r="C1806" s="32">
        <f ca="1">Model!$F$15+RAND()*(Model!$G$15-Model!$F$15)</f>
        <v>3.4681657781589735E-2</v>
      </c>
      <c r="D1806" s="33">
        <f ca="1">Model!$F$16+RAND()*(Model!$G$16-Model!$F$16)</f>
        <v>52.352881350763212</v>
      </c>
      <c r="E1806" s="33">
        <f>Model!$D$17</f>
        <v>800</v>
      </c>
      <c r="G1806" s="36">
        <f t="shared" ca="1" si="30"/>
        <v>906.98404003411588</v>
      </c>
    </row>
    <row r="1807" spans="1:7" x14ac:dyDescent="0.2">
      <c r="A1807" s="6">
        <f ca="1">Model!$F$13+RAND()*(Model!$G$13-Model!$F$13)</f>
        <v>1611.4401583898621</v>
      </c>
      <c r="B1807" s="31">
        <f ca="1">Model!$F$14+RAND()*(Model!$G$14-Model!$F$14)</f>
        <v>0.51364952210808767</v>
      </c>
      <c r="C1807" s="32">
        <f ca="1">Model!$F$15+RAND()*(Model!$G$15-Model!$F$15)</f>
        <v>3.4220718345059388E-2</v>
      </c>
      <c r="D1807" s="33">
        <f ca="1">Model!$F$16+RAND()*(Model!$G$16-Model!$F$16)</f>
        <v>48.129483415695049</v>
      </c>
      <c r="E1807" s="33">
        <f>Model!$D$17</f>
        <v>800</v>
      </c>
      <c r="G1807" s="36">
        <f t="shared" ca="1" si="30"/>
        <v>1026.3675589830846</v>
      </c>
    </row>
    <row r="1808" spans="1:7" x14ac:dyDescent="0.2">
      <c r="A1808" s="6">
        <f ca="1">Model!$F$13+RAND()*(Model!$G$13-Model!$F$13)</f>
        <v>1282.9763514608071</v>
      </c>
      <c r="B1808" s="31">
        <f ca="1">Model!$F$14+RAND()*(Model!$G$14-Model!$F$14)</f>
        <v>0.72794323825297069</v>
      </c>
      <c r="C1808" s="32">
        <f ca="1">Model!$F$15+RAND()*(Model!$G$15-Model!$F$15)</f>
        <v>1.4409091146007146E-2</v>
      </c>
      <c r="D1808" s="33">
        <f ca="1">Model!$F$16+RAND()*(Model!$G$16-Model!$F$16)</f>
        <v>49.564621573008878</v>
      </c>
      <c r="E1808" s="33">
        <f>Model!$D$17</f>
        <v>800</v>
      </c>
      <c r="G1808" s="36">
        <f t="shared" ca="1" si="30"/>
        <v>-817.6564339512546</v>
      </c>
    </row>
    <row r="1809" spans="1:7" x14ac:dyDescent="0.2">
      <c r="A1809" s="6">
        <f ca="1">Model!$F$13+RAND()*(Model!$G$13-Model!$F$13)</f>
        <v>1423.8006152004698</v>
      </c>
      <c r="B1809" s="31">
        <f ca="1">Model!$F$14+RAND()*(Model!$G$14-Model!$F$14)</f>
        <v>0.50043159835267614</v>
      </c>
      <c r="C1809" s="32">
        <f ca="1">Model!$F$15+RAND()*(Model!$G$15-Model!$F$15)</f>
        <v>1.2762688990963906E-2</v>
      </c>
      <c r="D1809" s="33">
        <f ca="1">Model!$F$16+RAND()*(Model!$G$16-Model!$F$16)</f>
        <v>51.980780333147614</v>
      </c>
      <c r="E1809" s="33">
        <f>Model!$D$17</f>
        <v>800</v>
      </c>
      <c r="G1809" s="36">
        <f t="shared" ca="1" si="30"/>
        <v>-567.94479752494578</v>
      </c>
    </row>
    <row r="1810" spans="1:7" x14ac:dyDescent="0.2">
      <c r="A1810" s="6">
        <f ca="1">Model!$F$13+RAND()*(Model!$G$13-Model!$F$13)</f>
        <v>1740.9607062612245</v>
      </c>
      <c r="B1810" s="31">
        <f ca="1">Model!$F$14+RAND()*(Model!$G$14-Model!$F$14)</f>
        <v>0.64822230115515023</v>
      </c>
      <c r="C1810" s="32">
        <f ca="1">Model!$F$15+RAND()*(Model!$G$15-Model!$F$15)</f>
        <v>4.6540041265771083E-2</v>
      </c>
      <c r="D1810" s="33">
        <f ca="1">Model!$F$16+RAND()*(Model!$G$16-Model!$F$16)</f>
        <v>48.400630744916633</v>
      </c>
      <c r="E1810" s="33">
        <f>Model!$D$17</f>
        <v>800</v>
      </c>
      <c r="G1810" s="36">
        <f t="shared" ca="1" si="30"/>
        <v>1993.1016930802189</v>
      </c>
    </row>
    <row r="1811" spans="1:7" x14ac:dyDescent="0.2">
      <c r="A1811" s="6">
        <f ca="1">Model!$F$13+RAND()*(Model!$G$13-Model!$F$13)</f>
        <v>1625.3665284789622</v>
      </c>
      <c r="B1811" s="31">
        <f ca="1">Model!$F$14+RAND()*(Model!$G$14-Model!$F$14)</f>
        <v>0.62131012550012432</v>
      </c>
      <c r="C1811" s="32">
        <f ca="1">Model!$F$15+RAND()*(Model!$G$15-Model!$F$15)</f>
        <v>3.8898726046183427E-2</v>
      </c>
      <c r="D1811" s="33">
        <f ca="1">Model!$F$16+RAND()*(Model!$G$16-Model!$F$16)</f>
        <v>49.383982879571839</v>
      </c>
      <c r="E1811" s="33">
        <f>Model!$D$17</f>
        <v>800</v>
      </c>
      <c r="G1811" s="36">
        <f t="shared" ca="1" si="30"/>
        <v>1312.4301941836657</v>
      </c>
    </row>
    <row r="1812" spans="1:7" x14ac:dyDescent="0.2">
      <c r="A1812" s="6">
        <f ca="1">Model!$F$13+RAND()*(Model!$G$13-Model!$F$13)</f>
        <v>1242.3327393000552</v>
      </c>
      <c r="B1812" s="31">
        <f ca="1">Model!$F$14+RAND()*(Model!$G$14-Model!$F$14)</f>
        <v>0.56031671628325763</v>
      </c>
      <c r="C1812" s="32">
        <f ca="1">Model!$F$15+RAND()*(Model!$G$15-Model!$F$15)</f>
        <v>4.1540443687168048E-2</v>
      </c>
      <c r="D1812" s="33">
        <f ca="1">Model!$F$16+RAND()*(Model!$G$16-Model!$F$16)</f>
        <v>47.060727519332495</v>
      </c>
      <c r="E1812" s="33">
        <f>Model!$D$17</f>
        <v>800</v>
      </c>
      <c r="G1812" s="36">
        <f t="shared" ca="1" si="30"/>
        <v>932.56566759306088</v>
      </c>
    </row>
    <row r="1813" spans="1:7" x14ac:dyDescent="0.2">
      <c r="A1813" s="6">
        <f ca="1">Model!$F$13+RAND()*(Model!$G$13-Model!$F$13)</f>
        <v>1703.4630484736015</v>
      </c>
      <c r="B1813" s="31">
        <f ca="1">Model!$F$14+RAND()*(Model!$G$14-Model!$F$14)</f>
        <v>0.44146334811627691</v>
      </c>
      <c r="C1813" s="32">
        <f ca="1">Model!$F$15+RAND()*(Model!$G$15-Model!$F$15)</f>
        <v>2.8888175781464007E-2</v>
      </c>
      <c r="D1813" s="33">
        <f ca="1">Model!$F$16+RAND()*(Model!$G$16-Model!$F$16)</f>
        <v>49.682659763721155</v>
      </c>
      <c r="E1813" s="33">
        <f>Model!$D$17</f>
        <v>800</v>
      </c>
      <c r="G1813" s="36">
        <f t="shared" ca="1" si="30"/>
        <v>892.86420432417344</v>
      </c>
    </row>
    <row r="1814" spans="1:7" x14ac:dyDescent="0.2">
      <c r="A1814" s="6">
        <f ca="1">Model!$F$13+RAND()*(Model!$G$13-Model!$F$13)</f>
        <v>1243.2152167227864</v>
      </c>
      <c r="B1814" s="31">
        <f ca="1">Model!$F$14+RAND()*(Model!$G$14-Model!$F$14)</f>
        <v>0.59785259348424713</v>
      </c>
      <c r="C1814" s="32">
        <f ca="1">Model!$F$15+RAND()*(Model!$G$15-Model!$F$15)</f>
        <v>4.1439029953399743E-2</v>
      </c>
      <c r="D1814" s="33">
        <f ca="1">Model!$F$16+RAND()*(Model!$G$16-Model!$F$16)</f>
        <v>50.128495359809534</v>
      </c>
      <c r="E1814" s="33">
        <f>Model!$D$17</f>
        <v>800</v>
      </c>
      <c r="G1814" s="36">
        <f t="shared" ca="1" si="30"/>
        <v>1039.2419653761217</v>
      </c>
    </row>
    <row r="1815" spans="1:7" x14ac:dyDescent="0.2">
      <c r="A1815" s="6">
        <f ca="1">Model!$F$13+RAND()*(Model!$G$13-Model!$F$13)</f>
        <v>1601.0836613405877</v>
      </c>
      <c r="B1815" s="31">
        <f ca="1">Model!$F$14+RAND()*(Model!$G$14-Model!$F$14)</f>
        <v>0.59336876818961803</v>
      </c>
      <c r="C1815" s="32">
        <f ca="1">Model!$F$15+RAND()*(Model!$G$15-Model!$F$15)</f>
        <v>4.6351298594183063E-2</v>
      </c>
      <c r="D1815" s="33">
        <f ca="1">Model!$F$16+RAND()*(Model!$G$16-Model!$F$16)</f>
        <v>49.776281843634585</v>
      </c>
      <c r="E1815" s="33">
        <f>Model!$D$17</f>
        <v>800</v>
      </c>
      <c r="G1815" s="36">
        <f t="shared" ca="1" si="30"/>
        <v>1943.9796626845027</v>
      </c>
    </row>
    <row r="1816" spans="1:7" x14ac:dyDescent="0.2">
      <c r="A1816" s="6">
        <f ca="1">Model!$F$13+RAND()*(Model!$G$13-Model!$F$13)</f>
        <v>1603.7058690516824</v>
      </c>
      <c r="B1816" s="31">
        <f ca="1">Model!$F$14+RAND()*(Model!$G$14-Model!$F$14)</f>
        <v>0.41154259951512384</v>
      </c>
      <c r="C1816" s="32">
        <f ca="1">Model!$F$15+RAND()*(Model!$G$15-Model!$F$15)</f>
        <v>4.9518977844201569E-2</v>
      </c>
      <c r="D1816" s="33">
        <f ca="1">Model!$F$16+RAND()*(Model!$G$16-Model!$F$16)</f>
        <v>48.835501711854015</v>
      </c>
      <c r="E1816" s="33">
        <f>Model!$D$17</f>
        <v>800</v>
      </c>
      <c r="G1816" s="36">
        <f t="shared" ca="1" si="30"/>
        <v>2418.2231657458974</v>
      </c>
    </row>
    <row r="1817" spans="1:7" x14ac:dyDescent="0.2">
      <c r="A1817" s="6">
        <f ca="1">Model!$F$13+RAND()*(Model!$G$13-Model!$F$13)</f>
        <v>1323.0483678916044</v>
      </c>
      <c r="B1817" s="31">
        <f ca="1">Model!$F$14+RAND()*(Model!$G$14-Model!$F$14)</f>
        <v>0.43435543446062047</v>
      </c>
      <c r="C1817" s="32">
        <f ca="1">Model!$F$15+RAND()*(Model!$G$15-Model!$F$15)</f>
        <v>1.2444549532343589E-2</v>
      </c>
      <c r="D1817" s="33">
        <f ca="1">Model!$F$16+RAND()*(Model!$G$16-Model!$F$16)</f>
        <v>51.839583428698049</v>
      </c>
      <c r="E1817" s="33">
        <f>Model!$D$17</f>
        <v>800</v>
      </c>
      <c r="G1817" s="36">
        <f t="shared" ca="1" si="30"/>
        <v>-521.14793664671436</v>
      </c>
    </row>
    <row r="1818" spans="1:7" x14ac:dyDescent="0.2">
      <c r="A1818" s="6">
        <f ca="1">Model!$F$13+RAND()*(Model!$G$13-Model!$F$13)</f>
        <v>1623.0361065202471</v>
      </c>
      <c r="B1818" s="31">
        <f ca="1">Model!$F$14+RAND()*(Model!$G$14-Model!$F$14)</f>
        <v>0.49664026824464957</v>
      </c>
      <c r="C1818" s="32">
        <f ca="1">Model!$F$15+RAND()*(Model!$G$15-Model!$F$15)</f>
        <v>3.3979314591813352E-2</v>
      </c>
      <c r="D1818" s="33">
        <f ca="1">Model!$F$16+RAND()*(Model!$G$16-Model!$F$16)</f>
        <v>51.131913057803636</v>
      </c>
      <c r="E1818" s="33">
        <f>Model!$D$17</f>
        <v>800</v>
      </c>
      <c r="G1818" s="36">
        <f t="shared" ca="1" si="30"/>
        <v>1213.8422495668042</v>
      </c>
    </row>
    <row r="1819" spans="1:7" x14ac:dyDescent="0.2">
      <c r="A1819" s="6">
        <f ca="1">Model!$F$13+RAND()*(Model!$G$13-Model!$F$13)</f>
        <v>1354.584795284723</v>
      </c>
      <c r="B1819" s="31">
        <f ca="1">Model!$F$14+RAND()*(Model!$G$14-Model!$F$14)</f>
        <v>0.38335686594960172</v>
      </c>
      <c r="C1819" s="32">
        <f ca="1">Model!$F$15+RAND()*(Model!$G$15-Model!$F$15)</f>
        <v>1.8170180077916619E-2</v>
      </c>
      <c r="D1819" s="33">
        <f ca="1">Model!$F$16+RAND()*(Model!$G$16-Model!$F$16)</f>
        <v>52.212078403605318</v>
      </c>
      <c r="E1819" s="33">
        <f>Model!$D$17</f>
        <v>800</v>
      </c>
      <c r="G1819" s="36">
        <f t="shared" ca="1" si="30"/>
        <v>-34.190903124518854</v>
      </c>
    </row>
    <row r="1820" spans="1:7" x14ac:dyDescent="0.2">
      <c r="A1820" s="6">
        <f ca="1">Model!$F$13+RAND()*(Model!$G$13-Model!$F$13)</f>
        <v>1361.7194238735772</v>
      </c>
      <c r="B1820" s="31">
        <f ca="1">Model!$F$14+RAND()*(Model!$G$14-Model!$F$14)</f>
        <v>0.44931071239928311</v>
      </c>
      <c r="C1820" s="32">
        <f ca="1">Model!$F$15+RAND()*(Model!$G$15-Model!$F$15)</f>
        <v>2.7050577752317617E-2</v>
      </c>
      <c r="D1820" s="33">
        <f ca="1">Model!$F$16+RAND()*(Model!$G$16-Model!$F$16)</f>
        <v>50.886684809115302</v>
      </c>
      <c r="E1820" s="33">
        <f>Model!$D$17</f>
        <v>800</v>
      </c>
      <c r="G1820" s="36">
        <f t="shared" ca="1" si="30"/>
        <v>462.59103161231133</v>
      </c>
    </row>
    <row r="1821" spans="1:7" x14ac:dyDescent="0.2">
      <c r="A1821" s="6">
        <f ca="1">Model!$F$13+RAND()*(Model!$G$13-Model!$F$13)</f>
        <v>1789.0030911046499</v>
      </c>
      <c r="B1821" s="31">
        <f ca="1">Model!$F$14+RAND()*(Model!$G$14-Model!$F$14)</f>
        <v>0.21390167751907507</v>
      </c>
      <c r="C1821" s="32">
        <f ca="1">Model!$F$15+RAND()*(Model!$G$15-Model!$F$15)</f>
        <v>1.6332767726958373E-2</v>
      </c>
      <c r="D1821" s="33">
        <f ca="1">Model!$F$16+RAND()*(Model!$G$16-Model!$F$16)</f>
        <v>50.098372968161058</v>
      </c>
      <c r="E1821" s="33">
        <f>Model!$D$17</f>
        <v>800</v>
      </c>
      <c r="G1821" s="36">
        <f t="shared" ca="1" si="30"/>
        <v>281.17223156355067</v>
      </c>
    </row>
    <row r="1822" spans="1:7" x14ac:dyDescent="0.2">
      <c r="A1822" s="6">
        <f ca="1">Model!$F$13+RAND()*(Model!$G$13-Model!$F$13)</f>
        <v>1651.047733402035</v>
      </c>
      <c r="B1822" s="31">
        <f ca="1">Model!$F$14+RAND()*(Model!$G$14-Model!$F$14)</f>
        <v>0.28488973934386047</v>
      </c>
      <c r="C1822" s="32">
        <f ca="1">Model!$F$15+RAND()*(Model!$G$15-Model!$F$15)</f>
        <v>1.9026254942847605E-2</v>
      </c>
      <c r="D1822" s="33">
        <f ca="1">Model!$F$16+RAND()*(Model!$G$16-Model!$F$16)</f>
        <v>50.440495033215328</v>
      </c>
      <c r="E1822" s="33">
        <f>Model!$D$17</f>
        <v>800</v>
      </c>
      <c r="G1822" s="36">
        <f t="shared" ca="1" si="30"/>
        <v>314.13357936073589</v>
      </c>
    </row>
    <row r="1823" spans="1:7" x14ac:dyDescent="0.2">
      <c r="A1823" s="6">
        <f ca="1">Model!$F$13+RAND()*(Model!$G$13-Model!$F$13)</f>
        <v>1413.3779708752129</v>
      </c>
      <c r="B1823" s="31">
        <f ca="1">Model!$F$14+RAND()*(Model!$G$14-Model!$F$14)</f>
        <v>0.28042986092574418</v>
      </c>
      <c r="C1823" s="32">
        <f ca="1">Model!$F$15+RAND()*(Model!$G$15-Model!$F$15)</f>
        <v>1.545458778617519E-2</v>
      </c>
      <c r="D1823" s="33">
        <f ca="1">Model!$F$16+RAND()*(Model!$G$16-Model!$F$16)</f>
        <v>48.121324061955285</v>
      </c>
      <c r="E1823" s="33">
        <f>Model!$D$17</f>
        <v>800</v>
      </c>
      <c r="G1823" s="36">
        <f t="shared" ca="1" si="30"/>
        <v>-145.23093677637348</v>
      </c>
    </row>
    <row r="1824" spans="1:7" x14ac:dyDescent="0.2">
      <c r="A1824" s="6">
        <f ca="1">Model!$F$13+RAND()*(Model!$G$13-Model!$F$13)</f>
        <v>1654.9428621795564</v>
      </c>
      <c r="B1824" s="31">
        <f ca="1">Model!$F$14+RAND()*(Model!$G$14-Model!$F$14)</f>
        <v>0.26881423315173991</v>
      </c>
      <c r="C1824" s="32">
        <f ca="1">Model!$F$15+RAND()*(Model!$G$15-Model!$F$15)</f>
        <v>3.2800647290335709E-2</v>
      </c>
      <c r="D1824" s="33">
        <f ca="1">Model!$F$16+RAND()*(Model!$G$16-Model!$F$16)</f>
        <v>52.666436074801751</v>
      </c>
      <c r="E1824" s="33">
        <f>Model!$D$17</f>
        <v>800</v>
      </c>
      <c r="G1824" s="36">
        <f t="shared" ca="1" si="30"/>
        <v>1614.030334018144</v>
      </c>
    </row>
    <row r="1825" spans="1:7" x14ac:dyDescent="0.2">
      <c r="A1825" s="6">
        <f ca="1">Model!$F$13+RAND()*(Model!$G$13-Model!$F$13)</f>
        <v>1244.2460680484976</v>
      </c>
      <c r="B1825" s="31">
        <f ca="1">Model!$F$14+RAND()*(Model!$G$14-Model!$F$14)</f>
        <v>0.79629971470513738</v>
      </c>
      <c r="C1825" s="32">
        <f ca="1">Model!$F$15+RAND()*(Model!$G$15-Model!$F$15)</f>
        <v>3.4474840186084633E-2</v>
      </c>
      <c r="D1825" s="33">
        <f ca="1">Model!$F$16+RAND()*(Model!$G$16-Model!$F$16)</f>
        <v>49.816565495498502</v>
      </c>
      <c r="E1825" s="33">
        <f>Model!$D$17</f>
        <v>800</v>
      </c>
      <c r="G1825" s="36">
        <f t="shared" ca="1" si="30"/>
        <v>346.09797151039857</v>
      </c>
    </row>
    <row r="1826" spans="1:7" x14ac:dyDescent="0.2">
      <c r="A1826" s="6">
        <f ca="1">Model!$F$13+RAND()*(Model!$G$13-Model!$F$13)</f>
        <v>1423.655270176971</v>
      </c>
      <c r="B1826" s="31">
        <f ca="1">Model!$F$14+RAND()*(Model!$G$14-Model!$F$14)</f>
        <v>0.2043182922060279</v>
      </c>
      <c r="C1826" s="32">
        <f ca="1">Model!$F$15+RAND()*(Model!$G$15-Model!$F$15)</f>
        <v>2.1472094987860214E-2</v>
      </c>
      <c r="D1826" s="33">
        <f ca="1">Model!$F$16+RAND()*(Model!$G$16-Model!$F$16)</f>
        <v>52.344403498527093</v>
      </c>
      <c r="E1826" s="33">
        <f>Model!$D$17</f>
        <v>800</v>
      </c>
      <c r="G1826" s="36">
        <f t="shared" ca="1" si="30"/>
        <v>509.22999119037263</v>
      </c>
    </row>
    <row r="1827" spans="1:7" x14ac:dyDescent="0.2">
      <c r="A1827" s="6">
        <f ca="1">Model!$F$13+RAND()*(Model!$G$13-Model!$F$13)</f>
        <v>1279.0642014187572</v>
      </c>
      <c r="B1827" s="31">
        <f ca="1">Model!$F$14+RAND()*(Model!$G$14-Model!$F$14)</f>
        <v>0.54181235230776936</v>
      </c>
      <c r="C1827" s="32">
        <f ca="1">Model!$F$15+RAND()*(Model!$G$15-Model!$F$15)</f>
        <v>4.0809045129054582E-2</v>
      </c>
      <c r="D1827" s="33">
        <f ca="1">Model!$F$16+RAND()*(Model!$G$16-Model!$F$16)</f>
        <v>49.174075402055323</v>
      </c>
      <c r="E1827" s="33">
        <f>Model!$D$17</f>
        <v>800</v>
      </c>
      <c r="G1827" s="36">
        <f t="shared" ca="1" si="30"/>
        <v>1073.7455449182376</v>
      </c>
    </row>
    <row r="1828" spans="1:7" x14ac:dyDescent="0.2">
      <c r="A1828" s="6">
        <f ca="1">Model!$F$13+RAND()*(Model!$G$13-Model!$F$13)</f>
        <v>1510.9395482823809</v>
      </c>
      <c r="B1828" s="31">
        <f ca="1">Model!$F$14+RAND()*(Model!$G$14-Model!$F$14)</f>
        <v>0.39872436264917371</v>
      </c>
      <c r="C1828" s="32">
        <f ca="1">Model!$F$15+RAND()*(Model!$G$15-Model!$F$15)</f>
        <v>4.9536058899446518E-2</v>
      </c>
      <c r="D1828" s="33">
        <f ca="1">Model!$F$16+RAND()*(Model!$G$16-Model!$F$16)</f>
        <v>49.392964180231878</v>
      </c>
      <c r="E1828" s="33">
        <f>Model!$D$17</f>
        <v>800</v>
      </c>
      <c r="G1828" s="36">
        <f t="shared" ca="1" si="30"/>
        <v>2294.4169172970787</v>
      </c>
    </row>
    <row r="1829" spans="1:7" x14ac:dyDescent="0.2">
      <c r="A1829" s="6">
        <f ca="1">Model!$F$13+RAND()*(Model!$G$13-Model!$F$13)</f>
        <v>1342.9888499753038</v>
      </c>
      <c r="B1829" s="31">
        <f ca="1">Model!$F$14+RAND()*(Model!$G$14-Model!$F$14)</f>
        <v>0.24891575250615652</v>
      </c>
      <c r="C1829" s="32">
        <f ca="1">Model!$F$15+RAND()*(Model!$G$15-Model!$F$15)</f>
        <v>3.7326788808605786E-2</v>
      </c>
      <c r="D1829" s="33">
        <f ca="1">Model!$F$16+RAND()*(Model!$G$16-Model!$F$16)</f>
        <v>49.461682174701934</v>
      </c>
      <c r="E1829" s="33">
        <f>Model!$D$17</f>
        <v>800</v>
      </c>
      <c r="G1829" s="36">
        <f t="shared" ca="1" si="30"/>
        <v>1345.1963960447724</v>
      </c>
    </row>
    <row r="1830" spans="1:7" x14ac:dyDescent="0.2">
      <c r="A1830" s="6">
        <f ca="1">Model!$F$13+RAND()*(Model!$G$13-Model!$F$13)</f>
        <v>1246.2628356146527</v>
      </c>
      <c r="B1830" s="31">
        <f ca="1">Model!$F$14+RAND()*(Model!$G$14-Model!$F$14)</f>
        <v>0.56477376964875181</v>
      </c>
      <c r="C1830" s="32">
        <f ca="1">Model!$F$15+RAND()*(Model!$G$15-Model!$F$15)</f>
        <v>3.5383221774863499E-2</v>
      </c>
      <c r="D1830" s="33">
        <f ca="1">Model!$F$16+RAND()*(Model!$G$16-Model!$F$16)</f>
        <v>52.408633886949751</v>
      </c>
      <c r="E1830" s="33">
        <f>Model!$D$17</f>
        <v>800</v>
      </c>
      <c r="G1830" s="36">
        <f t="shared" ca="1" si="30"/>
        <v>807.1961885353744</v>
      </c>
    </row>
    <row r="1831" spans="1:7" x14ac:dyDescent="0.2">
      <c r="A1831" s="6">
        <f ca="1">Model!$F$13+RAND()*(Model!$G$13-Model!$F$13)</f>
        <v>1625.3820658302602</v>
      </c>
      <c r="B1831" s="31">
        <f ca="1">Model!$F$14+RAND()*(Model!$G$14-Model!$F$14)</f>
        <v>0.41923100714778311</v>
      </c>
      <c r="C1831" s="32">
        <f ca="1">Model!$F$15+RAND()*(Model!$G$15-Model!$F$15)</f>
        <v>3.8592652495683326E-2</v>
      </c>
      <c r="D1831" s="33">
        <f ca="1">Model!$F$16+RAND()*(Model!$G$16-Model!$F$16)</f>
        <v>51.388277556976242</v>
      </c>
      <c r="E1831" s="33">
        <f>Model!$D$17</f>
        <v>800</v>
      </c>
      <c r="G1831" s="36">
        <f t="shared" ca="1" si="30"/>
        <v>1742.0633057192924</v>
      </c>
    </row>
    <row r="1832" spans="1:7" x14ac:dyDescent="0.2">
      <c r="A1832" s="6">
        <f ca="1">Model!$F$13+RAND()*(Model!$G$13-Model!$F$13)</f>
        <v>1620.655948675605</v>
      </c>
      <c r="B1832" s="31">
        <f ca="1">Model!$F$14+RAND()*(Model!$G$14-Model!$F$14)</f>
        <v>0.32337315322252513</v>
      </c>
      <c r="C1832" s="32">
        <f ca="1">Model!$F$15+RAND()*(Model!$G$15-Model!$F$15)</f>
        <v>3.0072583096560856E-2</v>
      </c>
      <c r="D1832" s="33">
        <f ca="1">Model!$F$16+RAND()*(Model!$G$16-Model!$F$16)</f>
        <v>47.208494657104758</v>
      </c>
      <c r="E1832" s="33">
        <f>Model!$D$17</f>
        <v>800</v>
      </c>
      <c r="G1832" s="36">
        <f t="shared" ca="1" si="30"/>
        <v>976.73844677961324</v>
      </c>
    </row>
    <row r="1833" spans="1:7" x14ac:dyDescent="0.2">
      <c r="A1833" s="6">
        <f ca="1">Model!$F$13+RAND()*(Model!$G$13-Model!$F$13)</f>
        <v>1632.2395870983078</v>
      </c>
      <c r="B1833" s="31">
        <f ca="1">Model!$F$14+RAND()*(Model!$G$14-Model!$F$14)</f>
        <v>0.38566592568895836</v>
      </c>
      <c r="C1833" s="32">
        <f ca="1">Model!$F$15+RAND()*(Model!$G$15-Model!$F$15)</f>
        <v>4.1396411099776272E-2</v>
      </c>
      <c r="D1833" s="33">
        <f ca="1">Model!$F$16+RAND()*(Model!$G$16-Model!$F$16)</f>
        <v>49.200498116175289</v>
      </c>
      <c r="E1833" s="33">
        <f>Model!$D$17</f>
        <v>800</v>
      </c>
      <c r="G1833" s="36">
        <f t="shared" ref="G1833:G1896" ca="1" si="31">A1833*C1833*D1833-(E1833+A1833*B1833)</f>
        <v>1894.9224251120093</v>
      </c>
    </row>
    <row r="1834" spans="1:7" x14ac:dyDescent="0.2">
      <c r="A1834" s="6">
        <f ca="1">Model!$F$13+RAND()*(Model!$G$13-Model!$F$13)</f>
        <v>1658.3628104677809</v>
      </c>
      <c r="B1834" s="31">
        <f ca="1">Model!$F$14+RAND()*(Model!$G$14-Model!$F$14)</f>
        <v>0.71364945842698413</v>
      </c>
      <c r="C1834" s="32">
        <f ca="1">Model!$F$15+RAND()*(Model!$G$15-Model!$F$15)</f>
        <v>4.3268828346275393E-2</v>
      </c>
      <c r="D1834" s="33">
        <f ca="1">Model!$F$16+RAND()*(Model!$G$16-Model!$F$16)</f>
        <v>47.426775413203593</v>
      </c>
      <c r="E1834" s="33">
        <f>Model!$D$17</f>
        <v>800</v>
      </c>
      <c r="G1834" s="36">
        <f t="shared" ca="1" si="31"/>
        <v>1419.6382674070967</v>
      </c>
    </row>
    <row r="1835" spans="1:7" x14ac:dyDescent="0.2">
      <c r="A1835" s="6">
        <f ca="1">Model!$F$13+RAND()*(Model!$G$13-Model!$F$13)</f>
        <v>1558.4281298494425</v>
      </c>
      <c r="B1835" s="31">
        <f ca="1">Model!$F$14+RAND()*(Model!$G$14-Model!$F$14)</f>
        <v>0.77728757821319516</v>
      </c>
      <c r="C1835" s="32">
        <f ca="1">Model!$F$15+RAND()*(Model!$G$15-Model!$F$15)</f>
        <v>3.5397364349073743E-2</v>
      </c>
      <c r="D1835" s="33">
        <f ca="1">Model!$F$16+RAND()*(Model!$G$16-Model!$F$16)</f>
        <v>49.827552639816126</v>
      </c>
      <c r="E1835" s="33">
        <f>Model!$D$17</f>
        <v>800</v>
      </c>
      <c r="G1835" s="36">
        <f t="shared" ca="1" si="31"/>
        <v>737.35266033630091</v>
      </c>
    </row>
    <row r="1836" spans="1:7" x14ac:dyDescent="0.2">
      <c r="A1836" s="6">
        <f ca="1">Model!$F$13+RAND()*(Model!$G$13-Model!$F$13)</f>
        <v>1637.6311530228852</v>
      </c>
      <c r="B1836" s="31">
        <f ca="1">Model!$F$14+RAND()*(Model!$G$14-Model!$F$14)</f>
        <v>0.54351440334608281</v>
      </c>
      <c r="C1836" s="32">
        <f ca="1">Model!$F$15+RAND()*(Model!$G$15-Model!$F$15)</f>
        <v>4.0514602766702684E-2</v>
      </c>
      <c r="D1836" s="33">
        <f ca="1">Model!$F$16+RAND()*(Model!$G$16-Model!$F$16)</f>
        <v>49.560177443208445</v>
      </c>
      <c r="E1836" s="33">
        <f>Model!$D$17</f>
        <v>800</v>
      </c>
      <c r="G1836" s="36">
        <f t="shared" ca="1" si="31"/>
        <v>1598.1413268334916</v>
      </c>
    </row>
    <row r="1837" spans="1:7" x14ac:dyDescent="0.2">
      <c r="A1837" s="6">
        <f ca="1">Model!$F$13+RAND()*(Model!$G$13-Model!$F$13)</f>
        <v>1675.4965395651966</v>
      </c>
      <c r="B1837" s="31">
        <f ca="1">Model!$F$14+RAND()*(Model!$G$14-Model!$F$14)</f>
        <v>0.54850745243106314</v>
      </c>
      <c r="C1837" s="32">
        <f ca="1">Model!$F$15+RAND()*(Model!$G$15-Model!$F$15)</f>
        <v>2.4549380651636477E-2</v>
      </c>
      <c r="D1837" s="33">
        <f ca="1">Model!$F$16+RAND()*(Model!$G$16-Model!$F$16)</f>
        <v>49.672049494086899</v>
      </c>
      <c r="E1837" s="33">
        <f>Model!$D$17</f>
        <v>800</v>
      </c>
      <c r="G1837" s="36">
        <f t="shared" ca="1" si="31"/>
        <v>324.10838588667912</v>
      </c>
    </row>
    <row r="1838" spans="1:7" x14ac:dyDescent="0.2">
      <c r="A1838" s="6">
        <f ca="1">Model!$F$13+RAND()*(Model!$G$13-Model!$F$13)</f>
        <v>1226.3473259866216</v>
      </c>
      <c r="B1838" s="31">
        <f ca="1">Model!$F$14+RAND()*(Model!$G$14-Model!$F$14)</f>
        <v>0.44986325598008869</v>
      </c>
      <c r="C1838" s="32">
        <f ca="1">Model!$F$15+RAND()*(Model!$G$15-Model!$F$15)</f>
        <v>2.9856958365360328E-2</v>
      </c>
      <c r="D1838" s="33">
        <f ca="1">Model!$F$16+RAND()*(Model!$G$16-Model!$F$16)</f>
        <v>47.938824310284495</v>
      </c>
      <c r="E1838" s="33">
        <f>Model!$D$17</f>
        <v>800</v>
      </c>
      <c r="G1838" s="36">
        <f t="shared" ca="1" si="31"/>
        <v>403.59150159157389</v>
      </c>
    </row>
    <row r="1839" spans="1:7" x14ac:dyDescent="0.2">
      <c r="A1839" s="6">
        <f ca="1">Model!$F$13+RAND()*(Model!$G$13-Model!$F$13)</f>
        <v>1599.6379620458342</v>
      </c>
      <c r="B1839" s="31">
        <f ca="1">Model!$F$14+RAND()*(Model!$G$14-Model!$F$14)</f>
        <v>0.62826709272667847</v>
      </c>
      <c r="C1839" s="32">
        <f ca="1">Model!$F$15+RAND()*(Model!$G$15-Model!$F$15)</f>
        <v>4.7636077081336464E-2</v>
      </c>
      <c r="D1839" s="33">
        <f ca="1">Model!$F$16+RAND()*(Model!$G$16-Model!$F$16)</f>
        <v>48.313278377744204</v>
      </c>
      <c r="E1839" s="33">
        <f>Model!$D$17</f>
        <v>800</v>
      </c>
      <c r="G1839" s="36">
        <f t="shared" ca="1" si="31"/>
        <v>1876.4949786581578</v>
      </c>
    </row>
    <row r="1840" spans="1:7" x14ac:dyDescent="0.2">
      <c r="A1840" s="6">
        <f ca="1">Model!$F$13+RAND()*(Model!$G$13-Model!$F$13)</f>
        <v>1793.367188376696</v>
      </c>
      <c r="B1840" s="31">
        <f ca="1">Model!$F$14+RAND()*(Model!$G$14-Model!$F$14)</f>
        <v>0.20814316121382956</v>
      </c>
      <c r="C1840" s="32">
        <f ca="1">Model!$F$15+RAND()*(Model!$G$15-Model!$F$15)</f>
        <v>4.6179858480316999E-2</v>
      </c>
      <c r="D1840" s="33">
        <f ca="1">Model!$F$16+RAND()*(Model!$G$16-Model!$F$16)</f>
        <v>51.568040683822467</v>
      </c>
      <c r="E1840" s="33">
        <f>Model!$D$17</f>
        <v>800</v>
      </c>
      <c r="G1840" s="36">
        <f t="shared" ca="1" si="31"/>
        <v>3097.4561522134227</v>
      </c>
    </row>
    <row r="1841" spans="1:7" x14ac:dyDescent="0.2">
      <c r="A1841" s="6">
        <f ca="1">Model!$F$13+RAND()*(Model!$G$13-Model!$F$13)</f>
        <v>1769.9544887442121</v>
      </c>
      <c r="B1841" s="31">
        <f ca="1">Model!$F$14+RAND()*(Model!$G$14-Model!$F$14)</f>
        <v>0.35619544241137457</v>
      </c>
      <c r="C1841" s="32">
        <f ca="1">Model!$F$15+RAND()*(Model!$G$15-Model!$F$15)</f>
        <v>1.8207544469642033E-2</v>
      </c>
      <c r="D1841" s="33">
        <f ca="1">Model!$F$16+RAND()*(Model!$G$16-Model!$F$16)</f>
        <v>47.906948755022988</v>
      </c>
      <c r="E1841" s="33">
        <f>Model!$D$17</f>
        <v>800</v>
      </c>
      <c r="G1841" s="36">
        <f t="shared" ca="1" si="31"/>
        <v>113.42476258189004</v>
      </c>
    </row>
    <row r="1842" spans="1:7" x14ac:dyDescent="0.2">
      <c r="A1842" s="6">
        <f ca="1">Model!$F$13+RAND()*(Model!$G$13-Model!$F$13)</f>
        <v>1339.6052444076956</v>
      </c>
      <c r="B1842" s="31">
        <f ca="1">Model!$F$14+RAND()*(Model!$G$14-Model!$F$14)</f>
        <v>0.74648758766437351</v>
      </c>
      <c r="C1842" s="32">
        <f ca="1">Model!$F$15+RAND()*(Model!$G$15-Model!$F$15)</f>
        <v>4.6124743748930754E-2</v>
      </c>
      <c r="D1842" s="33">
        <f ca="1">Model!$F$16+RAND()*(Model!$G$16-Model!$F$16)</f>
        <v>51.054497463143051</v>
      </c>
      <c r="E1842" s="33">
        <f>Model!$D$17</f>
        <v>800</v>
      </c>
      <c r="G1842" s="36">
        <f t="shared" ca="1" si="31"/>
        <v>1354.6050334042516</v>
      </c>
    </row>
    <row r="1843" spans="1:7" x14ac:dyDescent="0.2">
      <c r="A1843" s="6">
        <f ca="1">Model!$F$13+RAND()*(Model!$G$13-Model!$F$13)</f>
        <v>1317.2528935899695</v>
      </c>
      <c r="B1843" s="31">
        <f ca="1">Model!$F$14+RAND()*(Model!$G$14-Model!$F$14)</f>
        <v>0.66483938190025293</v>
      </c>
      <c r="C1843" s="32">
        <f ca="1">Model!$F$15+RAND()*(Model!$G$15-Model!$F$15)</f>
        <v>1.8124980749015925E-2</v>
      </c>
      <c r="D1843" s="33">
        <f ca="1">Model!$F$16+RAND()*(Model!$G$16-Model!$F$16)</f>
        <v>48.213978853341267</v>
      </c>
      <c r="E1843" s="33">
        <f>Model!$D$17</f>
        <v>800</v>
      </c>
      <c r="G1843" s="36">
        <f t="shared" ca="1" si="31"/>
        <v>-524.64401500733925</v>
      </c>
    </row>
    <row r="1844" spans="1:7" x14ac:dyDescent="0.2">
      <c r="A1844" s="6">
        <f ca="1">Model!$F$13+RAND()*(Model!$G$13-Model!$F$13)</f>
        <v>1216.8431896518357</v>
      </c>
      <c r="B1844" s="31">
        <f ca="1">Model!$F$14+RAND()*(Model!$G$14-Model!$F$14)</f>
        <v>0.41887563701191666</v>
      </c>
      <c r="C1844" s="32">
        <f ca="1">Model!$F$15+RAND()*(Model!$G$15-Model!$F$15)</f>
        <v>4.3807078334464684E-2</v>
      </c>
      <c r="D1844" s="33">
        <f ca="1">Model!$F$16+RAND()*(Model!$G$16-Model!$F$16)</f>
        <v>51.741967773249279</v>
      </c>
      <c r="E1844" s="33">
        <f>Model!$D$17</f>
        <v>800</v>
      </c>
      <c r="G1844" s="36">
        <f t="shared" ca="1" si="31"/>
        <v>1448.4692152603543</v>
      </c>
    </row>
    <row r="1845" spans="1:7" x14ac:dyDescent="0.2">
      <c r="A1845" s="6">
        <f ca="1">Model!$F$13+RAND()*(Model!$G$13-Model!$F$13)</f>
        <v>1625.8820754262165</v>
      </c>
      <c r="B1845" s="31">
        <f ca="1">Model!$F$14+RAND()*(Model!$G$14-Model!$F$14)</f>
        <v>0.7849880544634722</v>
      </c>
      <c r="C1845" s="32">
        <f ca="1">Model!$F$15+RAND()*(Model!$G$15-Model!$F$15)</f>
        <v>1.1584346747219865E-2</v>
      </c>
      <c r="D1845" s="33">
        <f ca="1">Model!$F$16+RAND()*(Model!$G$16-Model!$F$16)</f>
        <v>49.159839723835368</v>
      </c>
      <c r="E1845" s="33">
        <f>Model!$D$17</f>
        <v>800</v>
      </c>
      <c r="G1845" s="36">
        <f t="shared" ca="1" si="31"/>
        <v>-1150.3831560058316</v>
      </c>
    </row>
    <row r="1846" spans="1:7" x14ac:dyDescent="0.2">
      <c r="A1846" s="6">
        <f ca="1">Model!$F$13+RAND()*(Model!$G$13-Model!$F$13)</f>
        <v>1461.2042608706483</v>
      </c>
      <c r="B1846" s="31">
        <f ca="1">Model!$F$14+RAND()*(Model!$G$14-Model!$F$14)</f>
        <v>0.21591116601046956</v>
      </c>
      <c r="C1846" s="32">
        <f ca="1">Model!$F$15+RAND()*(Model!$G$15-Model!$F$15)</f>
        <v>2.3720975061073596E-2</v>
      </c>
      <c r="D1846" s="33">
        <f ca="1">Model!$F$16+RAND()*(Model!$G$16-Model!$F$16)</f>
        <v>52.96995128980376</v>
      </c>
      <c r="E1846" s="33">
        <f>Model!$D$17</f>
        <v>800</v>
      </c>
      <c r="G1846" s="36">
        <f t="shared" ca="1" si="31"/>
        <v>720.51122126375367</v>
      </c>
    </row>
    <row r="1847" spans="1:7" x14ac:dyDescent="0.2">
      <c r="A1847" s="6">
        <f ca="1">Model!$F$13+RAND()*(Model!$G$13-Model!$F$13)</f>
        <v>1536.2504382148372</v>
      </c>
      <c r="B1847" s="31">
        <f ca="1">Model!$F$14+RAND()*(Model!$G$14-Model!$F$14)</f>
        <v>0.34329455094527639</v>
      </c>
      <c r="C1847" s="32">
        <f ca="1">Model!$F$15+RAND()*(Model!$G$15-Model!$F$15)</f>
        <v>4.1320489105693782E-2</v>
      </c>
      <c r="D1847" s="33">
        <f ca="1">Model!$F$16+RAND()*(Model!$G$16-Model!$F$16)</f>
        <v>48.043094899079328</v>
      </c>
      <c r="E1847" s="33">
        <f>Model!$D$17</f>
        <v>800</v>
      </c>
      <c r="G1847" s="36">
        <f t="shared" ca="1" si="31"/>
        <v>1722.3229361763501</v>
      </c>
    </row>
    <row r="1848" spans="1:7" x14ac:dyDescent="0.2">
      <c r="A1848" s="6">
        <f ca="1">Model!$F$13+RAND()*(Model!$G$13-Model!$F$13)</f>
        <v>1259.6350592976044</v>
      </c>
      <c r="B1848" s="31">
        <f ca="1">Model!$F$14+RAND()*(Model!$G$14-Model!$F$14)</f>
        <v>0.65450565682273343</v>
      </c>
      <c r="C1848" s="32">
        <f ca="1">Model!$F$15+RAND()*(Model!$G$15-Model!$F$15)</f>
        <v>2.8387182109205725E-2</v>
      </c>
      <c r="D1848" s="33">
        <f ca="1">Model!$F$16+RAND()*(Model!$G$16-Model!$F$16)</f>
        <v>47.200774282988874</v>
      </c>
      <c r="E1848" s="33">
        <f>Model!$D$17</f>
        <v>800</v>
      </c>
      <c r="G1848" s="36">
        <f t="shared" ca="1" si="31"/>
        <v>63.342934050253461</v>
      </c>
    </row>
    <row r="1849" spans="1:7" x14ac:dyDescent="0.2">
      <c r="A1849" s="6">
        <f ca="1">Model!$F$13+RAND()*(Model!$G$13-Model!$F$13)</f>
        <v>1368.8975096845775</v>
      </c>
      <c r="B1849" s="31">
        <f ca="1">Model!$F$14+RAND()*(Model!$G$14-Model!$F$14)</f>
        <v>0.31297221001715564</v>
      </c>
      <c r="C1849" s="32">
        <f ca="1">Model!$F$15+RAND()*(Model!$G$15-Model!$F$15)</f>
        <v>3.1623003949040912E-2</v>
      </c>
      <c r="D1849" s="33">
        <f ca="1">Model!$F$16+RAND()*(Model!$G$16-Model!$F$16)</f>
        <v>52.4997774225074</v>
      </c>
      <c r="E1849" s="33">
        <f>Model!$D$17</f>
        <v>800</v>
      </c>
      <c r="G1849" s="36">
        <f t="shared" ca="1" si="31"/>
        <v>1044.2176821434127</v>
      </c>
    </row>
    <row r="1850" spans="1:7" x14ac:dyDescent="0.2">
      <c r="A1850" s="6">
        <f ca="1">Model!$F$13+RAND()*(Model!$G$13-Model!$F$13)</f>
        <v>1680.1503541582897</v>
      </c>
      <c r="B1850" s="31">
        <f ca="1">Model!$F$14+RAND()*(Model!$G$14-Model!$F$14)</f>
        <v>0.37561926085636654</v>
      </c>
      <c r="C1850" s="32">
        <f ca="1">Model!$F$15+RAND()*(Model!$G$15-Model!$F$15)</f>
        <v>1.2927560725536366E-2</v>
      </c>
      <c r="D1850" s="33">
        <f ca="1">Model!$F$16+RAND()*(Model!$G$16-Model!$F$16)</f>
        <v>47.302647547227629</v>
      </c>
      <c r="E1850" s="33">
        <f>Model!$D$17</f>
        <v>800</v>
      </c>
      <c r="G1850" s="36">
        <f t="shared" ca="1" si="31"/>
        <v>-403.67170568430765</v>
      </c>
    </row>
    <row r="1851" spans="1:7" x14ac:dyDescent="0.2">
      <c r="A1851" s="6">
        <f ca="1">Model!$F$13+RAND()*(Model!$G$13-Model!$F$13)</f>
        <v>1600.9777641451692</v>
      </c>
      <c r="B1851" s="31">
        <f ca="1">Model!$F$14+RAND()*(Model!$G$14-Model!$F$14)</f>
        <v>0.31205585195561042</v>
      </c>
      <c r="C1851" s="32">
        <f ca="1">Model!$F$15+RAND()*(Model!$G$15-Model!$F$15)</f>
        <v>1.3565577823157322E-2</v>
      </c>
      <c r="D1851" s="33">
        <f ca="1">Model!$F$16+RAND()*(Model!$G$16-Model!$F$16)</f>
        <v>47.85537923874724</v>
      </c>
      <c r="E1851" s="33">
        <f>Model!$D$17</f>
        <v>800</v>
      </c>
      <c r="G1851" s="36">
        <f t="shared" ca="1" si="31"/>
        <v>-260.26233537188932</v>
      </c>
    </row>
    <row r="1852" spans="1:7" x14ac:dyDescent="0.2">
      <c r="A1852" s="6">
        <f ca="1">Model!$F$13+RAND()*(Model!$G$13-Model!$F$13)</f>
        <v>1499.0564497127766</v>
      </c>
      <c r="B1852" s="31">
        <f ca="1">Model!$F$14+RAND()*(Model!$G$14-Model!$F$14)</f>
        <v>0.59223061862048987</v>
      </c>
      <c r="C1852" s="32">
        <f ca="1">Model!$F$15+RAND()*(Model!$G$15-Model!$F$15)</f>
        <v>3.2585212931198849E-2</v>
      </c>
      <c r="D1852" s="33">
        <f ca="1">Model!$F$16+RAND()*(Model!$G$16-Model!$F$16)</f>
        <v>47.756400032298011</v>
      </c>
      <c r="E1852" s="33">
        <f>Model!$D$17</f>
        <v>800</v>
      </c>
      <c r="G1852" s="36">
        <f t="shared" ca="1" si="31"/>
        <v>644.97325915522333</v>
      </c>
    </row>
    <row r="1853" spans="1:7" x14ac:dyDescent="0.2">
      <c r="A1853" s="6">
        <f ca="1">Model!$F$13+RAND()*(Model!$G$13-Model!$F$13)</f>
        <v>1399.6247452612713</v>
      </c>
      <c r="B1853" s="31">
        <f ca="1">Model!$F$14+RAND()*(Model!$G$14-Model!$F$14)</f>
        <v>0.7080765052922926</v>
      </c>
      <c r="C1853" s="32">
        <f ca="1">Model!$F$15+RAND()*(Model!$G$15-Model!$F$15)</f>
        <v>3.069238213734337E-2</v>
      </c>
      <c r="D1853" s="33">
        <f ca="1">Model!$F$16+RAND()*(Model!$G$16-Model!$F$16)</f>
        <v>49.249540939917161</v>
      </c>
      <c r="E1853" s="33">
        <f>Model!$D$17</f>
        <v>800</v>
      </c>
      <c r="G1853" s="36">
        <f t="shared" ca="1" si="31"/>
        <v>324.61139480971951</v>
      </c>
    </row>
    <row r="1854" spans="1:7" x14ac:dyDescent="0.2">
      <c r="A1854" s="6">
        <f ca="1">Model!$F$13+RAND()*(Model!$G$13-Model!$F$13)</f>
        <v>1393.1132943859893</v>
      </c>
      <c r="B1854" s="31">
        <f ca="1">Model!$F$14+RAND()*(Model!$G$14-Model!$F$14)</f>
        <v>0.33656347663839681</v>
      </c>
      <c r="C1854" s="32">
        <f ca="1">Model!$F$15+RAND()*(Model!$G$15-Model!$F$15)</f>
        <v>1.8062506949049768E-2</v>
      </c>
      <c r="D1854" s="33">
        <f ca="1">Model!$F$16+RAND()*(Model!$G$16-Model!$F$16)</f>
        <v>49.578403837049528</v>
      </c>
      <c r="E1854" s="33">
        <f>Model!$D$17</f>
        <v>800</v>
      </c>
      <c r="G1854" s="36">
        <f t="shared" ca="1" si="31"/>
        <v>-21.323799909733907</v>
      </c>
    </row>
    <row r="1855" spans="1:7" x14ac:dyDescent="0.2">
      <c r="A1855" s="6">
        <f ca="1">Model!$F$13+RAND()*(Model!$G$13-Model!$F$13)</f>
        <v>1371.0075533975871</v>
      </c>
      <c r="B1855" s="31">
        <f ca="1">Model!$F$14+RAND()*(Model!$G$14-Model!$F$14)</f>
        <v>0.3178088124861802</v>
      </c>
      <c r="C1855" s="32">
        <f ca="1">Model!$F$15+RAND()*(Model!$G$15-Model!$F$15)</f>
        <v>1.3815068237220295E-2</v>
      </c>
      <c r="D1855" s="33">
        <f ca="1">Model!$F$16+RAND()*(Model!$G$16-Model!$F$16)</f>
        <v>48.629211984169757</v>
      </c>
      <c r="E1855" s="33">
        <f>Model!$D$17</f>
        <v>800</v>
      </c>
      <c r="G1855" s="36">
        <f t="shared" ca="1" si="31"/>
        <v>-314.65363390005371</v>
      </c>
    </row>
    <row r="1856" spans="1:7" x14ac:dyDescent="0.2">
      <c r="A1856" s="6">
        <f ca="1">Model!$F$13+RAND()*(Model!$G$13-Model!$F$13)</f>
        <v>1523.8266543448699</v>
      </c>
      <c r="B1856" s="31">
        <f ca="1">Model!$F$14+RAND()*(Model!$G$14-Model!$F$14)</f>
        <v>0.40767087303281685</v>
      </c>
      <c r="C1856" s="32">
        <f ca="1">Model!$F$15+RAND()*(Model!$G$15-Model!$F$15)</f>
        <v>4.9186182305869387E-2</v>
      </c>
      <c r="D1856" s="33">
        <f ca="1">Model!$F$16+RAND()*(Model!$G$16-Model!$F$16)</f>
        <v>48.096044106589758</v>
      </c>
      <c r="E1856" s="33">
        <f>Model!$D$17</f>
        <v>800</v>
      </c>
      <c r="G1856" s="36">
        <f t="shared" ca="1" si="31"/>
        <v>2183.6372299260825</v>
      </c>
    </row>
    <row r="1857" spans="1:7" x14ac:dyDescent="0.2">
      <c r="A1857" s="6">
        <f ca="1">Model!$F$13+RAND()*(Model!$G$13-Model!$F$13)</f>
        <v>1737.0374223260771</v>
      </c>
      <c r="B1857" s="31">
        <f ca="1">Model!$F$14+RAND()*(Model!$G$14-Model!$F$14)</f>
        <v>0.26315415500096101</v>
      </c>
      <c r="C1857" s="32">
        <f ca="1">Model!$F$15+RAND()*(Model!$G$15-Model!$F$15)</f>
        <v>3.1658255023821268E-2</v>
      </c>
      <c r="D1857" s="33">
        <f ca="1">Model!$F$16+RAND()*(Model!$G$16-Model!$F$16)</f>
        <v>48.303509251893701</v>
      </c>
      <c r="E1857" s="33">
        <f>Model!$D$17</f>
        <v>800</v>
      </c>
      <c r="G1857" s="36">
        <f t="shared" ca="1" si="31"/>
        <v>1399.1773740096246</v>
      </c>
    </row>
    <row r="1858" spans="1:7" x14ac:dyDescent="0.2">
      <c r="A1858" s="6">
        <f ca="1">Model!$F$13+RAND()*(Model!$G$13-Model!$F$13)</f>
        <v>1562.7967751102774</v>
      </c>
      <c r="B1858" s="31">
        <f ca="1">Model!$F$14+RAND()*(Model!$G$14-Model!$F$14)</f>
        <v>0.71829900765596255</v>
      </c>
      <c r="C1858" s="32">
        <f ca="1">Model!$F$15+RAND()*(Model!$G$15-Model!$F$15)</f>
        <v>2.4390722552473987E-2</v>
      </c>
      <c r="D1858" s="33">
        <f ca="1">Model!$F$16+RAND()*(Model!$G$16-Model!$F$16)</f>
        <v>51.554592406386391</v>
      </c>
      <c r="E1858" s="33">
        <f>Model!$D$17</f>
        <v>800</v>
      </c>
      <c r="G1858" s="36">
        <f t="shared" ca="1" si="31"/>
        <v>42.589307764257455</v>
      </c>
    </row>
    <row r="1859" spans="1:7" x14ac:dyDescent="0.2">
      <c r="A1859" s="6">
        <f ca="1">Model!$F$13+RAND()*(Model!$G$13-Model!$F$13)</f>
        <v>1218.07555420624</v>
      </c>
      <c r="B1859" s="31">
        <f ca="1">Model!$F$14+RAND()*(Model!$G$14-Model!$F$14)</f>
        <v>0.4795469511225125</v>
      </c>
      <c r="C1859" s="32">
        <f ca="1">Model!$F$15+RAND()*(Model!$G$15-Model!$F$15)</f>
        <v>3.0981444984746212E-2</v>
      </c>
      <c r="D1859" s="33">
        <f ca="1">Model!$F$16+RAND()*(Model!$G$16-Model!$F$16)</f>
        <v>51.176365074891493</v>
      </c>
      <c r="E1859" s="33">
        <f>Model!$D$17</f>
        <v>800</v>
      </c>
      <c r="G1859" s="36">
        <f t="shared" ca="1" si="31"/>
        <v>547.15598048580159</v>
      </c>
    </row>
    <row r="1860" spans="1:7" x14ac:dyDescent="0.2">
      <c r="A1860" s="6">
        <f ca="1">Model!$F$13+RAND()*(Model!$G$13-Model!$F$13)</f>
        <v>1609.529640762976</v>
      </c>
      <c r="B1860" s="31">
        <f ca="1">Model!$F$14+RAND()*(Model!$G$14-Model!$F$14)</f>
        <v>0.41797169998244671</v>
      </c>
      <c r="C1860" s="32">
        <f ca="1">Model!$F$15+RAND()*(Model!$G$15-Model!$F$15)</f>
        <v>3.1933435420425094E-2</v>
      </c>
      <c r="D1860" s="33">
        <f ca="1">Model!$F$16+RAND()*(Model!$G$16-Model!$F$16)</f>
        <v>50.240052791843738</v>
      </c>
      <c r="E1860" s="33">
        <f>Model!$D$17</f>
        <v>800</v>
      </c>
      <c r="G1860" s="36">
        <f t="shared" ca="1" si="31"/>
        <v>1109.4908898933209</v>
      </c>
    </row>
    <row r="1861" spans="1:7" x14ac:dyDescent="0.2">
      <c r="A1861" s="6">
        <f ca="1">Model!$F$13+RAND()*(Model!$G$13-Model!$F$13)</f>
        <v>1386.1349321909247</v>
      </c>
      <c r="B1861" s="31">
        <f ca="1">Model!$F$14+RAND()*(Model!$G$14-Model!$F$14)</f>
        <v>0.44921779470178375</v>
      </c>
      <c r="C1861" s="32">
        <f ca="1">Model!$F$15+RAND()*(Model!$G$15-Model!$F$15)</f>
        <v>4.6817118175980339E-2</v>
      </c>
      <c r="D1861" s="33">
        <f ca="1">Model!$F$16+RAND()*(Model!$G$16-Model!$F$16)</f>
        <v>48.567488454662126</v>
      </c>
      <c r="E1861" s="33">
        <f>Model!$D$17</f>
        <v>800</v>
      </c>
      <c r="G1861" s="36">
        <f t="shared" ca="1" si="31"/>
        <v>1729.1030572863492</v>
      </c>
    </row>
    <row r="1862" spans="1:7" x14ac:dyDescent="0.2">
      <c r="A1862" s="6">
        <f ca="1">Model!$F$13+RAND()*(Model!$G$13-Model!$F$13)</f>
        <v>1322.9099083293245</v>
      </c>
      <c r="B1862" s="31">
        <f ca="1">Model!$F$14+RAND()*(Model!$G$14-Model!$F$14)</f>
        <v>0.69037442521535908</v>
      </c>
      <c r="C1862" s="32">
        <f ca="1">Model!$F$15+RAND()*(Model!$G$15-Model!$F$15)</f>
        <v>1.731408436437655E-2</v>
      </c>
      <c r="D1862" s="33">
        <f ca="1">Model!$F$16+RAND()*(Model!$G$16-Model!$F$16)</f>
        <v>47.350965779845673</v>
      </c>
      <c r="E1862" s="33">
        <f>Model!$D$17</f>
        <v>800</v>
      </c>
      <c r="G1862" s="36">
        <f t="shared" ca="1" si="31"/>
        <v>-628.73053891046129</v>
      </c>
    </row>
    <row r="1863" spans="1:7" x14ac:dyDescent="0.2">
      <c r="A1863" s="6">
        <f ca="1">Model!$F$13+RAND()*(Model!$G$13-Model!$F$13)</f>
        <v>1310.4601080423179</v>
      </c>
      <c r="B1863" s="31">
        <f ca="1">Model!$F$14+RAND()*(Model!$G$14-Model!$F$14)</f>
        <v>0.71339863564300465</v>
      </c>
      <c r="C1863" s="32">
        <f ca="1">Model!$F$15+RAND()*(Model!$G$15-Model!$F$15)</f>
        <v>3.4709660697348189E-2</v>
      </c>
      <c r="D1863" s="33">
        <f ca="1">Model!$F$16+RAND()*(Model!$G$16-Model!$F$16)</f>
        <v>51.653972181812975</v>
      </c>
      <c r="E1863" s="33">
        <f>Model!$D$17</f>
        <v>800</v>
      </c>
      <c r="G1863" s="36">
        <f t="shared" ca="1" si="31"/>
        <v>614.63279182864062</v>
      </c>
    </row>
    <row r="1864" spans="1:7" x14ac:dyDescent="0.2">
      <c r="A1864" s="6">
        <f ca="1">Model!$F$13+RAND()*(Model!$G$13-Model!$F$13)</f>
        <v>1356.4473305148231</v>
      </c>
      <c r="B1864" s="31">
        <f ca="1">Model!$F$14+RAND()*(Model!$G$14-Model!$F$14)</f>
        <v>0.33508554447075967</v>
      </c>
      <c r="C1864" s="32">
        <f ca="1">Model!$F$15+RAND()*(Model!$G$15-Model!$F$15)</f>
        <v>4.9346916768461001E-2</v>
      </c>
      <c r="D1864" s="33">
        <f ca="1">Model!$F$16+RAND()*(Model!$G$16-Model!$F$16)</f>
        <v>48.72515034253005</v>
      </c>
      <c r="E1864" s="33">
        <f>Model!$D$17</f>
        <v>800</v>
      </c>
      <c r="G1864" s="36">
        <f t="shared" ca="1" si="31"/>
        <v>2006.9648178584864</v>
      </c>
    </row>
    <row r="1865" spans="1:7" x14ac:dyDescent="0.2">
      <c r="A1865" s="6">
        <f ca="1">Model!$F$13+RAND()*(Model!$G$13-Model!$F$13)</f>
        <v>1740.0036352127825</v>
      </c>
      <c r="B1865" s="31">
        <f ca="1">Model!$F$14+RAND()*(Model!$G$14-Model!$F$14)</f>
        <v>0.54420331073927186</v>
      </c>
      <c r="C1865" s="32">
        <f ca="1">Model!$F$15+RAND()*(Model!$G$15-Model!$F$15)</f>
        <v>2.3047861322416971E-2</v>
      </c>
      <c r="D1865" s="33">
        <f ca="1">Model!$F$16+RAND()*(Model!$G$16-Model!$F$16)</f>
        <v>52.236717206090944</v>
      </c>
      <c r="E1865" s="33">
        <f>Model!$D$17</f>
        <v>800</v>
      </c>
      <c r="G1865" s="36">
        <f t="shared" ca="1" si="31"/>
        <v>347.95226615516231</v>
      </c>
    </row>
    <row r="1866" spans="1:7" x14ac:dyDescent="0.2">
      <c r="A1866" s="6">
        <f ca="1">Model!$F$13+RAND()*(Model!$G$13-Model!$F$13)</f>
        <v>1407.4835754007086</v>
      </c>
      <c r="B1866" s="31">
        <f ca="1">Model!$F$14+RAND()*(Model!$G$14-Model!$F$14)</f>
        <v>0.50450044552749218</v>
      </c>
      <c r="C1866" s="32">
        <f ca="1">Model!$F$15+RAND()*(Model!$G$15-Model!$F$15)</f>
        <v>4.8404136421466973E-2</v>
      </c>
      <c r="D1866" s="33">
        <f ca="1">Model!$F$16+RAND()*(Model!$G$16-Model!$F$16)</f>
        <v>48.521829391342401</v>
      </c>
      <c r="E1866" s="33">
        <f>Model!$D$17</f>
        <v>800</v>
      </c>
      <c r="G1866" s="36">
        <f t="shared" ca="1" si="31"/>
        <v>1795.620411741862</v>
      </c>
    </row>
    <row r="1867" spans="1:7" x14ac:dyDescent="0.2">
      <c r="A1867" s="6">
        <f ca="1">Model!$F$13+RAND()*(Model!$G$13-Model!$F$13)</f>
        <v>1767.7188919178866</v>
      </c>
      <c r="B1867" s="31">
        <f ca="1">Model!$F$14+RAND()*(Model!$G$14-Model!$F$14)</f>
        <v>0.31213091267962711</v>
      </c>
      <c r="C1867" s="32">
        <f ca="1">Model!$F$15+RAND()*(Model!$G$15-Model!$F$15)</f>
        <v>3.6640488405220141E-2</v>
      </c>
      <c r="D1867" s="33">
        <f ca="1">Model!$F$16+RAND()*(Model!$G$16-Model!$F$16)</f>
        <v>48.141014825355434</v>
      </c>
      <c r="E1867" s="33">
        <f>Model!$D$17</f>
        <v>800</v>
      </c>
      <c r="G1867" s="36">
        <f t="shared" ca="1" si="31"/>
        <v>1766.3378419508297</v>
      </c>
    </row>
    <row r="1868" spans="1:7" x14ac:dyDescent="0.2">
      <c r="A1868" s="6">
        <f ca="1">Model!$F$13+RAND()*(Model!$G$13-Model!$F$13)</f>
        <v>1205.4882258760153</v>
      </c>
      <c r="B1868" s="31">
        <f ca="1">Model!$F$14+RAND()*(Model!$G$14-Model!$F$14)</f>
        <v>0.58926307525227173</v>
      </c>
      <c r="C1868" s="32">
        <f ca="1">Model!$F$15+RAND()*(Model!$G$15-Model!$F$15)</f>
        <v>4.0803585431287315E-2</v>
      </c>
      <c r="D1868" s="33">
        <f ca="1">Model!$F$16+RAND()*(Model!$G$16-Model!$F$16)</f>
        <v>48.402018400314226</v>
      </c>
      <c r="E1868" s="33">
        <f>Model!$D$17</f>
        <v>800</v>
      </c>
      <c r="G1868" s="36">
        <f t="shared" ca="1" si="31"/>
        <v>870.46048605226133</v>
      </c>
    </row>
    <row r="1869" spans="1:7" x14ac:dyDescent="0.2">
      <c r="A1869" s="6">
        <f ca="1">Model!$F$13+RAND()*(Model!$G$13-Model!$F$13)</f>
        <v>1695.7504872190707</v>
      </c>
      <c r="B1869" s="31">
        <f ca="1">Model!$F$14+RAND()*(Model!$G$14-Model!$F$14)</f>
        <v>0.58625264201132488</v>
      </c>
      <c r="C1869" s="32">
        <f ca="1">Model!$F$15+RAND()*(Model!$G$15-Model!$F$15)</f>
        <v>3.2371318776742444E-2</v>
      </c>
      <c r="D1869" s="33">
        <f ca="1">Model!$F$16+RAND()*(Model!$G$16-Model!$F$16)</f>
        <v>52.051691418436114</v>
      </c>
      <c r="E1869" s="33">
        <f>Model!$D$17</f>
        <v>800</v>
      </c>
      <c r="G1869" s="36">
        <f t="shared" ca="1" si="31"/>
        <v>1063.1706673913004</v>
      </c>
    </row>
    <row r="1870" spans="1:7" x14ac:dyDescent="0.2">
      <c r="A1870" s="6">
        <f ca="1">Model!$F$13+RAND()*(Model!$G$13-Model!$F$13)</f>
        <v>1491.6249052533108</v>
      </c>
      <c r="B1870" s="31">
        <f ca="1">Model!$F$14+RAND()*(Model!$G$14-Model!$F$14)</f>
        <v>0.42385727927997541</v>
      </c>
      <c r="C1870" s="32">
        <f ca="1">Model!$F$15+RAND()*(Model!$G$15-Model!$F$15)</f>
        <v>1.9632219632011907E-2</v>
      </c>
      <c r="D1870" s="33">
        <f ca="1">Model!$F$16+RAND()*(Model!$G$16-Model!$F$16)</f>
        <v>51.723929884832565</v>
      </c>
      <c r="E1870" s="33">
        <f>Model!$D$17</f>
        <v>800</v>
      </c>
      <c r="G1870" s="36">
        <f t="shared" ca="1" si="31"/>
        <v>82.442717091017812</v>
      </c>
    </row>
    <row r="1871" spans="1:7" x14ac:dyDescent="0.2">
      <c r="A1871" s="6">
        <f ca="1">Model!$F$13+RAND()*(Model!$G$13-Model!$F$13)</f>
        <v>1753.9145357287816</v>
      </c>
      <c r="B1871" s="31">
        <f ca="1">Model!$F$14+RAND()*(Model!$G$14-Model!$F$14)</f>
        <v>0.60035792403469435</v>
      </c>
      <c r="C1871" s="32">
        <f ca="1">Model!$F$15+RAND()*(Model!$G$15-Model!$F$15)</f>
        <v>1.9150490117570178E-2</v>
      </c>
      <c r="D1871" s="33">
        <f ca="1">Model!$F$16+RAND()*(Model!$G$16-Model!$F$16)</f>
        <v>49.968924470096091</v>
      </c>
      <c r="E1871" s="33">
        <f>Model!$D$17</f>
        <v>800</v>
      </c>
      <c r="G1871" s="36">
        <f t="shared" ca="1" si="31"/>
        <v>-174.60411536286733</v>
      </c>
    </row>
    <row r="1872" spans="1:7" x14ac:dyDescent="0.2">
      <c r="A1872" s="6">
        <f ca="1">Model!$F$13+RAND()*(Model!$G$13-Model!$F$13)</f>
        <v>1627.1622443461595</v>
      </c>
      <c r="B1872" s="31">
        <f ca="1">Model!$F$14+RAND()*(Model!$G$14-Model!$F$14)</f>
        <v>0.41211326565944045</v>
      </c>
      <c r="C1872" s="32">
        <f ca="1">Model!$F$15+RAND()*(Model!$G$15-Model!$F$15)</f>
        <v>3.4457119556340482E-2</v>
      </c>
      <c r="D1872" s="33">
        <f ca="1">Model!$F$16+RAND()*(Model!$G$16-Model!$F$16)</f>
        <v>50.834395839953288</v>
      </c>
      <c r="E1872" s="33">
        <f>Model!$D$17</f>
        <v>800</v>
      </c>
      <c r="G1872" s="36">
        <f t="shared" ca="1" si="31"/>
        <v>1379.5733951701086</v>
      </c>
    </row>
    <row r="1873" spans="1:7" x14ac:dyDescent="0.2">
      <c r="A1873" s="6">
        <f ca="1">Model!$F$13+RAND()*(Model!$G$13-Model!$F$13)</f>
        <v>1265.9032662088478</v>
      </c>
      <c r="B1873" s="31">
        <f ca="1">Model!$F$14+RAND()*(Model!$G$14-Model!$F$14)</f>
        <v>0.72297299827107486</v>
      </c>
      <c r="C1873" s="32">
        <f ca="1">Model!$F$15+RAND()*(Model!$G$15-Model!$F$15)</f>
        <v>2.1342988517357431E-2</v>
      </c>
      <c r="D1873" s="33">
        <f ca="1">Model!$F$16+RAND()*(Model!$G$16-Model!$F$16)</f>
        <v>52.939404214630372</v>
      </c>
      <c r="E1873" s="33">
        <f>Model!$D$17</f>
        <v>800</v>
      </c>
      <c r="G1873" s="36">
        <f t="shared" ca="1" si="31"/>
        <v>-284.88864608503877</v>
      </c>
    </row>
    <row r="1874" spans="1:7" x14ac:dyDescent="0.2">
      <c r="A1874" s="6">
        <f ca="1">Model!$F$13+RAND()*(Model!$G$13-Model!$F$13)</f>
        <v>1524.3225045096726</v>
      </c>
      <c r="B1874" s="31">
        <f ca="1">Model!$F$14+RAND()*(Model!$G$14-Model!$F$14)</f>
        <v>0.65532076059876587</v>
      </c>
      <c r="C1874" s="32">
        <f ca="1">Model!$F$15+RAND()*(Model!$G$15-Model!$F$15)</f>
        <v>4.7597790539311485E-2</v>
      </c>
      <c r="D1874" s="33">
        <f ca="1">Model!$F$16+RAND()*(Model!$G$16-Model!$F$16)</f>
        <v>52.680912362533931</v>
      </c>
      <c r="E1874" s="33">
        <f>Model!$D$17</f>
        <v>800</v>
      </c>
      <c r="G1874" s="36">
        <f t="shared" ca="1" si="31"/>
        <v>2023.3109242495377</v>
      </c>
    </row>
    <row r="1875" spans="1:7" x14ac:dyDescent="0.2">
      <c r="A1875" s="6">
        <f ca="1">Model!$F$13+RAND()*(Model!$G$13-Model!$F$13)</f>
        <v>1657.4611038525748</v>
      </c>
      <c r="B1875" s="31">
        <f ca="1">Model!$F$14+RAND()*(Model!$G$14-Model!$F$14)</f>
        <v>0.51876233333941135</v>
      </c>
      <c r="C1875" s="32">
        <f ca="1">Model!$F$15+RAND()*(Model!$G$15-Model!$F$15)</f>
        <v>3.5516985707741831E-2</v>
      </c>
      <c r="D1875" s="33">
        <f ca="1">Model!$F$16+RAND()*(Model!$G$16-Model!$F$16)</f>
        <v>50.283122007842152</v>
      </c>
      <c r="E1875" s="33">
        <f>Model!$D$17</f>
        <v>800</v>
      </c>
      <c r="G1875" s="36">
        <f t="shared" ca="1" si="31"/>
        <v>1300.2395598612713</v>
      </c>
    </row>
    <row r="1876" spans="1:7" x14ac:dyDescent="0.2">
      <c r="A1876" s="6">
        <f ca="1">Model!$F$13+RAND()*(Model!$G$13-Model!$F$13)</f>
        <v>1281.2736899847953</v>
      </c>
      <c r="B1876" s="31">
        <f ca="1">Model!$F$14+RAND()*(Model!$G$14-Model!$F$14)</f>
        <v>0.42591443885374802</v>
      </c>
      <c r="C1876" s="32">
        <f ca="1">Model!$F$15+RAND()*(Model!$G$15-Model!$F$15)</f>
        <v>4.8685296664987221E-2</v>
      </c>
      <c r="D1876" s="33">
        <f ca="1">Model!$F$16+RAND()*(Model!$G$16-Model!$F$16)</f>
        <v>51.799246483622483</v>
      </c>
      <c r="E1876" s="33">
        <f>Model!$D$17</f>
        <v>800</v>
      </c>
      <c r="G1876" s="36">
        <f t="shared" ca="1" si="31"/>
        <v>1885.4820583393412</v>
      </c>
    </row>
    <row r="1877" spans="1:7" x14ac:dyDescent="0.2">
      <c r="A1877" s="6">
        <f ca="1">Model!$F$13+RAND()*(Model!$G$13-Model!$F$13)</f>
        <v>1543.1197509237443</v>
      </c>
      <c r="B1877" s="31">
        <f ca="1">Model!$F$14+RAND()*(Model!$G$14-Model!$F$14)</f>
        <v>0.44159356693048185</v>
      </c>
      <c r="C1877" s="32">
        <f ca="1">Model!$F$15+RAND()*(Model!$G$15-Model!$F$15)</f>
        <v>3.3473927626322883E-2</v>
      </c>
      <c r="D1877" s="33">
        <f ca="1">Model!$F$16+RAND()*(Model!$G$16-Model!$F$16)</f>
        <v>50.257416214241175</v>
      </c>
      <c r="E1877" s="33">
        <f>Model!$D$17</f>
        <v>800</v>
      </c>
      <c r="G1877" s="36">
        <f t="shared" ca="1" si="31"/>
        <v>1114.5788369610482</v>
      </c>
    </row>
    <row r="1878" spans="1:7" x14ac:dyDescent="0.2">
      <c r="A1878" s="6">
        <f ca="1">Model!$F$13+RAND()*(Model!$G$13-Model!$F$13)</f>
        <v>1555.668116578941</v>
      </c>
      <c r="B1878" s="31">
        <f ca="1">Model!$F$14+RAND()*(Model!$G$14-Model!$F$14)</f>
        <v>0.46867713306779341</v>
      </c>
      <c r="C1878" s="32">
        <f ca="1">Model!$F$15+RAND()*(Model!$G$15-Model!$F$15)</f>
        <v>3.8067923284357263E-2</v>
      </c>
      <c r="D1878" s="33">
        <f ca="1">Model!$F$16+RAND()*(Model!$G$16-Model!$F$16)</f>
        <v>49.47208877267785</v>
      </c>
      <c r="E1878" s="33">
        <f>Model!$D$17</f>
        <v>800</v>
      </c>
      <c r="G1878" s="36">
        <f t="shared" ca="1" si="31"/>
        <v>1400.6831934353631</v>
      </c>
    </row>
    <row r="1879" spans="1:7" x14ac:dyDescent="0.2">
      <c r="A1879" s="6">
        <f ca="1">Model!$F$13+RAND()*(Model!$G$13-Model!$F$13)</f>
        <v>1219.9444891850603</v>
      </c>
      <c r="B1879" s="31">
        <f ca="1">Model!$F$14+RAND()*(Model!$G$14-Model!$F$14)</f>
        <v>0.58719411878706107</v>
      </c>
      <c r="C1879" s="32">
        <f ca="1">Model!$F$15+RAND()*(Model!$G$15-Model!$F$15)</f>
        <v>1.3105014738024386E-2</v>
      </c>
      <c r="D1879" s="33">
        <f ca="1">Model!$F$16+RAND()*(Model!$G$16-Model!$F$16)</f>
        <v>50.392894327738453</v>
      </c>
      <c r="E1879" s="33">
        <f>Model!$D$17</f>
        <v>800</v>
      </c>
      <c r="G1879" s="36">
        <f t="shared" ca="1" si="31"/>
        <v>-710.69334873220771</v>
      </c>
    </row>
    <row r="1880" spans="1:7" x14ac:dyDescent="0.2">
      <c r="A1880" s="6">
        <f ca="1">Model!$F$13+RAND()*(Model!$G$13-Model!$F$13)</f>
        <v>1553.7871559351909</v>
      </c>
      <c r="B1880" s="31">
        <f ca="1">Model!$F$14+RAND()*(Model!$G$14-Model!$F$14)</f>
        <v>0.72098510142888328</v>
      </c>
      <c r="C1880" s="32">
        <f ca="1">Model!$F$15+RAND()*(Model!$G$15-Model!$F$15)</f>
        <v>1.2078027186614958E-2</v>
      </c>
      <c r="D1880" s="33">
        <f ca="1">Model!$F$16+RAND()*(Model!$G$16-Model!$F$16)</f>
        <v>50.889017813683346</v>
      </c>
      <c r="E1880" s="33">
        <f>Model!$D$17</f>
        <v>800</v>
      </c>
      <c r="G1880" s="36">
        <f t="shared" ca="1" si="31"/>
        <v>-965.23929869534265</v>
      </c>
    </row>
    <row r="1881" spans="1:7" x14ac:dyDescent="0.2">
      <c r="A1881" s="6">
        <f ca="1">Model!$F$13+RAND()*(Model!$G$13-Model!$F$13)</f>
        <v>1216.1886915127368</v>
      </c>
      <c r="B1881" s="31">
        <f ca="1">Model!$F$14+RAND()*(Model!$G$14-Model!$F$14)</f>
        <v>0.54909110782318005</v>
      </c>
      <c r="C1881" s="32">
        <f ca="1">Model!$F$15+RAND()*(Model!$G$15-Model!$F$15)</f>
        <v>4.7538616062624418E-2</v>
      </c>
      <c r="D1881" s="33">
        <f ca="1">Model!$F$16+RAND()*(Model!$G$16-Model!$F$16)</f>
        <v>47.539842800199416</v>
      </c>
      <c r="E1881" s="33">
        <f>Model!$D$17</f>
        <v>800</v>
      </c>
      <c r="G1881" s="36">
        <f t="shared" ca="1" si="31"/>
        <v>1280.7616976062859</v>
      </c>
    </row>
    <row r="1882" spans="1:7" x14ac:dyDescent="0.2">
      <c r="A1882" s="6">
        <f ca="1">Model!$F$13+RAND()*(Model!$G$13-Model!$F$13)</f>
        <v>1281.8745493571446</v>
      </c>
      <c r="B1882" s="31">
        <f ca="1">Model!$F$14+RAND()*(Model!$G$14-Model!$F$14)</f>
        <v>0.28132738110318267</v>
      </c>
      <c r="C1882" s="32">
        <f ca="1">Model!$F$15+RAND()*(Model!$G$15-Model!$F$15)</f>
        <v>1.456913091053285E-2</v>
      </c>
      <c r="D1882" s="33">
        <f ca="1">Model!$F$16+RAND()*(Model!$G$16-Model!$F$16)</f>
        <v>50.938793051317681</v>
      </c>
      <c r="E1882" s="33">
        <f>Model!$D$17</f>
        <v>800</v>
      </c>
      <c r="G1882" s="36">
        <f t="shared" ca="1" si="31"/>
        <v>-209.30379434693702</v>
      </c>
    </row>
    <row r="1883" spans="1:7" x14ac:dyDescent="0.2">
      <c r="A1883" s="6">
        <f ca="1">Model!$F$13+RAND()*(Model!$G$13-Model!$F$13)</f>
        <v>1557.9713584943011</v>
      </c>
      <c r="B1883" s="31">
        <f ca="1">Model!$F$14+RAND()*(Model!$G$14-Model!$F$14)</f>
        <v>0.31934867239177239</v>
      </c>
      <c r="C1883" s="32">
        <f ca="1">Model!$F$15+RAND()*(Model!$G$15-Model!$F$15)</f>
        <v>3.6849026802015232E-2</v>
      </c>
      <c r="D1883" s="33">
        <f ca="1">Model!$F$16+RAND()*(Model!$G$16-Model!$F$16)</f>
        <v>51.076030311321404</v>
      </c>
      <c r="E1883" s="33">
        <f>Model!$D$17</f>
        <v>800</v>
      </c>
      <c r="G1883" s="36">
        <f t="shared" ca="1" si="31"/>
        <v>1634.7249402018144</v>
      </c>
    </row>
    <row r="1884" spans="1:7" x14ac:dyDescent="0.2">
      <c r="A1884" s="6">
        <f ca="1">Model!$F$13+RAND()*(Model!$G$13-Model!$F$13)</f>
        <v>1752.9859981678537</v>
      </c>
      <c r="B1884" s="31">
        <f ca="1">Model!$F$14+RAND()*(Model!$G$14-Model!$F$14)</f>
        <v>0.61798446394565165</v>
      </c>
      <c r="C1884" s="32">
        <f ca="1">Model!$F$15+RAND()*(Model!$G$15-Model!$F$15)</f>
        <v>2.3707934125942812E-2</v>
      </c>
      <c r="D1884" s="33">
        <f ca="1">Model!$F$16+RAND()*(Model!$G$16-Model!$F$16)</f>
        <v>48.5724432839679</v>
      </c>
      <c r="E1884" s="33">
        <f>Model!$D$17</f>
        <v>800</v>
      </c>
      <c r="G1884" s="36">
        <f t="shared" ca="1" si="31"/>
        <v>135.33692063003855</v>
      </c>
    </row>
    <row r="1885" spans="1:7" x14ac:dyDescent="0.2">
      <c r="A1885" s="6">
        <f ca="1">Model!$F$13+RAND()*(Model!$G$13-Model!$F$13)</f>
        <v>1409.5893297459324</v>
      </c>
      <c r="B1885" s="31">
        <f ca="1">Model!$F$14+RAND()*(Model!$G$14-Model!$F$14)</f>
        <v>0.51468767594364051</v>
      </c>
      <c r="C1885" s="32">
        <f ca="1">Model!$F$15+RAND()*(Model!$G$15-Model!$F$15)</f>
        <v>2.2991291356295206E-2</v>
      </c>
      <c r="D1885" s="33">
        <f ca="1">Model!$F$16+RAND()*(Model!$G$16-Model!$F$16)</f>
        <v>52.345164224856013</v>
      </c>
      <c r="E1885" s="33">
        <f>Model!$D$17</f>
        <v>800</v>
      </c>
      <c r="G1885" s="36">
        <f t="shared" ca="1" si="31"/>
        <v>170.91842892022282</v>
      </c>
    </row>
    <row r="1886" spans="1:7" x14ac:dyDescent="0.2">
      <c r="A1886" s="6">
        <f ca="1">Model!$F$13+RAND()*(Model!$G$13-Model!$F$13)</f>
        <v>1525.3314403503837</v>
      </c>
      <c r="B1886" s="31">
        <f ca="1">Model!$F$14+RAND()*(Model!$G$14-Model!$F$14)</f>
        <v>0.32452877612845693</v>
      </c>
      <c r="C1886" s="32">
        <f ca="1">Model!$F$15+RAND()*(Model!$G$15-Model!$F$15)</f>
        <v>2.931260098060047E-2</v>
      </c>
      <c r="D1886" s="33">
        <f ca="1">Model!$F$16+RAND()*(Model!$G$16-Model!$F$16)</f>
        <v>48.455876093765113</v>
      </c>
      <c r="E1886" s="33">
        <f>Model!$D$17</f>
        <v>800</v>
      </c>
      <c r="G1886" s="36">
        <f t="shared" ca="1" si="31"/>
        <v>871.51765734172704</v>
      </c>
    </row>
    <row r="1887" spans="1:7" x14ac:dyDescent="0.2">
      <c r="A1887" s="6">
        <f ca="1">Model!$F$13+RAND()*(Model!$G$13-Model!$F$13)</f>
        <v>1680.2050677669379</v>
      </c>
      <c r="B1887" s="31">
        <f ca="1">Model!$F$14+RAND()*(Model!$G$14-Model!$F$14)</f>
        <v>0.64872792256606404</v>
      </c>
      <c r="C1887" s="32">
        <f ca="1">Model!$F$15+RAND()*(Model!$G$15-Model!$F$15)</f>
        <v>3.8951062685316444E-2</v>
      </c>
      <c r="D1887" s="33">
        <f ca="1">Model!$F$16+RAND()*(Model!$G$16-Model!$F$16)</f>
        <v>52.416099770187799</v>
      </c>
      <c r="E1887" s="33">
        <f>Model!$D$17</f>
        <v>800</v>
      </c>
      <c r="G1887" s="36">
        <f t="shared" ca="1" si="31"/>
        <v>1540.416219750218</v>
      </c>
    </row>
    <row r="1888" spans="1:7" x14ac:dyDescent="0.2">
      <c r="A1888" s="6">
        <f ca="1">Model!$F$13+RAND()*(Model!$G$13-Model!$F$13)</f>
        <v>1421.9608013073573</v>
      </c>
      <c r="B1888" s="31">
        <f ca="1">Model!$F$14+RAND()*(Model!$G$14-Model!$F$14)</f>
        <v>0.30443704295966939</v>
      </c>
      <c r="C1888" s="32">
        <f ca="1">Model!$F$15+RAND()*(Model!$G$15-Model!$F$15)</f>
        <v>1.6030579817796833E-2</v>
      </c>
      <c r="D1888" s="33">
        <f ca="1">Model!$F$16+RAND()*(Model!$G$16-Model!$F$16)</f>
        <v>52.268511367073337</v>
      </c>
      <c r="E1888" s="33">
        <f>Model!$D$17</f>
        <v>800</v>
      </c>
      <c r="G1888" s="36">
        <f t="shared" ca="1" si="31"/>
        <v>-41.444345171641771</v>
      </c>
    </row>
    <row r="1889" spans="1:7" x14ac:dyDescent="0.2">
      <c r="A1889" s="6">
        <f ca="1">Model!$F$13+RAND()*(Model!$G$13-Model!$F$13)</f>
        <v>1313.9403775846117</v>
      </c>
      <c r="B1889" s="31">
        <f ca="1">Model!$F$14+RAND()*(Model!$G$14-Model!$F$14)</f>
        <v>0.39134257251183646</v>
      </c>
      <c r="C1889" s="32">
        <f ca="1">Model!$F$15+RAND()*(Model!$G$15-Model!$F$15)</f>
        <v>2.760771800136512E-2</v>
      </c>
      <c r="D1889" s="33">
        <f ca="1">Model!$F$16+RAND()*(Model!$G$16-Model!$F$16)</f>
        <v>47.481924239605306</v>
      </c>
      <c r="E1889" s="33">
        <f>Model!$D$17</f>
        <v>800</v>
      </c>
      <c r="G1889" s="36">
        <f t="shared" ca="1" si="31"/>
        <v>408.20102840175127</v>
      </c>
    </row>
    <row r="1890" spans="1:7" x14ac:dyDescent="0.2">
      <c r="A1890" s="6">
        <f ca="1">Model!$F$13+RAND()*(Model!$G$13-Model!$F$13)</f>
        <v>1418.667499088237</v>
      </c>
      <c r="B1890" s="31">
        <f ca="1">Model!$F$14+RAND()*(Model!$G$14-Model!$F$14)</f>
        <v>0.60402507190900079</v>
      </c>
      <c r="C1890" s="32">
        <f ca="1">Model!$F$15+RAND()*(Model!$G$15-Model!$F$15)</f>
        <v>2.0671303134410908E-2</v>
      </c>
      <c r="D1890" s="33">
        <f ca="1">Model!$F$16+RAND()*(Model!$G$16-Model!$F$16)</f>
        <v>47.900152276479503</v>
      </c>
      <c r="E1890" s="33">
        <f>Model!$D$17</f>
        <v>800</v>
      </c>
      <c r="G1890" s="36">
        <f t="shared" ca="1" si="31"/>
        <v>-252.20495894023816</v>
      </c>
    </row>
    <row r="1891" spans="1:7" x14ac:dyDescent="0.2">
      <c r="A1891" s="6">
        <f ca="1">Model!$F$13+RAND()*(Model!$G$13-Model!$F$13)</f>
        <v>1702.5394856886044</v>
      </c>
      <c r="B1891" s="31">
        <f ca="1">Model!$F$14+RAND()*(Model!$G$14-Model!$F$14)</f>
        <v>0.44204584364202276</v>
      </c>
      <c r="C1891" s="32">
        <f ca="1">Model!$F$15+RAND()*(Model!$G$15-Model!$F$15)</f>
        <v>4.8117263553092045E-2</v>
      </c>
      <c r="D1891" s="33">
        <f ca="1">Model!$F$16+RAND()*(Model!$G$16-Model!$F$16)</f>
        <v>52.916794397337384</v>
      </c>
      <c r="E1891" s="33">
        <f>Model!$D$17</f>
        <v>800</v>
      </c>
      <c r="G1891" s="36">
        <f t="shared" ca="1" si="31"/>
        <v>2782.4248460616109</v>
      </c>
    </row>
    <row r="1892" spans="1:7" x14ac:dyDescent="0.2">
      <c r="A1892" s="6">
        <f ca="1">Model!$F$13+RAND()*(Model!$G$13-Model!$F$13)</f>
        <v>1597.0172903138737</v>
      </c>
      <c r="B1892" s="31">
        <f ca="1">Model!$F$14+RAND()*(Model!$G$14-Model!$F$14)</f>
        <v>0.66002460072198521</v>
      </c>
      <c r="C1892" s="32">
        <f ca="1">Model!$F$15+RAND()*(Model!$G$15-Model!$F$15)</f>
        <v>4.1023071626345844E-2</v>
      </c>
      <c r="D1892" s="33">
        <f ca="1">Model!$F$16+RAND()*(Model!$G$16-Model!$F$16)</f>
        <v>48.898056749961256</v>
      </c>
      <c r="E1892" s="33">
        <f>Model!$D$17</f>
        <v>800</v>
      </c>
      <c r="G1892" s="36">
        <f t="shared" ca="1" si="31"/>
        <v>1349.4637137485163</v>
      </c>
    </row>
    <row r="1893" spans="1:7" x14ac:dyDescent="0.2">
      <c r="A1893" s="6">
        <f ca="1">Model!$F$13+RAND()*(Model!$G$13-Model!$F$13)</f>
        <v>1334.2153938258928</v>
      </c>
      <c r="B1893" s="31">
        <f ca="1">Model!$F$14+RAND()*(Model!$G$14-Model!$F$14)</f>
        <v>0.30390219737561536</v>
      </c>
      <c r="C1893" s="32">
        <f ca="1">Model!$F$15+RAND()*(Model!$G$15-Model!$F$15)</f>
        <v>1.7362175826393662E-2</v>
      </c>
      <c r="D1893" s="33">
        <f ca="1">Model!$F$16+RAND()*(Model!$G$16-Model!$F$16)</f>
        <v>49.896616379307545</v>
      </c>
      <c r="E1893" s="33">
        <f>Model!$D$17</f>
        <v>800</v>
      </c>
      <c r="G1893" s="36">
        <f t="shared" ca="1" si="31"/>
        <v>-49.62174646248468</v>
      </c>
    </row>
    <row r="1894" spans="1:7" x14ac:dyDescent="0.2">
      <c r="A1894" s="6">
        <f ca="1">Model!$F$13+RAND()*(Model!$G$13-Model!$F$13)</f>
        <v>1484.4856979659833</v>
      </c>
      <c r="B1894" s="31">
        <f ca="1">Model!$F$14+RAND()*(Model!$G$14-Model!$F$14)</f>
        <v>0.57534484482192105</v>
      </c>
      <c r="C1894" s="32">
        <f ca="1">Model!$F$15+RAND()*(Model!$G$15-Model!$F$15)</f>
        <v>4.3706349305860773E-2</v>
      </c>
      <c r="D1894" s="33">
        <f ca="1">Model!$F$16+RAND()*(Model!$G$16-Model!$F$16)</f>
        <v>51.72544583891591</v>
      </c>
      <c r="E1894" s="33">
        <f>Model!$D$17</f>
        <v>800</v>
      </c>
      <c r="G1894" s="36">
        <f t="shared" ca="1" si="31"/>
        <v>1701.9307579163496</v>
      </c>
    </row>
    <row r="1895" spans="1:7" x14ac:dyDescent="0.2">
      <c r="A1895" s="6">
        <f ca="1">Model!$F$13+RAND()*(Model!$G$13-Model!$F$13)</f>
        <v>1341.0520090975062</v>
      </c>
      <c r="B1895" s="31">
        <f ca="1">Model!$F$14+RAND()*(Model!$G$14-Model!$F$14)</f>
        <v>0.68399873296892455</v>
      </c>
      <c r="C1895" s="32">
        <f ca="1">Model!$F$15+RAND()*(Model!$G$15-Model!$F$15)</f>
        <v>1.7048304871593492E-2</v>
      </c>
      <c r="D1895" s="33">
        <f ca="1">Model!$F$16+RAND()*(Model!$G$16-Model!$F$16)</f>
        <v>49.910352029324429</v>
      </c>
      <c r="E1895" s="33">
        <f>Model!$D$17</f>
        <v>800</v>
      </c>
      <c r="G1895" s="36">
        <f t="shared" ca="1" si="31"/>
        <v>-576.19429146725383</v>
      </c>
    </row>
    <row r="1896" spans="1:7" x14ac:dyDescent="0.2">
      <c r="A1896" s="6">
        <f ca="1">Model!$F$13+RAND()*(Model!$G$13-Model!$F$13)</f>
        <v>1430.0170379186084</v>
      </c>
      <c r="B1896" s="31">
        <f ca="1">Model!$F$14+RAND()*(Model!$G$14-Model!$F$14)</f>
        <v>0.61879874493956888</v>
      </c>
      <c r="C1896" s="32">
        <f ca="1">Model!$F$15+RAND()*(Model!$G$15-Model!$F$15)</f>
        <v>3.0354107550758444E-2</v>
      </c>
      <c r="D1896" s="33">
        <f ca="1">Model!$F$16+RAND()*(Model!$G$16-Model!$F$16)</f>
        <v>50.154132217621047</v>
      </c>
      <c r="E1896" s="33">
        <f>Model!$D$17</f>
        <v>800</v>
      </c>
      <c r="G1896" s="36">
        <f t="shared" ca="1" si="31"/>
        <v>492.1422004786823</v>
      </c>
    </row>
    <row r="1897" spans="1:7" x14ac:dyDescent="0.2">
      <c r="A1897" s="6">
        <f ca="1">Model!$F$13+RAND()*(Model!$G$13-Model!$F$13)</f>
        <v>1472.7448175408804</v>
      </c>
      <c r="B1897" s="31">
        <f ca="1">Model!$F$14+RAND()*(Model!$G$14-Model!$F$14)</f>
        <v>0.51465574523568924</v>
      </c>
      <c r="C1897" s="32">
        <f ca="1">Model!$F$15+RAND()*(Model!$G$15-Model!$F$15)</f>
        <v>2.8651406963394403E-2</v>
      </c>
      <c r="D1897" s="33">
        <f ca="1">Model!$F$16+RAND()*(Model!$G$16-Model!$F$16)</f>
        <v>50.436471611152356</v>
      </c>
      <c r="E1897" s="33">
        <f>Model!$D$17</f>
        <v>800</v>
      </c>
      <c r="G1897" s="36">
        <f t="shared" ref="G1897:G1960" ca="1" si="32">A1897*C1897*D1897-(E1897+A1897*B1897)</f>
        <v>570.27142266851979</v>
      </c>
    </row>
    <row r="1898" spans="1:7" x14ac:dyDescent="0.2">
      <c r="A1898" s="6">
        <f ca="1">Model!$F$13+RAND()*(Model!$G$13-Model!$F$13)</f>
        <v>1795.9494360569622</v>
      </c>
      <c r="B1898" s="31">
        <f ca="1">Model!$F$14+RAND()*(Model!$G$14-Model!$F$14)</f>
        <v>0.33777008696845157</v>
      </c>
      <c r="C1898" s="32">
        <f ca="1">Model!$F$15+RAND()*(Model!$G$15-Model!$F$15)</f>
        <v>3.6082742003874464E-2</v>
      </c>
      <c r="D1898" s="33">
        <f ca="1">Model!$F$16+RAND()*(Model!$G$16-Model!$F$16)</f>
        <v>48.226120557358456</v>
      </c>
      <c r="E1898" s="33">
        <f>Model!$D$17</f>
        <v>800</v>
      </c>
      <c r="G1898" s="36">
        <f t="shared" ca="1" si="32"/>
        <v>1718.5686909145943</v>
      </c>
    </row>
    <row r="1899" spans="1:7" x14ac:dyDescent="0.2">
      <c r="A1899" s="6">
        <f ca="1">Model!$F$13+RAND()*(Model!$G$13-Model!$F$13)</f>
        <v>1365.2712211666117</v>
      </c>
      <c r="B1899" s="31">
        <f ca="1">Model!$F$14+RAND()*(Model!$G$14-Model!$F$14)</f>
        <v>0.24856322236788714</v>
      </c>
      <c r="C1899" s="32">
        <f ca="1">Model!$F$15+RAND()*(Model!$G$15-Model!$F$15)</f>
        <v>1.5818031891030662E-2</v>
      </c>
      <c r="D1899" s="33">
        <f ca="1">Model!$F$16+RAND()*(Model!$G$16-Model!$F$16)</f>
        <v>51.087639521263711</v>
      </c>
      <c r="E1899" s="33">
        <f>Model!$D$17</f>
        <v>800</v>
      </c>
      <c r="G1899" s="36">
        <f t="shared" ca="1" si="32"/>
        <v>-36.072469944046134</v>
      </c>
    </row>
    <row r="1900" spans="1:7" x14ac:dyDescent="0.2">
      <c r="A1900" s="6">
        <f ca="1">Model!$F$13+RAND()*(Model!$G$13-Model!$F$13)</f>
        <v>1751.9178944027633</v>
      </c>
      <c r="B1900" s="31">
        <f ca="1">Model!$F$14+RAND()*(Model!$G$14-Model!$F$14)</f>
        <v>0.24753978826114315</v>
      </c>
      <c r="C1900" s="32">
        <f ca="1">Model!$F$15+RAND()*(Model!$G$15-Model!$F$15)</f>
        <v>1.1466195710922404E-2</v>
      </c>
      <c r="D1900" s="33">
        <f ca="1">Model!$F$16+RAND()*(Model!$G$16-Model!$F$16)</f>
        <v>49.565374981522552</v>
      </c>
      <c r="E1900" s="33">
        <f>Model!$D$17</f>
        <v>800</v>
      </c>
      <c r="G1900" s="36">
        <f t="shared" ca="1" si="32"/>
        <v>-238.00838727984831</v>
      </c>
    </row>
    <row r="1901" spans="1:7" x14ac:dyDescent="0.2">
      <c r="A1901" s="6">
        <f ca="1">Model!$F$13+RAND()*(Model!$G$13-Model!$F$13)</f>
        <v>1655.0104807875414</v>
      </c>
      <c r="B1901" s="31">
        <f ca="1">Model!$F$14+RAND()*(Model!$G$14-Model!$F$14)</f>
        <v>0.24987829347804438</v>
      </c>
      <c r="C1901" s="32">
        <f ca="1">Model!$F$15+RAND()*(Model!$G$15-Model!$F$15)</f>
        <v>1.5686366108308775E-2</v>
      </c>
      <c r="D1901" s="33">
        <f ca="1">Model!$F$16+RAND()*(Model!$G$16-Model!$F$16)</f>
        <v>49.894034880213894</v>
      </c>
      <c r="E1901" s="33">
        <f>Model!$D$17</f>
        <v>800</v>
      </c>
      <c r="G1901" s="36">
        <f t="shared" ca="1" si="32"/>
        <v>81.752850003977755</v>
      </c>
    </row>
    <row r="1902" spans="1:7" x14ac:dyDescent="0.2">
      <c r="A1902" s="6">
        <f ca="1">Model!$F$13+RAND()*(Model!$G$13-Model!$F$13)</f>
        <v>1289.0978150217427</v>
      </c>
      <c r="B1902" s="31">
        <f ca="1">Model!$F$14+RAND()*(Model!$G$14-Model!$F$14)</f>
        <v>0.52009978349677199</v>
      </c>
      <c r="C1902" s="32">
        <f ca="1">Model!$F$15+RAND()*(Model!$G$15-Model!$F$15)</f>
        <v>2.9558680087354842E-2</v>
      </c>
      <c r="D1902" s="33">
        <f ca="1">Model!$F$16+RAND()*(Model!$G$16-Model!$F$16)</f>
        <v>52.318206290563978</v>
      </c>
      <c r="E1902" s="33">
        <f>Model!$D$17</f>
        <v>800</v>
      </c>
      <c r="G1902" s="36">
        <f t="shared" ca="1" si="32"/>
        <v>523.07500312385378</v>
      </c>
    </row>
    <row r="1903" spans="1:7" x14ac:dyDescent="0.2">
      <c r="A1903" s="6">
        <f ca="1">Model!$F$13+RAND()*(Model!$G$13-Model!$F$13)</f>
        <v>1360.5346212460681</v>
      </c>
      <c r="B1903" s="31">
        <f ca="1">Model!$F$14+RAND()*(Model!$G$14-Model!$F$14)</f>
        <v>0.41703391228143372</v>
      </c>
      <c r="C1903" s="32">
        <f ca="1">Model!$F$15+RAND()*(Model!$G$15-Model!$F$15)</f>
        <v>2.9726683850996284E-2</v>
      </c>
      <c r="D1903" s="33">
        <f ca="1">Model!$F$16+RAND()*(Model!$G$16-Model!$F$16)</f>
        <v>48.254720253679373</v>
      </c>
      <c r="E1903" s="33">
        <f>Model!$D$17</f>
        <v>800</v>
      </c>
      <c r="G1903" s="36">
        <f t="shared" ca="1" si="32"/>
        <v>584.23363914506172</v>
      </c>
    </row>
    <row r="1904" spans="1:7" x14ac:dyDescent="0.2">
      <c r="A1904" s="6">
        <f ca="1">Model!$F$13+RAND()*(Model!$G$13-Model!$F$13)</f>
        <v>1313.6028614845929</v>
      </c>
      <c r="B1904" s="31">
        <f ca="1">Model!$F$14+RAND()*(Model!$G$14-Model!$F$14)</f>
        <v>0.54124040315394906</v>
      </c>
      <c r="C1904" s="32">
        <f ca="1">Model!$F$15+RAND()*(Model!$G$15-Model!$F$15)</f>
        <v>1.213987962575153E-2</v>
      </c>
      <c r="D1904" s="33">
        <f ca="1">Model!$F$16+RAND()*(Model!$G$16-Model!$F$16)</f>
        <v>52.101841199839789</v>
      </c>
      <c r="E1904" s="33">
        <f>Model!$D$17</f>
        <v>800</v>
      </c>
      <c r="G1904" s="36">
        <f t="shared" ca="1" si="32"/>
        <v>-680.1078907422858</v>
      </c>
    </row>
    <row r="1905" spans="1:7" x14ac:dyDescent="0.2">
      <c r="A1905" s="6">
        <f ca="1">Model!$F$13+RAND()*(Model!$G$13-Model!$F$13)</f>
        <v>1647.5856181511981</v>
      </c>
      <c r="B1905" s="31">
        <f ca="1">Model!$F$14+RAND()*(Model!$G$14-Model!$F$14)</f>
        <v>0.50815329168344814</v>
      </c>
      <c r="C1905" s="32">
        <f ca="1">Model!$F$15+RAND()*(Model!$G$15-Model!$F$15)</f>
        <v>2.474386366402196E-2</v>
      </c>
      <c r="D1905" s="33">
        <f ca="1">Model!$F$16+RAND()*(Model!$G$16-Model!$F$16)</f>
        <v>48.165062090721058</v>
      </c>
      <c r="E1905" s="33">
        <f>Model!$D$17</f>
        <v>800</v>
      </c>
      <c r="G1905" s="36">
        <f t="shared" ca="1" si="32"/>
        <v>326.34956338930715</v>
      </c>
    </row>
    <row r="1906" spans="1:7" x14ac:dyDescent="0.2">
      <c r="A1906" s="6">
        <f ca="1">Model!$F$13+RAND()*(Model!$G$13-Model!$F$13)</f>
        <v>1420.6146546017121</v>
      </c>
      <c r="B1906" s="31">
        <f ca="1">Model!$F$14+RAND()*(Model!$G$14-Model!$F$14)</f>
        <v>0.3757001983077809</v>
      </c>
      <c r="C1906" s="32">
        <f ca="1">Model!$F$15+RAND()*(Model!$G$15-Model!$F$15)</f>
        <v>1.4599054658624629E-2</v>
      </c>
      <c r="D1906" s="33">
        <f ca="1">Model!$F$16+RAND()*(Model!$G$16-Model!$F$16)</f>
        <v>49.028848064568457</v>
      </c>
      <c r="E1906" s="33">
        <f>Model!$D$17</f>
        <v>800</v>
      </c>
      <c r="G1906" s="36">
        <f t="shared" ca="1" si="32"/>
        <v>-316.88499066153395</v>
      </c>
    </row>
    <row r="1907" spans="1:7" x14ac:dyDescent="0.2">
      <c r="A1907" s="6">
        <f ca="1">Model!$F$13+RAND()*(Model!$G$13-Model!$F$13)</f>
        <v>1419.9636782930886</v>
      </c>
      <c r="B1907" s="31">
        <f ca="1">Model!$F$14+RAND()*(Model!$G$14-Model!$F$14)</f>
        <v>0.55825410312450896</v>
      </c>
      <c r="C1907" s="32">
        <f ca="1">Model!$F$15+RAND()*(Model!$G$15-Model!$F$15)</f>
        <v>2.8064211210741201E-2</v>
      </c>
      <c r="D1907" s="33">
        <f ca="1">Model!$F$16+RAND()*(Model!$G$16-Model!$F$16)</f>
        <v>50.268276962511628</v>
      </c>
      <c r="E1907" s="33">
        <f>Model!$D$17</f>
        <v>800</v>
      </c>
      <c r="G1907" s="36">
        <f t="shared" ca="1" si="32"/>
        <v>410.49835930081167</v>
      </c>
    </row>
    <row r="1908" spans="1:7" x14ac:dyDescent="0.2">
      <c r="A1908" s="6">
        <f ca="1">Model!$F$13+RAND()*(Model!$G$13-Model!$F$13)</f>
        <v>1770.0621121132899</v>
      </c>
      <c r="B1908" s="31">
        <f ca="1">Model!$F$14+RAND()*(Model!$G$14-Model!$F$14)</f>
        <v>0.53296599140348411</v>
      </c>
      <c r="C1908" s="32">
        <f ca="1">Model!$F$15+RAND()*(Model!$G$15-Model!$F$15)</f>
        <v>2.7259696075770751E-2</v>
      </c>
      <c r="D1908" s="33">
        <f ca="1">Model!$F$16+RAND()*(Model!$G$16-Model!$F$16)</f>
        <v>51.030316162109088</v>
      </c>
      <c r="E1908" s="33">
        <f>Model!$D$17</f>
        <v>800</v>
      </c>
      <c r="G1908" s="36">
        <f t="shared" ca="1" si="32"/>
        <v>718.89900326207044</v>
      </c>
    </row>
    <row r="1909" spans="1:7" x14ac:dyDescent="0.2">
      <c r="A1909" s="6">
        <f ca="1">Model!$F$13+RAND()*(Model!$G$13-Model!$F$13)</f>
        <v>1738.1758993635283</v>
      </c>
      <c r="B1909" s="31">
        <f ca="1">Model!$F$14+RAND()*(Model!$G$14-Model!$F$14)</f>
        <v>0.44495632875080604</v>
      </c>
      <c r="C1909" s="32">
        <f ca="1">Model!$F$15+RAND()*(Model!$G$15-Model!$F$15)</f>
        <v>2.726884643140598E-2</v>
      </c>
      <c r="D1909" s="33">
        <f ca="1">Model!$F$16+RAND()*(Model!$G$16-Model!$F$16)</f>
        <v>52.476964788779938</v>
      </c>
      <c r="E1909" s="33">
        <f>Model!$D$17</f>
        <v>800</v>
      </c>
      <c r="G1909" s="36">
        <f t="shared" ca="1" si="32"/>
        <v>913.89352166646358</v>
      </c>
    </row>
    <row r="1910" spans="1:7" x14ac:dyDescent="0.2">
      <c r="A1910" s="6">
        <f ca="1">Model!$F$13+RAND()*(Model!$G$13-Model!$F$13)</f>
        <v>1797.9288574326761</v>
      </c>
      <c r="B1910" s="31">
        <f ca="1">Model!$F$14+RAND()*(Model!$G$14-Model!$F$14)</f>
        <v>0.43920650135975198</v>
      </c>
      <c r="C1910" s="32">
        <f ca="1">Model!$F$15+RAND()*(Model!$G$15-Model!$F$15)</f>
        <v>2.6546925354617279E-2</v>
      </c>
      <c r="D1910" s="33">
        <f ca="1">Model!$F$16+RAND()*(Model!$G$16-Model!$F$16)</f>
        <v>51.881221252231001</v>
      </c>
      <c r="E1910" s="33">
        <f>Model!$D$17</f>
        <v>800</v>
      </c>
      <c r="G1910" s="36">
        <f t="shared" ca="1" si="32"/>
        <v>886.6018334917585</v>
      </c>
    </row>
    <row r="1911" spans="1:7" x14ac:dyDescent="0.2">
      <c r="A1911" s="6">
        <f ca="1">Model!$F$13+RAND()*(Model!$G$13-Model!$F$13)</f>
        <v>1727.0457840176969</v>
      </c>
      <c r="B1911" s="31">
        <f ca="1">Model!$F$14+RAND()*(Model!$G$14-Model!$F$14)</f>
        <v>0.20225913943456986</v>
      </c>
      <c r="C1911" s="32">
        <f ca="1">Model!$F$15+RAND()*(Model!$G$15-Model!$F$15)</f>
        <v>4.4983799244184247E-2</v>
      </c>
      <c r="D1911" s="33">
        <f ca="1">Model!$F$16+RAND()*(Model!$G$16-Model!$F$16)</f>
        <v>48.302225613220521</v>
      </c>
      <c r="E1911" s="33">
        <f>Model!$D$17</f>
        <v>800</v>
      </c>
      <c r="G1911" s="36">
        <f t="shared" ca="1" si="32"/>
        <v>2603.2447160768124</v>
      </c>
    </row>
    <row r="1912" spans="1:7" x14ac:dyDescent="0.2">
      <c r="A1912" s="6">
        <f ca="1">Model!$F$13+RAND()*(Model!$G$13-Model!$F$13)</f>
        <v>1718.8039982288087</v>
      </c>
      <c r="B1912" s="31">
        <f ca="1">Model!$F$14+RAND()*(Model!$G$14-Model!$F$14)</f>
        <v>0.37970292292041197</v>
      </c>
      <c r="C1912" s="32">
        <f ca="1">Model!$F$15+RAND()*(Model!$G$15-Model!$F$15)</f>
        <v>3.2061417342702056E-2</v>
      </c>
      <c r="D1912" s="33">
        <f ca="1">Model!$F$16+RAND()*(Model!$G$16-Model!$F$16)</f>
        <v>51.562819650875824</v>
      </c>
      <c r="E1912" s="33">
        <f>Model!$D$17</f>
        <v>800</v>
      </c>
      <c r="G1912" s="36">
        <f t="shared" ca="1" si="32"/>
        <v>1388.8524731615457</v>
      </c>
    </row>
    <row r="1913" spans="1:7" x14ac:dyDescent="0.2">
      <c r="A1913" s="6">
        <f ca="1">Model!$F$13+RAND()*(Model!$G$13-Model!$F$13)</f>
        <v>1357.7536480482925</v>
      </c>
      <c r="B1913" s="31">
        <f ca="1">Model!$F$14+RAND()*(Model!$G$14-Model!$F$14)</f>
        <v>0.52710288110950465</v>
      </c>
      <c r="C1913" s="32">
        <f ca="1">Model!$F$15+RAND()*(Model!$G$15-Model!$F$15)</f>
        <v>1.6494631579885458E-2</v>
      </c>
      <c r="D1913" s="33">
        <f ca="1">Model!$F$16+RAND()*(Model!$G$16-Model!$F$16)</f>
        <v>50.820435461011712</v>
      </c>
      <c r="E1913" s="33">
        <f>Model!$D$17</f>
        <v>800</v>
      </c>
      <c r="G1913" s="36">
        <f t="shared" ca="1" si="32"/>
        <v>-377.51936736768243</v>
      </c>
    </row>
    <row r="1914" spans="1:7" x14ac:dyDescent="0.2">
      <c r="A1914" s="6">
        <f ca="1">Model!$F$13+RAND()*(Model!$G$13-Model!$F$13)</f>
        <v>1317.4136239225627</v>
      </c>
      <c r="B1914" s="31">
        <f ca="1">Model!$F$14+RAND()*(Model!$G$14-Model!$F$14)</f>
        <v>0.41094349256308949</v>
      </c>
      <c r="C1914" s="32">
        <f ca="1">Model!$F$15+RAND()*(Model!$G$15-Model!$F$15)</f>
        <v>4.9046488642618249E-2</v>
      </c>
      <c r="D1914" s="33">
        <f ca="1">Model!$F$16+RAND()*(Model!$G$16-Model!$F$16)</f>
        <v>47.245215457251795</v>
      </c>
      <c r="E1914" s="33">
        <f>Model!$D$17</f>
        <v>800</v>
      </c>
      <c r="G1914" s="36">
        <f t="shared" ca="1" si="32"/>
        <v>1711.3440015618221</v>
      </c>
    </row>
    <row r="1915" spans="1:7" x14ac:dyDescent="0.2">
      <c r="A1915" s="6">
        <f ca="1">Model!$F$13+RAND()*(Model!$G$13-Model!$F$13)</f>
        <v>1394.470682569475</v>
      </c>
      <c r="B1915" s="31">
        <f ca="1">Model!$F$14+RAND()*(Model!$G$14-Model!$F$14)</f>
        <v>0.55622853117274684</v>
      </c>
      <c r="C1915" s="32">
        <f ca="1">Model!$F$15+RAND()*(Model!$G$15-Model!$F$15)</f>
        <v>3.6125948366492931E-2</v>
      </c>
      <c r="D1915" s="33">
        <f ca="1">Model!$F$16+RAND()*(Model!$G$16-Model!$F$16)</f>
        <v>48.85919840243551</v>
      </c>
      <c r="E1915" s="33">
        <f>Model!$D$17</f>
        <v>800</v>
      </c>
      <c r="G1915" s="36">
        <f t="shared" ca="1" si="32"/>
        <v>885.71473608515748</v>
      </c>
    </row>
    <row r="1916" spans="1:7" x14ac:dyDescent="0.2">
      <c r="A1916" s="6">
        <f ca="1">Model!$F$13+RAND()*(Model!$G$13-Model!$F$13)</f>
        <v>1235.2576600539919</v>
      </c>
      <c r="B1916" s="31">
        <f ca="1">Model!$F$14+RAND()*(Model!$G$14-Model!$F$14)</f>
        <v>0.38790756699851714</v>
      </c>
      <c r="C1916" s="32">
        <f ca="1">Model!$F$15+RAND()*(Model!$G$15-Model!$F$15)</f>
        <v>1.7601696213421843E-2</v>
      </c>
      <c r="D1916" s="33">
        <f ca="1">Model!$F$16+RAND()*(Model!$G$16-Model!$F$16)</f>
        <v>49.103984000031076</v>
      </c>
      <c r="E1916" s="33">
        <f>Model!$D$17</f>
        <v>800</v>
      </c>
      <c r="G1916" s="36">
        <f t="shared" ca="1" si="32"/>
        <v>-211.51603408010237</v>
      </c>
    </row>
    <row r="1917" spans="1:7" x14ac:dyDescent="0.2">
      <c r="A1917" s="6">
        <f ca="1">Model!$F$13+RAND()*(Model!$G$13-Model!$F$13)</f>
        <v>1643.9966038349935</v>
      </c>
      <c r="B1917" s="31">
        <f ca="1">Model!$F$14+RAND()*(Model!$G$14-Model!$F$14)</f>
        <v>0.57197626245704269</v>
      </c>
      <c r="C1917" s="32">
        <f ca="1">Model!$F$15+RAND()*(Model!$G$15-Model!$F$15)</f>
        <v>2.5042973259781311E-2</v>
      </c>
      <c r="D1917" s="33">
        <f ca="1">Model!$F$16+RAND()*(Model!$G$16-Model!$F$16)</f>
        <v>52.712959036181822</v>
      </c>
      <c r="E1917" s="33">
        <f>Model!$D$17</f>
        <v>800</v>
      </c>
      <c r="G1917" s="36">
        <f t="shared" ca="1" si="32"/>
        <v>429.89516738267071</v>
      </c>
    </row>
    <row r="1918" spans="1:7" x14ac:dyDescent="0.2">
      <c r="A1918" s="6">
        <f ca="1">Model!$F$13+RAND()*(Model!$G$13-Model!$F$13)</f>
        <v>1591.299523003242</v>
      </c>
      <c r="B1918" s="31">
        <f ca="1">Model!$F$14+RAND()*(Model!$G$14-Model!$F$14)</f>
        <v>0.65366371908550214</v>
      </c>
      <c r="C1918" s="32">
        <f ca="1">Model!$F$15+RAND()*(Model!$G$15-Model!$F$15)</f>
        <v>3.1380383258023434E-2</v>
      </c>
      <c r="D1918" s="33">
        <f ca="1">Model!$F$16+RAND()*(Model!$G$16-Model!$F$16)</f>
        <v>49.468142917965878</v>
      </c>
      <c r="E1918" s="33">
        <f>Model!$D$17</f>
        <v>800</v>
      </c>
      <c r="G1918" s="36">
        <f t="shared" ca="1" si="32"/>
        <v>630.04608451488707</v>
      </c>
    </row>
    <row r="1919" spans="1:7" x14ac:dyDescent="0.2">
      <c r="A1919" s="6">
        <f ca="1">Model!$F$13+RAND()*(Model!$G$13-Model!$F$13)</f>
        <v>1249.140150270181</v>
      </c>
      <c r="B1919" s="31">
        <f ca="1">Model!$F$14+RAND()*(Model!$G$14-Model!$F$14)</f>
        <v>0.25186690828925762</v>
      </c>
      <c r="C1919" s="32">
        <f ca="1">Model!$F$15+RAND()*(Model!$G$15-Model!$F$15)</f>
        <v>3.1649412661321694E-2</v>
      </c>
      <c r="D1919" s="33">
        <f ca="1">Model!$F$16+RAND()*(Model!$G$16-Model!$F$16)</f>
        <v>47.700217409514238</v>
      </c>
      <c r="E1919" s="33">
        <f>Model!$D$17</f>
        <v>800</v>
      </c>
      <c r="G1919" s="36">
        <f t="shared" ca="1" si="32"/>
        <v>771.18966210378289</v>
      </c>
    </row>
    <row r="1920" spans="1:7" x14ac:dyDescent="0.2">
      <c r="A1920" s="6">
        <f ca="1">Model!$F$13+RAND()*(Model!$G$13-Model!$F$13)</f>
        <v>1459.9640843065954</v>
      </c>
      <c r="B1920" s="31">
        <f ca="1">Model!$F$14+RAND()*(Model!$G$14-Model!$F$14)</f>
        <v>0.70443160793080328</v>
      </c>
      <c r="C1920" s="32">
        <f ca="1">Model!$F$15+RAND()*(Model!$G$15-Model!$F$15)</f>
        <v>2.7976844687529118E-2</v>
      </c>
      <c r="D1920" s="33">
        <f ca="1">Model!$F$16+RAND()*(Model!$G$16-Model!$F$16)</f>
        <v>51.936162921203554</v>
      </c>
      <c r="E1920" s="33">
        <f>Model!$D$17</f>
        <v>800</v>
      </c>
      <c r="G1920" s="36">
        <f t="shared" ca="1" si="32"/>
        <v>292.89751373088325</v>
      </c>
    </row>
    <row r="1921" spans="1:7" x14ac:dyDescent="0.2">
      <c r="A1921" s="6">
        <f ca="1">Model!$F$13+RAND()*(Model!$G$13-Model!$F$13)</f>
        <v>1473.456401950715</v>
      </c>
      <c r="B1921" s="31">
        <f ca="1">Model!$F$14+RAND()*(Model!$G$14-Model!$F$14)</f>
        <v>0.6163854093243808</v>
      </c>
      <c r="C1921" s="32">
        <f ca="1">Model!$F$15+RAND()*(Model!$G$15-Model!$F$15)</f>
        <v>3.883622760701351E-2</v>
      </c>
      <c r="D1921" s="33">
        <f ca="1">Model!$F$16+RAND()*(Model!$G$16-Model!$F$16)</f>
        <v>49.111317526566872</v>
      </c>
      <c r="E1921" s="33">
        <f>Model!$D$17</f>
        <v>800</v>
      </c>
      <c r="G1921" s="36">
        <f t="shared" ca="1" si="32"/>
        <v>1102.1038712926827</v>
      </c>
    </row>
    <row r="1922" spans="1:7" x14ac:dyDescent="0.2">
      <c r="A1922" s="6">
        <f ca="1">Model!$F$13+RAND()*(Model!$G$13-Model!$F$13)</f>
        <v>1315.8995813827535</v>
      </c>
      <c r="B1922" s="31">
        <f ca="1">Model!$F$14+RAND()*(Model!$G$14-Model!$F$14)</f>
        <v>0.42958151531648281</v>
      </c>
      <c r="C1922" s="32">
        <f ca="1">Model!$F$15+RAND()*(Model!$G$15-Model!$F$15)</f>
        <v>4.2083517976635072E-2</v>
      </c>
      <c r="D1922" s="33">
        <f ca="1">Model!$F$16+RAND()*(Model!$G$16-Model!$F$16)</f>
        <v>47.536698665167158</v>
      </c>
      <c r="E1922" s="33">
        <f>Model!$D$17</f>
        <v>800</v>
      </c>
      <c r="G1922" s="36">
        <f t="shared" ca="1" si="32"/>
        <v>1267.1861261036552</v>
      </c>
    </row>
    <row r="1923" spans="1:7" x14ac:dyDescent="0.2">
      <c r="A1923" s="6">
        <f ca="1">Model!$F$13+RAND()*(Model!$G$13-Model!$F$13)</f>
        <v>1450.1993382589799</v>
      </c>
      <c r="B1923" s="31">
        <f ca="1">Model!$F$14+RAND()*(Model!$G$14-Model!$F$14)</f>
        <v>0.36782177182733222</v>
      </c>
      <c r="C1923" s="32">
        <f ca="1">Model!$F$15+RAND()*(Model!$G$15-Model!$F$15)</f>
        <v>2.6424691647408592E-2</v>
      </c>
      <c r="D1923" s="33">
        <f ca="1">Model!$F$16+RAND()*(Model!$G$16-Model!$F$16)</f>
        <v>49.853689166882617</v>
      </c>
      <c r="E1923" s="33">
        <f>Model!$D$17</f>
        <v>800</v>
      </c>
      <c r="G1923" s="36">
        <f t="shared" ca="1" si="32"/>
        <v>577.03183920972606</v>
      </c>
    </row>
    <row r="1924" spans="1:7" x14ac:dyDescent="0.2">
      <c r="A1924" s="6">
        <f ca="1">Model!$F$13+RAND()*(Model!$G$13-Model!$F$13)</f>
        <v>1682.2343749068057</v>
      </c>
      <c r="B1924" s="31">
        <f ca="1">Model!$F$14+RAND()*(Model!$G$14-Model!$F$14)</f>
        <v>0.20259355164511</v>
      </c>
      <c r="C1924" s="32">
        <f ca="1">Model!$F$15+RAND()*(Model!$G$15-Model!$F$15)</f>
        <v>1.3071466083482246E-2</v>
      </c>
      <c r="D1924" s="33">
        <f ca="1">Model!$F$16+RAND()*(Model!$G$16-Model!$F$16)</f>
        <v>51.159567952162604</v>
      </c>
      <c r="E1924" s="33">
        <f>Model!$D$17</f>
        <v>800</v>
      </c>
      <c r="G1924" s="36">
        <f t="shared" ca="1" si="32"/>
        <v>-15.848305616882044</v>
      </c>
    </row>
    <row r="1925" spans="1:7" x14ac:dyDescent="0.2">
      <c r="A1925" s="6">
        <f ca="1">Model!$F$13+RAND()*(Model!$G$13-Model!$F$13)</f>
        <v>1449.7387736765293</v>
      </c>
      <c r="B1925" s="31">
        <f ca="1">Model!$F$14+RAND()*(Model!$G$14-Model!$F$14)</f>
        <v>0.35757856398216642</v>
      </c>
      <c r="C1925" s="32">
        <f ca="1">Model!$F$15+RAND()*(Model!$G$15-Model!$F$15)</f>
        <v>1.3858855359241478E-2</v>
      </c>
      <c r="D1925" s="33">
        <f ca="1">Model!$F$16+RAND()*(Model!$G$16-Model!$F$16)</f>
        <v>52.010724525143694</v>
      </c>
      <c r="E1925" s="33">
        <f>Model!$D$17</f>
        <v>800</v>
      </c>
      <c r="G1925" s="36">
        <f t="shared" ca="1" si="32"/>
        <v>-273.41059608499791</v>
      </c>
    </row>
    <row r="1926" spans="1:7" x14ac:dyDescent="0.2">
      <c r="A1926" s="6">
        <f ca="1">Model!$F$13+RAND()*(Model!$G$13-Model!$F$13)</f>
        <v>1315.6617639536851</v>
      </c>
      <c r="B1926" s="31">
        <f ca="1">Model!$F$14+RAND()*(Model!$G$14-Model!$F$14)</f>
        <v>0.27080083880929051</v>
      </c>
      <c r="C1926" s="32">
        <f ca="1">Model!$F$15+RAND()*(Model!$G$15-Model!$F$15)</f>
        <v>2.920500233747917E-2</v>
      </c>
      <c r="D1926" s="33">
        <f ca="1">Model!$F$16+RAND()*(Model!$G$16-Model!$F$16)</f>
        <v>48.936183440591165</v>
      </c>
      <c r="E1926" s="33">
        <f>Model!$D$17</f>
        <v>800</v>
      </c>
      <c r="G1926" s="36">
        <f t="shared" ca="1" si="32"/>
        <v>724.03694901116501</v>
      </c>
    </row>
    <row r="1927" spans="1:7" x14ac:dyDescent="0.2">
      <c r="A1927" s="6">
        <f ca="1">Model!$F$13+RAND()*(Model!$G$13-Model!$F$13)</f>
        <v>1419.1688625182464</v>
      </c>
      <c r="B1927" s="31">
        <f ca="1">Model!$F$14+RAND()*(Model!$G$14-Model!$F$14)</f>
        <v>0.26032813137313038</v>
      </c>
      <c r="C1927" s="32">
        <f ca="1">Model!$F$15+RAND()*(Model!$G$15-Model!$F$15)</f>
        <v>1.9850708486024222E-2</v>
      </c>
      <c r="D1927" s="33">
        <f ca="1">Model!$F$16+RAND()*(Model!$G$16-Model!$F$16)</f>
        <v>52.341831859265355</v>
      </c>
      <c r="E1927" s="33">
        <f>Model!$D$17</f>
        <v>800</v>
      </c>
      <c r="G1927" s="36">
        <f t="shared" ca="1" si="32"/>
        <v>305.09872454368997</v>
      </c>
    </row>
    <row r="1928" spans="1:7" x14ac:dyDescent="0.2">
      <c r="A1928" s="6">
        <f ca="1">Model!$F$13+RAND()*(Model!$G$13-Model!$F$13)</f>
        <v>1402.9914384070921</v>
      </c>
      <c r="B1928" s="31">
        <f ca="1">Model!$F$14+RAND()*(Model!$G$14-Model!$F$14)</f>
        <v>0.62997123512929099</v>
      </c>
      <c r="C1928" s="32">
        <f ca="1">Model!$F$15+RAND()*(Model!$G$15-Model!$F$15)</f>
        <v>4.6969023697624325E-2</v>
      </c>
      <c r="D1928" s="33">
        <f ca="1">Model!$F$16+RAND()*(Model!$G$16-Model!$F$16)</f>
        <v>49.755291377587746</v>
      </c>
      <c r="E1928" s="33">
        <f>Model!$D$17</f>
        <v>800</v>
      </c>
      <c r="G1928" s="36">
        <f t="shared" ca="1" si="32"/>
        <v>1594.8870586864095</v>
      </c>
    </row>
    <row r="1929" spans="1:7" x14ac:dyDescent="0.2">
      <c r="A1929" s="6">
        <f ca="1">Model!$F$13+RAND()*(Model!$G$13-Model!$F$13)</f>
        <v>1553.7118729707004</v>
      </c>
      <c r="B1929" s="31">
        <f ca="1">Model!$F$14+RAND()*(Model!$G$14-Model!$F$14)</f>
        <v>0.42701152078464949</v>
      </c>
      <c r="C1929" s="32">
        <f ca="1">Model!$F$15+RAND()*(Model!$G$15-Model!$F$15)</f>
        <v>4.5051708373579746E-2</v>
      </c>
      <c r="D1929" s="33">
        <f ca="1">Model!$F$16+RAND()*(Model!$G$16-Model!$F$16)</f>
        <v>51.367792158110966</v>
      </c>
      <c r="E1929" s="33">
        <f>Model!$D$17</f>
        <v>800</v>
      </c>
      <c r="G1929" s="36">
        <f t="shared" ca="1" si="32"/>
        <v>2132.157699659731</v>
      </c>
    </row>
    <row r="1930" spans="1:7" x14ac:dyDescent="0.2">
      <c r="A1930" s="6">
        <f ca="1">Model!$F$13+RAND()*(Model!$G$13-Model!$F$13)</f>
        <v>1476.0118778177905</v>
      </c>
      <c r="B1930" s="31">
        <f ca="1">Model!$F$14+RAND()*(Model!$G$14-Model!$F$14)</f>
        <v>0.66987395221294332</v>
      </c>
      <c r="C1930" s="32">
        <f ca="1">Model!$F$15+RAND()*(Model!$G$15-Model!$F$15)</f>
        <v>4.6324305706694081E-2</v>
      </c>
      <c r="D1930" s="33">
        <f ca="1">Model!$F$16+RAND()*(Model!$G$16-Model!$F$16)</f>
        <v>51.606837238756015</v>
      </c>
      <c r="E1930" s="33">
        <f>Model!$D$17</f>
        <v>800</v>
      </c>
      <c r="G1930" s="36">
        <f t="shared" ca="1" si="32"/>
        <v>1739.8872210991135</v>
      </c>
    </row>
    <row r="1931" spans="1:7" x14ac:dyDescent="0.2">
      <c r="A1931" s="6">
        <f ca="1">Model!$F$13+RAND()*(Model!$G$13-Model!$F$13)</f>
        <v>1553.1433070260771</v>
      </c>
      <c r="B1931" s="31">
        <f ca="1">Model!$F$14+RAND()*(Model!$G$14-Model!$F$14)</f>
        <v>0.60149513458798753</v>
      </c>
      <c r="C1931" s="32">
        <f ca="1">Model!$F$15+RAND()*(Model!$G$15-Model!$F$15)</f>
        <v>2.6810841520728344E-2</v>
      </c>
      <c r="D1931" s="33">
        <f ca="1">Model!$F$16+RAND()*(Model!$G$16-Model!$F$16)</f>
        <v>50.943439287631541</v>
      </c>
      <c r="E1931" s="33">
        <f>Model!$D$17</f>
        <v>800</v>
      </c>
      <c r="G1931" s="36">
        <f t="shared" ca="1" si="32"/>
        <v>387.13164065674596</v>
      </c>
    </row>
    <row r="1932" spans="1:7" x14ac:dyDescent="0.2">
      <c r="A1932" s="6">
        <f ca="1">Model!$F$13+RAND()*(Model!$G$13-Model!$F$13)</f>
        <v>1712.1096646588044</v>
      </c>
      <c r="B1932" s="31">
        <f ca="1">Model!$F$14+RAND()*(Model!$G$14-Model!$F$14)</f>
        <v>0.54974754454831376</v>
      </c>
      <c r="C1932" s="32">
        <f ca="1">Model!$F$15+RAND()*(Model!$G$15-Model!$F$15)</f>
        <v>4.8217533127217292E-2</v>
      </c>
      <c r="D1932" s="33">
        <f ca="1">Model!$F$16+RAND()*(Model!$G$16-Model!$F$16)</f>
        <v>51.73788614680587</v>
      </c>
      <c r="E1932" s="33">
        <f>Model!$D$17</f>
        <v>800</v>
      </c>
      <c r="G1932" s="36">
        <f t="shared" ca="1" si="32"/>
        <v>2529.9260788834567</v>
      </c>
    </row>
    <row r="1933" spans="1:7" x14ac:dyDescent="0.2">
      <c r="A1933" s="6">
        <f ca="1">Model!$F$13+RAND()*(Model!$G$13-Model!$F$13)</f>
        <v>1440.8105964687038</v>
      </c>
      <c r="B1933" s="31">
        <f ca="1">Model!$F$14+RAND()*(Model!$G$14-Model!$F$14)</f>
        <v>0.21626831692755927</v>
      </c>
      <c r="C1933" s="32">
        <f ca="1">Model!$F$15+RAND()*(Model!$G$15-Model!$F$15)</f>
        <v>4.767106669027546E-2</v>
      </c>
      <c r="D1933" s="33">
        <f ca="1">Model!$F$16+RAND()*(Model!$G$16-Model!$F$16)</f>
        <v>52.795924337758265</v>
      </c>
      <c r="E1933" s="33">
        <f>Model!$D$17</f>
        <v>800</v>
      </c>
      <c r="G1933" s="36">
        <f t="shared" ca="1" si="32"/>
        <v>2514.6852206250196</v>
      </c>
    </row>
    <row r="1934" spans="1:7" x14ac:dyDescent="0.2">
      <c r="A1934" s="6">
        <f ca="1">Model!$F$13+RAND()*(Model!$G$13-Model!$F$13)</f>
        <v>1426.6502613428349</v>
      </c>
      <c r="B1934" s="31">
        <f ca="1">Model!$F$14+RAND()*(Model!$G$14-Model!$F$14)</f>
        <v>0.49053300439356567</v>
      </c>
      <c r="C1934" s="32">
        <f ca="1">Model!$F$15+RAND()*(Model!$G$15-Model!$F$15)</f>
        <v>4.6409626774793114E-2</v>
      </c>
      <c r="D1934" s="33">
        <f ca="1">Model!$F$16+RAND()*(Model!$G$16-Model!$F$16)</f>
        <v>51.297736270137811</v>
      </c>
      <c r="E1934" s="33">
        <f>Model!$D$17</f>
        <v>800</v>
      </c>
      <c r="G1934" s="36">
        <f t="shared" ca="1" si="32"/>
        <v>1896.6197852086862</v>
      </c>
    </row>
    <row r="1935" spans="1:7" x14ac:dyDescent="0.2">
      <c r="A1935" s="6">
        <f ca="1">Model!$F$13+RAND()*(Model!$G$13-Model!$F$13)</f>
        <v>1499.1015950097972</v>
      </c>
      <c r="B1935" s="31">
        <f ca="1">Model!$F$14+RAND()*(Model!$G$14-Model!$F$14)</f>
        <v>0.28867850763646152</v>
      </c>
      <c r="C1935" s="32">
        <f ca="1">Model!$F$15+RAND()*(Model!$G$15-Model!$F$15)</f>
        <v>3.7125787305084507E-2</v>
      </c>
      <c r="D1935" s="33">
        <f ca="1">Model!$F$16+RAND()*(Model!$G$16-Model!$F$16)</f>
        <v>51.609185276273799</v>
      </c>
      <c r="E1935" s="33">
        <f>Model!$D$17</f>
        <v>800</v>
      </c>
      <c r="G1935" s="36">
        <f t="shared" ca="1" si="32"/>
        <v>1639.5676697078227</v>
      </c>
    </row>
    <row r="1936" spans="1:7" x14ac:dyDescent="0.2">
      <c r="A1936" s="6">
        <f ca="1">Model!$F$13+RAND()*(Model!$G$13-Model!$F$13)</f>
        <v>1769.3211698038622</v>
      </c>
      <c r="B1936" s="31">
        <f ca="1">Model!$F$14+RAND()*(Model!$G$14-Model!$F$14)</f>
        <v>0.65490022698699057</v>
      </c>
      <c r="C1936" s="32">
        <f ca="1">Model!$F$15+RAND()*(Model!$G$15-Model!$F$15)</f>
        <v>3.0843621423542709E-2</v>
      </c>
      <c r="D1936" s="33">
        <f ca="1">Model!$F$16+RAND()*(Model!$G$16-Model!$F$16)</f>
        <v>50.759588217779239</v>
      </c>
      <c r="E1936" s="33">
        <f>Model!$D$17</f>
        <v>800</v>
      </c>
      <c r="G1936" s="36">
        <f t="shared" ca="1" si="32"/>
        <v>811.33723627251857</v>
      </c>
    </row>
    <row r="1937" spans="1:7" x14ac:dyDescent="0.2">
      <c r="A1937" s="6">
        <f ca="1">Model!$F$13+RAND()*(Model!$G$13-Model!$F$13)</f>
        <v>1639.02141216583</v>
      </c>
      <c r="B1937" s="31">
        <f ca="1">Model!$F$14+RAND()*(Model!$G$14-Model!$F$14)</f>
        <v>0.34339234031722132</v>
      </c>
      <c r="C1937" s="32">
        <f ca="1">Model!$F$15+RAND()*(Model!$G$15-Model!$F$15)</f>
        <v>2.4815343446009101E-2</v>
      </c>
      <c r="D1937" s="33">
        <f ca="1">Model!$F$16+RAND()*(Model!$G$16-Model!$F$16)</f>
        <v>50.303115333450684</v>
      </c>
      <c r="E1937" s="33">
        <f>Model!$D$17</f>
        <v>800</v>
      </c>
      <c r="G1937" s="36">
        <f t="shared" ca="1" si="32"/>
        <v>683.14513771800057</v>
      </c>
    </row>
    <row r="1938" spans="1:7" x14ac:dyDescent="0.2">
      <c r="A1938" s="6">
        <f ca="1">Model!$F$13+RAND()*(Model!$G$13-Model!$F$13)</f>
        <v>1595.0277103081787</v>
      </c>
      <c r="B1938" s="31">
        <f ca="1">Model!$F$14+RAND()*(Model!$G$14-Model!$F$14)</f>
        <v>0.32520772313155222</v>
      </c>
      <c r="C1938" s="32">
        <f ca="1">Model!$F$15+RAND()*(Model!$G$15-Model!$F$15)</f>
        <v>3.3434270160385138E-2</v>
      </c>
      <c r="D1938" s="33">
        <f ca="1">Model!$F$16+RAND()*(Model!$G$16-Model!$F$16)</f>
        <v>48.859974366960671</v>
      </c>
      <c r="E1938" s="33">
        <f>Model!$D$17</f>
        <v>800</v>
      </c>
      <c r="G1938" s="36">
        <f t="shared" ca="1" si="32"/>
        <v>1286.9180823994666</v>
      </c>
    </row>
    <row r="1939" spans="1:7" x14ac:dyDescent="0.2">
      <c r="A1939" s="6">
        <f ca="1">Model!$F$13+RAND()*(Model!$G$13-Model!$F$13)</f>
        <v>1480.0697348283247</v>
      </c>
      <c r="B1939" s="31">
        <f ca="1">Model!$F$14+RAND()*(Model!$G$14-Model!$F$14)</f>
        <v>0.49542514690240902</v>
      </c>
      <c r="C1939" s="32">
        <f ca="1">Model!$F$15+RAND()*(Model!$G$15-Model!$F$15)</f>
        <v>1.9089683522518209E-2</v>
      </c>
      <c r="D1939" s="33">
        <f ca="1">Model!$F$16+RAND()*(Model!$G$16-Model!$F$16)</f>
        <v>47.086348943155372</v>
      </c>
      <c r="E1939" s="33">
        <f>Model!$D$17</f>
        <v>800</v>
      </c>
      <c r="G1939" s="36">
        <f t="shared" ca="1" si="32"/>
        <v>-202.88310436887355</v>
      </c>
    </row>
    <row r="1940" spans="1:7" x14ac:dyDescent="0.2">
      <c r="A1940" s="6">
        <f ca="1">Model!$F$13+RAND()*(Model!$G$13-Model!$F$13)</f>
        <v>1674.9385069577606</v>
      </c>
      <c r="B1940" s="31">
        <f ca="1">Model!$F$14+RAND()*(Model!$G$14-Model!$F$14)</f>
        <v>0.29775578717203771</v>
      </c>
      <c r="C1940" s="32">
        <f ca="1">Model!$F$15+RAND()*(Model!$G$15-Model!$F$15)</f>
        <v>2.5919464055830184E-2</v>
      </c>
      <c r="D1940" s="33">
        <f ca="1">Model!$F$16+RAND()*(Model!$G$16-Model!$F$16)</f>
        <v>52.208026595147452</v>
      </c>
      <c r="E1940" s="33">
        <f>Model!$D$17</f>
        <v>800</v>
      </c>
      <c r="G1940" s="36">
        <f t="shared" ca="1" si="32"/>
        <v>967.81096893198333</v>
      </c>
    </row>
    <row r="1941" spans="1:7" x14ac:dyDescent="0.2">
      <c r="A1941" s="6">
        <f ca="1">Model!$F$13+RAND()*(Model!$G$13-Model!$F$13)</f>
        <v>1679.7645609570197</v>
      </c>
      <c r="B1941" s="31">
        <f ca="1">Model!$F$14+RAND()*(Model!$G$14-Model!$F$14)</f>
        <v>0.71033720471527917</v>
      </c>
      <c r="C1941" s="32">
        <f ca="1">Model!$F$15+RAND()*(Model!$G$15-Model!$F$15)</f>
        <v>3.1242432070720423E-2</v>
      </c>
      <c r="D1941" s="33">
        <f ca="1">Model!$F$16+RAND()*(Model!$G$16-Model!$F$16)</f>
        <v>50.159064444284446</v>
      </c>
      <c r="E1941" s="33">
        <f>Model!$D$17</f>
        <v>800</v>
      </c>
      <c r="G1941" s="36">
        <f t="shared" ca="1" si="32"/>
        <v>639.1449376470016</v>
      </c>
    </row>
    <row r="1942" spans="1:7" x14ac:dyDescent="0.2">
      <c r="A1942" s="6">
        <f ca="1">Model!$F$13+RAND()*(Model!$G$13-Model!$F$13)</f>
        <v>1437.883054845998</v>
      </c>
      <c r="B1942" s="31">
        <f ca="1">Model!$F$14+RAND()*(Model!$G$14-Model!$F$14)</f>
        <v>0.6839189892038342</v>
      </c>
      <c r="C1942" s="32">
        <f ca="1">Model!$F$15+RAND()*(Model!$G$15-Model!$F$15)</f>
        <v>1.16929789756353E-2</v>
      </c>
      <c r="D1942" s="33">
        <f ca="1">Model!$F$16+RAND()*(Model!$G$16-Model!$F$16)</f>
        <v>50.610634239542613</v>
      </c>
      <c r="E1942" s="33">
        <f>Model!$D$17</f>
        <v>800</v>
      </c>
      <c r="G1942" s="36">
        <f t="shared" ca="1" si="32"/>
        <v>-932.47203225973567</v>
      </c>
    </row>
    <row r="1943" spans="1:7" x14ac:dyDescent="0.2">
      <c r="A1943" s="6">
        <f ca="1">Model!$F$13+RAND()*(Model!$G$13-Model!$F$13)</f>
        <v>1504.5853223481222</v>
      </c>
      <c r="B1943" s="31">
        <f ca="1">Model!$F$14+RAND()*(Model!$G$14-Model!$F$14)</f>
        <v>0.62342375251483517</v>
      </c>
      <c r="C1943" s="32">
        <f ca="1">Model!$F$15+RAND()*(Model!$G$15-Model!$F$15)</f>
        <v>3.5273070271421514E-2</v>
      </c>
      <c r="D1943" s="33">
        <f ca="1">Model!$F$16+RAND()*(Model!$G$16-Model!$F$16)</f>
        <v>48.966749311207991</v>
      </c>
      <c r="E1943" s="33">
        <f>Model!$D$17</f>
        <v>800</v>
      </c>
      <c r="G1943" s="36">
        <f t="shared" ca="1" si="32"/>
        <v>860.73696004857311</v>
      </c>
    </row>
    <row r="1944" spans="1:7" x14ac:dyDescent="0.2">
      <c r="A1944" s="6">
        <f ca="1">Model!$F$13+RAND()*(Model!$G$13-Model!$F$13)</f>
        <v>1496.7879850442421</v>
      </c>
      <c r="B1944" s="31">
        <f ca="1">Model!$F$14+RAND()*(Model!$G$14-Model!$F$14)</f>
        <v>0.78892974179620734</v>
      </c>
      <c r="C1944" s="32">
        <f ca="1">Model!$F$15+RAND()*(Model!$G$15-Model!$F$15)</f>
        <v>1.9256650623642822E-2</v>
      </c>
      <c r="D1944" s="33">
        <f ca="1">Model!$F$16+RAND()*(Model!$G$16-Model!$F$16)</f>
        <v>51.905335422615167</v>
      </c>
      <c r="E1944" s="33">
        <f>Model!$D$17</f>
        <v>800</v>
      </c>
      <c r="G1944" s="36">
        <f t="shared" ca="1" si="32"/>
        <v>-484.7866764948767</v>
      </c>
    </row>
    <row r="1945" spans="1:7" x14ac:dyDescent="0.2">
      <c r="A1945" s="6">
        <f ca="1">Model!$F$13+RAND()*(Model!$G$13-Model!$F$13)</f>
        <v>1581.2158446939757</v>
      </c>
      <c r="B1945" s="31">
        <f ca="1">Model!$F$14+RAND()*(Model!$G$14-Model!$F$14)</f>
        <v>0.4110145420700998</v>
      </c>
      <c r="C1945" s="32">
        <f ca="1">Model!$F$15+RAND()*(Model!$G$15-Model!$F$15)</f>
        <v>4.8659689383297088E-2</v>
      </c>
      <c r="D1945" s="33">
        <f ca="1">Model!$F$16+RAND()*(Model!$G$16-Model!$F$16)</f>
        <v>48.979034814711085</v>
      </c>
      <c r="E1945" s="33">
        <f>Model!$D$17</f>
        <v>800</v>
      </c>
      <c r="G1945" s="36">
        <f t="shared" ca="1" si="32"/>
        <v>2318.6163221524394</v>
      </c>
    </row>
    <row r="1946" spans="1:7" x14ac:dyDescent="0.2">
      <c r="A1946" s="6">
        <f ca="1">Model!$F$13+RAND()*(Model!$G$13-Model!$F$13)</f>
        <v>1577.5710368131527</v>
      </c>
      <c r="B1946" s="31">
        <f ca="1">Model!$F$14+RAND()*(Model!$G$14-Model!$F$14)</f>
        <v>0.31312627035866958</v>
      </c>
      <c r="C1946" s="32">
        <f ca="1">Model!$F$15+RAND()*(Model!$G$15-Model!$F$15)</f>
        <v>3.5286771147801758E-2</v>
      </c>
      <c r="D1946" s="33">
        <f ca="1">Model!$F$16+RAND()*(Model!$G$16-Model!$F$16)</f>
        <v>49.783884356720939</v>
      </c>
      <c r="E1946" s="33">
        <f>Model!$D$17</f>
        <v>800</v>
      </c>
      <c r="G1946" s="36">
        <f t="shared" ca="1" si="32"/>
        <v>1477.3598788894271</v>
      </c>
    </row>
    <row r="1947" spans="1:7" x14ac:dyDescent="0.2">
      <c r="A1947" s="6">
        <f ca="1">Model!$F$13+RAND()*(Model!$G$13-Model!$F$13)</f>
        <v>1781.4442608853046</v>
      </c>
      <c r="B1947" s="31">
        <f ca="1">Model!$F$14+RAND()*(Model!$G$14-Model!$F$14)</f>
        <v>0.68857644772872406</v>
      </c>
      <c r="C1947" s="32">
        <f ca="1">Model!$F$15+RAND()*(Model!$G$15-Model!$F$15)</f>
        <v>2.5491446762804727E-2</v>
      </c>
      <c r="D1947" s="33">
        <f ca="1">Model!$F$16+RAND()*(Model!$G$16-Model!$F$16)</f>
        <v>47.729740121776487</v>
      </c>
      <c r="E1947" s="33">
        <f>Model!$D$17</f>
        <v>800</v>
      </c>
      <c r="G1947" s="36">
        <f t="shared" ca="1" si="32"/>
        <v>140.82290160264256</v>
      </c>
    </row>
    <row r="1948" spans="1:7" x14ac:dyDescent="0.2">
      <c r="A1948" s="6">
        <f ca="1">Model!$F$13+RAND()*(Model!$G$13-Model!$F$13)</f>
        <v>1406.2030746577166</v>
      </c>
      <c r="B1948" s="31">
        <f ca="1">Model!$F$14+RAND()*(Model!$G$14-Model!$F$14)</f>
        <v>0.44827884748049995</v>
      </c>
      <c r="C1948" s="32">
        <f ca="1">Model!$F$15+RAND()*(Model!$G$15-Model!$F$15)</f>
        <v>4.8437766361674975E-2</v>
      </c>
      <c r="D1948" s="33">
        <f ca="1">Model!$F$16+RAND()*(Model!$G$16-Model!$F$16)</f>
        <v>48.056887881223886</v>
      </c>
      <c r="E1948" s="33">
        <f>Model!$D$17</f>
        <v>800</v>
      </c>
      <c r="G1948" s="36">
        <f t="shared" ca="1" si="32"/>
        <v>1842.9438571286082</v>
      </c>
    </row>
    <row r="1949" spans="1:7" x14ac:dyDescent="0.2">
      <c r="A1949" s="6">
        <f ca="1">Model!$F$13+RAND()*(Model!$G$13-Model!$F$13)</f>
        <v>1796.8637965968819</v>
      </c>
      <c r="B1949" s="31">
        <f ca="1">Model!$F$14+RAND()*(Model!$G$14-Model!$F$14)</f>
        <v>0.46007916987368147</v>
      </c>
      <c r="C1949" s="32">
        <f ca="1">Model!$F$15+RAND()*(Model!$G$15-Model!$F$15)</f>
        <v>2.2438313676529223E-2</v>
      </c>
      <c r="D1949" s="33">
        <f ca="1">Model!$F$16+RAND()*(Model!$G$16-Model!$F$16)</f>
        <v>47.182489148790523</v>
      </c>
      <c r="E1949" s="33">
        <f>Model!$D$17</f>
        <v>800</v>
      </c>
      <c r="G1949" s="36">
        <f t="shared" ca="1" si="32"/>
        <v>275.63199649013518</v>
      </c>
    </row>
    <row r="1950" spans="1:7" x14ac:dyDescent="0.2">
      <c r="A1950" s="6">
        <f ca="1">Model!$F$13+RAND()*(Model!$G$13-Model!$F$13)</f>
        <v>1685.3267857280741</v>
      </c>
      <c r="B1950" s="31">
        <f ca="1">Model!$F$14+RAND()*(Model!$G$14-Model!$F$14)</f>
        <v>0.47352190888197326</v>
      </c>
      <c r="C1950" s="32">
        <f ca="1">Model!$F$15+RAND()*(Model!$G$15-Model!$F$15)</f>
        <v>1.6492940366001574E-2</v>
      </c>
      <c r="D1950" s="33">
        <f ca="1">Model!$F$16+RAND()*(Model!$G$16-Model!$F$16)</f>
        <v>50.285741608158496</v>
      </c>
      <c r="E1950" s="33">
        <f>Model!$D$17</f>
        <v>800</v>
      </c>
      <c r="G1950" s="36">
        <f t="shared" ca="1" si="32"/>
        <v>-200.29697588025533</v>
      </c>
    </row>
    <row r="1951" spans="1:7" x14ac:dyDescent="0.2">
      <c r="A1951" s="6">
        <f ca="1">Model!$F$13+RAND()*(Model!$G$13-Model!$F$13)</f>
        <v>1634.7140720227176</v>
      </c>
      <c r="B1951" s="31">
        <f ca="1">Model!$F$14+RAND()*(Model!$G$14-Model!$F$14)</f>
        <v>0.23750343691678005</v>
      </c>
      <c r="C1951" s="32">
        <f ca="1">Model!$F$15+RAND()*(Model!$G$15-Model!$F$15)</f>
        <v>4.9609656251801061E-2</v>
      </c>
      <c r="D1951" s="33">
        <f ca="1">Model!$F$16+RAND()*(Model!$G$16-Model!$F$16)</f>
        <v>50.829900222049503</v>
      </c>
      <c r="E1951" s="33">
        <f>Model!$D$17</f>
        <v>800</v>
      </c>
      <c r="G1951" s="36">
        <f t="shared" ca="1" si="32"/>
        <v>2933.9328675591069</v>
      </c>
    </row>
    <row r="1952" spans="1:7" x14ac:dyDescent="0.2">
      <c r="A1952" s="6">
        <f ca="1">Model!$F$13+RAND()*(Model!$G$13-Model!$F$13)</f>
        <v>1540.8595099121476</v>
      </c>
      <c r="B1952" s="31">
        <f ca="1">Model!$F$14+RAND()*(Model!$G$14-Model!$F$14)</f>
        <v>0.24427529492049926</v>
      </c>
      <c r="C1952" s="32">
        <f ca="1">Model!$F$15+RAND()*(Model!$G$15-Model!$F$15)</f>
        <v>3.6302464391001953E-2</v>
      </c>
      <c r="D1952" s="33">
        <f ca="1">Model!$F$16+RAND()*(Model!$G$16-Model!$F$16)</f>
        <v>49.869461075319904</v>
      </c>
      <c r="E1952" s="33">
        <f>Model!$D$17</f>
        <v>800</v>
      </c>
      <c r="G1952" s="36">
        <f t="shared" ca="1" si="32"/>
        <v>1613.1540077890834</v>
      </c>
    </row>
    <row r="1953" spans="1:7" x14ac:dyDescent="0.2">
      <c r="A1953" s="6">
        <f ca="1">Model!$F$13+RAND()*(Model!$G$13-Model!$F$13)</f>
        <v>1547.3864344181727</v>
      </c>
      <c r="B1953" s="31">
        <f ca="1">Model!$F$14+RAND()*(Model!$G$14-Model!$F$14)</f>
        <v>0.7376877210163717</v>
      </c>
      <c r="C1953" s="32">
        <f ca="1">Model!$F$15+RAND()*(Model!$G$15-Model!$F$15)</f>
        <v>4.2068530373215562E-2</v>
      </c>
      <c r="D1953" s="33">
        <f ca="1">Model!$F$16+RAND()*(Model!$G$16-Model!$F$16)</f>
        <v>52.843648683627052</v>
      </c>
      <c r="E1953" s="33">
        <f>Model!$D$17</f>
        <v>800</v>
      </c>
      <c r="G1953" s="36">
        <f t="shared" ca="1" si="32"/>
        <v>1498.4366200716036</v>
      </c>
    </row>
    <row r="1954" spans="1:7" x14ac:dyDescent="0.2">
      <c r="A1954" s="6">
        <f ca="1">Model!$F$13+RAND()*(Model!$G$13-Model!$F$13)</f>
        <v>1581.5597102623801</v>
      </c>
      <c r="B1954" s="31">
        <f ca="1">Model!$F$14+RAND()*(Model!$G$14-Model!$F$14)</f>
        <v>0.71882277044529097</v>
      </c>
      <c r="C1954" s="32">
        <f ca="1">Model!$F$15+RAND()*(Model!$G$15-Model!$F$15)</f>
        <v>3.4752917942942226E-2</v>
      </c>
      <c r="D1954" s="33">
        <f ca="1">Model!$F$16+RAND()*(Model!$G$16-Model!$F$16)</f>
        <v>48.194033849180059</v>
      </c>
      <c r="E1954" s="33">
        <f>Model!$D$17</f>
        <v>800</v>
      </c>
      <c r="G1954" s="36">
        <f t="shared" ca="1" si="32"/>
        <v>712.06681996751104</v>
      </c>
    </row>
    <row r="1955" spans="1:7" x14ac:dyDescent="0.2">
      <c r="A1955" s="6">
        <f ca="1">Model!$F$13+RAND()*(Model!$G$13-Model!$F$13)</f>
        <v>1271.0084318233853</v>
      </c>
      <c r="B1955" s="31">
        <f ca="1">Model!$F$14+RAND()*(Model!$G$14-Model!$F$14)</f>
        <v>0.65861539515822431</v>
      </c>
      <c r="C1955" s="32">
        <f ca="1">Model!$F$15+RAND()*(Model!$G$15-Model!$F$15)</f>
        <v>4.7354167924395993E-2</v>
      </c>
      <c r="D1955" s="33">
        <f ca="1">Model!$F$16+RAND()*(Model!$G$16-Model!$F$16)</f>
        <v>52.091738539787883</v>
      </c>
      <c r="E1955" s="33">
        <f>Model!$D$17</f>
        <v>800</v>
      </c>
      <c r="G1955" s="36">
        <f t="shared" ca="1" si="32"/>
        <v>1498.1682261963192</v>
      </c>
    </row>
    <row r="1956" spans="1:7" x14ac:dyDescent="0.2">
      <c r="A1956" s="6">
        <f ca="1">Model!$F$13+RAND()*(Model!$G$13-Model!$F$13)</f>
        <v>1485.6153479206364</v>
      </c>
      <c r="B1956" s="31">
        <f ca="1">Model!$F$14+RAND()*(Model!$G$14-Model!$F$14)</f>
        <v>0.42975865719217071</v>
      </c>
      <c r="C1956" s="32">
        <f ca="1">Model!$F$15+RAND()*(Model!$G$15-Model!$F$15)</f>
        <v>3.7600446173443547E-2</v>
      </c>
      <c r="D1956" s="33">
        <f ca="1">Model!$F$16+RAND()*(Model!$G$16-Model!$F$16)</f>
        <v>48.780914796279575</v>
      </c>
      <c r="E1956" s="33">
        <f>Model!$D$17</f>
        <v>800</v>
      </c>
      <c r="G1956" s="36">
        <f t="shared" ca="1" si="32"/>
        <v>1286.4360836000747</v>
      </c>
    </row>
    <row r="1957" spans="1:7" x14ac:dyDescent="0.2">
      <c r="A1957" s="6">
        <f ca="1">Model!$F$13+RAND()*(Model!$G$13-Model!$F$13)</f>
        <v>1681.0384127811437</v>
      </c>
      <c r="B1957" s="31">
        <f ca="1">Model!$F$14+RAND()*(Model!$G$14-Model!$F$14)</f>
        <v>0.45999058307173768</v>
      </c>
      <c r="C1957" s="32">
        <f ca="1">Model!$F$15+RAND()*(Model!$G$15-Model!$F$15)</f>
        <v>1.2442271569933246E-2</v>
      </c>
      <c r="D1957" s="33">
        <f ca="1">Model!$F$16+RAND()*(Model!$G$16-Model!$F$16)</f>
        <v>50.209524298921465</v>
      </c>
      <c r="E1957" s="33">
        <f>Model!$D$17</f>
        <v>800</v>
      </c>
      <c r="G1957" s="36">
        <f t="shared" ca="1" si="32"/>
        <v>-523.08262017431298</v>
      </c>
    </row>
    <row r="1958" spans="1:7" x14ac:dyDescent="0.2">
      <c r="A1958" s="6">
        <f ca="1">Model!$F$13+RAND()*(Model!$G$13-Model!$F$13)</f>
        <v>1386.0293424996607</v>
      </c>
      <c r="B1958" s="31">
        <f ca="1">Model!$F$14+RAND()*(Model!$G$14-Model!$F$14)</f>
        <v>0.68530621900036026</v>
      </c>
      <c r="C1958" s="32">
        <f ca="1">Model!$F$15+RAND()*(Model!$G$15-Model!$F$15)</f>
        <v>3.6546785820570873E-2</v>
      </c>
      <c r="D1958" s="33">
        <f ca="1">Model!$F$16+RAND()*(Model!$G$16-Model!$F$16)</f>
        <v>51.442189498653228</v>
      </c>
      <c r="E1958" s="33">
        <f>Model!$D$17</f>
        <v>800</v>
      </c>
      <c r="G1958" s="36">
        <f t="shared" ca="1" si="32"/>
        <v>855.9453380405439</v>
      </c>
    </row>
    <row r="1959" spans="1:7" x14ac:dyDescent="0.2">
      <c r="A1959" s="6">
        <f ca="1">Model!$F$13+RAND()*(Model!$G$13-Model!$F$13)</f>
        <v>1691.1632672094033</v>
      </c>
      <c r="B1959" s="31">
        <f ca="1">Model!$F$14+RAND()*(Model!$G$14-Model!$F$14)</f>
        <v>0.62332950606026838</v>
      </c>
      <c r="C1959" s="32">
        <f ca="1">Model!$F$15+RAND()*(Model!$G$15-Model!$F$15)</f>
        <v>4.6126150851822867E-2</v>
      </c>
      <c r="D1959" s="33">
        <f ca="1">Model!$F$16+RAND()*(Model!$G$16-Model!$F$16)</f>
        <v>52.643497348908951</v>
      </c>
      <c r="E1959" s="33">
        <f>Model!$D$17</f>
        <v>800</v>
      </c>
      <c r="G1959" s="36">
        <f t="shared" ca="1" si="32"/>
        <v>2252.4015413027555</v>
      </c>
    </row>
    <row r="1960" spans="1:7" x14ac:dyDescent="0.2">
      <c r="A1960" s="6">
        <f ca="1">Model!$F$13+RAND()*(Model!$G$13-Model!$F$13)</f>
        <v>1224.8956673734215</v>
      </c>
      <c r="B1960" s="31">
        <f ca="1">Model!$F$14+RAND()*(Model!$G$14-Model!$F$14)</f>
        <v>0.224218649702248</v>
      </c>
      <c r="C1960" s="32">
        <f ca="1">Model!$F$15+RAND()*(Model!$G$15-Model!$F$15)</f>
        <v>2.0719512975085501E-2</v>
      </c>
      <c r="D1960" s="33">
        <f ca="1">Model!$F$16+RAND()*(Model!$G$16-Model!$F$16)</f>
        <v>48.571331374699874</v>
      </c>
      <c r="E1960" s="33">
        <f>Model!$D$17</f>
        <v>800</v>
      </c>
      <c r="G1960" s="36">
        <f t="shared" ca="1" si="32"/>
        <v>158.05910478636883</v>
      </c>
    </row>
    <row r="1961" spans="1:7" x14ac:dyDescent="0.2">
      <c r="A1961" s="6">
        <f ca="1">Model!$F$13+RAND()*(Model!$G$13-Model!$F$13)</f>
        <v>1619.1694904558387</v>
      </c>
      <c r="B1961" s="31">
        <f ca="1">Model!$F$14+RAND()*(Model!$G$14-Model!$F$14)</f>
        <v>0.54863721619509798</v>
      </c>
      <c r="C1961" s="32">
        <f ca="1">Model!$F$15+RAND()*(Model!$G$15-Model!$F$15)</f>
        <v>1.3602202141162364E-2</v>
      </c>
      <c r="D1961" s="33">
        <f ca="1">Model!$F$16+RAND()*(Model!$G$16-Model!$F$16)</f>
        <v>52.343581825865684</v>
      </c>
      <c r="E1961" s="33">
        <f>Model!$D$17</f>
        <v>800</v>
      </c>
      <c r="G1961" s="36">
        <f t="shared" ref="G1961:G2024" ca="1" si="33">A1961*C1961*D1961-(E1961+A1961*B1961)</f>
        <v>-535.5074257287049</v>
      </c>
    </row>
    <row r="1962" spans="1:7" x14ac:dyDescent="0.2">
      <c r="A1962" s="6">
        <f ca="1">Model!$F$13+RAND()*(Model!$G$13-Model!$F$13)</f>
        <v>1368.4600156752497</v>
      </c>
      <c r="B1962" s="31">
        <f ca="1">Model!$F$14+RAND()*(Model!$G$14-Model!$F$14)</f>
        <v>0.21322154364853962</v>
      </c>
      <c r="C1962" s="32">
        <f ca="1">Model!$F$15+RAND()*(Model!$G$15-Model!$F$15)</f>
        <v>3.4542011058693665E-2</v>
      </c>
      <c r="D1962" s="33">
        <f ca="1">Model!$F$16+RAND()*(Model!$G$16-Model!$F$16)</f>
        <v>52.869041278428284</v>
      </c>
      <c r="E1962" s="33">
        <f>Model!$D$17</f>
        <v>800</v>
      </c>
      <c r="G1962" s="36">
        <f t="shared" ca="1" si="33"/>
        <v>1407.3006406772556</v>
      </c>
    </row>
    <row r="1963" spans="1:7" x14ac:dyDescent="0.2">
      <c r="A1963" s="6">
        <f ca="1">Model!$F$13+RAND()*(Model!$G$13-Model!$F$13)</f>
        <v>1425.5476477883667</v>
      </c>
      <c r="B1963" s="31">
        <f ca="1">Model!$F$14+RAND()*(Model!$G$14-Model!$F$14)</f>
        <v>0.78028092230714097</v>
      </c>
      <c r="C1963" s="32">
        <f ca="1">Model!$F$15+RAND()*(Model!$G$15-Model!$F$15)</f>
        <v>4.9709762202727638E-2</v>
      </c>
      <c r="D1963" s="33">
        <f ca="1">Model!$F$16+RAND()*(Model!$G$16-Model!$F$16)</f>
        <v>47.996637415780981</v>
      </c>
      <c r="E1963" s="33">
        <f>Model!$D$17</f>
        <v>800</v>
      </c>
      <c r="G1963" s="36">
        <f t="shared" ca="1" si="33"/>
        <v>1488.8885415020129</v>
      </c>
    </row>
    <row r="1964" spans="1:7" x14ac:dyDescent="0.2">
      <c r="A1964" s="6">
        <f ca="1">Model!$F$13+RAND()*(Model!$G$13-Model!$F$13)</f>
        <v>1318.715188517722</v>
      </c>
      <c r="B1964" s="31">
        <f ca="1">Model!$F$14+RAND()*(Model!$G$14-Model!$F$14)</f>
        <v>0.2383203069698015</v>
      </c>
      <c r="C1964" s="32">
        <f ca="1">Model!$F$15+RAND()*(Model!$G$15-Model!$F$15)</f>
        <v>3.6332232268768042E-2</v>
      </c>
      <c r="D1964" s="33">
        <f ca="1">Model!$F$16+RAND()*(Model!$G$16-Model!$F$16)</f>
        <v>48.551419203365583</v>
      </c>
      <c r="E1964" s="33">
        <f>Model!$D$17</f>
        <v>800</v>
      </c>
      <c r="G1964" s="36">
        <f t="shared" ca="1" si="33"/>
        <v>1211.9125079657588</v>
      </c>
    </row>
    <row r="1965" spans="1:7" x14ac:dyDescent="0.2">
      <c r="A1965" s="6">
        <f ca="1">Model!$F$13+RAND()*(Model!$G$13-Model!$F$13)</f>
        <v>1787.9650956326745</v>
      </c>
      <c r="B1965" s="31">
        <f ca="1">Model!$F$14+RAND()*(Model!$G$14-Model!$F$14)</f>
        <v>0.20810168505552196</v>
      </c>
      <c r="C1965" s="32">
        <f ca="1">Model!$F$15+RAND()*(Model!$G$15-Model!$F$15)</f>
        <v>3.014752272888474E-2</v>
      </c>
      <c r="D1965" s="33">
        <f ca="1">Model!$F$16+RAND()*(Model!$G$16-Model!$F$16)</f>
        <v>47.117735059405362</v>
      </c>
      <c r="E1965" s="33">
        <f>Model!$D$17</f>
        <v>800</v>
      </c>
      <c r="G1965" s="36">
        <f t="shared" ca="1" si="33"/>
        <v>1367.6954534013109</v>
      </c>
    </row>
    <row r="1966" spans="1:7" x14ac:dyDescent="0.2">
      <c r="A1966" s="6">
        <f ca="1">Model!$F$13+RAND()*(Model!$G$13-Model!$F$13)</f>
        <v>1441.4040457853657</v>
      </c>
      <c r="B1966" s="31">
        <f ca="1">Model!$F$14+RAND()*(Model!$G$14-Model!$F$14)</f>
        <v>0.20336774699633128</v>
      </c>
      <c r="C1966" s="32">
        <f ca="1">Model!$F$15+RAND()*(Model!$G$15-Model!$F$15)</f>
        <v>1.5425044247071074E-2</v>
      </c>
      <c r="D1966" s="33">
        <f ca="1">Model!$F$16+RAND()*(Model!$G$16-Model!$F$16)</f>
        <v>50.128494669998418</v>
      </c>
      <c r="E1966" s="33">
        <f>Model!$D$17</f>
        <v>800</v>
      </c>
      <c r="G1966" s="36">
        <f t="shared" ca="1" si="33"/>
        <v>21.407880570953694</v>
      </c>
    </row>
    <row r="1967" spans="1:7" x14ac:dyDescent="0.2">
      <c r="A1967" s="6">
        <f ca="1">Model!$F$13+RAND()*(Model!$G$13-Model!$F$13)</f>
        <v>1489.7533328248142</v>
      </c>
      <c r="B1967" s="31">
        <f ca="1">Model!$F$14+RAND()*(Model!$G$14-Model!$F$14)</f>
        <v>0.49824729135925577</v>
      </c>
      <c r="C1967" s="32">
        <f ca="1">Model!$F$15+RAND()*(Model!$G$15-Model!$F$15)</f>
        <v>4.998221042054337E-2</v>
      </c>
      <c r="D1967" s="33">
        <f ca="1">Model!$F$16+RAND()*(Model!$G$16-Model!$F$16)</f>
        <v>52.310550856852174</v>
      </c>
      <c r="E1967" s="33">
        <f>Model!$D$17</f>
        <v>800</v>
      </c>
      <c r="G1967" s="36">
        <f t="shared" ca="1" si="33"/>
        <v>2352.8389724913691</v>
      </c>
    </row>
    <row r="1968" spans="1:7" x14ac:dyDescent="0.2">
      <c r="A1968" s="6">
        <f ca="1">Model!$F$13+RAND()*(Model!$G$13-Model!$F$13)</f>
        <v>1494.438733952057</v>
      </c>
      <c r="B1968" s="31">
        <f ca="1">Model!$F$14+RAND()*(Model!$G$14-Model!$F$14)</f>
        <v>0.29427029302434704</v>
      </c>
      <c r="C1968" s="32">
        <f ca="1">Model!$F$15+RAND()*(Model!$G$15-Model!$F$15)</f>
        <v>4.907436978416882E-2</v>
      </c>
      <c r="D1968" s="33">
        <f ca="1">Model!$F$16+RAND()*(Model!$G$16-Model!$F$16)</f>
        <v>50.167673143599004</v>
      </c>
      <c r="E1968" s="33">
        <f>Model!$D$17</f>
        <v>800</v>
      </c>
      <c r="G1968" s="36">
        <f t="shared" ca="1" si="33"/>
        <v>2439.4599484971541</v>
      </c>
    </row>
    <row r="1969" spans="1:7" x14ac:dyDescent="0.2">
      <c r="A1969" s="6">
        <f ca="1">Model!$F$13+RAND()*(Model!$G$13-Model!$F$13)</f>
        <v>1587.3795526480353</v>
      </c>
      <c r="B1969" s="31">
        <f ca="1">Model!$F$14+RAND()*(Model!$G$14-Model!$F$14)</f>
        <v>0.45297396064141227</v>
      </c>
      <c r="C1969" s="32">
        <f ca="1">Model!$F$15+RAND()*(Model!$G$15-Model!$F$15)</f>
        <v>2.3409885500026269E-2</v>
      </c>
      <c r="D1969" s="33">
        <f ca="1">Model!$F$16+RAND()*(Model!$G$16-Model!$F$16)</f>
        <v>50.75158286390073</v>
      </c>
      <c r="E1969" s="33">
        <f>Model!$D$17</f>
        <v>800</v>
      </c>
      <c r="G1969" s="36">
        <f t="shared" ca="1" si="33"/>
        <v>366.90617561779322</v>
      </c>
    </row>
    <row r="1970" spans="1:7" x14ac:dyDescent="0.2">
      <c r="A1970" s="6">
        <f ca="1">Model!$F$13+RAND()*(Model!$G$13-Model!$F$13)</f>
        <v>1586.6428322063734</v>
      </c>
      <c r="B1970" s="31">
        <f ca="1">Model!$F$14+RAND()*(Model!$G$14-Model!$F$14)</f>
        <v>0.79091739638222469</v>
      </c>
      <c r="C1970" s="32">
        <f ca="1">Model!$F$15+RAND()*(Model!$G$15-Model!$F$15)</f>
        <v>3.2913280806546687E-2</v>
      </c>
      <c r="D1970" s="33">
        <f ca="1">Model!$F$16+RAND()*(Model!$G$16-Model!$F$16)</f>
        <v>52.254531608624255</v>
      </c>
      <c r="E1970" s="33">
        <f>Model!$D$17</f>
        <v>800</v>
      </c>
      <c r="G1970" s="36">
        <f t="shared" ca="1" si="33"/>
        <v>673.91293133763384</v>
      </c>
    </row>
    <row r="1971" spans="1:7" x14ac:dyDescent="0.2">
      <c r="A1971" s="6">
        <f ca="1">Model!$F$13+RAND()*(Model!$G$13-Model!$F$13)</f>
        <v>1687.311995771187</v>
      </c>
      <c r="B1971" s="31">
        <f ca="1">Model!$F$14+RAND()*(Model!$G$14-Model!$F$14)</f>
        <v>0.78737521245803843</v>
      </c>
      <c r="C1971" s="32">
        <f ca="1">Model!$F$15+RAND()*(Model!$G$15-Model!$F$15)</f>
        <v>1.7703396956424922E-2</v>
      </c>
      <c r="D1971" s="33">
        <f ca="1">Model!$F$16+RAND()*(Model!$G$16-Model!$F$16)</f>
        <v>48.338483420373535</v>
      </c>
      <c r="E1971" s="33">
        <f>Model!$D$17</f>
        <v>800</v>
      </c>
      <c r="G1971" s="36">
        <f t="shared" ca="1" si="33"/>
        <v>-684.6213563370311</v>
      </c>
    </row>
    <row r="1972" spans="1:7" x14ac:dyDescent="0.2">
      <c r="A1972" s="6">
        <f ca="1">Model!$F$13+RAND()*(Model!$G$13-Model!$F$13)</f>
        <v>1625.2934496551793</v>
      </c>
      <c r="B1972" s="31">
        <f ca="1">Model!$F$14+RAND()*(Model!$G$14-Model!$F$14)</f>
        <v>0.77993596966173406</v>
      </c>
      <c r="C1972" s="32">
        <f ca="1">Model!$F$15+RAND()*(Model!$G$15-Model!$F$15)</f>
        <v>1.8354818106905507E-2</v>
      </c>
      <c r="D1972" s="33">
        <f ca="1">Model!$F$16+RAND()*(Model!$G$16-Model!$F$16)</f>
        <v>51.657906254725276</v>
      </c>
      <c r="E1972" s="33">
        <f>Model!$D$17</f>
        <v>800</v>
      </c>
      <c r="G1972" s="36">
        <f t="shared" ca="1" si="33"/>
        <v>-526.56793828012769</v>
      </c>
    </row>
    <row r="1973" spans="1:7" x14ac:dyDescent="0.2">
      <c r="A1973" s="6">
        <f ca="1">Model!$F$13+RAND()*(Model!$G$13-Model!$F$13)</f>
        <v>1712.2183608110827</v>
      </c>
      <c r="B1973" s="31">
        <f ca="1">Model!$F$14+RAND()*(Model!$G$14-Model!$F$14)</f>
        <v>0.36858923328855053</v>
      </c>
      <c r="C1973" s="32">
        <f ca="1">Model!$F$15+RAND()*(Model!$G$15-Model!$F$15)</f>
        <v>1.0913872866979122E-2</v>
      </c>
      <c r="D1973" s="33">
        <f ca="1">Model!$F$16+RAND()*(Model!$G$16-Model!$F$16)</f>
        <v>52.560059555614046</v>
      </c>
      <c r="E1973" s="33">
        <f>Model!$D$17</f>
        <v>800</v>
      </c>
      <c r="G1973" s="36">
        <f t="shared" ca="1" si="33"/>
        <v>-448.91891461553587</v>
      </c>
    </row>
    <row r="1974" spans="1:7" x14ac:dyDescent="0.2">
      <c r="A1974" s="6">
        <f ca="1">Model!$F$13+RAND()*(Model!$G$13-Model!$F$13)</f>
        <v>1756.3371044575179</v>
      </c>
      <c r="B1974" s="31">
        <f ca="1">Model!$F$14+RAND()*(Model!$G$14-Model!$F$14)</f>
        <v>0.302097519237912</v>
      </c>
      <c r="C1974" s="32">
        <f ca="1">Model!$F$15+RAND()*(Model!$G$15-Model!$F$15)</f>
        <v>2.4435228957950257E-2</v>
      </c>
      <c r="D1974" s="33">
        <f ca="1">Model!$F$16+RAND()*(Model!$G$16-Model!$F$16)</f>
        <v>51.634633526373371</v>
      </c>
      <c r="E1974" s="33">
        <f>Model!$D$17</f>
        <v>800</v>
      </c>
      <c r="G1974" s="36">
        <f t="shared" ca="1" si="33"/>
        <v>885.39263008513467</v>
      </c>
    </row>
    <row r="1975" spans="1:7" x14ac:dyDescent="0.2">
      <c r="A1975" s="6">
        <f ca="1">Model!$F$13+RAND()*(Model!$G$13-Model!$F$13)</f>
        <v>1256.6134944705245</v>
      </c>
      <c r="B1975" s="31">
        <f ca="1">Model!$F$14+RAND()*(Model!$G$14-Model!$F$14)</f>
        <v>0.24861548059443361</v>
      </c>
      <c r="C1975" s="32">
        <f ca="1">Model!$F$15+RAND()*(Model!$G$15-Model!$F$15)</f>
        <v>2.6415633773546644E-2</v>
      </c>
      <c r="D1975" s="33">
        <f ca="1">Model!$F$16+RAND()*(Model!$G$16-Model!$F$16)</f>
        <v>49.536136981983773</v>
      </c>
      <c r="E1975" s="33">
        <f>Model!$D$17</f>
        <v>800</v>
      </c>
      <c r="G1975" s="36">
        <f t="shared" ca="1" si="33"/>
        <v>531.90094418008198</v>
      </c>
    </row>
    <row r="1976" spans="1:7" x14ac:dyDescent="0.2">
      <c r="A1976" s="6">
        <f ca="1">Model!$F$13+RAND()*(Model!$G$13-Model!$F$13)</f>
        <v>1547.5097102505356</v>
      </c>
      <c r="B1976" s="31">
        <f ca="1">Model!$F$14+RAND()*(Model!$G$14-Model!$F$14)</f>
        <v>0.41158652151170272</v>
      </c>
      <c r="C1976" s="32">
        <f ca="1">Model!$F$15+RAND()*(Model!$G$15-Model!$F$15)</f>
        <v>4.5928423360120638E-2</v>
      </c>
      <c r="D1976" s="33">
        <f ca="1">Model!$F$16+RAND()*(Model!$G$16-Model!$F$16)</f>
        <v>50.112279589286608</v>
      </c>
      <c r="E1976" s="33">
        <f>Model!$D$17</f>
        <v>800</v>
      </c>
      <c r="G1976" s="36">
        <f t="shared" ca="1" si="33"/>
        <v>2124.7801536721458</v>
      </c>
    </row>
    <row r="1977" spans="1:7" x14ac:dyDescent="0.2">
      <c r="A1977" s="6">
        <f ca="1">Model!$F$13+RAND()*(Model!$G$13-Model!$F$13)</f>
        <v>1458.1260461329111</v>
      </c>
      <c r="B1977" s="31">
        <f ca="1">Model!$F$14+RAND()*(Model!$G$14-Model!$F$14)</f>
        <v>0.28277719042254196</v>
      </c>
      <c r="C1977" s="32">
        <f ca="1">Model!$F$15+RAND()*(Model!$G$15-Model!$F$15)</f>
        <v>3.2974224469370012E-2</v>
      </c>
      <c r="D1977" s="33">
        <f ca="1">Model!$F$16+RAND()*(Model!$G$16-Model!$F$16)</f>
        <v>48.016329620293462</v>
      </c>
      <c r="E1977" s="33">
        <f>Model!$D$17</f>
        <v>800</v>
      </c>
      <c r="G1977" s="36">
        <f t="shared" ca="1" si="33"/>
        <v>1096.3279773262611</v>
      </c>
    </row>
    <row r="1978" spans="1:7" x14ac:dyDescent="0.2">
      <c r="A1978" s="6">
        <f ca="1">Model!$F$13+RAND()*(Model!$G$13-Model!$F$13)</f>
        <v>1797.7547517550979</v>
      </c>
      <c r="B1978" s="31">
        <f ca="1">Model!$F$14+RAND()*(Model!$G$14-Model!$F$14)</f>
        <v>0.28048405524536252</v>
      </c>
      <c r="C1978" s="32">
        <f ca="1">Model!$F$15+RAND()*(Model!$G$15-Model!$F$15)</f>
        <v>2.9433336374855887E-2</v>
      </c>
      <c r="D1978" s="33">
        <f ca="1">Model!$F$16+RAND()*(Model!$G$16-Model!$F$16)</f>
        <v>51.668128244412593</v>
      </c>
      <c r="E1978" s="33">
        <f>Model!$D$17</f>
        <v>800</v>
      </c>
      <c r="G1978" s="36">
        <f t="shared" ca="1" si="33"/>
        <v>1429.7216783078507</v>
      </c>
    </row>
    <row r="1979" spans="1:7" x14ac:dyDescent="0.2">
      <c r="A1979" s="6">
        <f ca="1">Model!$F$13+RAND()*(Model!$G$13-Model!$F$13)</f>
        <v>1400.9626568187105</v>
      </c>
      <c r="B1979" s="31">
        <f ca="1">Model!$F$14+RAND()*(Model!$G$14-Model!$F$14)</f>
        <v>0.75195398982786865</v>
      </c>
      <c r="C1979" s="32">
        <f ca="1">Model!$F$15+RAND()*(Model!$G$15-Model!$F$15)</f>
        <v>1.5358459952163837E-2</v>
      </c>
      <c r="D1979" s="33">
        <f ca="1">Model!$F$16+RAND()*(Model!$G$16-Model!$F$16)</f>
        <v>51.906814168393062</v>
      </c>
      <c r="E1979" s="33">
        <f>Model!$D$17</f>
        <v>800</v>
      </c>
      <c r="G1979" s="36">
        <f t="shared" ca="1" si="33"/>
        <v>-736.59980366849004</v>
      </c>
    </row>
    <row r="1980" spans="1:7" x14ac:dyDescent="0.2">
      <c r="A1980" s="6">
        <f ca="1">Model!$F$13+RAND()*(Model!$G$13-Model!$F$13)</f>
        <v>1799.8358766272131</v>
      </c>
      <c r="B1980" s="31">
        <f ca="1">Model!$F$14+RAND()*(Model!$G$14-Model!$F$14)</f>
        <v>0.57362209852685897</v>
      </c>
      <c r="C1980" s="32">
        <f ca="1">Model!$F$15+RAND()*(Model!$G$15-Model!$F$15)</f>
        <v>1.7027833835166852E-2</v>
      </c>
      <c r="D1980" s="33">
        <f ca="1">Model!$F$16+RAND()*(Model!$G$16-Model!$F$16)</f>
        <v>50.971144318126406</v>
      </c>
      <c r="E1980" s="33">
        <f>Model!$D$17</f>
        <v>800</v>
      </c>
      <c r="G1980" s="36">
        <f t="shared" ca="1" si="33"/>
        <v>-270.29736334712834</v>
      </c>
    </row>
    <row r="1981" spans="1:7" x14ac:dyDescent="0.2">
      <c r="A1981" s="6">
        <f ca="1">Model!$F$13+RAND()*(Model!$G$13-Model!$F$13)</f>
        <v>1350.5294538053847</v>
      </c>
      <c r="B1981" s="31">
        <f ca="1">Model!$F$14+RAND()*(Model!$G$14-Model!$F$14)</f>
        <v>0.46260819502021933</v>
      </c>
      <c r="C1981" s="32">
        <f ca="1">Model!$F$15+RAND()*(Model!$G$15-Model!$F$15)</f>
        <v>1.0135542726144529E-2</v>
      </c>
      <c r="D1981" s="33">
        <f ca="1">Model!$F$16+RAND()*(Model!$G$16-Model!$F$16)</f>
        <v>52.512509976052698</v>
      </c>
      <c r="E1981" s="33">
        <f>Model!$D$17</f>
        <v>800</v>
      </c>
      <c r="G1981" s="36">
        <f t="shared" ca="1" si="33"/>
        <v>-705.95643047562805</v>
      </c>
    </row>
    <row r="1982" spans="1:7" x14ac:dyDescent="0.2">
      <c r="A1982" s="6">
        <f ca="1">Model!$F$13+RAND()*(Model!$G$13-Model!$F$13)</f>
        <v>1399.8869647428478</v>
      </c>
      <c r="B1982" s="31">
        <f ca="1">Model!$F$14+RAND()*(Model!$G$14-Model!$F$14)</f>
        <v>0.6643590186060897</v>
      </c>
      <c r="C1982" s="32">
        <f ca="1">Model!$F$15+RAND()*(Model!$G$15-Model!$F$15)</f>
        <v>2.3880565938013472E-2</v>
      </c>
      <c r="D1982" s="33">
        <f ca="1">Model!$F$16+RAND()*(Model!$G$16-Model!$F$16)</f>
        <v>47.309605352671213</v>
      </c>
      <c r="E1982" s="33">
        <f>Model!$D$17</f>
        <v>800</v>
      </c>
      <c r="G1982" s="36">
        <f t="shared" ca="1" si="33"/>
        <v>-148.4630248696069</v>
      </c>
    </row>
    <row r="1983" spans="1:7" x14ac:dyDescent="0.2">
      <c r="A1983" s="6">
        <f ca="1">Model!$F$13+RAND()*(Model!$G$13-Model!$F$13)</f>
        <v>1450.6721111390711</v>
      </c>
      <c r="B1983" s="31">
        <f ca="1">Model!$F$14+RAND()*(Model!$G$14-Model!$F$14)</f>
        <v>0.39833325543857057</v>
      </c>
      <c r="C1983" s="32">
        <f ca="1">Model!$F$15+RAND()*(Model!$G$15-Model!$F$15)</f>
        <v>3.293072698796861E-2</v>
      </c>
      <c r="D1983" s="33">
        <f ca="1">Model!$F$16+RAND()*(Model!$G$16-Model!$F$16)</f>
        <v>50.805022451895276</v>
      </c>
      <c r="E1983" s="33">
        <f>Model!$D$17</f>
        <v>800</v>
      </c>
      <c r="G1983" s="36">
        <f t="shared" ca="1" si="33"/>
        <v>1049.1906982389792</v>
      </c>
    </row>
    <row r="1984" spans="1:7" x14ac:dyDescent="0.2">
      <c r="A1984" s="6">
        <f ca="1">Model!$F$13+RAND()*(Model!$G$13-Model!$F$13)</f>
        <v>1609.4193890989043</v>
      </c>
      <c r="B1984" s="31">
        <f ca="1">Model!$F$14+RAND()*(Model!$G$14-Model!$F$14)</f>
        <v>0.54791657599137844</v>
      </c>
      <c r="C1984" s="32">
        <f ca="1">Model!$F$15+RAND()*(Model!$G$15-Model!$F$15)</f>
        <v>3.9224993057845207E-2</v>
      </c>
      <c r="D1984" s="33">
        <f ca="1">Model!$F$16+RAND()*(Model!$G$16-Model!$F$16)</f>
        <v>52.80018860233254</v>
      </c>
      <c r="E1984" s="33">
        <f>Model!$D$17</f>
        <v>800</v>
      </c>
      <c r="G1984" s="36">
        <f t="shared" ca="1" si="33"/>
        <v>1651.4200638041079</v>
      </c>
    </row>
    <row r="1985" spans="1:7" x14ac:dyDescent="0.2">
      <c r="A1985" s="6">
        <f ca="1">Model!$F$13+RAND()*(Model!$G$13-Model!$F$13)</f>
        <v>1738.4730167951179</v>
      </c>
      <c r="B1985" s="31">
        <f ca="1">Model!$F$14+RAND()*(Model!$G$14-Model!$F$14)</f>
        <v>0.44419511291824088</v>
      </c>
      <c r="C1985" s="32">
        <f ca="1">Model!$F$15+RAND()*(Model!$G$15-Model!$F$15)</f>
        <v>3.0484411651114054E-2</v>
      </c>
      <c r="D1985" s="33">
        <f ca="1">Model!$F$16+RAND()*(Model!$G$16-Model!$F$16)</f>
        <v>48.569937884561917</v>
      </c>
      <c r="E1985" s="33">
        <f>Model!$D$17</f>
        <v>800</v>
      </c>
      <c r="G1985" s="36">
        <f t="shared" ca="1" si="33"/>
        <v>1001.8070967898075</v>
      </c>
    </row>
    <row r="1986" spans="1:7" x14ac:dyDescent="0.2">
      <c r="A1986" s="6">
        <f ca="1">Model!$F$13+RAND()*(Model!$G$13-Model!$F$13)</f>
        <v>1384.5304313659553</v>
      </c>
      <c r="B1986" s="31">
        <f ca="1">Model!$F$14+RAND()*(Model!$G$14-Model!$F$14)</f>
        <v>0.48671888911367439</v>
      </c>
      <c r="C1986" s="32">
        <f ca="1">Model!$F$15+RAND()*(Model!$G$15-Model!$F$15)</f>
        <v>2.6037645994041035E-2</v>
      </c>
      <c r="D1986" s="33">
        <f ca="1">Model!$F$16+RAND()*(Model!$G$16-Model!$F$16)</f>
        <v>51.072405542552886</v>
      </c>
      <c r="E1986" s="33">
        <f>Model!$D$17</f>
        <v>800</v>
      </c>
      <c r="G1986" s="36">
        <f t="shared" ca="1" si="33"/>
        <v>367.27867526267141</v>
      </c>
    </row>
    <row r="1987" spans="1:7" x14ac:dyDescent="0.2">
      <c r="A1987" s="6">
        <f ca="1">Model!$F$13+RAND()*(Model!$G$13-Model!$F$13)</f>
        <v>1390.5927203076692</v>
      </c>
      <c r="B1987" s="31">
        <f ca="1">Model!$F$14+RAND()*(Model!$G$14-Model!$F$14)</f>
        <v>0.29000265427593003</v>
      </c>
      <c r="C1987" s="32">
        <f ca="1">Model!$F$15+RAND()*(Model!$G$15-Model!$F$15)</f>
        <v>1.9089975882749109E-2</v>
      </c>
      <c r="D1987" s="33">
        <f ca="1">Model!$F$16+RAND()*(Model!$G$16-Model!$F$16)</f>
        <v>49.178306046067291</v>
      </c>
      <c r="E1987" s="33">
        <f>Model!$D$17</f>
        <v>800</v>
      </c>
      <c r="G1987" s="36">
        <f t="shared" ca="1" si="33"/>
        <v>102.23049359206607</v>
      </c>
    </row>
    <row r="1988" spans="1:7" x14ac:dyDescent="0.2">
      <c r="A1988" s="6">
        <f ca="1">Model!$F$13+RAND()*(Model!$G$13-Model!$F$13)</f>
        <v>1308.6111068054483</v>
      </c>
      <c r="B1988" s="31">
        <f ca="1">Model!$F$14+RAND()*(Model!$G$14-Model!$F$14)</f>
        <v>0.25957960413957182</v>
      </c>
      <c r="C1988" s="32">
        <f ca="1">Model!$F$15+RAND()*(Model!$G$15-Model!$F$15)</f>
        <v>3.6792864367887972E-2</v>
      </c>
      <c r="D1988" s="33">
        <f ca="1">Model!$F$16+RAND()*(Model!$G$16-Model!$F$16)</f>
        <v>50.479621878077765</v>
      </c>
      <c r="E1988" s="33">
        <f>Model!$D$17</f>
        <v>800</v>
      </c>
      <c r="G1988" s="36">
        <f t="shared" ca="1" si="33"/>
        <v>1290.781413890747</v>
      </c>
    </row>
    <row r="1989" spans="1:7" x14ac:dyDescent="0.2">
      <c r="A1989" s="6">
        <f ca="1">Model!$F$13+RAND()*(Model!$G$13-Model!$F$13)</f>
        <v>1256.2994599670956</v>
      </c>
      <c r="B1989" s="31">
        <f ca="1">Model!$F$14+RAND()*(Model!$G$14-Model!$F$14)</f>
        <v>0.69167291860097491</v>
      </c>
      <c r="C1989" s="32">
        <f ca="1">Model!$F$15+RAND()*(Model!$G$15-Model!$F$15)</f>
        <v>4.2668273116082532E-2</v>
      </c>
      <c r="D1989" s="33">
        <f ca="1">Model!$F$16+RAND()*(Model!$G$16-Model!$F$16)</f>
        <v>47.283013425015632</v>
      </c>
      <c r="E1989" s="33">
        <f>Model!$D$17</f>
        <v>800</v>
      </c>
      <c r="G1989" s="36">
        <f t="shared" ca="1" si="33"/>
        <v>865.61641213474559</v>
      </c>
    </row>
    <row r="1990" spans="1:7" x14ac:dyDescent="0.2">
      <c r="A1990" s="6">
        <f ca="1">Model!$F$13+RAND()*(Model!$G$13-Model!$F$13)</f>
        <v>1584.8413097362934</v>
      </c>
      <c r="B1990" s="31">
        <f ca="1">Model!$F$14+RAND()*(Model!$G$14-Model!$F$14)</f>
        <v>0.4233535281638181</v>
      </c>
      <c r="C1990" s="32">
        <f ca="1">Model!$F$15+RAND()*(Model!$G$15-Model!$F$15)</f>
        <v>4.9350254849656584E-2</v>
      </c>
      <c r="D1990" s="33">
        <f ca="1">Model!$F$16+RAND()*(Model!$G$16-Model!$F$16)</f>
        <v>52.331980239143249</v>
      </c>
      <c r="E1990" s="33">
        <f>Model!$D$17</f>
        <v>800</v>
      </c>
      <c r="G1990" s="36">
        <f t="shared" ca="1" si="33"/>
        <v>2622.057557132392</v>
      </c>
    </row>
    <row r="1991" spans="1:7" x14ac:dyDescent="0.2">
      <c r="A1991" s="6">
        <f ca="1">Model!$F$13+RAND()*(Model!$G$13-Model!$F$13)</f>
        <v>1777.8835499520669</v>
      </c>
      <c r="B1991" s="31">
        <f ca="1">Model!$F$14+RAND()*(Model!$G$14-Model!$F$14)</f>
        <v>0.57602710543034341</v>
      </c>
      <c r="C1991" s="32">
        <f ca="1">Model!$F$15+RAND()*(Model!$G$15-Model!$F$15)</f>
        <v>3.3160516319351262E-2</v>
      </c>
      <c r="D1991" s="33">
        <f ca="1">Model!$F$16+RAND()*(Model!$G$16-Model!$F$16)</f>
        <v>51.230065335261862</v>
      </c>
      <c r="E1991" s="33">
        <f>Model!$D$17</f>
        <v>800</v>
      </c>
      <c r="G1991" s="36">
        <f t="shared" ca="1" si="33"/>
        <v>1196.1868702695572</v>
      </c>
    </row>
    <row r="1992" spans="1:7" x14ac:dyDescent="0.2">
      <c r="A1992" s="6">
        <f ca="1">Model!$F$13+RAND()*(Model!$G$13-Model!$F$13)</f>
        <v>1419.4681357065983</v>
      </c>
      <c r="B1992" s="31">
        <f ca="1">Model!$F$14+RAND()*(Model!$G$14-Model!$F$14)</f>
        <v>0.61550874536136857</v>
      </c>
      <c r="C1992" s="32">
        <f ca="1">Model!$F$15+RAND()*(Model!$G$15-Model!$F$15)</f>
        <v>4.0500965982824232E-2</v>
      </c>
      <c r="D1992" s="33">
        <f ca="1">Model!$F$16+RAND()*(Model!$G$16-Model!$F$16)</f>
        <v>49.03260363617099</v>
      </c>
      <c r="E1992" s="33">
        <f>Model!$D$17</f>
        <v>800</v>
      </c>
      <c r="G1992" s="36">
        <f t="shared" ca="1" si="33"/>
        <v>1145.1810294535842</v>
      </c>
    </row>
    <row r="1993" spans="1:7" x14ac:dyDescent="0.2">
      <c r="A1993" s="6">
        <f ca="1">Model!$F$13+RAND()*(Model!$G$13-Model!$F$13)</f>
        <v>1722.5206934825901</v>
      </c>
      <c r="B1993" s="31">
        <f ca="1">Model!$F$14+RAND()*(Model!$G$14-Model!$F$14)</f>
        <v>0.66514304431593319</v>
      </c>
      <c r="C1993" s="32">
        <f ca="1">Model!$F$15+RAND()*(Model!$G$15-Model!$F$15)</f>
        <v>3.9724108128147168E-2</v>
      </c>
      <c r="D1993" s="33">
        <f ca="1">Model!$F$16+RAND()*(Model!$G$16-Model!$F$16)</f>
        <v>48.028317348639469</v>
      </c>
      <c r="E1993" s="33">
        <f>Model!$D$17</f>
        <v>800</v>
      </c>
      <c r="G1993" s="36">
        <f t="shared" ca="1" si="33"/>
        <v>1340.6436910441071</v>
      </c>
    </row>
    <row r="1994" spans="1:7" x14ac:dyDescent="0.2">
      <c r="A1994" s="6">
        <f ca="1">Model!$F$13+RAND()*(Model!$G$13-Model!$F$13)</f>
        <v>1460.5624314152863</v>
      </c>
      <c r="B1994" s="31">
        <f ca="1">Model!$F$14+RAND()*(Model!$G$14-Model!$F$14)</f>
        <v>0.72309341877253708</v>
      </c>
      <c r="C1994" s="32">
        <f ca="1">Model!$F$15+RAND()*(Model!$G$15-Model!$F$15)</f>
        <v>1.9782765997264629E-2</v>
      </c>
      <c r="D1994" s="33">
        <f ca="1">Model!$F$16+RAND()*(Model!$G$16-Model!$F$16)</f>
        <v>47.201390928658313</v>
      </c>
      <c r="E1994" s="33">
        <f>Model!$D$17</f>
        <v>800</v>
      </c>
      <c r="G1994" s="36">
        <f t="shared" ca="1" si="33"/>
        <v>-492.28775361912153</v>
      </c>
    </row>
    <row r="1995" spans="1:7" x14ac:dyDescent="0.2">
      <c r="A1995" s="6">
        <f ca="1">Model!$F$13+RAND()*(Model!$G$13-Model!$F$13)</f>
        <v>1748.6479079270193</v>
      </c>
      <c r="B1995" s="31">
        <f ca="1">Model!$F$14+RAND()*(Model!$G$14-Model!$F$14)</f>
        <v>0.79778372470110726</v>
      </c>
      <c r="C1995" s="32">
        <f ca="1">Model!$F$15+RAND()*(Model!$G$15-Model!$F$15)</f>
        <v>1.4296142857215912E-2</v>
      </c>
      <c r="D1995" s="33">
        <f ca="1">Model!$F$16+RAND()*(Model!$G$16-Model!$F$16)</f>
        <v>51.790458644364513</v>
      </c>
      <c r="E1995" s="33">
        <f>Model!$D$17</f>
        <v>800</v>
      </c>
      <c r="G1995" s="36">
        <f t="shared" ca="1" si="33"/>
        <v>-900.33729329341554</v>
      </c>
    </row>
    <row r="1996" spans="1:7" x14ac:dyDescent="0.2">
      <c r="A1996" s="6">
        <f ca="1">Model!$F$13+RAND()*(Model!$G$13-Model!$F$13)</f>
        <v>1452.4275233929579</v>
      </c>
      <c r="B1996" s="31">
        <f ca="1">Model!$F$14+RAND()*(Model!$G$14-Model!$F$14)</f>
        <v>0.72155313145298927</v>
      </c>
      <c r="C1996" s="32">
        <f ca="1">Model!$F$15+RAND()*(Model!$G$15-Model!$F$15)</f>
        <v>3.7867690817203835E-2</v>
      </c>
      <c r="D1996" s="33">
        <f ca="1">Model!$F$16+RAND()*(Model!$G$16-Model!$F$16)</f>
        <v>47.392254321038351</v>
      </c>
      <c r="E1996" s="33">
        <f>Model!$D$17</f>
        <v>800</v>
      </c>
      <c r="G1996" s="36">
        <f t="shared" ca="1" si="33"/>
        <v>758.5739802501696</v>
      </c>
    </row>
    <row r="1997" spans="1:7" x14ac:dyDescent="0.2">
      <c r="A1997" s="6">
        <f ca="1">Model!$F$13+RAND()*(Model!$G$13-Model!$F$13)</f>
        <v>1623.518584271126</v>
      </c>
      <c r="B1997" s="31">
        <f ca="1">Model!$F$14+RAND()*(Model!$G$14-Model!$F$14)</f>
        <v>0.36792198518406583</v>
      </c>
      <c r="C1997" s="32">
        <f ca="1">Model!$F$15+RAND()*(Model!$G$15-Model!$F$15)</f>
        <v>2.516478453585079E-2</v>
      </c>
      <c r="D1997" s="33">
        <f ca="1">Model!$F$16+RAND()*(Model!$G$16-Model!$F$16)</f>
        <v>51.174224648126</v>
      </c>
      <c r="E1997" s="33">
        <f>Model!$D$17</f>
        <v>800</v>
      </c>
      <c r="G1997" s="36">
        <f t="shared" ca="1" si="33"/>
        <v>693.42011731515072</v>
      </c>
    </row>
    <row r="1998" spans="1:7" x14ac:dyDescent="0.2">
      <c r="A1998" s="6">
        <f ca="1">Model!$F$13+RAND()*(Model!$G$13-Model!$F$13)</f>
        <v>1200.2992521472036</v>
      </c>
      <c r="B1998" s="31">
        <f ca="1">Model!$F$14+RAND()*(Model!$G$14-Model!$F$14)</f>
        <v>0.30268994546454131</v>
      </c>
      <c r="C1998" s="32">
        <f ca="1">Model!$F$15+RAND()*(Model!$G$15-Model!$F$15)</f>
        <v>1.0954512821627432E-2</v>
      </c>
      <c r="D1998" s="33">
        <f ca="1">Model!$F$16+RAND()*(Model!$G$16-Model!$F$16)</f>
        <v>47.973569799145437</v>
      </c>
      <c r="E1998" s="33">
        <f>Model!$D$17</f>
        <v>800</v>
      </c>
      <c r="G1998" s="36">
        <f t="shared" ca="1" si="33"/>
        <v>-532.5287475080554</v>
      </c>
    </row>
    <row r="1999" spans="1:7" x14ac:dyDescent="0.2">
      <c r="A1999" s="6">
        <f ca="1">Model!$F$13+RAND()*(Model!$G$13-Model!$F$13)</f>
        <v>1524.3438024194907</v>
      </c>
      <c r="B1999" s="31">
        <f ca="1">Model!$F$14+RAND()*(Model!$G$14-Model!$F$14)</f>
        <v>0.44118902077802158</v>
      </c>
      <c r="C1999" s="32">
        <f ca="1">Model!$F$15+RAND()*(Model!$G$15-Model!$F$15)</f>
        <v>2.1321818373360158E-2</v>
      </c>
      <c r="D1999" s="33">
        <f ca="1">Model!$F$16+RAND()*(Model!$G$16-Model!$F$16)</f>
        <v>49.515807334169011</v>
      </c>
      <c r="E1999" s="33">
        <f>Model!$D$17</f>
        <v>800</v>
      </c>
      <c r="G1999" s="36">
        <f t="shared" ca="1" si="33"/>
        <v>136.82821084622674</v>
      </c>
    </row>
    <row r="2000" spans="1:7" x14ac:dyDescent="0.2">
      <c r="A2000" s="6">
        <f ca="1">Model!$F$13+RAND()*(Model!$G$13-Model!$F$13)</f>
        <v>1503.3467386504929</v>
      </c>
      <c r="B2000" s="31">
        <f ca="1">Model!$F$14+RAND()*(Model!$G$14-Model!$F$14)</f>
        <v>0.21112693658880533</v>
      </c>
      <c r="C2000" s="32">
        <f ca="1">Model!$F$15+RAND()*(Model!$G$15-Model!$F$15)</f>
        <v>2.3932494928585075E-2</v>
      </c>
      <c r="D2000" s="33">
        <f ca="1">Model!$F$16+RAND()*(Model!$G$16-Model!$F$16)</f>
        <v>48.839090849076243</v>
      </c>
      <c r="E2000" s="33">
        <f>Model!$D$17</f>
        <v>800</v>
      </c>
      <c r="G2000" s="36">
        <f t="shared" ca="1" si="33"/>
        <v>639.77675586641476</v>
      </c>
    </row>
    <row r="2001" spans="1:7" x14ac:dyDescent="0.2">
      <c r="A2001" s="6">
        <f ca="1">Model!$F$13+RAND()*(Model!$G$13-Model!$F$13)</f>
        <v>1665.1773896298564</v>
      </c>
      <c r="B2001" s="31">
        <f ca="1">Model!$F$14+RAND()*(Model!$G$14-Model!$F$14)</f>
        <v>0.62922545599145918</v>
      </c>
      <c r="C2001" s="32">
        <f ca="1">Model!$F$15+RAND()*(Model!$G$15-Model!$F$15)</f>
        <v>3.7077568197428967E-2</v>
      </c>
      <c r="D2001" s="33">
        <f ca="1">Model!$F$16+RAND()*(Model!$G$16-Model!$F$16)</f>
        <v>47.983302344680048</v>
      </c>
      <c r="E2001" s="33">
        <f>Model!$D$17</f>
        <v>800</v>
      </c>
      <c r="G2001" s="36">
        <f t="shared" ca="1" si="33"/>
        <v>1114.752027095637</v>
      </c>
    </row>
    <row r="2002" spans="1:7" x14ac:dyDescent="0.2">
      <c r="A2002" s="6">
        <f ca="1">Model!$F$13+RAND()*(Model!$G$13-Model!$F$13)</f>
        <v>1606.2673734675204</v>
      </c>
      <c r="B2002" s="31">
        <f ca="1">Model!$F$14+RAND()*(Model!$G$14-Model!$F$14)</f>
        <v>0.5971472019875419</v>
      </c>
      <c r="C2002" s="32">
        <f ca="1">Model!$F$15+RAND()*(Model!$G$15-Model!$F$15)</f>
        <v>2.1594112248473941E-2</v>
      </c>
      <c r="D2002" s="33">
        <f ca="1">Model!$F$16+RAND()*(Model!$G$16-Model!$F$16)</f>
        <v>48.287573323035744</v>
      </c>
      <c r="E2002" s="33">
        <f>Model!$D$17</f>
        <v>800</v>
      </c>
      <c r="G2002" s="36">
        <f t="shared" ca="1" si="33"/>
        <v>-84.279260760121588</v>
      </c>
    </row>
    <row r="2003" spans="1:7" x14ac:dyDescent="0.2">
      <c r="A2003" s="6">
        <f ca="1">Model!$F$13+RAND()*(Model!$G$13-Model!$F$13)</f>
        <v>1490.4380660265897</v>
      </c>
      <c r="B2003" s="31">
        <f ca="1">Model!$F$14+RAND()*(Model!$G$14-Model!$F$14)</f>
        <v>0.77360177490775661</v>
      </c>
      <c r="C2003" s="32">
        <f ca="1">Model!$F$15+RAND()*(Model!$G$15-Model!$F$15)</f>
        <v>3.5092934127475113E-2</v>
      </c>
      <c r="D2003" s="33">
        <f ca="1">Model!$F$16+RAND()*(Model!$G$16-Model!$F$16)</f>
        <v>49.787072058797733</v>
      </c>
      <c r="E2003" s="33">
        <f>Model!$D$17</f>
        <v>800</v>
      </c>
      <c r="G2003" s="36">
        <f t="shared" ca="1" si="33"/>
        <v>651.04976033378193</v>
      </c>
    </row>
    <row r="2004" spans="1:7" x14ac:dyDescent="0.2">
      <c r="A2004" s="6">
        <f ca="1">Model!$F$13+RAND()*(Model!$G$13-Model!$F$13)</f>
        <v>1379.5419733024141</v>
      </c>
      <c r="B2004" s="31">
        <f ca="1">Model!$F$14+RAND()*(Model!$G$14-Model!$F$14)</f>
        <v>0.47411988067953564</v>
      </c>
      <c r="C2004" s="32">
        <f ca="1">Model!$F$15+RAND()*(Model!$G$15-Model!$F$15)</f>
        <v>3.3558013790995267E-2</v>
      </c>
      <c r="D2004" s="33">
        <f ca="1">Model!$F$16+RAND()*(Model!$G$16-Model!$F$16)</f>
        <v>49.3178138198639</v>
      </c>
      <c r="E2004" s="33">
        <f>Model!$D$17</f>
        <v>800</v>
      </c>
      <c r="G2004" s="36">
        <f t="shared" ca="1" si="33"/>
        <v>829.08455573943093</v>
      </c>
    </row>
    <row r="2005" spans="1:7" x14ac:dyDescent="0.2">
      <c r="A2005" s="6">
        <f ca="1">Model!$F$13+RAND()*(Model!$G$13-Model!$F$13)</f>
        <v>1373.2690353424407</v>
      </c>
      <c r="B2005" s="31">
        <f ca="1">Model!$F$14+RAND()*(Model!$G$14-Model!$F$14)</f>
        <v>0.35898342538198647</v>
      </c>
      <c r="C2005" s="32">
        <f ca="1">Model!$F$15+RAND()*(Model!$G$15-Model!$F$15)</f>
        <v>4.8838174518554468E-2</v>
      </c>
      <c r="D2005" s="33">
        <f ca="1">Model!$F$16+RAND()*(Model!$G$16-Model!$F$16)</f>
        <v>49.717973170557492</v>
      </c>
      <c r="E2005" s="33">
        <f>Model!$D$17</f>
        <v>800</v>
      </c>
      <c r="G2005" s="36">
        <f t="shared" ca="1" si="33"/>
        <v>2041.501856082891</v>
      </c>
    </row>
    <row r="2006" spans="1:7" x14ac:dyDescent="0.2">
      <c r="A2006" s="6">
        <f ca="1">Model!$F$13+RAND()*(Model!$G$13-Model!$F$13)</f>
        <v>1226.7670337642114</v>
      </c>
      <c r="B2006" s="31">
        <f ca="1">Model!$F$14+RAND()*(Model!$G$14-Model!$F$14)</f>
        <v>0.29296117509338532</v>
      </c>
      <c r="C2006" s="32">
        <f ca="1">Model!$F$15+RAND()*(Model!$G$15-Model!$F$15)</f>
        <v>2.0295402848120245E-2</v>
      </c>
      <c r="D2006" s="33">
        <f ca="1">Model!$F$16+RAND()*(Model!$G$16-Model!$F$16)</f>
        <v>50.405411601801603</v>
      </c>
      <c r="E2006" s="33">
        <f>Model!$D$17</f>
        <v>800</v>
      </c>
      <c r="G2006" s="36">
        <f t="shared" ca="1" si="33"/>
        <v>95.58527484168826</v>
      </c>
    </row>
    <row r="2007" spans="1:7" x14ac:dyDescent="0.2">
      <c r="A2007" s="6">
        <f ca="1">Model!$F$13+RAND()*(Model!$G$13-Model!$F$13)</f>
        <v>1276.4690989215924</v>
      </c>
      <c r="B2007" s="31">
        <f ca="1">Model!$F$14+RAND()*(Model!$G$14-Model!$F$14)</f>
        <v>0.74899326456920678</v>
      </c>
      <c r="C2007" s="32">
        <f ca="1">Model!$F$15+RAND()*(Model!$G$15-Model!$F$15)</f>
        <v>3.4564644969864139E-2</v>
      </c>
      <c r="D2007" s="33">
        <f ca="1">Model!$F$16+RAND()*(Model!$G$16-Model!$F$16)</f>
        <v>50.105436191808344</v>
      </c>
      <c r="E2007" s="33">
        <f>Model!$D$17</f>
        <v>800</v>
      </c>
      <c r="G2007" s="36">
        <f t="shared" ca="1" si="33"/>
        <v>454.6202221548333</v>
      </c>
    </row>
    <row r="2008" spans="1:7" x14ac:dyDescent="0.2">
      <c r="A2008" s="6">
        <f ca="1">Model!$F$13+RAND()*(Model!$G$13-Model!$F$13)</f>
        <v>1706.6137921264676</v>
      </c>
      <c r="B2008" s="31">
        <f ca="1">Model!$F$14+RAND()*(Model!$G$14-Model!$F$14)</f>
        <v>0.67732540743090919</v>
      </c>
      <c r="C2008" s="32">
        <f ca="1">Model!$F$15+RAND()*(Model!$G$15-Model!$F$15)</f>
        <v>3.4730582290975191E-2</v>
      </c>
      <c r="D2008" s="33">
        <f ca="1">Model!$F$16+RAND()*(Model!$G$16-Model!$F$16)</f>
        <v>52.456043522895385</v>
      </c>
      <c r="E2008" s="33">
        <f>Model!$D$17</f>
        <v>800</v>
      </c>
      <c r="G2008" s="36">
        <f t="shared" ca="1" si="33"/>
        <v>1153.2255073874665</v>
      </c>
    </row>
    <row r="2009" spans="1:7" x14ac:dyDescent="0.2">
      <c r="A2009" s="6">
        <f ca="1">Model!$F$13+RAND()*(Model!$G$13-Model!$F$13)</f>
        <v>1535.7393567096178</v>
      </c>
      <c r="B2009" s="31">
        <f ca="1">Model!$F$14+RAND()*(Model!$G$14-Model!$F$14)</f>
        <v>0.21158205369013003</v>
      </c>
      <c r="C2009" s="32">
        <f ca="1">Model!$F$15+RAND()*(Model!$G$15-Model!$F$15)</f>
        <v>3.0634758144350342E-2</v>
      </c>
      <c r="D2009" s="33">
        <f ca="1">Model!$F$16+RAND()*(Model!$G$16-Model!$F$16)</f>
        <v>52.212687911243492</v>
      </c>
      <c r="E2009" s="33">
        <f>Model!$D$17</f>
        <v>800</v>
      </c>
      <c r="G2009" s="36">
        <f t="shared" ca="1" si="33"/>
        <v>1331.5156377448657</v>
      </c>
    </row>
    <row r="2010" spans="1:7" x14ac:dyDescent="0.2">
      <c r="A2010" s="6">
        <f ca="1">Model!$F$13+RAND()*(Model!$G$13-Model!$F$13)</f>
        <v>1398.2217645147241</v>
      </c>
      <c r="B2010" s="31">
        <f ca="1">Model!$F$14+RAND()*(Model!$G$14-Model!$F$14)</f>
        <v>0.46342339269928312</v>
      </c>
      <c r="C2010" s="32">
        <f ca="1">Model!$F$15+RAND()*(Model!$G$15-Model!$F$15)</f>
        <v>1.6776616432851613E-2</v>
      </c>
      <c r="D2010" s="33">
        <f ca="1">Model!$F$16+RAND()*(Model!$G$16-Model!$F$16)</f>
        <v>51.524912186254284</v>
      </c>
      <c r="E2010" s="33">
        <f>Model!$D$17</f>
        <v>800</v>
      </c>
      <c r="G2010" s="36">
        <f t="shared" ca="1" si="33"/>
        <v>-239.32664107300411</v>
      </c>
    </row>
    <row r="2011" spans="1:7" x14ac:dyDescent="0.2">
      <c r="A2011" s="6">
        <f ca="1">Model!$F$13+RAND()*(Model!$G$13-Model!$F$13)</f>
        <v>1344.6463256750919</v>
      </c>
      <c r="B2011" s="31">
        <f ca="1">Model!$F$14+RAND()*(Model!$G$14-Model!$F$14)</f>
        <v>0.67375016409271571</v>
      </c>
      <c r="C2011" s="32">
        <f ca="1">Model!$F$15+RAND()*(Model!$G$15-Model!$F$15)</f>
        <v>2.9246213313383264E-2</v>
      </c>
      <c r="D2011" s="33">
        <f ca="1">Model!$F$16+RAND()*(Model!$G$16-Model!$F$16)</f>
        <v>50.761861791142749</v>
      </c>
      <c r="E2011" s="33">
        <f>Model!$D$17</f>
        <v>800</v>
      </c>
      <c r="G2011" s="36">
        <f t="shared" ca="1" si="33"/>
        <v>290.29581555463892</v>
      </c>
    </row>
    <row r="2012" spans="1:7" x14ac:dyDescent="0.2">
      <c r="A2012" s="6">
        <f ca="1">Model!$F$13+RAND()*(Model!$G$13-Model!$F$13)</f>
        <v>1785.1047039853304</v>
      </c>
      <c r="B2012" s="31">
        <f ca="1">Model!$F$14+RAND()*(Model!$G$14-Model!$F$14)</f>
        <v>0.21721186592213665</v>
      </c>
      <c r="C2012" s="32">
        <f ca="1">Model!$F$15+RAND()*(Model!$G$15-Model!$F$15)</f>
        <v>2.5365377398874685E-2</v>
      </c>
      <c r="D2012" s="33">
        <f ca="1">Model!$F$16+RAND()*(Model!$G$16-Model!$F$16)</f>
        <v>51.584979672406774</v>
      </c>
      <c r="E2012" s="33">
        <f>Model!$D$17</f>
        <v>800</v>
      </c>
      <c r="G2012" s="36">
        <f t="shared" ca="1" si="33"/>
        <v>1148.0144510084729</v>
      </c>
    </row>
    <row r="2013" spans="1:7" x14ac:dyDescent="0.2">
      <c r="A2013" s="6">
        <f ca="1">Model!$F$13+RAND()*(Model!$G$13-Model!$F$13)</f>
        <v>1371.7843323909674</v>
      </c>
      <c r="B2013" s="31">
        <f ca="1">Model!$F$14+RAND()*(Model!$G$14-Model!$F$14)</f>
        <v>0.63547371463990976</v>
      </c>
      <c r="C2013" s="32">
        <f ca="1">Model!$F$15+RAND()*(Model!$G$15-Model!$F$15)</f>
        <v>2.1850524465064778E-2</v>
      </c>
      <c r="D2013" s="33">
        <f ca="1">Model!$F$16+RAND()*(Model!$G$16-Model!$F$16)</f>
        <v>47.569987304752651</v>
      </c>
      <c r="E2013" s="33">
        <f>Model!$D$17</f>
        <v>800</v>
      </c>
      <c r="G2013" s="36">
        <f t="shared" ca="1" si="33"/>
        <v>-245.86023342537533</v>
      </c>
    </row>
    <row r="2014" spans="1:7" x14ac:dyDescent="0.2">
      <c r="A2014" s="6">
        <f ca="1">Model!$F$13+RAND()*(Model!$G$13-Model!$F$13)</f>
        <v>1530.1540086221876</v>
      </c>
      <c r="B2014" s="31">
        <f ca="1">Model!$F$14+RAND()*(Model!$G$14-Model!$F$14)</f>
        <v>0.51279867387369871</v>
      </c>
      <c r="C2014" s="32">
        <f ca="1">Model!$F$15+RAND()*(Model!$G$15-Model!$F$15)</f>
        <v>2.2139011748573436E-2</v>
      </c>
      <c r="D2014" s="33">
        <f ca="1">Model!$F$16+RAND()*(Model!$G$16-Model!$F$16)</f>
        <v>48.948064470658473</v>
      </c>
      <c r="E2014" s="33">
        <f>Model!$D$17</f>
        <v>800</v>
      </c>
      <c r="G2014" s="36">
        <f t="shared" ca="1" si="33"/>
        <v>73.50846162314042</v>
      </c>
    </row>
    <row r="2015" spans="1:7" x14ac:dyDescent="0.2">
      <c r="A2015" s="6">
        <f ca="1">Model!$F$13+RAND()*(Model!$G$13-Model!$F$13)</f>
        <v>1462.2717166344617</v>
      </c>
      <c r="B2015" s="31">
        <f ca="1">Model!$F$14+RAND()*(Model!$G$14-Model!$F$14)</f>
        <v>0.56873662650302093</v>
      </c>
      <c r="C2015" s="32">
        <f ca="1">Model!$F$15+RAND()*(Model!$G$15-Model!$F$15)</f>
        <v>4.1442604921910847E-2</v>
      </c>
      <c r="D2015" s="33">
        <f ca="1">Model!$F$16+RAND()*(Model!$G$16-Model!$F$16)</f>
        <v>48.454251525091394</v>
      </c>
      <c r="E2015" s="33">
        <f>Model!$D$17</f>
        <v>800</v>
      </c>
      <c r="G2015" s="36">
        <f t="shared" ca="1" si="33"/>
        <v>1304.6970717898498</v>
      </c>
    </row>
    <row r="2016" spans="1:7" x14ac:dyDescent="0.2">
      <c r="A2016" s="6">
        <f ca="1">Model!$F$13+RAND()*(Model!$G$13-Model!$F$13)</f>
        <v>1274.9206342816224</v>
      </c>
      <c r="B2016" s="31">
        <f ca="1">Model!$F$14+RAND()*(Model!$G$14-Model!$F$14)</f>
        <v>0.70933498856972554</v>
      </c>
      <c r="C2016" s="32">
        <f ca="1">Model!$F$15+RAND()*(Model!$G$15-Model!$F$15)</f>
        <v>3.5925518839880807E-2</v>
      </c>
      <c r="D2016" s="33">
        <f ca="1">Model!$F$16+RAND()*(Model!$G$16-Model!$F$16)</f>
        <v>47.89472563001133</v>
      </c>
      <c r="E2016" s="33">
        <f>Model!$D$17</f>
        <v>800</v>
      </c>
      <c r="G2016" s="36">
        <f t="shared" ca="1" si="33"/>
        <v>489.33728303591693</v>
      </c>
    </row>
    <row r="2017" spans="1:7" x14ac:dyDescent="0.2">
      <c r="A2017" s="6">
        <f ca="1">Model!$F$13+RAND()*(Model!$G$13-Model!$F$13)</f>
        <v>1328.3102227664519</v>
      </c>
      <c r="B2017" s="31">
        <f ca="1">Model!$F$14+RAND()*(Model!$G$14-Model!$F$14)</f>
        <v>0.74304505083748129</v>
      </c>
      <c r="C2017" s="32">
        <f ca="1">Model!$F$15+RAND()*(Model!$G$15-Model!$F$15)</f>
        <v>4.547914491636737E-2</v>
      </c>
      <c r="D2017" s="33">
        <f ca="1">Model!$F$16+RAND()*(Model!$G$16-Model!$F$16)</f>
        <v>51.527912035026944</v>
      </c>
      <c r="E2017" s="33">
        <f>Model!$D$17</f>
        <v>800</v>
      </c>
      <c r="G2017" s="36">
        <f t="shared" ca="1" si="33"/>
        <v>1325.8281159904323</v>
      </c>
    </row>
    <row r="2018" spans="1:7" x14ac:dyDescent="0.2">
      <c r="A2018" s="6">
        <f ca="1">Model!$F$13+RAND()*(Model!$G$13-Model!$F$13)</f>
        <v>1635.5307792776571</v>
      </c>
      <c r="B2018" s="31">
        <f ca="1">Model!$F$14+RAND()*(Model!$G$14-Model!$F$14)</f>
        <v>0.62084745549722875</v>
      </c>
      <c r="C2018" s="32">
        <f ca="1">Model!$F$15+RAND()*(Model!$G$15-Model!$F$15)</f>
        <v>3.9852970529198943E-2</v>
      </c>
      <c r="D2018" s="33">
        <f ca="1">Model!$F$16+RAND()*(Model!$G$16-Model!$F$16)</f>
        <v>48.197238014403617</v>
      </c>
      <c r="E2018" s="33">
        <f>Model!$D$17</f>
        <v>800</v>
      </c>
      <c r="G2018" s="36">
        <f t="shared" ca="1" si="33"/>
        <v>1326.117478382376</v>
      </c>
    </row>
    <row r="2019" spans="1:7" x14ac:dyDescent="0.2">
      <c r="A2019" s="6">
        <f ca="1">Model!$F$13+RAND()*(Model!$G$13-Model!$F$13)</f>
        <v>1234.7825713425359</v>
      </c>
      <c r="B2019" s="31">
        <f ca="1">Model!$F$14+RAND()*(Model!$G$14-Model!$F$14)</f>
        <v>0.39170934406099522</v>
      </c>
      <c r="C2019" s="32">
        <f ca="1">Model!$F$15+RAND()*(Model!$G$15-Model!$F$15)</f>
        <v>4.6113724613167449E-2</v>
      </c>
      <c r="D2019" s="33">
        <f ca="1">Model!$F$16+RAND()*(Model!$G$16-Model!$F$16)</f>
        <v>48.157541295709066</v>
      </c>
      <c r="E2019" s="33">
        <f>Model!$D$17</f>
        <v>800</v>
      </c>
      <c r="G2019" s="36">
        <f t="shared" ca="1" si="33"/>
        <v>1458.4349227076891</v>
      </c>
    </row>
    <row r="2020" spans="1:7" x14ac:dyDescent="0.2">
      <c r="A2020" s="6">
        <f ca="1">Model!$F$13+RAND()*(Model!$G$13-Model!$F$13)</f>
        <v>1400.5516060214973</v>
      </c>
      <c r="B2020" s="31">
        <f ca="1">Model!$F$14+RAND()*(Model!$G$14-Model!$F$14)</f>
        <v>0.65345568435615831</v>
      </c>
      <c r="C2020" s="32">
        <f ca="1">Model!$F$15+RAND()*(Model!$G$15-Model!$F$15)</f>
        <v>3.5288537627094642E-2</v>
      </c>
      <c r="D2020" s="33">
        <f ca="1">Model!$F$16+RAND()*(Model!$G$16-Model!$F$16)</f>
        <v>52.064026063004597</v>
      </c>
      <c r="E2020" s="33">
        <f>Model!$D$17</f>
        <v>800</v>
      </c>
      <c r="G2020" s="36">
        <f t="shared" ca="1" si="33"/>
        <v>857.98371717336249</v>
      </c>
    </row>
    <row r="2021" spans="1:7" x14ac:dyDescent="0.2">
      <c r="A2021" s="6">
        <f ca="1">Model!$F$13+RAND()*(Model!$G$13-Model!$F$13)</f>
        <v>1267.6788215687686</v>
      </c>
      <c r="B2021" s="31">
        <f ca="1">Model!$F$14+RAND()*(Model!$G$14-Model!$F$14)</f>
        <v>0.73720912096792324</v>
      </c>
      <c r="C2021" s="32">
        <f ca="1">Model!$F$15+RAND()*(Model!$G$15-Model!$F$15)</f>
        <v>3.3133723578418636E-2</v>
      </c>
      <c r="D2021" s="33">
        <f ca="1">Model!$F$16+RAND()*(Model!$G$16-Model!$F$16)</f>
        <v>50.698774068397569</v>
      </c>
      <c r="E2021" s="33">
        <f>Model!$D$17</f>
        <v>800</v>
      </c>
      <c r="G2021" s="36">
        <f t="shared" ca="1" si="33"/>
        <v>394.95214434083505</v>
      </c>
    </row>
    <row r="2022" spans="1:7" x14ac:dyDescent="0.2">
      <c r="A2022" s="6">
        <f ca="1">Model!$F$13+RAND()*(Model!$G$13-Model!$F$13)</f>
        <v>1208.1861172741112</v>
      </c>
      <c r="B2022" s="31">
        <f ca="1">Model!$F$14+RAND()*(Model!$G$14-Model!$F$14)</f>
        <v>0.6819609664558961</v>
      </c>
      <c r="C2022" s="32">
        <f ca="1">Model!$F$15+RAND()*(Model!$G$15-Model!$F$15)</f>
        <v>2.7599204965176385E-2</v>
      </c>
      <c r="D2022" s="33">
        <f ca="1">Model!$F$16+RAND()*(Model!$G$16-Model!$F$16)</f>
        <v>50.484958610039691</v>
      </c>
      <c r="E2022" s="33">
        <f>Model!$D$17</f>
        <v>800</v>
      </c>
      <c r="G2022" s="36">
        <f t="shared" ca="1" si="33"/>
        <v>59.483975493410526</v>
      </c>
    </row>
    <row r="2023" spans="1:7" x14ac:dyDescent="0.2">
      <c r="A2023" s="6">
        <f ca="1">Model!$F$13+RAND()*(Model!$G$13-Model!$F$13)</f>
        <v>1268.6136020700555</v>
      </c>
      <c r="B2023" s="31">
        <f ca="1">Model!$F$14+RAND()*(Model!$G$14-Model!$F$14)</f>
        <v>0.77762680336813172</v>
      </c>
      <c r="C2023" s="32">
        <f ca="1">Model!$F$15+RAND()*(Model!$G$15-Model!$F$15)</f>
        <v>1.6355010363484759E-2</v>
      </c>
      <c r="D2023" s="33">
        <f ca="1">Model!$F$16+RAND()*(Model!$G$16-Model!$F$16)</f>
        <v>50.514449584840762</v>
      </c>
      <c r="E2023" s="33">
        <f>Model!$D$17</f>
        <v>800</v>
      </c>
      <c r="G2023" s="36">
        <f t="shared" ca="1" si="33"/>
        <v>-738.42461261523772</v>
      </c>
    </row>
    <row r="2024" spans="1:7" x14ac:dyDescent="0.2">
      <c r="A2024" s="6">
        <f ca="1">Model!$F$13+RAND()*(Model!$G$13-Model!$F$13)</f>
        <v>1584.6720445978897</v>
      </c>
      <c r="B2024" s="31">
        <f ca="1">Model!$F$14+RAND()*(Model!$G$14-Model!$F$14)</f>
        <v>0.59819291367318184</v>
      </c>
      <c r="C2024" s="32">
        <f ca="1">Model!$F$15+RAND()*(Model!$G$15-Model!$F$15)</f>
        <v>3.9404749364240196E-2</v>
      </c>
      <c r="D2024" s="33">
        <f ca="1">Model!$F$16+RAND()*(Model!$G$16-Model!$F$16)</f>
        <v>47.378301993419008</v>
      </c>
      <c r="E2024" s="33">
        <f>Model!$D$17</f>
        <v>800</v>
      </c>
      <c r="G2024" s="36">
        <f t="shared" ca="1" si="33"/>
        <v>1210.5323754448805</v>
      </c>
    </row>
    <row r="2025" spans="1:7" x14ac:dyDescent="0.2">
      <c r="A2025" s="6">
        <f ca="1">Model!$F$13+RAND()*(Model!$G$13-Model!$F$13)</f>
        <v>1521.4879314963807</v>
      </c>
      <c r="B2025" s="31">
        <f ca="1">Model!$F$14+RAND()*(Model!$G$14-Model!$F$14)</f>
        <v>0.61131680514985209</v>
      </c>
      <c r="C2025" s="32">
        <f ca="1">Model!$F$15+RAND()*(Model!$G$15-Model!$F$15)</f>
        <v>1.9972614991722107E-2</v>
      </c>
      <c r="D2025" s="33">
        <f ca="1">Model!$F$16+RAND()*(Model!$G$16-Model!$F$16)</f>
        <v>47.654792819107676</v>
      </c>
      <c r="E2025" s="33">
        <f>Model!$D$17</f>
        <v>800</v>
      </c>
      <c r="G2025" s="36">
        <f t="shared" ref="G2025:G2088" ca="1" si="34">A2025*C2025*D2025-(E2025+A2025*B2025)</f>
        <v>-281.97288098405761</v>
      </c>
    </row>
    <row r="2026" spans="1:7" x14ac:dyDescent="0.2">
      <c r="A2026" s="6">
        <f ca="1">Model!$F$13+RAND()*(Model!$G$13-Model!$F$13)</f>
        <v>1452.2716518277202</v>
      </c>
      <c r="B2026" s="31">
        <f ca="1">Model!$F$14+RAND()*(Model!$G$14-Model!$F$14)</f>
        <v>0.69940347694933958</v>
      </c>
      <c r="C2026" s="32">
        <f ca="1">Model!$F$15+RAND()*(Model!$G$15-Model!$F$15)</f>
        <v>3.9238385528964928E-2</v>
      </c>
      <c r="D2026" s="33">
        <f ca="1">Model!$F$16+RAND()*(Model!$G$16-Model!$F$16)</f>
        <v>51.417053917328658</v>
      </c>
      <c r="E2026" s="33">
        <f>Model!$D$17</f>
        <v>800</v>
      </c>
      <c r="G2026" s="36">
        <f t="shared" ca="1" si="34"/>
        <v>1114.2664325333171</v>
      </c>
    </row>
    <row r="2027" spans="1:7" x14ac:dyDescent="0.2">
      <c r="A2027" s="6">
        <f ca="1">Model!$F$13+RAND()*(Model!$G$13-Model!$F$13)</f>
        <v>1722.9313753476426</v>
      </c>
      <c r="B2027" s="31">
        <f ca="1">Model!$F$14+RAND()*(Model!$G$14-Model!$F$14)</f>
        <v>0.20004559415171574</v>
      </c>
      <c r="C2027" s="32">
        <f ca="1">Model!$F$15+RAND()*(Model!$G$15-Model!$F$15)</f>
        <v>2.6541164914317281E-2</v>
      </c>
      <c r="D2027" s="33">
        <f ca="1">Model!$F$16+RAND()*(Model!$G$16-Model!$F$16)</f>
        <v>47.977738712033293</v>
      </c>
      <c r="E2027" s="33">
        <f>Model!$D$17</f>
        <v>800</v>
      </c>
      <c r="G2027" s="36">
        <f t="shared" ca="1" si="34"/>
        <v>1049.2902685939621</v>
      </c>
    </row>
    <row r="2028" spans="1:7" x14ac:dyDescent="0.2">
      <c r="A2028" s="6">
        <f ca="1">Model!$F$13+RAND()*(Model!$G$13-Model!$F$13)</f>
        <v>1772.7501686566507</v>
      </c>
      <c r="B2028" s="31">
        <f ca="1">Model!$F$14+RAND()*(Model!$G$14-Model!$F$14)</f>
        <v>0.66149569205510583</v>
      </c>
      <c r="C2028" s="32">
        <f ca="1">Model!$F$15+RAND()*(Model!$G$15-Model!$F$15)</f>
        <v>2.7195455013927138E-2</v>
      </c>
      <c r="D2028" s="33">
        <f ca="1">Model!$F$16+RAND()*(Model!$G$16-Model!$F$16)</f>
        <v>47.588273569610948</v>
      </c>
      <c r="E2028" s="33">
        <f>Model!$D$17</f>
        <v>800</v>
      </c>
      <c r="G2028" s="36">
        <f t="shared" ca="1" si="34"/>
        <v>321.59963959090214</v>
      </c>
    </row>
    <row r="2029" spans="1:7" x14ac:dyDescent="0.2">
      <c r="A2029" s="6">
        <f ca="1">Model!$F$13+RAND()*(Model!$G$13-Model!$F$13)</f>
        <v>1341.3686942881127</v>
      </c>
      <c r="B2029" s="31">
        <f ca="1">Model!$F$14+RAND()*(Model!$G$14-Model!$F$14)</f>
        <v>0.28001163617658131</v>
      </c>
      <c r="C2029" s="32">
        <f ca="1">Model!$F$15+RAND()*(Model!$G$15-Model!$F$15)</f>
        <v>1.9340855223342897E-2</v>
      </c>
      <c r="D2029" s="33">
        <f ca="1">Model!$F$16+RAND()*(Model!$G$16-Model!$F$16)</f>
        <v>51.708353841438402</v>
      </c>
      <c r="E2029" s="33">
        <f>Model!$D$17</f>
        <v>800</v>
      </c>
      <c r="G2029" s="36">
        <f t="shared" ca="1" si="34"/>
        <v>165.88223871059449</v>
      </c>
    </row>
    <row r="2030" spans="1:7" x14ac:dyDescent="0.2">
      <c r="A2030" s="6">
        <f ca="1">Model!$F$13+RAND()*(Model!$G$13-Model!$F$13)</f>
        <v>1552.2616680348237</v>
      </c>
      <c r="B2030" s="31">
        <f ca="1">Model!$F$14+RAND()*(Model!$G$14-Model!$F$14)</f>
        <v>0.26059684863888427</v>
      </c>
      <c r="C2030" s="32">
        <f ca="1">Model!$F$15+RAND()*(Model!$G$15-Model!$F$15)</f>
        <v>4.5077120824679393E-2</v>
      </c>
      <c r="D2030" s="33">
        <f ca="1">Model!$F$16+RAND()*(Model!$G$16-Model!$F$16)</f>
        <v>51.943986288688471</v>
      </c>
      <c r="E2030" s="33">
        <f>Model!$D$17</f>
        <v>800</v>
      </c>
      <c r="G2030" s="36">
        <f t="shared" ca="1" si="34"/>
        <v>2430.0834499869425</v>
      </c>
    </row>
    <row r="2031" spans="1:7" x14ac:dyDescent="0.2">
      <c r="A2031" s="6">
        <f ca="1">Model!$F$13+RAND()*(Model!$G$13-Model!$F$13)</f>
        <v>1443.8610975973741</v>
      </c>
      <c r="B2031" s="31">
        <f ca="1">Model!$F$14+RAND()*(Model!$G$14-Model!$F$14)</f>
        <v>0.25509106067842457</v>
      </c>
      <c r="C2031" s="32">
        <f ca="1">Model!$F$15+RAND()*(Model!$G$15-Model!$F$15)</f>
        <v>4.9981656005877624E-2</v>
      </c>
      <c r="D2031" s="33">
        <f ca="1">Model!$F$16+RAND()*(Model!$G$16-Model!$F$16)</f>
        <v>49.38269444155592</v>
      </c>
      <c r="E2031" s="33">
        <f>Model!$D$17</f>
        <v>800</v>
      </c>
      <c r="G2031" s="36">
        <f t="shared" ca="1" si="34"/>
        <v>2395.463552168032</v>
      </c>
    </row>
    <row r="2032" spans="1:7" x14ac:dyDescent="0.2">
      <c r="A2032" s="6">
        <f ca="1">Model!$F$13+RAND()*(Model!$G$13-Model!$F$13)</f>
        <v>1682.1711232746648</v>
      </c>
      <c r="B2032" s="31">
        <f ca="1">Model!$F$14+RAND()*(Model!$G$14-Model!$F$14)</f>
        <v>0.28459153961587708</v>
      </c>
      <c r="C2032" s="32">
        <f ca="1">Model!$F$15+RAND()*(Model!$G$15-Model!$F$15)</f>
        <v>3.1324734481985826E-2</v>
      </c>
      <c r="D2032" s="33">
        <f ca="1">Model!$F$16+RAND()*(Model!$G$16-Model!$F$16)</f>
        <v>47.040060054443231</v>
      </c>
      <c r="E2032" s="33">
        <f>Model!$D$17</f>
        <v>800</v>
      </c>
      <c r="G2032" s="36">
        <f t="shared" ca="1" si="34"/>
        <v>1199.9767352867307</v>
      </c>
    </row>
    <row r="2033" spans="1:7" x14ac:dyDescent="0.2">
      <c r="A2033" s="6">
        <f ca="1">Model!$F$13+RAND()*(Model!$G$13-Model!$F$13)</f>
        <v>1340.8262495353022</v>
      </c>
      <c r="B2033" s="31">
        <f ca="1">Model!$F$14+RAND()*(Model!$G$14-Model!$F$14)</f>
        <v>0.35192616656006526</v>
      </c>
      <c r="C2033" s="32">
        <f ca="1">Model!$F$15+RAND()*(Model!$G$15-Model!$F$15)</f>
        <v>4.769181788077035E-2</v>
      </c>
      <c r="D2033" s="33">
        <f ca="1">Model!$F$16+RAND()*(Model!$G$16-Model!$F$16)</f>
        <v>50.415478428746567</v>
      </c>
      <c r="E2033" s="33">
        <f>Model!$D$17</f>
        <v>800</v>
      </c>
      <c r="G2033" s="36">
        <f t="shared" ca="1" si="34"/>
        <v>1952.0185900639663</v>
      </c>
    </row>
    <row r="2034" spans="1:7" x14ac:dyDescent="0.2">
      <c r="A2034" s="6">
        <f ca="1">Model!$F$13+RAND()*(Model!$G$13-Model!$F$13)</f>
        <v>1775.6145324385877</v>
      </c>
      <c r="B2034" s="31">
        <f ca="1">Model!$F$14+RAND()*(Model!$G$14-Model!$F$14)</f>
        <v>0.51769607459551148</v>
      </c>
      <c r="C2034" s="32">
        <f ca="1">Model!$F$15+RAND()*(Model!$G$15-Model!$F$15)</f>
        <v>4.3309543571154442E-2</v>
      </c>
      <c r="D2034" s="33">
        <f ca="1">Model!$F$16+RAND()*(Model!$G$16-Model!$F$16)</f>
        <v>47.119933826113531</v>
      </c>
      <c r="E2034" s="33">
        <f>Model!$D$17</f>
        <v>800</v>
      </c>
      <c r="G2034" s="36">
        <f t="shared" ca="1" si="34"/>
        <v>1904.3439473516351</v>
      </c>
    </row>
    <row r="2035" spans="1:7" x14ac:dyDescent="0.2">
      <c r="A2035" s="6">
        <f ca="1">Model!$F$13+RAND()*(Model!$G$13-Model!$F$13)</f>
        <v>1271.6781417967723</v>
      </c>
      <c r="B2035" s="31">
        <f ca="1">Model!$F$14+RAND()*(Model!$G$14-Model!$F$14)</f>
        <v>0.24475019665431039</v>
      </c>
      <c r="C2035" s="32">
        <f ca="1">Model!$F$15+RAND()*(Model!$G$15-Model!$F$15)</f>
        <v>2.815948147744967E-2</v>
      </c>
      <c r="D2035" s="33">
        <f ca="1">Model!$F$16+RAND()*(Model!$G$16-Model!$F$16)</f>
        <v>52.743125340929247</v>
      </c>
      <c r="E2035" s="33">
        <f>Model!$D$17</f>
        <v>800</v>
      </c>
      <c r="G2035" s="36">
        <f t="shared" ca="1" si="34"/>
        <v>777.47714049594151</v>
      </c>
    </row>
    <row r="2036" spans="1:7" x14ac:dyDescent="0.2">
      <c r="A2036" s="6">
        <f ca="1">Model!$F$13+RAND()*(Model!$G$13-Model!$F$13)</f>
        <v>1303.3931617671201</v>
      </c>
      <c r="B2036" s="31">
        <f ca="1">Model!$F$14+RAND()*(Model!$G$14-Model!$F$14)</f>
        <v>0.39724355694424224</v>
      </c>
      <c r="C2036" s="32">
        <f ca="1">Model!$F$15+RAND()*(Model!$G$15-Model!$F$15)</f>
        <v>1.5804939304739411E-2</v>
      </c>
      <c r="D2036" s="33">
        <f ca="1">Model!$F$16+RAND()*(Model!$G$16-Model!$F$16)</f>
        <v>52.317829033146076</v>
      </c>
      <c r="E2036" s="33">
        <f>Model!$D$17</f>
        <v>800</v>
      </c>
      <c r="G2036" s="36">
        <f t="shared" ca="1" si="34"/>
        <v>-240.01465154171251</v>
      </c>
    </row>
    <row r="2037" spans="1:7" x14ac:dyDescent="0.2">
      <c r="A2037" s="6">
        <f ca="1">Model!$F$13+RAND()*(Model!$G$13-Model!$F$13)</f>
        <v>1649.8164894236047</v>
      </c>
      <c r="B2037" s="31">
        <f ca="1">Model!$F$14+RAND()*(Model!$G$14-Model!$F$14)</f>
        <v>0.23046772814592811</v>
      </c>
      <c r="C2037" s="32">
        <f ca="1">Model!$F$15+RAND()*(Model!$G$15-Model!$F$15)</f>
        <v>3.9346376657293576E-2</v>
      </c>
      <c r="D2037" s="33">
        <f ca="1">Model!$F$16+RAND()*(Model!$G$16-Model!$F$16)</f>
        <v>50.589040406488948</v>
      </c>
      <c r="E2037" s="33">
        <f>Model!$D$17</f>
        <v>800</v>
      </c>
      <c r="G2037" s="36">
        <f t="shared" ca="1" si="34"/>
        <v>2103.7227384914595</v>
      </c>
    </row>
    <row r="2038" spans="1:7" x14ac:dyDescent="0.2">
      <c r="A2038" s="6">
        <f ca="1">Model!$F$13+RAND()*(Model!$G$13-Model!$F$13)</f>
        <v>1451.28850940336</v>
      </c>
      <c r="B2038" s="31">
        <f ca="1">Model!$F$14+RAND()*(Model!$G$14-Model!$F$14)</f>
        <v>0.7957944059333526</v>
      </c>
      <c r="C2038" s="32">
        <f ca="1">Model!$F$15+RAND()*(Model!$G$15-Model!$F$15)</f>
        <v>2.1823670879224752E-2</v>
      </c>
      <c r="D2038" s="33">
        <f ca="1">Model!$F$16+RAND()*(Model!$G$16-Model!$F$16)</f>
        <v>47.66296103208601</v>
      </c>
      <c r="E2038" s="33">
        <f>Model!$D$17</f>
        <v>800</v>
      </c>
      <c r="G2038" s="36">
        <f t="shared" ca="1" si="34"/>
        <v>-445.32487116349944</v>
      </c>
    </row>
    <row r="2039" spans="1:7" x14ac:dyDescent="0.2">
      <c r="A2039" s="6">
        <f ca="1">Model!$F$13+RAND()*(Model!$G$13-Model!$F$13)</f>
        <v>1218.4766075444334</v>
      </c>
      <c r="B2039" s="31">
        <f ca="1">Model!$F$14+RAND()*(Model!$G$14-Model!$F$14)</f>
        <v>0.65929483778808484</v>
      </c>
      <c r="C2039" s="32">
        <f ca="1">Model!$F$15+RAND()*(Model!$G$15-Model!$F$15)</f>
        <v>4.1094052611471497E-2</v>
      </c>
      <c r="D2039" s="33">
        <f ca="1">Model!$F$16+RAND()*(Model!$G$16-Model!$F$16)</f>
        <v>50.539200813467922</v>
      </c>
      <c r="E2039" s="33">
        <f>Model!$D$17</f>
        <v>800</v>
      </c>
      <c r="G2039" s="36">
        <f t="shared" ca="1" si="34"/>
        <v>927.27069309374792</v>
      </c>
    </row>
    <row r="2040" spans="1:7" x14ac:dyDescent="0.2">
      <c r="A2040" s="6">
        <f ca="1">Model!$F$13+RAND()*(Model!$G$13-Model!$F$13)</f>
        <v>1785.1209285756936</v>
      </c>
      <c r="B2040" s="31">
        <f ca="1">Model!$F$14+RAND()*(Model!$G$14-Model!$F$14)</f>
        <v>0.76188310499731338</v>
      </c>
      <c r="C2040" s="32">
        <f ca="1">Model!$F$15+RAND()*(Model!$G$15-Model!$F$15)</f>
        <v>3.8328126103312425E-2</v>
      </c>
      <c r="D2040" s="33">
        <f ca="1">Model!$F$16+RAND()*(Model!$G$16-Model!$F$16)</f>
        <v>49.095722166064867</v>
      </c>
      <c r="E2040" s="33">
        <f>Model!$D$17</f>
        <v>800</v>
      </c>
      <c r="G2040" s="36">
        <f t="shared" ca="1" si="34"/>
        <v>1199.0925302399687</v>
      </c>
    </row>
    <row r="2041" spans="1:7" x14ac:dyDescent="0.2">
      <c r="A2041" s="6">
        <f ca="1">Model!$F$13+RAND()*(Model!$G$13-Model!$F$13)</f>
        <v>1316.4075986305161</v>
      </c>
      <c r="B2041" s="31">
        <f ca="1">Model!$F$14+RAND()*(Model!$G$14-Model!$F$14)</f>
        <v>0.48400409385133675</v>
      </c>
      <c r="C2041" s="32">
        <f ca="1">Model!$F$15+RAND()*(Model!$G$15-Model!$F$15)</f>
        <v>3.4831476209877442E-2</v>
      </c>
      <c r="D2041" s="33">
        <f ca="1">Model!$F$16+RAND()*(Model!$G$16-Model!$F$16)</f>
        <v>47.899742132423384</v>
      </c>
      <c r="E2041" s="33">
        <f>Model!$D$17</f>
        <v>800</v>
      </c>
      <c r="G2041" s="36">
        <f t="shared" ca="1" si="34"/>
        <v>759.17242503962166</v>
      </c>
    </row>
    <row r="2042" spans="1:7" x14ac:dyDescent="0.2">
      <c r="A2042" s="6">
        <f ca="1">Model!$F$13+RAND()*(Model!$G$13-Model!$F$13)</f>
        <v>1584.752215228654</v>
      </c>
      <c r="B2042" s="31">
        <f ca="1">Model!$F$14+RAND()*(Model!$G$14-Model!$F$14)</f>
        <v>0.74535113944802589</v>
      </c>
      <c r="C2042" s="32">
        <f ca="1">Model!$F$15+RAND()*(Model!$G$15-Model!$F$15)</f>
        <v>2.9347846976099545E-2</v>
      </c>
      <c r="D2042" s="33">
        <f ca="1">Model!$F$16+RAND()*(Model!$G$16-Model!$F$16)</f>
        <v>49.056540476797188</v>
      </c>
      <c r="E2042" s="33">
        <f>Model!$D$17</f>
        <v>800</v>
      </c>
      <c r="G2042" s="36">
        <f t="shared" ca="1" si="34"/>
        <v>300.37698524642929</v>
      </c>
    </row>
    <row r="2043" spans="1:7" x14ac:dyDescent="0.2">
      <c r="A2043" s="6">
        <f ca="1">Model!$F$13+RAND()*(Model!$G$13-Model!$F$13)</f>
        <v>1398.4935319034741</v>
      </c>
      <c r="B2043" s="31">
        <f ca="1">Model!$F$14+RAND()*(Model!$G$14-Model!$F$14)</f>
        <v>0.50002552545743906</v>
      </c>
      <c r="C2043" s="32">
        <f ca="1">Model!$F$15+RAND()*(Model!$G$15-Model!$F$15)</f>
        <v>4.6917023221175518E-2</v>
      </c>
      <c r="D2043" s="33">
        <f ca="1">Model!$F$16+RAND()*(Model!$G$16-Model!$F$16)</f>
        <v>52.169134443431098</v>
      </c>
      <c r="E2043" s="33">
        <f>Model!$D$17</f>
        <v>800</v>
      </c>
      <c r="G2043" s="36">
        <f t="shared" ca="1" si="34"/>
        <v>1923.6989636328854</v>
      </c>
    </row>
    <row r="2044" spans="1:7" x14ac:dyDescent="0.2">
      <c r="A2044" s="6">
        <f ca="1">Model!$F$13+RAND()*(Model!$G$13-Model!$F$13)</f>
        <v>1336.8595472301242</v>
      </c>
      <c r="B2044" s="31">
        <f ca="1">Model!$F$14+RAND()*(Model!$G$14-Model!$F$14)</f>
        <v>0.69847469282125307</v>
      </c>
      <c r="C2044" s="32">
        <f ca="1">Model!$F$15+RAND()*(Model!$G$15-Model!$F$15)</f>
        <v>4.2174626405099454E-2</v>
      </c>
      <c r="D2044" s="33">
        <f ca="1">Model!$F$16+RAND()*(Model!$G$16-Model!$F$16)</f>
        <v>52.766127742490738</v>
      </c>
      <c r="E2044" s="33">
        <f>Model!$D$17</f>
        <v>800</v>
      </c>
      <c r="G2044" s="36">
        <f t="shared" ca="1" si="34"/>
        <v>1241.2736114720042</v>
      </c>
    </row>
    <row r="2045" spans="1:7" x14ac:dyDescent="0.2">
      <c r="A2045" s="6">
        <f ca="1">Model!$F$13+RAND()*(Model!$G$13-Model!$F$13)</f>
        <v>1200.0619788272886</v>
      </c>
      <c r="B2045" s="31">
        <f ca="1">Model!$F$14+RAND()*(Model!$G$14-Model!$F$14)</f>
        <v>0.65811297679823788</v>
      </c>
      <c r="C2045" s="32">
        <f ca="1">Model!$F$15+RAND()*(Model!$G$15-Model!$F$15)</f>
        <v>4.0880903276309992E-2</v>
      </c>
      <c r="D2045" s="33">
        <f ca="1">Model!$F$16+RAND()*(Model!$G$16-Model!$F$16)</f>
        <v>52.552810262561593</v>
      </c>
      <c r="E2045" s="33">
        <f>Model!$D$17</f>
        <v>800</v>
      </c>
      <c r="G2045" s="36">
        <f t="shared" ca="1" si="34"/>
        <v>988.4444183683645</v>
      </c>
    </row>
    <row r="2046" spans="1:7" x14ac:dyDescent="0.2">
      <c r="A2046" s="6">
        <f ca="1">Model!$F$13+RAND()*(Model!$G$13-Model!$F$13)</f>
        <v>1767.7328303836682</v>
      </c>
      <c r="B2046" s="31">
        <f ca="1">Model!$F$14+RAND()*(Model!$G$14-Model!$F$14)</f>
        <v>0.49350711079335052</v>
      </c>
      <c r="C2046" s="32">
        <f ca="1">Model!$F$15+RAND()*(Model!$G$15-Model!$F$15)</f>
        <v>4.1277205931587756E-2</v>
      </c>
      <c r="D2046" s="33">
        <f ca="1">Model!$F$16+RAND()*(Model!$G$16-Model!$F$16)</f>
        <v>48.78150489725148</v>
      </c>
      <c r="E2046" s="33">
        <f>Model!$D$17</f>
        <v>800</v>
      </c>
      <c r="G2046" s="36">
        <f t="shared" ca="1" si="34"/>
        <v>1887.0548618302055</v>
      </c>
    </row>
    <row r="2047" spans="1:7" x14ac:dyDescent="0.2">
      <c r="A2047" s="6">
        <f ca="1">Model!$F$13+RAND()*(Model!$G$13-Model!$F$13)</f>
        <v>1662.9166680911378</v>
      </c>
      <c r="B2047" s="31">
        <f ca="1">Model!$F$14+RAND()*(Model!$G$14-Model!$F$14)</f>
        <v>0.70138126704989112</v>
      </c>
      <c r="C2047" s="32">
        <f ca="1">Model!$F$15+RAND()*(Model!$G$15-Model!$F$15)</f>
        <v>1.4518027795128324E-2</v>
      </c>
      <c r="D2047" s="33">
        <f ca="1">Model!$F$16+RAND()*(Model!$G$16-Model!$F$16)</f>
        <v>47.051399574650297</v>
      </c>
      <c r="E2047" s="33">
        <f>Model!$D$17</f>
        <v>800</v>
      </c>
      <c r="G2047" s="36">
        <f t="shared" ca="1" si="34"/>
        <v>-830.41098804258672</v>
      </c>
    </row>
    <row r="2048" spans="1:7" x14ac:dyDescent="0.2">
      <c r="A2048" s="6">
        <f ca="1">Model!$F$13+RAND()*(Model!$G$13-Model!$F$13)</f>
        <v>1566.45353425692</v>
      </c>
      <c r="B2048" s="31">
        <f ca="1">Model!$F$14+RAND()*(Model!$G$14-Model!$F$14)</f>
        <v>0.71152690716238509</v>
      </c>
      <c r="C2048" s="32">
        <f ca="1">Model!$F$15+RAND()*(Model!$G$15-Model!$F$15)</f>
        <v>1.7122251531603405E-2</v>
      </c>
      <c r="D2048" s="33">
        <f ca="1">Model!$F$16+RAND()*(Model!$G$16-Model!$F$16)</f>
        <v>47.071724275045057</v>
      </c>
      <c r="E2048" s="33">
        <f>Model!$D$17</f>
        <v>800</v>
      </c>
      <c r="G2048" s="36">
        <f t="shared" ca="1" si="34"/>
        <v>-652.05316947058782</v>
      </c>
    </row>
    <row r="2049" spans="1:7" x14ac:dyDescent="0.2">
      <c r="A2049" s="6">
        <f ca="1">Model!$F$13+RAND()*(Model!$G$13-Model!$F$13)</f>
        <v>1777.1622104114967</v>
      </c>
      <c r="B2049" s="31">
        <f ca="1">Model!$F$14+RAND()*(Model!$G$14-Model!$F$14)</f>
        <v>0.27048625648002789</v>
      </c>
      <c r="C2049" s="32">
        <f ca="1">Model!$F$15+RAND()*(Model!$G$15-Model!$F$15)</f>
        <v>3.8715080200162455E-2</v>
      </c>
      <c r="D2049" s="33">
        <f ca="1">Model!$F$16+RAND()*(Model!$G$16-Model!$F$16)</f>
        <v>50.048535317820004</v>
      </c>
      <c r="E2049" s="33">
        <f>Model!$D$17</f>
        <v>800</v>
      </c>
      <c r="G2049" s="36">
        <f t="shared" ca="1" si="34"/>
        <v>2162.7902961671339</v>
      </c>
    </row>
    <row r="2050" spans="1:7" x14ac:dyDescent="0.2">
      <c r="A2050" s="6">
        <f ca="1">Model!$F$13+RAND()*(Model!$G$13-Model!$F$13)</f>
        <v>1303.4048917612661</v>
      </c>
      <c r="B2050" s="31">
        <f ca="1">Model!$F$14+RAND()*(Model!$G$14-Model!$F$14)</f>
        <v>0.55878071178578814</v>
      </c>
      <c r="C2050" s="32">
        <f ca="1">Model!$F$15+RAND()*(Model!$G$15-Model!$F$15)</f>
        <v>4.3284156948560436E-2</v>
      </c>
      <c r="D2050" s="33">
        <f ca="1">Model!$F$16+RAND()*(Model!$G$16-Model!$F$16)</f>
        <v>47.753463438967131</v>
      </c>
      <c r="E2050" s="33">
        <f>Model!$D$17</f>
        <v>800</v>
      </c>
      <c r="G2050" s="36">
        <f t="shared" ca="1" si="34"/>
        <v>1165.779218762545</v>
      </c>
    </row>
    <row r="2051" spans="1:7" x14ac:dyDescent="0.2">
      <c r="A2051" s="6">
        <f ca="1">Model!$F$13+RAND()*(Model!$G$13-Model!$F$13)</f>
        <v>1446.8465896194048</v>
      </c>
      <c r="B2051" s="31">
        <f ca="1">Model!$F$14+RAND()*(Model!$G$14-Model!$F$14)</f>
        <v>0.49945888331733945</v>
      </c>
      <c r="C2051" s="32">
        <f ca="1">Model!$F$15+RAND()*(Model!$G$15-Model!$F$15)</f>
        <v>4.1474266947456789E-2</v>
      </c>
      <c r="D2051" s="33">
        <f ca="1">Model!$F$16+RAND()*(Model!$G$16-Model!$F$16)</f>
        <v>52.571346961142964</v>
      </c>
      <c r="E2051" s="33">
        <f>Model!$D$17</f>
        <v>800</v>
      </c>
      <c r="G2051" s="36">
        <f t="shared" ca="1" si="34"/>
        <v>1632.0032668197341</v>
      </c>
    </row>
    <row r="2052" spans="1:7" x14ac:dyDescent="0.2">
      <c r="A2052" s="6">
        <f ca="1">Model!$F$13+RAND()*(Model!$G$13-Model!$F$13)</f>
        <v>1663.3562233899108</v>
      </c>
      <c r="B2052" s="31">
        <f ca="1">Model!$F$14+RAND()*(Model!$G$14-Model!$F$14)</f>
        <v>0.59077294318008433</v>
      </c>
      <c r="C2052" s="32">
        <f ca="1">Model!$F$15+RAND()*(Model!$G$15-Model!$F$15)</f>
        <v>4.3118884082661145E-2</v>
      </c>
      <c r="D2052" s="33">
        <f ca="1">Model!$F$16+RAND()*(Model!$G$16-Model!$F$16)</f>
        <v>48.554945563158647</v>
      </c>
      <c r="E2052" s="33">
        <f>Model!$D$17</f>
        <v>800</v>
      </c>
      <c r="G2052" s="36">
        <f t="shared" ca="1" si="34"/>
        <v>1699.795070507897</v>
      </c>
    </row>
    <row r="2053" spans="1:7" x14ac:dyDescent="0.2">
      <c r="A2053" s="6">
        <f ca="1">Model!$F$13+RAND()*(Model!$G$13-Model!$F$13)</f>
        <v>1533.7662096209563</v>
      </c>
      <c r="B2053" s="31">
        <f ca="1">Model!$F$14+RAND()*(Model!$G$14-Model!$F$14)</f>
        <v>0.25314721991577355</v>
      </c>
      <c r="C2053" s="32">
        <f ca="1">Model!$F$15+RAND()*(Model!$G$15-Model!$F$15)</f>
        <v>2.3844111631147663E-2</v>
      </c>
      <c r="D2053" s="33">
        <f ca="1">Model!$F$16+RAND()*(Model!$G$16-Model!$F$16)</f>
        <v>49.567403009863831</v>
      </c>
      <c r="E2053" s="33">
        <f>Model!$D$17</f>
        <v>800</v>
      </c>
      <c r="G2053" s="36">
        <f t="shared" ca="1" si="34"/>
        <v>624.47535279259796</v>
      </c>
    </row>
    <row r="2054" spans="1:7" x14ac:dyDescent="0.2">
      <c r="A2054" s="6">
        <f ca="1">Model!$F$13+RAND()*(Model!$G$13-Model!$F$13)</f>
        <v>1658.7881452914621</v>
      </c>
      <c r="B2054" s="31">
        <f ca="1">Model!$F$14+RAND()*(Model!$G$14-Model!$F$14)</f>
        <v>0.71891583160911332</v>
      </c>
      <c r="C2054" s="32">
        <f ca="1">Model!$F$15+RAND()*(Model!$G$15-Model!$F$15)</f>
        <v>3.1509867392888691E-2</v>
      </c>
      <c r="D2054" s="33">
        <f ca="1">Model!$F$16+RAND()*(Model!$G$16-Model!$F$16)</f>
        <v>48.423270424142778</v>
      </c>
      <c r="E2054" s="33">
        <f>Model!$D$17</f>
        <v>800</v>
      </c>
      <c r="G2054" s="36">
        <f t="shared" ca="1" si="34"/>
        <v>538.4678574852735</v>
      </c>
    </row>
    <row r="2055" spans="1:7" x14ac:dyDescent="0.2">
      <c r="A2055" s="6">
        <f ca="1">Model!$F$13+RAND()*(Model!$G$13-Model!$F$13)</f>
        <v>1637.5322928331693</v>
      </c>
      <c r="B2055" s="31">
        <f ca="1">Model!$F$14+RAND()*(Model!$G$14-Model!$F$14)</f>
        <v>0.71361652907805184</v>
      </c>
      <c r="C2055" s="32">
        <f ca="1">Model!$F$15+RAND()*(Model!$G$15-Model!$F$15)</f>
        <v>4.4653290196577863E-2</v>
      </c>
      <c r="D2055" s="33">
        <f ca="1">Model!$F$16+RAND()*(Model!$G$16-Model!$F$16)</f>
        <v>52.700310865416206</v>
      </c>
      <c r="E2055" s="33">
        <f>Model!$D$17</f>
        <v>800</v>
      </c>
      <c r="G2055" s="36">
        <f t="shared" ca="1" si="34"/>
        <v>1884.9401063272442</v>
      </c>
    </row>
    <row r="2056" spans="1:7" x14ac:dyDescent="0.2">
      <c r="A2056" s="6">
        <f ca="1">Model!$F$13+RAND()*(Model!$G$13-Model!$F$13)</f>
        <v>1744.752684826429</v>
      </c>
      <c r="B2056" s="31">
        <f ca="1">Model!$F$14+RAND()*(Model!$G$14-Model!$F$14)</f>
        <v>0.76211609933528091</v>
      </c>
      <c r="C2056" s="32">
        <f ca="1">Model!$F$15+RAND()*(Model!$G$15-Model!$F$15)</f>
        <v>1.375984704217411E-2</v>
      </c>
      <c r="D2056" s="33">
        <f ca="1">Model!$F$16+RAND()*(Model!$G$16-Model!$F$16)</f>
        <v>50.313876394222603</v>
      </c>
      <c r="E2056" s="33">
        <f>Model!$D$17</f>
        <v>800</v>
      </c>
      <c r="G2056" s="36">
        <f t="shared" ca="1" si="34"/>
        <v>-921.79221001051542</v>
      </c>
    </row>
    <row r="2057" spans="1:7" x14ac:dyDescent="0.2">
      <c r="A2057" s="6">
        <f ca="1">Model!$F$13+RAND()*(Model!$G$13-Model!$F$13)</f>
        <v>1201.0908070145538</v>
      </c>
      <c r="B2057" s="31">
        <f ca="1">Model!$F$14+RAND()*(Model!$G$14-Model!$F$14)</f>
        <v>0.56072149214083167</v>
      </c>
      <c r="C2057" s="32">
        <f ca="1">Model!$F$15+RAND()*(Model!$G$15-Model!$F$15)</f>
        <v>1.3224769309365643E-2</v>
      </c>
      <c r="D2057" s="33">
        <f ca="1">Model!$F$16+RAND()*(Model!$G$16-Model!$F$16)</f>
        <v>50.01693187369478</v>
      </c>
      <c r="E2057" s="33">
        <f>Model!$D$17</f>
        <v>800</v>
      </c>
      <c r="G2057" s="36">
        <f t="shared" ca="1" si="34"/>
        <v>-679.00103898552425</v>
      </c>
    </row>
    <row r="2058" spans="1:7" x14ac:dyDescent="0.2">
      <c r="A2058" s="6">
        <f ca="1">Model!$F$13+RAND()*(Model!$G$13-Model!$F$13)</f>
        <v>1574.033078673719</v>
      </c>
      <c r="B2058" s="31">
        <f ca="1">Model!$F$14+RAND()*(Model!$G$14-Model!$F$14)</f>
        <v>0.59803488558526219</v>
      </c>
      <c r="C2058" s="32">
        <f ca="1">Model!$F$15+RAND()*(Model!$G$15-Model!$F$15)</f>
        <v>3.0117452146836241E-2</v>
      </c>
      <c r="D2058" s="33">
        <f ca="1">Model!$F$16+RAND()*(Model!$G$16-Model!$F$16)</f>
        <v>51.203107833267396</v>
      </c>
      <c r="E2058" s="33">
        <f>Model!$D$17</f>
        <v>800</v>
      </c>
      <c r="G2058" s="36">
        <f t="shared" ca="1" si="34"/>
        <v>686.00097274917903</v>
      </c>
    </row>
    <row r="2059" spans="1:7" x14ac:dyDescent="0.2">
      <c r="A2059" s="6">
        <f ca="1">Model!$F$13+RAND()*(Model!$G$13-Model!$F$13)</f>
        <v>1619.4036516805268</v>
      </c>
      <c r="B2059" s="31">
        <f ca="1">Model!$F$14+RAND()*(Model!$G$14-Model!$F$14)</f>
        <v>0.62137887501558664</v>
      </c>
      <c r="C2059" s="32">
        <f ca="1">Model!$F$15+RAND()*(Model!$G$15-Model!$F$15)</f>
        <v>2.8423993327149087E-2</v>
      </c>
      <c r="D2059" s="33">
        <f ca="1">Model!$F$16+RAND()*(Model!$G$16-Model!$F$16)</f>
        <v>48.064195532033445</v>
      </c>
      <c r="E2059" s="33">
        <f>Model!$D$17</f>
        <v>800</v>
      </c>
      <c r="G2059" s="36">
        <f t="shared" ca="1" si="34"/>
        <v>406.12778812367105</v>
      </c>
    </row>
    <row r="2060" spans="1:7" x14ac:dyDescent="0.2">
      <c r="A2060" s="6">
        <f ca="1">Model!$F$13+RAND()*(Model!$G$13-Model!$F$13)</f>
        <v>1774.256145008108</v>
      </c>
      <c r="B2060" s="31">
        <f ca="1">Model!$F$14+RAND()*(Model!$G$14-Model!$F$14)</f>
        <v>0.33274840658428428</v>
      </c>
      <c r="C2060" s="32">
        <f ca="1">Model!$F$15+RAND()*(Model!$G$15-Model!$F$15)</f>
        <v>3.6628214225838673E-2</v>
      </c>
      <c r="D2060" s="33">
        <f ca="1">Model!$F$16+RAND()*(Model!$G$16-Model!$F$16)</f>
        <v>48.00442089358107</v>
      </c>
      <c r="E2060" s="33">
        <f>Model!$D$17</f>
        <v>800</v>
      </c>
      <c r="G2060" s="36">
        <f t="shared" ca="1" si="34"/>
        <v>1729.3224393767591</v>
      </c>
    </row>
    <row r="2061" spans="1:7" x14ac:dyDescent="0.2">
      <c r="A2061" s="6">
        <f ca="1">Model!$F$13+RAND()*(Model!$G$13-Model!$F$13)</f>
        <v>1395.1954810738171</v>
      </c>
      <c r="B2061" s="31">
        <f ca="1">Model!$F$14+RAND()*(Model!$G$14-Model!$F$14)</f>
        <v>0.28674296435006874</v>
      </c>
      <c r="C2061" s="32">
        <f ca="1">Model!$F$15+RAND()*(Model!$G$15-Model!$F$15)</f>
        <v>1.4898092703753769E-2</v>
      </c>
      <c r="D2061" s="33">
        <f ca="1">Model!$F$16+RAND()*(Model!$G$16-Model!$F$16)</f>
        <v>50.441236942645446</v>
      </c>
      <c r="E2061" s="33">
        <f>Model!$D$17</f>
        <v>800</v>
      </c>
      <c r="G2061" s="36">
        <f t="shared" ca="1" si="34"/>
        <v>-151.60346575209655</v>
      </c>
    </row>
    <row r="2062" spans="1:7" x14ac:dyDescent="0.2">
      <c r="A2062" s="6">
        <f ca="1">Model!$F$13+RAND()*(Model!$G$13-Model!$F$13)</f>
        <v>1358.945593995426</v>
      </c>
      <c r="B2062" s="31">
        <f ca="1">Model!$F$14+RAND()*(Model!$G$14-Model!$F$14)</f>
        <v>0.21814602286558402</v>
      </c>
      <c r="C2062" s="32">
        <f ca="1">Model!$F$15+RAND()*(Model!$G$15-Model!$F$15)</f>
        <v>1.740694756684814E-2</v>
      </c>
      <c r="D2062" s="33">
        <f ca="1">Model!$F$16+RAND()*(Model!$G$16-Model!$F$16)</f>
        <v>47.97392587660719</v>
      </c>
      <c r="E2062" s="33">
        <f>Model!$D$17</f>
        <v>800</v>
      </c>
      <c r="G2062" s="36">
        <f t="shared" ca="1" si="34"/>
        <v>38.379183163218386</v>
      </c>
    </row>
    <row r="2063" spans="1:7" x14ac:dyDescent="0.2">
      <c r="A2063" s="6">
        <f ca="1">Model!$F$13+RAND()*(Model!$G$13-Model!$F$13)</f>
        <v>1619.0732659687915</v>
      </c>
      <c r="B2063" s="31">
        <f ca="1">Model!$F$14+RAND()*(Model!$G$14-Model!$F$14)</f>
        <v>0.25182983649737867</v>
      </c>
      <c r="C2063" s="32">
        <f ca="1">Model!$F$15+RAND()*(Model!$G$15-Model!$F$15)</f>
        <v>2.0531686444852815E-2</v>
      </c>
      <c r="D2063" s="33">
        <f ca="1">Model!$F$16+RAND()*(Model!$G$16-Model!$F$16)</f>
        <v>49.564017312600022</v>
      </c>
      <c r="E2063" s="33">
        <f>Model!$D$17</f>
        <v>800</v>
      </c>
      <c r="G2063" s="36">
        <f t="shared" ca="1" si="34"/>
        <v>439.8912062524189</v>
      </c>
    </row>
    <row r="2064" spans="1:7" x14ac:dyDescent="0.2">
      <c r="A2064" s="6">
        <f ca="1">Model!$F$13+RAND()*(Model!$G$13-Model!$F$13)</f>
        <v>1287.3282572422111</v>
      </c>
      <c r="B2064" s="31">
        <f ca="1">Model!$F$14+RAND()*(Model!$G$14-Model!$F$14)</f>
        <v>0.41369245023429435</v>
      </c>
      <c r="C2064" s="32">
        <f ca="1">Model!$F$15+RAND()*(Model!$G$15-Model!$F$15)</f>
        <v>2.5442425791820909E-2</v>
      </c>
      <c r="D2064" s="33">
        <f ca="1">Model!$F$16+RAND()*(Model!$G$16-Model!$F$16)</f>
        <v>49.524873295619663</v>
      </c>
      <c r="E2064" s="33">
        <f>Model!$D$17</f>
        <v>800</v>
      </c>
      <c r="G2064" s="36">
        <f t="shared" ca="1" si="34"/>
        <v>289.51799383228945</v>
      </c>
    </row>
    <row r="2065" spans="1:7" x14ac:dyDescent="0.2">
      <c r="A2065" s="6">
        <f ca="1">Model!$F$13+RAND()*(Model!$G$13-Model!$F$13)</f>
        <v>1592.8576236985309</v>
      </c>
      <c r="B2065" s="31">
        <f ca="1">Model!$F$14+RAND()*(Model!$G$14-Model!$F$14)</f>
        <v>0.67857500128774517</v>
      </c>
      <c r="C2065" s="32">
        <f ca="1">Model!$F$15+RAND()*(Model!$G$15-Model!$F$15)</f>
        <v>4.2298657327779966E-2</v>
      </c>
      <c r="D2065" s="33">
        <f ca="1">Model!$F$16+RAND()*(Model!$G$16-Model!$F$16)</f>
        <v>47.267574522054773</v>
      </c>
      <c r="E2065" s="33">
        <f>Model!$D$17</f>
        <v>800</v>
      </c>
      <c r="G2065" s="36">
        <f t="shared" ca="1" si="34"/>
        <v>1303.8143905022105</v>
      </c>
    </row>
    <row r="2066" spans="1:7" x14ac:dyDescent="0.2">
      <c r="A2066" s="6">
        <f ca="1">Model!$F$13+RAND()*(Model!$G$13-Model!$F$13)</f>
        <v>1222.1172731442805</v>
      </c>
      <c r="B2066" s="31">
        <f ca="1">Model!$F$14+RAND()*(Model!$G$14-Model!$F$14)</f>
        <v>0.43832563896174492</v>
      </c>
      <c r="C2066" s="32">
        <f ca="1">Model!$F$15+RAND()*(Model!$G$15-Model!$F$15)</f>
        <v>2.6672459452566168E-2</v>
      </c>
      <c r="D2066" s="33">
        <f ca="1">Model!$F$16+RAND()*(Model!$G$16-Model!$F$16)</f>
        <v>49.32669665584222</v>
      </c>
      <c r="E2066" s="33">
        <f>Model!$D$17</f>
        <v>800</v>
      </c>
      <c r="G2066" s="36">
        <f t="shared" ca="1" si="34"/>
        <v>272.21075219504223</v>
      </c>
    </row>
    <row r="2067" spans="1:7" x14ac:dyDescent="0.2">
      <c r="A2067" s="6">
        <f ca="1">Model!$F$13+RAND()*(Model!$G$13-Model!$F$13)</f>
        <v>1696.3656099872574</v>
      </c>
      <c r="B2067" s="31">
        <f ca="1">Model!$F$14+RAND()*(Model!$G$14-Model!$F$14)</f>
        <v>0.43640825893930335</v>
      </c>
      <c r="C2067" s="32">
        <f ca="1">Model!$F$15+RAND()*(Model!$G$15-Model!$F$15)</f>
        <v>1.3696715889594304E-2</v>
      </c>
      <c r="D2067" s="33">
        <f ca="1">Model!$F$16+RAND()*(Model!$G$16-Model!$F$16)</f>
        <v>52.239163885113953</v>
      </c>
      <c r="E2067" s="33">
        <f>Model!$D$17</f>
        <v>800</v>
      </c>
      <c r="G2067" s="36">
        <f t="shared" ca="1" si="34"/>
        <v>-326.54991027898132</v>
      </c>
    </row>
    <row r="2068" spans="1:7" x14ac:dyDescent="0.2">
      <c r="A2068" s="6">
        <f ca="1">Model!$F$13+RAND()*(Model!$G$13-Model!$F$13)</f>
        <v>1413.74240621176</v>
      </c>
      <c r="B2068" s="31">
        <f ca="1">Model!$F$14+RAND()*(Model!$G$14-Model!$F$14)</f>
        <v>0.3509931294044194</v>
      </c>
      <c r="C2068" s="32">
        <f ca="1">Model!$F$15+RAND()*(Model!$G$15-Model!$F$15)</f>
        <v>4.9462390380593593E-2</v>
      </c>
      <c r="D2068" s="33">
        <f ca="1">Model!$F$16+RAND()*(Model!$G$16-Model!$F$16)</f>
        <v>47.83252171987958</v>
      </c>
      <c r="E2068" s="33">
        <f>Model!$D$17</f>
        <v>800</v>
      </c>
      <c r="G2068" s="36">
        <f t="shared" ca="1" si="34"/>
        <v>2048.5746438767942</v>
      </c>
    </row>
    <row r="2069" spans="1:7" x14ac:dyDescent="0.2">
      <c r="A2069" s="6">
        <f ca="1">Model!$F$13+RAND()*(Model!$G$13-Model!$F$13)</f>
        <v>1273.46375866479</v>
      </c>
      <c r="B2069" s="31">
        <f ca="1">Model!$F$14+RAND()*(Model!$G$14-Model!$F$14)</f>
        <v>0.60647924185565105</v>
      </c>
      <c r="C2069" s="32">
        <f ca="1">Model!$F$15+RAND()*(Model!$G$15-Model!$F$15)</f>
        <v>4.9323090410433278E-2</v>
      </c>
      <c r="D2069" s="33">
        <f ca="1">Model!$F$16+RAND()*(Model!$G$16-Model!$F$16)</f>
        <v>48.902593824652548</v>
      </c>
      <c r="E2069" s="33">
        <f>Model!$D$17</f>
        <v>800</v>
      </c>
      <c r="G2069" s="36">
        <f t="shared" ca="1" si="34"/>
        <v>1499.2997065089558</v>
      </c>
    </row>
    <row r="2070" spans="1:7" x14ac:dyDescent="0.2">
      <c r="A2070" s="6">
        <f ca="1">Model!$F$13+RAND()*(Model!$G$13-Model!$F$13)</f>
        <v>1771.8439548528586</v>
      </c>
      <c r="B2070" s="31">
        <f ca="1">Model!$F$14+RAND()*(Model!$G$14-Model!$F$14)</f>
        <v>0.66263020453456822</v>
      </c>
      <c r="C2070" s="32">
        <f ca="1">Model!$F$15+RAND()*(Model!$G$15-Model!$F$15)</f>
        <v>2.6760734620929386E-2</v>
      </c>
      <c r="D2070" s="33">
        <f ca="1">Model!$F$16+RAND()*(Model!$G$16-Model!$F$16)</f>
        <v>47.760183404365691</v>
      </c>
      <c r="E2070" s="33">
        <f>Model!$D$17</f>
        <v>800</v>
      </c>
      <c r="G2070" s="36">
        <f t="shared" ca="1" si="34"/>
        <v>290.51217260265935</v>
      </c>
    </row>
    <row r="2071" spans="1:7" x14ac:dyDescent="0.2">
      <c r="A2071" s="6">
        <f ca="1">Model!$F$13+RAND()*(Model!$G$13-Model!$F$13)</f>
        <v>1282.7869165766392</v>
      </c>
      <c r="B2071" s="31">
        <f ca="1">Model!$F$14+RAND()*(Model!$G$14-Model!$F$14)</f>
        <v>0.76072171309095271</v>
      </c>
      <c r="C2071" s="32">
        <f ca="1">Model!$F$15+RAND()*(Model!$G$15-Model!$F$15)</f>
        <v>4.852350137831505E-2</v>
      </c>
      <c r="D2071" s="33">
        <f ca="1">Model!$F$16+RAND()*(Model!$G$16-Model!$F$16)</f>
        <v>51.356286650525377</v>
      </c>
      <c r="E2071" s="33">
        <f>Model!$D$17</f>
        <v>800</v>
      </c>
      <c r="G2071" s="36">
        <f t="shared" ca="1" si="34"/>
        <v>1420.8442617132887</v>
      </c>
    </row>
    <row r="2072" spans="1:7" x14ac:dyDescent="0.2">
      <c r="A2072" s="6">
        <f ca="1">Model!$F$13+RAND()*(Model!$G$13-Model!$F$13)</f>
        <v>1716.8101728394929</v>
      </c>
      <c r="B2072" s="31">
        <f ca="1">Model!$F$14+RAND()*(Model!$G$14-Model!$F$14)</f>
        <v>0.64584374000592426</v>
      </c>
      <c r="C2072" s="32">
        <f ca="1">Model!$F$15+RAND()*(Model!$G$15-Model!$F$15)</f>
        <v>3.5894941868182921E-2</v>
      </c>
      <c r="D2072" s="33">
        <f ca="1">Model!$F$16+RAND()*(Model!$G$16-Model!$F$16)</f>
        <v>50.361955256005167</v>
      </c>
      <c r="E2072" s="33">
        <f>Model!$D$17</f>
        <v>800</v>
      </c>
      <c r="G2072" s="36">
        <f t="shared" ca="1" si="34"/>
        <v>1194.7543854819708</v>
      </c>
    </row>
    <row r="2073" spans="1:7" x14ac:dyDescent="0.2">
      <c r="A2073" s="6">
        <f ca="1">Model!$F$13+RAND()*(Model!$G$13-Model!$F$13)</f>
        <v>1589.362115209889</v>
      </c>
      <c r="B2073" s="31">
        <f ca="1">Model!$F$14+RAND()*(Model!$G$14-Model!$F$14)</f>
        <v>0.34827126924393936</v>
      </c>
      <c r="C2073" s="32">
        <f ca="1">Model!$F$15+RAND()*(Model!$G$15-Model!$F$15)</f>
        <v>1.3043605863710912E-2</v>
      </c>
      <c r="D2073" s="33">
        <f ca="1">Model!$F$16+RAND()*(Model!$G$16-Model!$F$16)</f>
        <v>48.241540354397877</v>
      </c>
      <c r="E2073" s="33">
        <f>Model!$D$17</f>
        <v>800</v>
      </c>
      <c r="G2073" s="36">
        <f t="shared" ca="1" si="34"/>
        <v>-353.43316065944123</v>
      </c>
    </row>
    <row r="2074" spans="1:7" x14ac:dyDescent="0.2">
      <c r="A2074" s="6">
        <f ca="1">Model!$F$13+RAND()*(Model!$G$13-Model!$F$13)</f>
        <v>1427.2931558246946</v>
      </c>
      <c r="B2074" s="31">
        <f ca="1">Model!$F$14+RAND()*(Model!$G$14-Model!$F$14)</f>
        <v>0.32819875158093248</v>
      </c>
      <c r="C2074" s="32">
        <f ca="1">Model!$F$15+RAND()*(Model!$G$15-Model!$F$15)</f>
        <v>2.8311791278862554E-2</v>
      </c>
      <c r="D2074" s="33">
        <f ca="1">Model!$F$16+RAND()*(Model!$G$16-Model!$F$16)</f>
        <v>47.189929723648184</v>
      </c>
      <c r="E2074" s="33">
        <f>Model!$D$17</f>
        <v>800</v>
      </c>
      <c r="G2074" s="36">
        <f t="shared" ca="1" si="34"/>
        <v>638.47269953894215</v>
      </c>
    </row>
    <row r="2075" spans="1:7" x14ac:dyDescent="0.2">
      <c r="A2075" s="6">
        <f ca="1">Model!$F$13+RAND()*(Model!$G$13-Model!$F$13)</f>
        <v>1524.87053242296</v>
      </c>
      <c r="B2075" s="31">
        <f ca="1">Model!$F$14+RAND()*(Model!$G$14-Model!$F$14)</f>
        <v>0.60517171850271767</v>
      </c>
      <c r="C2075" s="32">
        <f ca="1">Model!$F$15+RAND()*(Model!$G$15-Model!$F$15)</f>
        <v>4.3291395335953921E-2</v>
      </c>
      <c r="D2075" s="33">
        <f ca="1">Model!$F$16+RAND()*(Model!$G$16-Model!$F$16)</f>
        <v>50.988461140920549</v>
      </c>
      <c r="E2075" s="33">
        <f>Model!$D$17</f>
        <v>800</v>
      </c>
      <c r="G2075" s="36">
        <f t="shared" ca="1" si="34"/>
        <v>1643.1321815935694</v>
      </c>
    </row>
    <row r="2076" spans="1:7" x14ac:dyDescent="0.2">
      <c r="A2076" s="6">
        <f ca="1">Model!$F$13+RAND()*(Model!$G$13-Model!$F$13)</f>
        <v>1624.8489885048923</v>
      </c>
      <c r="B2076" s="31">
        <f ca="1">Model!$F$14+RAND()*(Model!$G$14-Model!$F$14)</f>
        <v>0.21767485298386577</v>
      </c>
      <c r="C2076" s="32">
        <f ca="1">Model!$F$15+RAND()*(Model!$G$15-Model!$F$15)</f>
        <v>1.6035913707813376E-2</v>
      </c>
      <c r="D2076" s="33">
        <f ca="1">Model!$F$16+RAND()*(Model!$G$16-Model!$F$16)</f>
        <v>51.931229523407822</v>
      </c>
      <c r="E2076" s="33">
        <f>Model!$D$17</f>
        <v>800</v>
      </c>
      <c r="G2076" s="36">
        <f t="shared" ca="1" si="34"/>
        <v>199.42814075075194</v>
      </c>
    </row>
    <row r="2077" spans="1:7" x14ac:dyDescent="0.2">
      <c r="A2077" s="6">
        <f ca="1">Model!$F$13+RAND()*(Model!$G$13-Model!$F$13)</f>
        <v>1367.9205970779192</v>
      </c>
      <c r="B2077" s="31">
        <f ca="1">Model!$F$14+RAND()*(Model!$G$14-Model!$F$14)</f>
        <v>0.42189704332012523</v>
      </c>
      <c r="C2077" s="32">
        <f ca="1">Model!$F$15+RAND()*(Model!$G$15-Model!$F$15)</f>
        <v>3.9305844830042104E-2</v>
      </c>
      <c r="D2077" s="33">
        <f ca="1">Model!$F$16+RAND()*(Model!$G$16-Model!$F$16)</f>
        <v>49.023922303928714</v>
      </c>
      <c r="E2077" s="33">
        <f>Model!$D$17</f>
        <v>800</v>
      </c>
      <c r="G2077" s="36">
        <f t="shared" ca="1" si="34"/>
        <v>1258.7610433831994</v>
      </c>
    </row>
    <row r="2078" spans="1:7" x14ac:dyDescent="0.2">
      <c r="A2078" s="6">
        <f ca="1">Model!$F$13+RAND()*(Model!$G$13-Model!$F$13)</f>
        <v>1449.6649575609911</v>
      </c>
      <c r="B2078" s="31">
        <f ca="1">Model!$F$14+RAND()*(Model!$G$14-Model!$F$14)</f>
        <v>0.60290306319665499</v>
      </c>
      <c r="C2078" s="32">
        <f ca="1">Model!$F$15+RAND()*(Model!$G$15-Model!$F$15)</f>
        <v>2.4805359114844813E-2</v>
      </c>
      <c r="D2078" s="33">
        <f ca="1">Model!$F$16+RAND()*(Model!$G$16-Model!$F$16)</f>
        <v>47.520490891320307</v>
      </c>
      <c r="E2078" s="33">
        <f>Model!$D$17</f>
        <v>800</v>
      </c>
      <c r="G2078" s="36">
        <f t="shared" ca="1" si="34"/>
        <v>34.80374161579789</v>
      </c>
    </row>
    <row r="2079" spans="1:7" x14ac:dyDescent="0.2">
      <c r="A2079" s="6">
        <f ca="1">Model!$F$13+RAND()*(Model!$G$13-Model!$F$13)</f>
        <v>1651.8186379692199</v>
      </c>
      <c r="B2079" s="31">
        <f ca="1">Model!$F$14+RAND()*(Model!$G$14-Model!$F$14)</f>
        <v>0.6227618511087144</v>
      </c>
      <c r="C2079" s="32">
        <f ca="1">Model!$F$15+RAND()*(Model!$G$15-Model!$F$15)</f>
        <v>3.5090437902139192E-2</v>
      </c>
      <c r="D2079" s="33">
        <f ca="1">Model!$F$16+RAND()*(Model!$G$16-Model!$F$16)</f>
        <v>51.301861140595989</v>
      </c>
      <c r="E2079" s="33">
        <f>Model!$D$17</f>
        <v>800</v>
      </c>
      <c r="G2079" s="36">
        <f t="shared" ca="1" si="34"/>
        <v>1144.9221628943824</v>
      </c>
    </row>
    <row r="2080" spans="1:7" x14ac:dyDescent="0.2">
      <c r="A2080" s="6">
        <f ca="1">Model!$F$13+RAND()*(Model!$G$13-Model!$F$13)</f>
        <v>1517.5942358281413</v>
      </c>
      <c r="B2080" s="31">
        <f ca="1">Model!$F$14+RAND()*(Model!$G$14-Model!$F$14)</f>
        <v>0.49423991922308502</v>
      </c>
      <c r="C2080" s="32">
        <f ca="1">Model!$F$15+RAND()*(Model!$G$15-Model!$F$15)</f>
        <v>3.3179355538897989E-2</v>
      </c>
      <c r="D2080" s="33">
        <f ca="1">Model!$F$16+RAND()*(Model!$G$16-Model!$F$16)</f>
        <v>52.791157353252004</v>
      </c>
      <c r="E2080" s="33">
        <f>Model!$D$17</f>
        <v>800</v>
      </c>
      <c r="G2080" s="36">
        <f t="shared" ca="1" si="34"/>
        <v>1108.126867575389</v>
      </c>
    </row>
    <row r="2081" spans="1:7" x14ac:dyDescent="0.2">
      <c r="A2081" s="6">
        <f ca="1">Model!$F$13+RAND()*(Model!$G$13-Model!$F$13)</f>
        <v>1789.3473060840047</v>
      </c>
      <c r="B2081" s="31">
        <f ca="1">Model!$F$14+RAND()*(Model!$G$14-Model!$F$14)</f>
        <v>0.34338631391373664</v>
      </c>
      <c r="C2081" s="32">
        <f ca="1">Model!$F$15+RAND()*(Model!$G$15-Model!$F$15)</f>
        <v>1.2626911828151025E-2</v>
      </c>
      <c r="D2081" s="33">
        <f ca="1">Model!$F$16+RAND()*(Model!$G$16-Model!$F$16)</f>
        <v>48.429135402449631</v>
      </c>
      <c r="E2081" s="33">
        <f>Model!$D$17</f>
        <v>800</v>
      </c>
      <c r="G2081" s="36">
        <f t="shared" ca="1" si="34"/>
        <v>-320.23284835391541</v>
      </c>
    </row>
    <row r="2082" spans="1:7" x14ac:dyDescent="0.2">
      <c r="A2082" s="6">
        <f ca="1">Model!$F$13+RAND()*(Model!$G$13-Model!$F$13)</f>
        <v>1686.0275749859911</v>
      </c>
      <c r="B2082" s="31">
        <f ca="1">Model!$F$14+RAND()*(Model!$G$14-Model!$F$14)</f>
        <v>0.27518764269859297</v>
      </c>
      <c r="C2082" s="32">
        <f ca="1">Model!$F$15+RAND()*(Model!$G$15-Model!$F$15)</f>
        <v>3.2931215285643432E-2</v>
      </c>
      <c r="D2082" s="33">
        <f ca="1">Model!$F$16+RAND()*(Model!$G$16-Model!$F$16)</f>
        <v>51.806884318313884</v>
      </c>
      <c r="E2082" s="33">
        <f>Model!$D$17</f>
        <v>800</v>
      </c>
      <c r="G2082" s="36">
        <f t="shared" ca="1" si="34"/>
        <v>1612.4964228458107</v>
      </c>
    </row>
    <row r="2083" spans="1:7" x14ac:dyDescent="0.2">
      <c r="A2083" s="6">
        <f ca="1">Model!$F$13+RAND()*(Model!$G$13-Model!$F$13)</f>
        <v>1301.90109718698</v>
      </c>
      <c r="B2083" s="31">
        <f ca="1">Model!$F$14+RAND()*(Model!$G$14-Model!$F$14)</f>
        <v>0.40015746856267076</v>
      </c>
      <c r="C2083" s="32">
        <f ca="1">Model!$F$15+RAND()*(Model!$G$15-Model!$F$15)</f>
        <v>1.8900972966259682E-2</v>
      </c>
      <c r="D2083" s="33">
        <f ca="1">Model!$F$16+RAND()*(Model!$G$16-Model!$F$16)</f>
        <v>47.040833722294835</v>
      </c>
      <c r="E2083" s="33">
        <f>Model!$D$17</f>
        <v>800</v>
      </c>
      <c r="G2083" s="36">
        <f t="shared" ca="1" si="34"/>
        <v>-163.42236409675547</v>
      </c>
    </row>
    <row r="2084" spans="1:7" x14ac:dyDescent="0.2">
      <c r="A2084" s="6">
        <f ca="1">Model!$F$13+RAND()*(Model!$G$13-Model!$F$13)</f>
        <v>1435.02647293531</v>
      </c>
      <c r="B2084" s="31">
        <f ca="1">Model!$F$14+RAND()*(Model!$G$14-Model!$F$14)</f>
        <v>0.34058775041486383</v>
      </c>
      <c r="C2084" s="32">
        <f ca="1">Model!$F$15+RAND()*(Model!$G$15-Model!$F$15)</f>
        <v>4.624443938095809E-2</v>
      </c>
      <c r="D2084" s="33">
        <f ca="1">Model!$F$16+RAND()*(Model!$G$16-Model!$F$16)</f>
        <v>52.895704014843233</v>
      </c>
      <c r="E2084" s="33">
        <f>Model!$D$17</f>
        <v>800</v>
      </c>
      <c r="G2084" s="36">
        <f t="shared" ca="1" si="34"/>
        <v>2221.5119932785801</v>
      </c>
    </row>
    <row r="2085" spans="1:7" x14ac:dyDescent="0.2">
      <c r="A2085" s="6">
        <f ca="1">Model!$F$13+RAND()*(Model!$G$13-Model!$F$13)</f>
        <v>1388.2104734590032</v>
      </c>
      <c r="B2085" s="31">
        <f ca="1">Model!$F$14+RAND()*(Model!$G$14-Model!$F$14)</f>
        <v>0.63847792000631853</v>
      </c>
      <c r="C2085" s="32">
        <f ca="1">Model!$F$15+RAND()*(Model!$G$15-Model!$F$15)</f>
        <v>2.7043143988944571E-2</v>
      </c>
      <c r="D2085" s="33">
        <f ca="1">Model!$F$16+RAND()*(Model!$G$16-Model!$F$16)</f>
        <v>49.40175385654247</v>
      </c>
      <c r="E2085" s="33">
        <f>Model!$D$17</f>
        <v>800</v>
      </c>
      <c r="G2085" s="36">
        <f t="shared" ca="1" si="34"/>
        <v>168.27794751631041</v>
      </c>
    </row>
    <row r="2086" spans="1:7" x14ac:dyDescent="0.2">
      <c r="A2086" s="6">
        <f ca="1">Model!$F$13+RAND()*(Model!$G$13-Model!$F$13)</f>
        <v>1760.0034287776193</v>
      </c>
      <c r="B2086" s="31">
        <f ca="1">Model!$F$14+RAND()*(Model!$G$14-Model!$F$14)</f>
        <v>0.79196209353743918</v>
      </c>
      <c r="C2086" s="32">
        <f ca="1">Model!$F$15+RAND()*(Model!$G$15-Model!$F$15)</f>
        <v>4.4447763510038395E-2</v>
      </c>
      <c r="D2086" s="33">
        <f ca="1">Model!$F$16+RAND()*(Model!$G$16-Model!$F$16)</f>
        <v>49.797827877579792</v>
      </c>
      <c r="E2086" s="33">
        <f>Model!$D$17</f>
        <v>800</v>
      </c>
      <c r="G2086" s="36">
        <f t="shared" ca="1" si="34"/>
        <v>1701.7392443723329</v>
      </c>
    </row>
    <row r="2087" spans="1:7" x14ac:dyDescent="0.2">
      <c r="A2087" s="6">
        <f ca="1">Model!$F$13+RAND()*(Model!$G$13-Model!$F$13)</f>
        <v>1766.1763384910996</v>
      </c>
      <c r="B2087" s="31">
        <f ca="1">Model!$F$14+RAND()*(Model!$G$14-Model!$F$14)</f>
        <v>0.72938287803489588</v>
      </c>
      <c r="C2087" s="32">
        <f ca="1">Model!$F$15+RAND()*(Model!$G$15-Model!$F$15)</f>
        <v>3.5990683128693135E-2</v>
      </c>
      <c r="D2087" s="33">
        <f ca="1">Model!$F$16+RAND()*(Model!$G$16-Model!$F$16)</f>
        <v>49.127211162955263</v>
      </c>
      <c r="E2087" s="33">
        <f>Model!$D$17</f>
        <v>800</v>
      </c>
      <c r="G2087" s="36">
        <f t="shared" ca="1" si="34"/>
        <v>1034.5962647338388</v>
      </c>
    </row>
    <row r="2088" spans="1:7" x14ac:dyDescent="0.2">
      <c r="A2088" s="6">
        <f ca="1">Model!$F$13+RAND()*(Model!$G$13-Model!$F$13)</f>
        <v>1220.5686427506619</v>
      </c>
      <c r="B2088" s="31">
        <f ca="1">Model!$F$14+RAND()*(Model!$G$14-Model!$F$14)</f>
        <v>0.58867888900822463</v>
      </c>
      <c r="C2088" s="32">
        <f ca="1">Model!$F$15+RAND()*(Model!$G$15-Model!$F$15)</f>
        <v>2.5803570234850727E-2</v>
      </c>
      <c r="D2088" s="33">
        <f ca="1">Model!$F$16+RAND()*(Model!$G$16-Model!$F$16)</f>
        <v>47.007550468607477</v>
      </c>
      <c r="E2088" s="33">
        <f>Model!$D$17</f>
        <v>800</v>
      </c>
      <c r="G2088" s="36">
        <f t="shared" ca="1" si="34"/>
        <v>-38.018841462610681</v>
      </c>
    </row>
    <row r="2089" spans="1:7" x14ac:dyDescent="0.2">
      <c r="A2089" s="6">
        <f ca="1">Model!$F$13+RAND()*(Model!$G$13-Model!$F$13)</f>
        <v>1424.7772750236918</v>
      </c>
      <c r="B2089" s="31">
        <f ca="1">Model!$F$14+RAND()*(Model!$G$14-Model!$F$14)</f>
        <v>0.22536627741368667</v>
      </c>
      <c r="C2089" s="32">
        <f ca="1">Model!$F$15+RAND()*(Model!$G$15-Model!$F$15)</f>
        <v>2.1480865436368971E-2</v>
      </c>
      <c r="D2089" s="33">
        <f ca="1">Model!$F$16+RAND()*(Model!$G$16-Model!$F$16)</f>
        <v>47.841753693729324</v>
      </c>
      <c r="E2089" s="33">
        <f>Model!$D$17</f>
        <v>800</v>
      </c>
      <c r="G2089" s="36">
        <f t="shared" ref="G2089:G2152" ca="1" si="35">A2089*C2089*D2089-(E2089+A2089*B2089)</f>
        <v>343.1215983765569</v>
      </c>
    </row>
    <row r="2090" spans="1:7" x14ac:dyDescent="0.2">
      <c r="A2090" s="6">
        <f ca="1">Model!$F$13+RAND()*(Model!$G$13-Model!$F$13)</f>
        <v>1447.4458132269697</v>
      </c>
      <c r="B2090" s="31">
        <f ca="1">Model!$F$14+RAND()*(Model!$G$14-Model!$F$14)</f>
        <v>0.58803454151696155</v>
      </c>
      <c r="C2090" s="32">
        <f ca="1">Model!$F$15+RAND()*(Model!$G$15-Model!$F$15)</f>
        <v>1.0754297464107655E-2</v>
      </c>
      <c r="D2090" s="33">
        <f ca="1">Model!$F$16+RAND()*(Model!$G$16-Model!$F$16)</f>
        <v>50.24392760272341</v>
      </c>
      <c r="E2090" s="33">
        <f>Model!$D$17</f>
        <v>800</v>
      </c>
      <c r="G2090" s="36">
        <f t="shared" ca="1" si="35"/>
        <v>-869.03795204297762</v>
      </c>
    </row>
    <row r="2091" spans="1:7" x14ac:dyDescent="0.2">
      <c r="A2091" s="6">
        <f ca="1">Model!$F$13+RAND()*(Model!$G$13-Model!$F$13)</f>
        <v>1700.7502204102261</v>
      </c>
      <c r="B2091" s="31">
        <f ca="1">Model!$F$14+RAND()*(Model!$G$14-Model!$F$14)</f>
        <v>0.57562107251566863</v>
      </c>
      <c r="C2091" s="32">
        <f ca="1">Model!$F$15+RAND()*(Model!$G$15-Model!$F$15)</f>
        <v>2.1701929786481944E-2</v>
      </c>
      <c r="D2091" s="33">
        <f ca="1">Model!$F$16+RAND()*(Model!$G$16-Model!$F$16)</f>
        <v>51.990936035179445</v>
      </c>
      <c r="E2091" s="33">
        <f>Model!$D$17</f>
        <v>800</v>
      </c>
      <c r="G2091" s="36">
        <f t="shared" ca="1" si="35"/>
        <v>139.97500419558901</v>
      </c>
    </row>
    <row r="2092" spans="1:7" x14ac:dyDescent="0.2">
      <c r="A2092" s="6">
        <f ca="1">Model!$F$13+RAND()*(Model!$G$13-Model!$F$13)</f>
        <v>1648.4464457661215</v>
      </c>
      <c r="B2092" s="31">
        <f ca="1">Model!$F$14+RAND()*(Model!$G$14-Model!$F$14)</f>
        <v>0.68143655161191141</v>
      </c>
      <c r="C2092" s="32">
        <f ca="1">Model!$F$15+RAND()*(Model!$G$15-Model!$F$15)</f>
        <v>4.0877093701512622E-2</v>
      </c>
      <c r="D2092" s="33">
        <f ca="1">Model!$F$16+RAND()*(Model!$G$16-Model!$F$16)</f>
        <v>52.549638317818847</v>
      </c>
      <c r="E2092" s="33">
        <f>Model!$D$17</f>
        <v>800</v>
      </c>
      <c r="G2092" s="36">
        <f t="shared" ca="1" si="35"/>
        <v>1617.6773928270984</v>
      </c>
    </row>
    <row r="2093" spans="1:7" x14ac:dyDescent="0.2">
      <c r="A2093" s="6">
        <f ca="1">Model!$F$13+RAND()*(Model!$G$13-Model!$F$13)</f>
        <v>1492.9098343967066</v>
      </c>
      <c r="B2093" s="31">
        <f ca="1">Model!$F$14+RAND()*(Model!$G$14-Model!$F$14)</f>
        <v>0.46023621822391075</v>
      </c>
      <c r="C2093" s="32">
        <f ca="1">Model!$F$15+RAND()*(Model!$G$15-Model!$F$15)</f>
        <v>4.7542512278635159E-2</v>
      </c>
      <c r="D2093" s="33">
        <f ca="1">Model!$F$16+RAND()*(Model!$G$16-Model!$F$16)</f>
        <v>47.339626398818091</v>
      </c>
      <c r="E2093" s="33">
        <f>Model!$D$17</f>
        <v>800</v>
      </c>
      <c r="G2093" s="36">
        <f t="shared" ca="1" si="35"/>
        <v>1872.918533536942</v>
      </c>
    </row>
    <row r="2094" spans="1:7" x14ac:dyDescent="0.2">
      <c r="A2094" s="6">
        <f ca="1">Model!$F$13+RAND()*(Model!$G$13-Model!$F$13)</f>
        <v>1571.474785944273</v>
      </c>
      <c r="B2094" s="31">
        <f ca="1">Model!$F$14+RAND()*(Model!$G$14-Model!$F$14)</f>
        <v>0.63720169606428279</v>
      </c>
      <c r="C2094" s="32">
        <f ca="1">Model!$F$15+RAND()*(Model!$G$15-Model!$F$15)</f>
        <v>1.8401440231599935E-2</v>
      </c>
      <c r="D2094" s="33">
        <f ca="1">Model!$F$16+RAND()*(Model!$G$16-Model!$F$16)</f>
        <v>48.848072480422594</v>
      </c>
      <c r="E2094" s="33">
        <f>Model!$D$17</f>
        <v>800</v>
      </c>
      <c r="G2094" s="36">
        <f t="shared" ca="1" si="35"/>
        <v>-388.78717957970002</v>
      </c>
    </row>
    <row r="2095" spans="1:7" x14ac:dyDescent="0.2">
      <c r="A2095" s="6">
        <f ca="1">Model!$F$13+RAND()*(Model!$G$13-Model!$F$13)</f>
        <v>1286.879640790891</v>
      </c>
      <c r="B2095" s="31">
        <f ca="1">Model!$F$14+RAND()*(Model!$G$14-Model!$F$14)</f>
        <v>0.69662043715967104</v>
      </c>
      <c r="C2095" s="32">
        <f ca="1">Model!$F$15+RAND()*(Model!$G$15-Model!$F$15)</f>
        <v>3.4861595879410338E-2</v>
      </c>
      <c r="D2095" s="33">
        <f ca="1">Model!$F$16+RAND()*(Model!$G$16-Model!$F$16)</f>
        <v>51.362176062002632</v>
      </c>
      <c r="E2095" s="33">
        <f>Model!$D$17</f>
        <v>800</v>
      </c>
      <c r="G2095" s="36">
        <f t="shared" ca="1" si="35"/>
        <v>607.77810722036452</v>
      </c>
    </row>
    <row r="2096" spans="1:7" x14ac:dyDescent="0.2">
      <c r="A2096" s="6">
        <f ca="1">Model!$F$13+RAND()*(Model!$G$13-Model!$F$13)</f>
        <v>1454.1591133909931</v>
      </c>
      <c r="B2096" s="31">
        <f ca="1">Model!$F$14+RAND()*(Model!$G$14-Model!$F$14)</f>
        <v>0.23541964919798314</v>
      </c>
      <c r="C2096" s="32">
        <f ca="1">Model!$F$15+RAND()*(Model!$G$15-Model!$F$15)</f>
        <v>4.3564843981428396E-2</v>
      </c>
      <c r="D2096" s="33">
        <f ca="1">Model!$F$16+RAND()*(Model!$G$16-Model!$F$16)</f>
        <v>51.350558907152724</v>
      </c>
      <c r="E2096" s="33">
        <f>Model!$D$17</f>
        <v>800</v>
      </c>
      <c r="G2096" s="36">
        <f t="shared" ca="1" si="35"/>
        <v>2110.7313136019375</v>
      </c>
    </row>
    <row r="2097" spans="1:7" x14ac:dyDescent="0.2">
      <c r="A2097" s="6">
        <f ca="1">Model!$F$13+RAND()*(Model!$G$13-Model!$F$13)</f>
        <v>1314.3362137973481</v>
      </c>
      <c r="B2097" s="31">
        <f ca="1">Model!$F$14+RAND()*(Model!$G$14-Model!$F$14)</f>
        <v>0.2819730766500006</v>
      </c>
      <c r="C2097" s="32">
        <f ca="1">Model!$F$15+RAND()*(Model!$G$15-Model!$F$15)</f>
        <v>1.811364169346073E-2</v>
      </c>
      <c r="D2097" s="33">
        <f ca="1">Model!$F$16+RAND()*(Model!$G$16-Model!$F$16)</f>
        <v>50.313982028942817</v>
      </c>
      <c r="E2097" s="33">
        <f>Model!$D$17</f>
        <v>800</v>
      </c>
      <c r="G2097" s="36">
        <f t="shared" ca="1" si="35"/>
        <v>27.238436657696184</v>
      </c>
    </row>
    <row r="2098" spans="1:7" x14ac:dyDescent="0.2">
      <c r="A2098" s="6">
        <f ca="1">Model!$F$13+RAND()*(Model!$G$13-Model!$F$13)</f>
        <v>1254.6052463856922</v>
      </c>
      <c r="B2098" s="31">
        <f ca="1">Model!$F$14+RAND()*(Model!$G$14-Model!$F$14)</f>
        <v>0.70191272057804044</v>
      </c>
      <c r="C2098" s="32">
        <f ca="1">Model!$F$15+RAND()*(Model!$G$15-Model!$F$15)</f>
        <v>4.4956780522403622E-2</v>
      </c>
      <c r="D2098" s="33">
        <f ca="1">Model!$F$16+RAND()*(Model!$G$16-Model!$F$16)</f>
        <v>47.434749607259768</v>
      </c>
      <c r="E2098" s="33">
        <f>Model!$D$17</f>
        <v>800</v>
      </c>
      <c r="G2098" s="36">
        <f t="shared" ca="1" si="35"/>
        <v>994.8394029681067</v>
      </c>
    </row>
    <row r="2099" spans="1:7" x14ac:dyDescent="0.2">
      <c r="A2099" s="6">
        <f ca="1">Model!$F$13+RAND()*(Model!$G$13-Model!$F$13)</f>
        <v>1332.8200339087696</v>
      </c>
      <c r="B2099" s="31">
        <f ca="1">Model!$F$14+RAND()*(Model!$G$14-Model!$F$14)</f>
        <v>0.39156679938433375</v>
      </c>
      <c r="C2099" s="32">
        <f ca="1">Model!$F$15+RAND()*(Model!$G$15-Model!$F$15)</f>
        <v>4.6065484986679651E-2</v>
      </c>
      <c r="D2099" s="33">
        <f ca="1">Model!$F$16+RAND()*(Model!$G$16-Model!$F$16)</f>
        <v>49.803524575665051</v>
      </c>
      <c r="E2099" s="33">
        <f>Model!$D$17</f>
        <v>800</v>
      </c>
      <c r="G2099" s="36">
        <f t="shared" ca="1" si="35"/>
        <v>1735.8989863896991</v>
      </c>
    </row>
    <row r="2100" spans="1:7" x14ac:dyDescent="0.2">
      <c r="A2100" s="6">
        <f ca="1">Model!$F$13+RAND()*(Model!$G$13-Model!$F$13)</f>
        <v>1582.2766807228102</v>
      </c>
      <c r="B2100" s="31">
        <f ca="1">Model!$F$14+RAND()*(Model!$G$14-Model!$F$14)</f>
        <v>0.53058029579472898</v>
      </c>
      <c r="C2100" s="32">
        <f ca="1">Model!$F$15+RAND()*(Model!$G$15-Model!$F$15)</f>
        <v>2.0476541797754124E-2</v>
      </c>
      <c r="D2100" s="33">
        <f ca="1">Model!$F$16+RAND()*(Model!$G$16-Model!$F$16)</f>
        <v>49.533634714093978</v>
      </c>
      <c r="E2100" s="33">
        <f>Model!$D$17</f>
        <v>800</v>
      </c>
      <c r="G2100" s="36">
        <f t="shared" ca="1" si="35"/>
        <v>-34.657127404258517</v>
      </c>
    </row>
    <row r="2101" spans="1:7" x14ac:dyDescent="0.2">
      <c r="A2101" s="6">
        <f ca="1">Model!$F$13+RAND()*(Model!$G$13-Model!$F$13)</f>
        <v>1509.5819205911607</v>
      </c>
      <c r="B2101" s="31">
        <f ca="1">Model!$F$14+RAND()*(Model!$G$14-Model!$F$14)</f>
        <v>0.54342274039052052</v>
      </c>
      <c r="C2101" s="32">
        <f ca="1">Model!$F$15+RAND()*(Model!$G$15-Model!$F$15)</f>
        <v>1.4396015022829341E-2</v>
      </c>
      <c r="D2101" s="33">
        <f ca="1">Model!$F$16+RAND()*(Model!$G$16-Model!$F$16)</f>
        <v>52.077439591678292</v>
      </c>
      <c r="E2101" s="33">
        <f>Model!$D$17</f>
        <v>800</v>
      </c>
      <c r="G2101" s="36">
        <f t="shared" ca="1" si="35"/>
        <v>-488.59610134742275</v>
      </c>
    </row>
    <row r="2102" spans="1:7" x14ac:dyDescent="0.2">
      <c r="A2102" s="6">
        <f ca="1">Model!$F$13+RAND()*(Model!$G$13-Model!$F$13)</f>
        <v>1780.1197427022676</v>
      </c>
      <c r="B2102" s="31">
        <f ca="1">Model!$F$14+RAND()*(Model!$G$14-Model!$F$14)</f>
        <v>0.41816345910825148</v>
      </c>
      <c r="C2102" s="32">
        <f ca="1">Model!$F$15+RAND()*(Model!$G$15-Model!$F$15)</f>
        <v>3.0532598006918384E-2</v>
      </c>
      <c r="D2102" s="33">
        <f ca="1">Model!$F$16+RAND()*(Model!$G$16-Model!$F$16)</f>
        <v>51.206564265244694</v>
      </c>
      <c r="E2102" s="33">
        <f>Model!$D$17</f>
        <v>800</v>
      </c>
      <c r="G2102" s="36">
        <f t="shared" ca="1" si="35"/>
        <v>1238.7817916271738</v>
      </c>
    </row>
    <row r="2103" spans="1:7" x14ac:dyDescent="0.2">
      <c r="A2103" s="6">
        <f ca="1">Model!$F$13+RAND()*(Model!$G$13-Model!$F$13)</f>
        <v>1769.7855321312559</v>
      </c>
      <c r="B2103" s="31">
        <f ca="1">Model!$F$14+RAND()*(Model!$G$14-Model!$F$14)</f>
        <v>0.3872168702119978</v>
      </c>
      <c r="C2103" s="32">
        <f ca="1">Model!$F$15+RAND()*(Model!$G$15-Model!$F$15)</f>
        <v>2.9156001146370146E-2</v>
      </c>
      <c r="D2103" s="33">
        <f ca="1">Model!$F$16+RAND()*(Model!$G$16-Model!$F$16)</f>
        <v>51.507918806586929</v>
      </c>
      <c r="E2103" s="33">
        <f>Model!$D$17</f>
        <v>800</v>
      </c>
      <c r="G2103" s="36">
        <f t="shared" ca="1" si="35"/>
        <v>1172.5110483720928</v>
      </c>
    </row>
    <row r="2104" spans="1:7" x14ac:dyDescent="0.2">
      <c r="A2104" s="6">
        <f ca="1">Model!$F$13+RAND()*(Model!$G$13-Model!$F$13)</f>
        <v>1656.6865099250181</v>
      </c>
      <c r="B2104" s="31">
        <f ca="1">Model!$F$14+RAND()*(Model!$G$14-Model!$F$14)</f>
        <v>0.50053125442532997</v>
      </c>
      <c r="C2104" s="32">
        <f ca="1">Model!$F$15+RAND()*(Model!$G$15-Model!$F$15)</f>
        <v>2.540156408361419E-2</v>
      </c>
      <c r="D2104" s="33">
        <f ca="1">Model!$F$16+RAND()*(Model!$G$16-Model!$F$16)</f>
        <v>50.503241892853737</v>
      </c>
      <c r="E2104" s="33">
        <f>Model!$D$17</f>
        <v>800</v>
      </c>
      <c r="G2104" s="36">
        <f t="shared" ca="1" si="35"/>
        <v>496.0756914122212</v>
      </c>
    </row>
    <row r="2105" spans="1:7" x14ac:dyDescent="0.2">
      <c r="A2105" s="6">
        <f ca="1">Model!$F$13+RAND()*(Model!$G$13-Model!$F$13)</f>
        <v>1645.4372662359733</v>
      </c>
      <c r="B2105" s="31">
        <f ca="1">Model!$F$14+RAND()*(Model!$G$14-Model!$F$14)</f>
        <v>0.69145417839868739</v>
      </c>
      <c r="C2105" s="32">
        <f ca="1">Model!$F$15+RAND()*(Model!$G$15-Model!$F$15)</f>
        <v>4.067523752185357E-2</v>
      </c>
      <c r="D2105" s="33">
        <f ca="1">Model!$F$16+RAND()*(Model!$G$16-Model!$F$16)</f>
        <v>49.56972351212346</v>
      </c>
      <c r="E2105" s="33">
        <f>Model!$D$17</f>
        <v>800</v>
      </c>
      <c r="G2105" s="36">
        <f t="shared" ca="1" si="35"/>
        <v>1379.8853264064567</v>
      </c>
    </row>
    <row r="2106" spans="1:7" x14ac:dyDescent="0.2">
      <c r="A2106" s="6">
        <f ca="1">Model!$F$13+RAND()*(Model!$G$13-Model!$F$13)</f>
        <v>1349.9793268885246</v>
      </c>
      <c r="B2106" s="31">
        <f ca="1">Model!$F$14+RAND()*(Model!$G$14-Model!$F$14)</f>
        <v>0.67919708811463231</v>
      </c>
      <c r="C2106" s="32">
        <f ca="1">Model!$F$15+RAND()*(Model!$G$15-Model!$F$15)</f>
        <v>3.9538839780667308E-2</v>
      </c>
      <c r="D2106" s="33">
        <f ca="1">Model!$F$16+RAND()*(Model!$G$16-Model!$F$16)</f>
        <v>49.724053753640426</v>
      </c>
      <c r="E2106" s="33">
        <f>Model!$D$17</f>
        <v>800</v>
      </c>
      <c r="G2106" s="36">
        <f t="shared" ca="1" si="35"/>
        <v>937.19971090032254</v>
      </c>
    </row>
    <row r="2107" spans="1:7" x14ac:dyDescent="0.2">
      <c r="A2107" s="6">
        <f ca="1">Model!$F$13+RAND()*(Model!$G$13-Model!$F$13)</f>
        <v>1588.0405839181772</v>
      </c>
      <c r="B2107" s="31">
        <f ca="1">Model!$F$14+RAND()*(Model!$G$14-Model!$F$14)</f>
        <v>0.67063102764374205</v>
      </c>
      <c r="C2107" s="32">
        <f ca="1">Model!$F$15+RAND()*(Model!$G$15-Model!$F$15)</f>
        <v>4.2432099293840397E-2</v>
      </c>
      <c r="D2107" s="33">
        <f ca="1">Model!$F$16+RAND()*(Model!$G$16-Model!$F$16)</f>
        <v>51.183998820047307</v>
      </c>
      <c r="E2107" s="33">
        <f>Model!$D$17</f>
        <v>800</v>
      </c>
      <c r="G2107" s="36">
        <f t="shared" ca="1" si="35"/>
        <v>1583.98795128592</v>
      </c>
    </row>
    <row r="2108" spans="1:7" x14ac:dyDescent="0.2">
      <c r="A2108" s="6">
        <f ca="1">Model!$F$13+RAND()*(Model!$G$13-Model!$F$13)</f>
        <v>1419.4025618993896</v>
      </c>
      <c r="B2108" s="31">
        <f ca="1">Model!$F$14+RAND()*(Model!$G$14-Model!$F$14)</f>
        <v>0.25286044635715788</v>
      </c>
      <c r="C2108" s="32">
        <f ca="1">Model!$F$15+RAND()*(Model!$G$15-Model!$F$15)</f>
        <v>2.5692400633924486E-2</v>
      </c>
      <c r="D2108" s="33">
        <f ca="1">Model!$F$16+RAND()*(Model!$G$16-Model!$F$16)</f>
        <v>49.989690343416292</v>
      </c>
      <c r="E2108" s="33">
        <f>Model!$D$17</f>
        <v>800</v>
      </c>
      <c r="G2108" s="36">
        <f t="shared" ca="1" si="35"/>
        <v>664.10622758899149</v>
      </c>
    </row>
    <row r="2109" spans="1:7" x14ac:dyDescent="0.2">
      <c r="A2109" s="6">
        <f ca="1">Model!$F$13+RAND()*(Model!$G$13-Model!$F$13)</f>
        <v>1249.7994952040199</v>
      </c>
      <c r="B2109" s="31">
        <f ca="1">Model!$F$14+RAND()*(Model!$G$14-Model!$F$14)</f>
        <v>0.70441252432150425</v>
      </c>
      <c r="C2109" s="32">
        <f ca="1">Model!$F$15+RAND()*(Model!$G$15-Model!$F$15)</f>
        <v>2.8211091183269199E-2</v>
      </c>
      <c r="D2109" s="33">
        <f ca="1">Model!$F$16+RAND()*(Model!$G$16-Model!$F$16)</f>
        <v>49.503003748382312</v>
      </c>
      <c r="E2109" s="33">
        <f>Model!$D$17</f>
        <v>800</v>
      </c>
      <c r="G2109" s="36">
        <f t="shared" ca="1" si="35"/>
        <v>65.012761711614758</v>
      </c>
    </row>
    <row r="2110" spans="1:7" x14ac:dyDescent="0.2">
      <c r="A2110" s="6">
        <f ca="1">Model!$F$13+RAND()*(Model!$G$13-Model!$F$13)</f>
        <v>1463.6039939982509</v>
      </c>
      <c r="B2110" s="31">
        <f ca="1">Model!$F$14+RAND()*(Model!$G$14-Model!$F$14)</f>
        <v>0.73283822154545031</v>
      </c>
      <c r="C2110" s="32">
        <f ca="1">Model!$F$15+RAND()*(Model!$G$15-Model!$F$15)</f>
        <v>3.4129993071604463E-2</v>
      </c>
      <c r="D2110" s="33">
        <f ca="1">Model!$F$16+RAND()*(Model!$G$16-Model!$F$16)</f>
        <v>47.716217254229349</v>
      </c>
      <c r="E2110" s="33">
        <f>Model!$D$17</f>
        <v>800</v>
      </c>
      <c r="G2110" s="36">
        <f t="shared" ca="1" si="35"/>
        <v>510.97343128886246</v>
      </c>
    </row>
    <row r="2111" spans="1:7" x14ac:dyDescent="0.2">
      <c r="A2111" s="6">
        <f ca="1">Model!$F$13+RAND()*(Model!$G$13-Model!$F$13)</f>
        <v>1302.227080402678</v>
      </c>
      <c r="B2111" s="31">
        <f ca="1">Model!$F$14+RAND()*(Model!$G$14-Model!$F$14)</f>
        <v>0.63060335724108874</v>
      </c>
      <c r="C2111" s="32">
        <f ca="1">Model!$F$15+RAND()*(Model!$G$15-Model!$F$15)</f>
        <v>4.7313752408045431E-2</v>
      </c>
      <c r="D2111" s="33">
        <f ca="1">Model!$F$16+RAND()*(Model!$G$16-Model!$F$16)</f>
        <v>48.081533344724981</v>
      </c>
      <c r="E2111" s="33">
        <f>Model!$D$17</f>
        <v>800</v>
      </c>
      <c r="G2111" s="36">
        <f t="shared" ca="1" si="35"/>
        <v>1341.2707492708255</v>
      </c>
    </row>
    <row r="2112" spans="1:7" x14ac:dyDescent="0.2">
      <c r="A2112" s="6">
        <f ca="1">Model!$F$13+RAND()*(Model!$G$13-Model!$F$13)</f>
        <v>1252.5495850208385</v>
      </c>
      <c r="B2112" s="31">
        <f ca="1">Model!$F$14+RAND()*(Model!$G$14-Model!$F$14)</f>
        <v>0.53937521402559407</v>
      </c>
      <c r="C2112" s="32">
        <f ca="1">Model!$F$15+RAND()*(Model!$G$15-Model!$F$15)</f>
        <v>3.0147090767925377E-2</v>
      </c>
      <c r="D2112" s="33">
        <f ca="1">Model!$F$16+RAND()*(Model!$G$16-Model!$F$16)</f>
        <v>50.714880556118871</v>
      </c>
      <c r="E2112" s="33">
        <f>Model!$D$17</f>
        <v>800</v>
      </c>
      <c r="G2112" s="36">
        <f t="shared" ca="1" si="35"/>
        <v>439.4365098736987</v>
      </c>
    </row>
    <row r="2113" spans="1:7" x14ac:dyDescent="0.2">
      <c r="A2113" s="6">
        <f ca="1">Model!$F$13+RAND()*(Model!$G$13-Model!$F$13)</f>
        <v>1499.0202829342415</v>
      </c>
      <c r="B2113" s="31">
        <f ca="1">Model!$F$14+RAND()*(Model!$G$14-Model!$F$14)</f>
        <v>0.20437949160609289</v>
      </c>
      <c r="C2113" s="32">
        <f ca="1">Model!$F$15+RAND()*(Model!$G$15-Model!$F$15)</f>
        <v>3.6855418721913752E-2</v>
      </c>
      <c r="D2113" s="33">
        <f ca="1">Model!$F$16+RAND()*(Model!$G$16-Model!$F$16)</f>
        <v>52.705131467655519</v>
      </c>
      <c r="E2113" s="33">
        <f>Model!$D$17</f>
        <v>800</v>
      </c>
      <c r="G2113" s="36">
        <f t="shared" ca="1" si="35"/>
        <v>1805.4324595135481</v>
      </c>
    </row>
    <row r="2114" spans="1:7" x14ac:dyDescent="0.2">
      <c r="A2114" s="6">
        <f ca="1">Model!$F$13+RAND()*(Model!$G$13-Model!$F$13)</f>
        <v>1638.7666054136803</v>
      </c>
      <c r="B2114" s="31">
        <f ca="1">Model!$F$14+RAND()*(Model!$G$14-Model!$F$14)</f>
        <v>0.42286424868996275</v>
      </c>
      <c r="C2114" s="32">
        <f ca="1">Model!$F$15+RAND()*(Model!$G$15-Model!$F$15)</f>
        <v>3.4870537445320718E-2</v>
      </c>
      <c r="D2114" s="33">
        <f ca="1">Model!$F$16+RAND()*(Model!$G$16-Model!$F$16)</f>
        <v>52.963224812463871</v>
      </c>
      <c r="E2114" s="33">
        <f>Model!$D$17</f>
        <v>800</v>
      </c>
      <c r="G2114" s="36">
        <f t="shared" ca="1" si="35"/>
        <v>1533.5903153294207</v>
      </c>
    </row>
    <row r="2115" spans="1:7" x14ac:dyDescent="0.2">
      <c r="A2115" s="6">
        <f ca="1">Model!$F$13+RAND()*(Model!$G$13-Model!$F$13)</f>
        <v>1679.4249719962884</v>
      </c>
      <c r="B2115" s="31">
        <f ca="1">Model!$F$14+RAND()*(Model!$G$14-Model!$F$14)</f>
        <v>0.26970663736078154</v>
      </c>
      <c r="C2115" s="32">
        <f ca="1">Model!$F$15+RAND()*(Model!$G$15-Model!$F$15)</f>
        <v>4.5532686342920903E-2</v>
      </c>
      <c r="D2115" s="33">
        <f ca="1">Model!$F$16+RAND()*(Model!$G$16-Model!$F$16)</f>
        <v>51.655973287222388</v>
      </c>
      <c r="E2115" s="33">
        <f>Model!$D$17</f>
        <v>800</v>
      </c>
      <c r="G2115" s="36">
        <f t="shared" ca="1" si="35"/>
        <v>2697.1146374151886</v>
      </c>
    </row>
    <row r="2116" spans="1:7" x14ac:dyDescent="0.2">
      <c r="A2116" s="6">
        <f ca="1">Model!$F$13+RAND()*(Model!$G$13-Model!$F$13)</f>
        <v>1214.3825382525806</v>
      </c>
      <c r="B2116" s="31">
        <f ca="1">Model!$F$14+RAND()*(Model!$G$14-Model!$F$14)</f>
        <v>0.64353248485959047</v>
      </c>
      <c r="C2116" s="32">
        <f ca="1">Model!$F$15+RAND()*(Model!$G$15-Model!$F$15)</f>
        <v>2.0462129104329728E-2</v>
      </c>
      <c r="D2116" s="33">
        <f ca="1">Model!$F$16+RAND()*(Model!$G$16-Model!$F$16)</f>
        <v>52.516989310972065</v>
      </c>
      <c r="E2116" s="33">
        <f>Model!$D$17</f>
        <v>800</v>
      </c>
      <c r="G2116" s="36">
        <f t="shared" ca="1" si="35"/>
        <v>-276.50770284528312</v>
      </c>
    </row>
    <row r="2117" spans="1:7" x14ac:dyDescent="0.2">
      <c r="A2117" s="6">
        <f ca="1">Model!$F$13+RAND()*(Model!$G$13-Model!$F$13)</f>
        <v>1640.4628239458232</v>
      </c>
      <c r="B2117" s="31">
        <f ca="1">Model!$F$14+RAND()*(Model!$G$14-Model!$F$14)</f>
        <v>0.58004556895660209</v>
      </c>
      <c r="C2117" s="32">
        <f ca="1">Model!$F$15+RAND()*(Model!$G$15-Model!$F$15)</f>
        <v>2.7264798578051412E-2</v>
      </c>
      <c r="D2117" s="33">
        <f ca="1">Model!$F$16+RAND()*(Model!$G$16-Model!$F$16)</f>
        <v>50.600856107188477</v>
      </c>
      <c r="E2117" s="33">
        <f>Model!$D$17</f>
        <v>800</v>
      </c>
      <c r="G2117" s="36">
        <f t="shared" ca="1" si="35"/>
        <v>511.67565550794052</v>
      </c>
    </row>
    <row r="2118" spans="1:7" x14ac:dyDescent="0.2">
      <c r="A2118" s="6">
        <f ca="1">Model!$F$13+RAND()*(Model!$G$13-Model!$F$13)</f>
        <v>1211.3261887478752</v>
      </c>
      <c r="B2118" s="31">
        <f ca="1">Model!$F$14+RAND()*(Model!$G$14-Model!$F$14)</f>
        <v>0.76391503967280983</v>
      </c>
      <c r="C2118" s="32">
        <f ca="1">Model!$F$15+RAND()*(Model!$G$15-Model!$F$15)</f>
        <v>4.6037563993937602E-2</v>
      </c>
      <c r="D2118" s="33">
        <f ca="1">Model!$F$16+RAND()*(Model!$G$16-Model!$F$16)</f>
        <v>49.512617238216336</v>
      </c>
      <c r="E2118" s="33">
        <f>Model!$D$17</f>
        <v>800</v>
      </c>
      <c r="G2118" s="36">
        <f t="shared" ca="1" si="35"/>
        <v>1035.7954189030434</v>
      </c>
    </row>
    <row r="2119" spans="1:7" x14ac:dyDescent="0.2">
      <c r="A2119" s="6">
        <f ca="1">Model!$F$13+RAND()*(Model!$G$13-Model!$F$13)</f>
        <v>1563.2761981952676</v>
      </c>
      <c r="B2119" s="31">
        <f ca="1">Model!$F$14+RAND()*(Model!$G$14-Model!$F$14)</f>
        <v>0.68107474955671832</v>
      </c>
      <c r="C2119" s="32">
        <f ca="1">Model!$F$15+RAND()*(Model!$G$15-Model!$F$15)</f>
        <v>1.0596252116441609E-2</v>
      </c>
      <c r="D2119" s="33">
        <f ca="1">Model!$F$16+RAND()*(Model!$G$16-Model!$F$16)</f>
        <v>52.982084376523524</v>
      </c>
      <c r="E2119" s="33">
        <f>Model!$D$17</f>
        <v>800</v>
      </c>
      <c r="G2119" s="36">
        <f t="shared" ca="1" si="35"/>
        <v>-987.06667276821395</v>
      </c>
    </row>
    <row r="2120" spans="1:7" x14ac:dyDescent="0.2">
      <c r="A2120" s="6">
        <f ca="1">Model!$F$13+RAND()*(Model!$G$13-Model!$F$13)</f>
        <v>1697.2516382880444</v>
      </c>
      <c r="B2120" s="31">
        <f ca="1">Model!$F$14+RAND()*(Model!$G$14-Model!$F$14)</f>
        <v>0.62646390724508016</v>
      </c>
      <c r="C2120" s="32">
        <f ca="1">Model!$F$15+RAND()*(Model!$G$15-Model!$F$15)</f>
        <v>2.0900431251767444E-2</v>
      </c>
      <c r="D2120" s="33">
        <f ca="1">Model!$F$16+RAND()*(Model!$G$16-Model!$F$16)</f>
        <v>50.652840326901241</v>
      </c>
      <c r="E2120" s="33">
        <f>Model!$D$17</f>
        <v>800</v>
      </c>
      <c r="G2120" s="36">
        <f t="shared" ca="1" si="35"/>
        <v>-66.443938738429551</v>
      </c>
    </row>
    <row r="2121" spans="1:7" x14ac:dyDescent="0.2">
      <c r="A2121" s="6">
        <f ca="1">Model!$F$13+RAND()*(Model!$G$13-Model!$F$13)</f>
        <v>1431.6883337075681</v>
      </c>
      <c r="B2121" s="31">
        <f ca="1">Model!$F$14+RAND()*(Model!$G$14-Model!$F$14)</f>
        <v>0.6014005079393917</v>
      </c>
      <c r="C2121" s="32">
        <f ca="1">Model!$F$15+RAND()*(Model!$G$15-Model!$F$15)</f>
        <v>4.9277227518182656E-2</v>
      </c>
      <c r="D2121" s="33">
        <f ca="1">Model!$F$16+RAND()*(Model!$G$16-Model!$F$16)</f>
        <v>49.50775464996606</v>
      </c>
      <c r="E2121" s="33">
        <f>Model!$D$17</f>
        <v>800</v>
      </c>
      <c r="G2121" s="36">
        <f t="shared" ca="1" si="35"/>
        <v>1831.7357684810281</v>
      </c>
    </row>
    <row r="2122" spans="1:7" x14ac:dyDescent="0.2">
      <c r="A2122" s="6">
        <f ca="1">Model!$F$13+RAND()*(Model!$G$13-Model!$F$13)</f>
        <v>1341.0957371463433</v>
      </c>
      <c r="B2122" s="31">
        <f ca="1">Model!$F$14+RAND()*(Model!$G$14-Model!$F$14)</f>
        <v>0.63654857917962326</v>
      </c>
      <c r="C2122" s="32">
        <f ca="1">Model!$F$15+RAND()*(Model!$G$15-Model!$F$15)</f>
        <v>3.5744212029902578E-2</v>
      </c>
      <c r="D2122" s="33">
        <f ca="1">Model!$F$16+RAND()*(Model!$G$16-Model!$F$16)</f>
        <v>48.074721603725123</v>
      </c>
      <c r="E2122" s="33">
        <f>Model!$D$17</f>
        <v>800</v>
      </c>
      <c r="G2122" s="36">
        <f t="shared" ca="1" si="35"/>
        <v>650.85699772209114</v>
      </c>
    </row>
    <row r="2123" spans="1:7" x14ac:dyDescent="0.2">
      <c r="A2123" s="6">
        <f ca="1">Model!$F$13+RAND()*(Model!$G$13-Model!$F$13)</f>
        <v>1686.2657022932513</v>
      </c>
      <c r="B2123" s="31">
        <f ca="1">Model!$F$14+RAND()*(Model!$G$14-Model!$F$14)</f>
        <v>0.24465119152086662</v>
      </c>
      <c r="C2123" s="32">
        <f ca="1">Model!$F$15+RAND()*(Model!$G$15-Model!$F$15)</f>
        <v>1.2569929236972643E-2</v>
      </c>
      <c r="D2123" s="33">
        <f ca="1">Model!$F$16+RAND()*(Model!$G$16-Model!$F$16)</f>
        <v>49.30914866367997</v>
      </c>
      <c r="E2123" s="33">
        <f>Model!$D$17</f>
        <v>800</v>
      </c>
      <c r="G2123" s="36">
        <f t="shared" ca="1" si="35"/>
        <v>-167.37833676950459</v>
      </c>
    </row>
    <row r="2124" spans="1:7" x14ac:dyDescent="0.2">
      <c r="A2124" s="6">
        <f ca="1">Model!$F$13+RAND()*(Model!$G$13-Model!$F$13)</f>
        <v>1728.7072245402433</v>
      </c>
      <c r="B2124" s="31">
        <f ca="1">Model!$F$14+RAND()*(Model!$G$14-Model!$F$14)</f>
        <v>0.44952419160144697</v>
      </c>
      <c r="C2124" s="32">
        <f ca="1">Model!$F$15+RAND()*(Model!$G$15-Model!$F$15)</f>
        <v>2.2818699572638816E-2</v>
      </c>
      <c r="D2124" s="33">
        <f ca="1">Model!$F$16+RAND()*(Model!$G$16-Model!$F$16)</f>
        <v>47.139437416120948</v>
      </c>
      <c r="E2124" s="33">
        <f>Model!$D$17</f>
        <v>800</v>
      </c>
      <c r="G2124" s="36">
        <f t="shared" ca="1" si="35"/>
        <v>282.40663719764188</v>
      </c>
    </row>
    <row r="2125" spans="1:7" x14ac:dyDescent="0.2">
      <c r="A2125" s="6">
        <f ca="1">Model!$F$13+RAND()*(Model!$G$13-Model!$F$13)</f>
        <v>1391.9648707182835</v>
      </c>
      <c r="B2125" s="31">
        <f ca="1">Model!$F$14+RAND()*(Model!$G$14-Model!$F$14)</f>
        <v>0.34820133638347595</v>
      </c>
      <c r="C2125" s="32">
        <f ca="1">Model!$F$15+RAND()*(Model!$G$15-Model!$F$15)</f>
        <v>3.3078633069581517E-2</v>
      </c>
      <c r="D2125" s="33">
        <f ca="1">Model!$F$16+RAND()*(Model!$G$16-Model!$F$16)</f>
        <v>51.465492385887025</v>
      </c>
      <c r="E2125" s="33">
        <f>Model!$D$17</f>
        <v>800</v>
      </c>
      <c r="G2125" s="36">
        <f t="shared" ca="1" si="35"/>
        <v>1085.0082960642644</v>
      </c>
    </row>
    <row r="2126" spans="1:7" x14ac:dyDescent="0.2">
      <c r="A2126" s="6">
        <f ca="1">Model!$F$13+RAND()*(Model!$G$13-Model!$F$13)</f>
        <v>1799.2214372378171</v>
      </c>
      <c r="B2126" s="31">
        <f ca="1">Model!$F$14+RAND()*(Model!$G$14-Model!$F$14)</f>
        <v>0.53008811908476017</v>
      </c>
      <c r="C2126" s="32">
        <f ca="1">Model!$F$15+RAND()*(Model!$G$15-Model!$F$15)</f>
        <v>1.1122492430652095E-2</v>
      </c>
      <c r="D2126" s="33">
        <f ca="1">Model!$F$16+RAND()*(Model!$G$16-Model!$F$16)</f>
        <v>50.57039197415115</v>
      </c>
      <c r="E2126" s="33">
        <f>Model!$D$17</f>
        <v>800</v>
      </c>
      <c r="G2126" s="36">
        <f t="shared" ca="1" si="35"/>
        <v>-741.73998124076911</v>
      </c>
    </row>
    <row r="2127" spans="1:7" x14ac:dyDescent="0.2">
      <c r="A2127" s="6">
        <f ca="1">Model!$F$13+RAND()*(Model!$G$13-Model!$F$13)</f>
        <v>1289.0229720649531</v>
      </c>
      <c r="B2127" s="31">
        <f ca="1">Model!$F$14+RAND()*(Model!$G$14-Model!$F$14)</f>
        <v>0.64276188729347339</v>
      </c>
      <c r="C2127" s="32">
        <f ca="1">Model!$F$15+RAND()*(Model!$G$15-Model!$F$15)</f>
        <v>3.127244619085557E-2</v>
      </c>
      <c r="D2127" s="33">
        <f ca="1">Model!$F$16+RAND()*(Model!$G$16-Model!$F$16)</f>
        <v>49.404617139673356</v>
      </c>
      <c r="E2127" s="33">
        <f>Model!$D$17</f>
        <v>800</v>
      </c>
      <c r="G2127" s="36">
        <f t="shared" ca="1" si="35"/>
        <v>363.00981848791525</v>
      </c>
    </row>
    <row r="2128" spans="1:7" x14ac:dyDescent="0.2">
      <c r="A2128" s="6">
        <f ca="1">Model!$F$13+RAND()*(Model!$G$13-Model!$F$13)</f>
        <v>1718.1155715303726</v>
      </c>
      <c r="B2128" s="31">
        <f ca="1">Model!$F$14+RAND()*(Model!$G$14-Model!$F$14)</f>
        <v>0.49833925313314958</v>
      </c>
      <c r="C2128" s="32">
        <f ca="1">Model!$F$15+RAND()*(Model!$G$15-Model!$F$15)</f>
        <v>4.3046001466330849E-2</v>
      </c>
      <c r="D2128" s="33">
        <f ca="1">Model!$F$16+RAND()*(Model!$G$16-Model!$F$16)</f>
        <v>50.917120330447126</v>
      </c>
      <c r="E2128" s="33">
        <f>Model!$D$17</f>
        <v>800</v>
      </c>
      <c r="G2128" s="36">
        <f t="shared" ca="1" si="35"/>
        <v>2109.5242302203674</v>
      </c>
    </row>
    <row r="2129" spans="1:7" x14ac:dyDescent="0.2">
      <c r="A2129" s="6">
        <f ca="1">Model!$F$13+RAND()*(Model!$G$13-Model!$F$13)</f>
        <v>1397.9747593629054</v>
      </c>
      <c r="B2129" s="31">
        <f ca="1">Model!$F$14+RAND()*(Model!$G$14-Model!$F$14)</f>
        <v>0.70998548159498376</v>
      </c>
      <c r="C2129" s="32">
        <f ca="1">Model!$F$15+RAND()*(Model!$G$15-Model!$F$15)</f>
        <v>2.1033861068328892E-2</v>
      </c>
      <c r="D2129" s="33">
        <f ca="1">Model!$F$16+RAND()*(Model!$G$16-Model!$F$16)</f>
        <v>48.534694783245932</v>
      </c>
      <c r="E2129" s="33">
        <f>Model!$D$17</f>
        <v>800</v>
      </c>
      <c r="G2129" s="36">
        <f t="shared" ca="1" si="35"/>
        <v>-365.38845640802947</v>
      </c>
    </row>
    <row r="2130" spans="1:7" x14ac:dyDescent="0.2">
      <c r="A2130" s="6">
        <f ca="1">Model!$F$13+RAND()*(Model!$G$13-Model!$F$13)</f>
        <v>1734.9438278852558</v>
      </c>
      <c r="B2130" s="31">
        <f ca="1">Model!$F$14+RAND()*(Model!$G$14-Model!$F$14)</f>
        <v>0.72438120557047392</v>
      </c>
      <c r="C2130" s="32">
        <f ca="1">Model!$F$15+RAND()*(Model!$G$15-Model!$F$15)</f>
        <v>3.3154281362987183E-2</v>
      </c>
      <c r="D2130" s="33">
        <f ca="1">Model!$F$16+RAND()*(Model!$G$16-Model!$F$16)</f>
        <v>51.554961246108753</v>
      </c>
      <c r="E2130" s="33">
        <f>Model!$D$17</f>
        <v>800</v>
      </c>
      <c r="G2130" s="36">
        <f t="shared" ca="1" si="35"/>
        <v>908.72272873632983</v>
      </c>
    </row>
    <row r="2131" spans="1:7" x14ac:dyDescent="0.2">
      <c r="A2131" s="6">
        <f ca="1">Model!$F$13+RAND()*(Model!$G$13-Model!$F$13)</f>
        <v>1432.7125184712706</v>
      </c>
      <c r="B2131" s="31">
        <f ca="1">Model!$F$14+RAND()*(Model!$G$14-Model!$F$14)</f>
        <v>0.60734507093525436</v>
      </c>
      <c r="C2131" s="32">
        <f ca="1">Model!$F$15+RAND()*(Model!$G$15-Model!$F$15)</f>
        <v>3.5234123652326158E-2</v>
      </c>
      <c r="D2131" s="33">
        <f ca="1">Model!$F$16+RAND()*(Model!$G$16-Model!$F$16)</f>
        <v>50.523529296751313</v>
      </c>
      <c r="E2131" s="33">
        <f>Model!$D$17</f>
        <v>800</v>
      </c>
      <c r="G2131" s="36">
        <f t="shared" ca="1" si="35"/>
        <v>880.29556816553122</v>
      </c>
    </row>
    <row r="2132" spans="1:7" x14ac:dyDescent="0.2">
      <c r="A2132" s="6">
        <f ca="1">Model!$F$13+RAND()*(Model!$G$13-Model!$F$13)</f>
        <v>1573.6460915586438</v>
      </c>
      <c r="B2132" s="31">
        <f ca="1">Model!$F$14+RAND()*(Model!$G$14-Model!$F$14)</f>
        <v>0.78927405829680275</v>
      </c>
      <c r="C2132" s="32">
        <f ca="1">Model!$F$15+RAND()*(Model!$G$15-Model!$F$15)</f>
        <v>2.1123505241403127E-2</v>
      </c>
      <c r="D2132" s="33">
        <f ca="1">Model!$F$16+RAND()*(Model!$G$16-Model!$F$16)</f>
        <v>49.796560800969125</v>
      </c>
      <c r="E2132" s="33">
        <f>Model!$D$17</f>
        <v>800</v>
      </c>
      <c r="G2132" s="36">
        <f t="shared" ca="1" si="35"/>
        <v>-386.75447028727672</v>
      </c>
    </row>
    <row r="2133" spans="1:7" x14ac:dyDescent="0.2">
      <c r="A2133" s="6">
        <f ca="1">Model!$F$13+RAND()*(Model!$G$13-Model!$F$13)</f>
        <v>1652.6449815863389</v>
      </c>
      <c r="B2133" s="31">
        <f ca="1">Model!$F$14+RAND()*(Model!$G$14-Model!$F$14)</f>
        <v>0.40518596238623961</v>
      </c>
      <c r="C2133" s="32">
        <f ca="1">Model!$F$15+RAND()*(Model!$G$15-Model!$F$15)</f>
        <v>1.5546113953883757E-2</v>
      </c>
      <c r="D2133" s="33">
        <f ca="1">Model!$F$16+RAND()*(Model!$G$16-Model!$F$16)</f>
        <v>52.649568315647095</v>
      </c>
      <c r="E2133" s="33">
        <f>Model!$D$17</f>
        <v>800</v>
      </c>
      <c r="G2133" s="36">
        <f t="shared" ca="1" si="35"/>
        <v>-116.94492871392958</v>
      </c>
    </row>
    <row r="2134" spans="1:7" x14ac:dyDescent="0.2">
      <c r="A2134" s="6">
        <f ca="1">Model!$F$13+RAND()*(Model!$G$13-Model!$F$13)</f>
        <v>1671.0205517763568</v>
      </c>
      <c r="B2134" s="31">
        <f ca="1">Model!$F$14+RAND()*(Model!$G$14-Model!$F$14)</f>
        <v>0.34552807216211912</v>
      </c>
      <c r="C2134" s="32">
        <f ca="1">Model!$F$15+RAND()*(Model!$G$15-Model!$F$15)</f>
        <v>3.6698466415984357E-2</v>
      </c>
      <c r="D2134" s="33">
        <f ca="1">Model!$F$16+RAND()*(Model!$G$16-Model!$F$16)</f>
        <v>52.701500698233836</v>
      </c>
      <c r="E2134" s="33">
        <f>Model!$D$17</f>
        <v>800</v>
      </c>
      <c r="G2134" s="36">
        <f t="shared" ca="1" si="35"/>
        <v>1854.4766061658825</v>
      </c>
    </row>
    <row r="2135" spans="1:7" x14ac:dyDescent="0.2">
      <c r="A2135" s="6">
        <f ca="1">Model!$F$13+RAND()*(Model!$G$13-Model!$F$13)</f>
        <v>1782.933176621701</v>
      </c>
      <c r="B2135" s="31">
        <f ca="1">Model!$F$14+RAND()*(Model!$G$14-Model!$F$14)</f>
        <v>0.48614278672026562</v>
      </c>
      <c r="C2135" s="32">
        <f ca="1">Model!$F$15+RAND()*(Model!$G$15-Model!$F$15)</f>
        <v>2.1301790067573698E-2</v>
      </c>
      <c r="D2135" s="33">
        <f ca="1">Model!$F$16+RAND()*(Model!$G$16-Model!$F$16)</f>
        <v>52.571732690356811</v>
      </c>
      <c r="E2135" s="33">
        <f>Model!$D$17</f>
        <v>800</v>
      </c>
      <c r="G2135" s="36">
        <f t="shared" ca="1" si="35"/>
        <v>329.89686298997412</v>
      </c>
    </row>
    <row r="2136" spans="1:7" x14ac:dyDescent="0.2">
      <c r="A2136" s="6">
        <f ca="1">Model!$F$13+RAND()*(Model!$G$13-Model!$F$13)</f>
        <v>1763.0657297863509</v>
      </c>
      <c r="B2136" s="31">
        <f ca="1">Model!$F$14+RAND()*(Model!$G$14-Model!$F$14)</f>
        <v>0.62134065628207091</v>
      </c>
      <c r="C2136" s="32">
        <f ca="1">Model!$F$15+RAND()*(Model!$G$15-Model!$F$15)</f>
        <v>1.8257129789944423E-2</v>
      </c>
      <c r="D2136" s="33">
        <f ca="1">Model!$F$16+RAND()*(Model!$G$16-Model!$F$16)</f>
        <v>48.745590538332813</v>
      </c>
      <c r="E2136" s="33">
        <f>Model!$D$17</f>
        <v>800</v>
      </c>
      <c r="G2136" s="36">
        <f t="shared" ca="1" si="35"/>
        <v>-326.41600863382814</v>
      </c>
    </row>
    <row r="2137" spans="1:7" x14ac:dyDescent="0.2">
      <c r="A2137" s="6">
        <f ca="1">Model!$F$13+RAND()*(Model!$G$13-Model!$F$13)</f>
        <v>1255.8016340192655</v>
      </c>
      <c r="B2137" s="31">
        <f ca="1">Model!$F$14+RAND()*(Model!$G$14-Model!$F$14)</f>
        <v>0.59138781457437328</v>
      </c>
      <c r="C2137" s="32">
        <f ca="1">Model!$F$15+RAND()*(Model!$G$15-Model!$F$15)</f>
        <v>3.7101414328106923E-2</v>
      </c>
      <c r="D2137" s="33">
        <f ca="1">Model!$F$16+RAND()*(Model!$G$16-Model!$F$16)</f>
        <v>48.962020147655991</v>
      </c>
      <c r="E2137" s="33">
        <f>Model!$D$17</f>
        <v>800</v>
      </c>
      <c r="G2137" s="36">
        <f t="shared" ca="1" si="35"/>
        <v>738.5734783477742</v>
      </c>
    </row>
    <row r="2138" spans="1:7" x14ac:dyDescent="0.2">
      <c r="A2138" s="6">
        <f ca="1">Model!$F$13+RAND()*(Model!$G$13-Model!$F$13)</f>
        <v>1224.6881731850922</v>
      </c>
      <c r="B2138" s="31">
        <f ca="1">Model!$F$14+RAND()*(Model!$G$14-Model!$F$14)</f>
        <v>0.58041607985628274</v>
      </c>
      <c r="C2138" s="32">
        <f ca="1">Model!$F$15+RAND()*(Model!$G$15-Model!$F$15)</f>
        <v>3.0481791674036772E-2</v>
      </c>
      <c r="D2138" s="33">
        <f ca="1">Model!$F$16+RAND()*(Model!$G$16-Model!$F$16)</f>
        <v>47.968438147579072</v>
      </c>
      <c r="E2138" s="33">
        <f>Model!$D$17</f>
        <v>800</v>
      </c>
      <c r="G2138" s="36">
        <f t="shared" ca="1" si="35"/>
        <v>279.86617426542148</v>
      </c>
    </row>
    <row r="2139" spans="1:7" x14ac:dyDescent="0.2">
      <c r="A2139" s="6">
        <f ca="1">Model!$F$13+RAND()*(Model!$G$13-Model!$F$13)</f>
        <v>1453.2432285412931</v>
      </c>
      <c r="B2139" s="31">
        <f ca="1">Model!$F$14+RAND()*(Model!$G$14-Model!$F$14)</f>
        <v>0.77025786849920785</v>
      </c>
      <c r="C2139" s="32">
        <f ca="1">Model!$F$15+RAND()*(Model!$G$15-Model!$F$15)</f>
        <v>1.8787770357790202E-2</v>
      </c>
      <c r="D2139" s="33">
        <f ca="1">Model!$F$16+RAND()*(Model!$G$16-Model!$F$16)</f>
        <v>51.710287952310026</v>
      </c>
      <c r="E2139" s="33">
        <f>Model!$D$17</f>
        <v>800</v>
      </c>
      <c r="G2139" s="36">
        <f t="shared" ca="1" si="35"/>
        <v>-507.51569492656631</v>
      </c>
    </row>
    <row r="2140" spans="1:7" x14ac:dyDescent="0.2">
      <c r="A2140" s="6">
        <f ca="1">Model!$F$13+RAND()*(Model!$G$13-Model!$F$13)</f>
        <v>1792.7186989964575</v>
      </c>
      <c r="B2140" s="31">
        <f ca="1">Model!$F$14+RAND()*(Model!$G$14-Model!$F$14)</f>
        <v>0.25210095492159912</v>
      </c>
      <c r="C2140" s="32">
        <f ca="1">Model!$F$15+RAND()*(Model!$G$15-Model!$F$15)</f>
        <v>1.4075986679368716E-2</v>
      </c>
      <c r="D2140" s="33">
        <f ca="1">Model!$F$16+RAND()*(Model!$G$16-Model!$F$16)</f>
        <v>51.173892874264496</v>
      </c>
      <c r="E2140" s="33">
        <f>Model!$D$17</f>
        <v>800</v>
      </c>
      <c r="G2140" s="36">
        <f t="shared" ca="1" si="35"/>
        <v>39.390477216978979</v>
      </c>
    </row>
    <row r="2141" spans="1:7" x14ac:dyDescent="0.2">
      <c r="A2141" s="6">
        <f ca="1">Model!$F$13+RAND()*(Model!$G$13-Model!$F$13)</f>
        <v>1229.0312858985199</v>
      </c>
      <c r="B2141" s="31">
        <f ca="1">Model!$F$14+RAND()*(Model!$G$14-Model!$F$14)</f>
        <v>0.51940469892093</v>
      </c>
      <c r="C2141" s="32">
        <f ca="1">Model!$F$15+RAND()*(Model!$G$15-Model!$F$15)</f>
        <v>2.9605290652070709E-2</v>
      </c>
      <c r="D2141" s="33">
        <f ca="1">Model!$F$16+RAND()*(Model!$G$16-Model!$F$16)</f>
        <v>50.295572117801413</v>
      </c>
      <c r="E2141" s="33">
        <f>Model!$D$17</f>
        <v>800</v>
      </c>
      <c r="G2141" s="36">
        <f t="shared" ca="1" si="35"/>
        <v>391.68143332899672</v>
      </c>
    </row>
    <row r="2142" spans="1:7" x14ac:dyDescent="0.2">
      <c r="A2142" s="6">
        <f ca="1">Model!$F$13+RAND()*(Model!$G$13-Model!$F$13)</f>
        <v>1581.4209515165662</v>
      </c>
      <c r="B2142" s="31">
        <f ca="1">Model!$F$14+RAND()*(Model!$G$14-Model!$F$14)</f>
        <v>0.76007661705707652</v>
      </c>
      <c r="C2142" s="32">
        <f ca="1">Model!$F$15+RAND()*(Model!$G$15-Model!$F$15)</f>
        <v>3.9664142362386759E-2</v>
      </c>
      <c r="D2142" s="33">
        <f ca="1">Model!$F$16+RAND()*(Model!$G$16-Model!$F$16)</f>
        <v>51.860386542745466</v>
      </c>
      <c r="E2142" s="33">
        <f>Model!$D$17</f>
        <v>800</v>
      </c>
      <c r="G2142" s="36">
        <f t="shared" ca="1" si="35"/>
        <v>1250.9782596911443</v>
      </c>
    </row>
    <row r="2143" spans="1:7" x14ac:dyDescent="0.2">
      <c r="A2143" s="6">
        <f ca="1">Model!$F$13+RAND()*(Model!$G$13-Model!$F$13)</f>
        <v>1744.2297385272286</v>
      </c>
      <c r="B2143" s="31">
        <f ca="1">Model!$F$14+RAND()*(Model!$G$14-Model!$F$14)</f>
        <v>0.74291600930212454</v>
      </c>
      <c r="C2143" s="32">
        <f ca="1">Model!$F$15+RAND()*(Model!$G$15-Model!$F$15)</f>
        <v>4.8637559260737477E-2</v>
      </c>
      <c r="D2143" s="33">
        <f ca="1">Model!$F$16+RAND()*(Model!$G$16-Model!$F$16)</f>
        <v>48.5259759255947</v>
      </c>
      <c r="E2143" s="33">
        <f>Model!$D$17</f>
        <v>800</v>
      </c>
      <c r="G2143" s="36">
        <f t="shared" ca="1" si="35"/>
        <v>2020.8887206922973</v>
      </c>
    </row>
    <row r="2144" spans="1:7" x14ac:dyDescent="0.2">
      <c r="A2144" s="6">
        <f ca="1">Model!$F$13+RAND()*(Model!$G$13-Model!$F$13)</f>
        <v>1503.537612668159</v>
      </c>
      <c r="B2144" s="31">
        <f ca="1">Model!$F$14+RAND()*(Model!$G$14-Model!$F$14)</f>
        <v>0.31144538359041629</v>
      </c>
      <c r="C2144" s="32">
        <f ca="1">Model!$F$15+RAND()*(Model!$G$15-Model!$F$15)</f>
        <v>1.051890277189513E-2</v>
      </c>
      <c r="D2144" s="33">
        <f ca="1">Model!$F$16+RAND()*(Model!$G$16-Model!$F$16)</f>
        <v>49.750391843644778</v>
      </c>
      <c r="E2144" s="33">
        <f>Model!$D$17</f>
        <v>800</v>
      </c>
      <c r="G2144" s="36">
        <f t="shared" ca="1" si="35"/>
        <v>-481.43924470424474</v>
      </c>
    </row>
    <row r="2145" spans="1:7" x14ac:dyDescent="0.2">
      <c r="A2145" s="6">
        <f ca="1">Model!$F$13+RAND()*(Model!$G$13-Model!$F$13)</f>
        <v>1397.5471279781939</v>
      </c>
      <c r="B2145" s="31">
        <f ca="1">Model!$F$14+RAND()*(Model!$G$14-Model!$F$14)</f>
        <v>0.65667525788006165</v>
      </c>
      <c r="C2145" s="32">
        <f ca="1">Model!$F$15+RAND()*(Model!$G$15-Model!$F$15)</f>
        <v>4.1382610544052539E-2</v>
      </c>
      <c r="D2145" s="33">
        <f ca="1">Model!$F$16+RAND()*(Model!$G$16-Model!$F$16)</f>
        <v>48.796333813848051</v>
      </c>
      <c r="E2145" s="33">
        <f>Model!$D$17</f>
        <v>800</v>
      </c>
      <c r="G2145" s="36">
        <f t="shared" ca="1" si="35"/>
        <v>1104.3597960681284</v>
      </c>
    </row>
    <row r="2146" spans="1:7" x14ac:dyDescent="0.2">
      <c r="A2146" s="6">
        <f ca="1">Model!$F$13+RAND()*(Model!$G$13-Model!$F$13)</f>
        <v>1545.4471742464189</v>
      </c>
      <c r="B2146" s="31">
        <f ca="1">Model!$F$14+RAND()*(Model!$G$14-Model!$F$14)</f>
        <v>0.34767100319280375</v>
      </c>
      <c r="C2146" s="32">
        <f ca="1">Model!$F$15+RAND()*(Model!$G$15-Model!$F$15)</f>
        <v>2.2466875252371468E-2</v>
      </c>
      <c r="D2146" s="33">
        <f ca="1">Model!$F$16+RAND()*(Model!$G$16-Model!$F$16)</f>
        <v>47.210704285428285</v>
      </c>
      <c r="E2146" s="33">
        <f>Model!$D$17</f>
        <v>800</v>
      </c>
      <c r="G2146" s="36">
        <f t="shared" ca="1" si="35"/>
        <v>301.91310879316666</v>
      </c>
    </row>
    <row r="2147" spans="1:7" x14ac:dyDescent="0.2">
      <c r="A2147" s="6">
        <f ca="1">Model!$F$13+RAND()*(Model!$G$13-Model!$F$13)</f>
        <v>1267.1049923273249</v>
      </c>
      <c r="B2147" s="31">
        <f ca="1">Model!$F$14+RAND()*(Model!$G$14-Model!$F$14)</f>
        <v>0.61959928516159968</v>
      </c>
      <c r="C2147" s="32">
        <f ca="1">Model!$F$15+RAND()*(Model!$G$15-Model!$F$15)</f>
        <v>1.1971294488009182E-2</v>
      </c>
      <c r="D2147" s="33">
        <f ca="1">Model!$F$16+RAND()*(Model!$G$16-Model!$F$16)</f>
        <v>48.423620131948155</v>
      </c>
      <c r="E2147" s="33">
        <f>Model!$D$17</f>
        <v>800</v>
      </c>
      <c r="G2147" s="36">
        <f t="shared" ca="1" si="35"/>
        <v>-850.56492505576523</v>
      </c>
    </row>
    <row r="2148" spans="1:7" x14ac:dyDescent="0.2">
      <c r="A2148" s="6">
        <f ca="1">Model!$F$13+RAND()*(Model!$G$13-Model!$F$13)</f>
        <v>1347.4887803626316</v>
      </c>
      <c r="B2148" s="31">
        <f ca="1">Model!$F$14+RAND()*(Model!$G$14-Model!$F$14)</f>
        <v>0.69543831078991614</v>
      </c>
      <c r="C2148" s="32">
        <f ca="1">Model!$F$15+RAND()*(Model!$G$15-Model!$F$15)</f>
        <v>3.9858081867485178E-2</v>
      </c>
      <c r="D2148" s="33">
        <f ca="1">Model!$F$16+RAND()*(Model!$G$16-Model!$F$16)</f>
        <v>50.338570635347537</v>
      </c>
      <c r="E2148" s="33">
        <f>Model!$D$17</f>
        <v>800</v>
      </c>
      <c r="G2148" s="36">
        <f t="shared" ca="1" si="35"/>
        <v>966.50464432724675</v>
      </c>
    </row>
    <row r="2149" spans="1:7" x14ac:dyDescent="0.2">
      <c r="A2149" s="6">
        <f ca="1">Model!$F$13+RAND()*(Model!$G$13-Model!$F$13)</f>
        <v>1415.587798647912</v>
      </c>
      <c r="B2149" s="31">
        <f ca="1">Model!$F$14+RAND()*(Model!$G$14-Model!$F$14)</f>
        <v>0.30879783777631281</v>
      </c>
      <c r="C2149" s="32">
        <f ca="1">Model!$F$15+RAND()*(Model!$G$15-Model!$F$15)</f>
        <v>3.3304357974210802E-2</v>
      </c>
      <c r="D2149" s="33">
        <f ca="1">Model!$F$16+RAND()*(Model!$G$16-Model!$F$16)</f>
        <v>48.220106221162048</v>
      </c>
      <c r="E2149" s="33">
        <f>Model!$D$17</f>
        <v>800</v>
      </c>
      <c r="G2149" s="36">
        <f t="shared" ca="1" si="35"/>
        <v>1036.2181637558542</v>
      </c>
    </row>
    <row r="2150" spans="1:7" x14ac:dyDescent="0.2">
      <c r="A2150" s="6">
        <f ca="1">Model!$F$13+RAND()*(Model!$G$13-Model!$F$13)</f>
        <v>1479.386437940414</v>
      </c>
      <c r="B2150" s="31">
        <f ca="1">Model!$F$14+RAND()*(Model!$G$14-Model!$F$14)</f>
        <v>0.64432555661692326</v>
      </c>
      <c r="C2150" s="32">
        <f ca="1">Model!$F$15+RAND()*(Model!$G$15-Model!$F$15)</f>
        <v>4.4607945634642945E-2</v>
      </c>
      <c r="D2150" s="33">
        <f ca="1">Model!$F$16+RAND()*(Model!$G$16-Model!$F$16)</f>
        <v>48.041893459808769</v>
      </c>
      <c r="E2150" s="33">
        <f>Model!$D$17</f>
        <v>800</v>
      </c>
      <c r="G2150" s="36">
        <f t="shared" ca="1" si="35"/>
        <v>1417.1928696732855</v>
      </c>
    </row>
    <row r="2151" spans="1:7" x14ac:dyDescent="0.2">
      <c r="A2151" s="6">
        <f ca="1">Model!$F$13+RAND()*(Model!$G$13-Model!$F$13)</f>
        <v>1646.8171182937626</v>
      </c>
      <c r="B2151" s="31">
        <f ca="1">Model!$F$14+RAND()*(Model!$G$14-Model!$F$14)</f>
        <v>0.29288083195857134</v>
      </c>
      <c r="C2151" s="32">
        <f ca="1">Model!$F$15+RAND()*(Model!$G$15-Model!$F$15)</f>
        <v>4.9893596699257567E-2</v>
      </c>
      <c r="D2151" s="33">
        <f ca="1">Model!$F$16+RAND()*(Model!$G$16-Model!$F$16)</f>
        <v>47.104393197735426</v>
      </c>
      <c r="E2151" s="33">
        <f>Model!$D$17</f>
        <v>800</v>
      </c>
      <c r="G2151" s="36">
        <f t="shared" ca="1" si="35"/>
        <v>2588.0409345465005</v>
      </c>
    </row>
    <row r="2152" spans="1:7" x14ac:dyDescent="0.2">
      <c r="A2152" s="6">
        <f ca="1">Model!$F$13+RAND()*(Model!$G$13-Model!$F$13)</f>
        <v>1337.1253713571348</v>
      </c>
      <c r="B2152" s="31">
        <f ca="1">Model!$F$14+RAND()*(Model!$G$14-Model!$F$14)</f>
        <v>0.44596229838662094</v>
      </c>
      <c r="C2152" s="32">
        <f ca="1">Model!$F$15+RAND()*(Model!$G$15-Model!$F$15)</f>
        <v>2.6034177085902985E-2</v>
      </c>
      <c r="D2152" s="33">
        <f ca="1">Model!$F$16+RAND()*(Model!$G$16-Model!$F$16)</f>
        <v>47.811657717377265</v>
      </c>
      <c r="E2152" s="33">
        <f>Model!$D$17</f>
        <v>800</v>
      </c>
      <c r="G2152" s="36">
        <f t="shared" ca="1" si="35"/>
        <v>268.06213852625865</v>
      </c>
    </row>
    <row r="2153" spans="1:7" x14ac:dyDescent="0.2">
      <c r="A2153" s="6">
        <f ca="1">Model!$F$13+RAND()*(Model!$G$13-Model!$F$13)</f>
        <v>1523.4815686734637</v>
      </c>
      <c r="B2153" s="31">
        <f ca="1">Model!$F$14+RAND()*(Model!$G$14-Model!$F$14)</f>
        <v>0.29477060046444836</v>
      </c>
      <c r="C2153" s="32">
        <f ca="1">Model!$F$15+RAND()*(Model!$G$15-Model!$F$15)</f>
        <v>1.5187680851098128E-2</v>
      </c>
      <c r="D2153" s="33">
        <f ca="1">Model!$F$16+RAND()*(Model!$G$16-Model!$F$16)</f>
        <v>49.169729286743291</v>
      </c>
      <c r="E2153" s="33">
        <f>Model!$D$17</f>
        <v>800</v>
      </c>
      <c r="G2153" s="36">
        <f t="shared" ref="G2153:G2216" ca="1" si="36">A2153*C2153*D2153-(E2153+A2153*B2153)</f>
        <v>-111.3809142551529</v>
      </c>
    </row>
    <row r="2154" spans="1:7" x14ac:dyDescent="0.2">
      <c r="A2154" s="6">
        <f ca="1">Model!$F$13+RAND()*(Model!$G$13-Model!$F$13)</f>
        <v>1443.1891480907207</v>
      </c>
      <c r="B2154" s="31">
        <f ca="1">Model!$F$14+RAND()*(Model!$G$14-Model!$F$14)</f>
        <v>0.28413776063326512</v>
      </c>
      <c r="C2154" s="32">
        <f ca="1">Model!$F$15+RAND()*(Model!$G$15-Model!$F$15)</f>
        <v>4.197358228575996E-2</v>
      </c>
      <c r="D2154" s="33">
        <f ca="1">Model!$F$16+RAND()*(Model!$G$16-Model!$F$16)</f>
        <v>49.63525978217249</v>
      </c>
      <c r="E2154" s="33">
        <f>Model!$D$17</f>
        <v>800</v>
      </c>
      <c r="G2154" s="36">
        <f t="shared" ca="1" si="36"/>
        <v>1796.6319531357019</v>
      </c>
    </row>
    <row r="2155" spans="1:7" x14ac:dyDescent="0.2">
      <c r="A2155" s="6">
        <f ca="1">Model!$F$13+RAND()*(Model!$G$13-Model!$F$13)</f>
        <v>1351.0591478449505</v>
      </c>
      <c r="B2155" s="31">
        <f ca="1">Model!$F$14+RAND()*(Model!$G$14-Model!$F$14)</f>
        <v>0.69978763188401216</v>
      </c>
      <c r="C2155" s="32">
        <f ca="1">Model!$F$15+RAND()*(Model!$G$15-Model!$F$15)</f>
        <v>2.7146841040151533E-2</v>
      </c>
      <c r="D2155" s="33">
        <f ca="1">Model!$F$16+RAND()*(Model!$G$16-Model!$F$16)</f>
        <v>49.76100640849846</v>
      </c>
      <c r="E2155" s="33">
        <f>Model!$D$17</f>
        <v>800</v>
      </c>
      <c r="G2155" s="36">
        <f t="shared" ca="1" si="36"/>
        <v>79.629349444792751</v>
      </c>
    </row>
    <row r="2156" spans="1:7" x14ac:dyDescent="0.2">
      <c r="A2156" s="6">
        <f ca="1">Model!$F$13+RAND()*(Model!$G$13-Model!$F$13)</f>
        <v>1334.4842502374963</v>
      </c>
      <c r="B2156" s="31">
        <f ca="1">Model!$F$14+RAND()*(Model!$G$14-Model!$F$14)</f>
        <v>0.3427572060895599</v>
      </c>
      <c r="C2156" s="32">
        <f ca="1">Model!$F$15+RAND()*(Model!$G$15-Model!$F$15)</f>
        <v>4.9307992072351765E-2</v>
      </c>
      <c r="D2156" s="33">
        <f ca="1">Model!$F$16+RAND()*(Model!$G$16-Model!$F$16)</f>
        <v>52.848228786471068</v>
      </c>
      <c r="E2156" s="33">
        <f>Model!$D$17</f>
        <v>800</v>
      </c>
      <c r="G2156" s="36">
        <f t="shared" ca="1" si="36"/>
        <v>2220.0484068981386</v>
      </c>
    </row>
    <row r="2157" spans="1:7" x14ac:dyDescent="0.2">
      <c r="A2157" s="6">
        <f ca="1">Model!$F$13+RAND()*(Model!$G$13-Model!$F$13)</f>
        <v>1570.2347923183552</v>
      </c>
      <c r="B2157" s="31">
        <f ca="1">Model!$F$14+RAND()*(Model!$G$14-Model!$F$14)</f>
        <v>0.42396965408667975</v>
      </c>
      <c r="C2157" s="32">
        <f ca="1">Model!$F$15+RAND()*(Model!$G$15-Model!$F$15)</f>
        <v>1.3213892799867769E-2</v>
      </c>
      <c r="D2157" s="33">
        <f ca="1">Model!$F$16+RAND()*(Model!$G$16-Model!$F$16)</f>
        <v>48.121774394651183</v>
      </c>
      <c r="E2157" s="33">
        <f>Model!$D$17</f>
        <v>800</v>
      </c>
      <c r="G2157" s="36">
        <f t="shared" ca="1" si="36"/>
        <v>-467.25733288248705</v>
      </c>
    </row>
    <row r="2158" spans="1:7" x14ac:dyDescent="0.2">
      <c r="A2158" s="6">
        <f ca="1">Model!$F$13+RAND()*(Model!$G$13-Model!$F$13)</f>
        <v>1261.0792673056947</v>
      </c>
      <c r="B2158" s="31">
        <f ca="1">Model!$F$14+RAND()*(Model!$G$14-Model!$F$14)</f>
        <v>0.20860464351349173</v>
      </c>
      <c r="C2158" s="32">
        <f ca="1">Model!$F$15+RAND()*(Model!$G$15-Model!$F$15)</f>
        <v>4.4791783804146515E-2</v>
      </c>
      <c r="D2158" s="33">
        <f ca="1">Model!$F$16+RAND()*(Model!$G$16-Model!$F$16)</f>
        <v>50.909308589949028</v>
      </c>
      <c r="E2158" s="33">
        <f>Model!$D$17</f>
        <v>800</v>
      </c>
      <c r="G2158" s="36">
        <f t="shared" ca="1" si="36"/>
        <v>1812.5956998826457</v>
      </c>
    </row>
    <row r="2159" spans="1:7" x14ac:dyDescent="0.2">
      <c r="A2159" s="6">
        <f ca="1">Model!$F$13+RAND()*(Model!$G$13-Model!$F$13)</f>
        <v>1463.6466006447827</v>
      </c>
      <c r="B2159" s="31">
        <f ca="1">Model!$F$14+RAND()*(Model!$G$14-Model!$F$14)</f>
        <v>0.57848252818649271</v>
      </c>
      <c r="C2159" s="32">
        <f ca="1">Model!$F$15+RAND()*(Model!$G$15-Model!$F$15)</f>
        <v>4.9976882926875799E-2</v>
      </c>
      <c r="D2159" s="33">
        <f ca="1">Model!$F$16+RAND()*(Model!$G$16-Model!$F$16)</f>
        <v>52.663273997524207</v>
      </c>
      <c r="E2159" s="33">
        <f>Model!$D$17</f>
        <v>800</v>
      </c>
      <c r="G2159" s="36">
        <f t="shared" ca="1" si="36"/>
        <v>2205.5452386014786</v>
      </c>
    </row>
    <row r="2160" spans="1:7" x14ac:dyDescent="0.2">
      <c r="A2160" s="6">
        <f ca="1">Model!$F$13+RAND()*(Model!$G$13-Model!$F$13)</f>
        <v>1466.2993446811847</v>
      </c>
      <c r="B2160" s="31">
        <f ca="1">Model!$F$14+RAND()*(Model!$G$14-Model!$F$14)</f>
        <v>0.46209259745151487</v>
      </c>
      <c r="C2160" s="32">
        <f ca="1">Model!$F$15+RAND()*(Model!$G$15-Model!$F$15)</f>
        <v>3.2014155320589967E-2</v>
      </c>
      <c r="D2160" s="33">
        <f ca="1">Model!$F$16+RAND()*(Model!$G$16-Model!$F$16)</f>
        <v>48.363856280355243</v>
      </c>
      <c r="E2160" s="33">
        <f>Model!$D$17</f>
        <v>800</v>
      </c>
      <c r="G2160" s="36">
        <f t="shared" ca="1" si="36"/>
        <v>792.7462689880681</v>
      </c>
    </row>
    <row r="2161" spans="1:7" x14ac:dyDescent="0.2">
      <c r="A2161" s="6">
        <f ca="1">Model!$F$13+RAND()*(Model!$G$13-Model!$F$13)</f>
        <v>1203.6620000081259</v>
      </c>
      <c r="B2161" s="31">
        <f ca="1">Model!$F$14+RAND()*(Model!$G$14-Model!$F$14)</f>
        <v>0.64725834775110891</v>
      </c>
      <c r="C2161" s="32">
        <f ca="1">Model!$F$15+RAND()*(Model!$G$15-Model!$F$15)</f>
        <v>4.8757852320555198E-2</v>
      </c>
      <c r="D2161" s="33">
        <f ca="1">Model!$F$16+RAND()*(Model!$G$16-Model!$F$16)</f>
        <v>48.712142165017511</v>
      </c>
      <c r="E2161" s="33">
        <f>Model!$D$17</f>
        <v>800</v>
      </c>
      <c r="G2161" s="36">
        <f t="shared" ca="1" si="36"/>
        <v>1279.7366574499629</v>
      </c>
    </row>
    <row r="2162" spans="1:7" x14ac:dyDescent="0.2">
      <c r="A2162" s="6">
        <f ca="1">Model!$F$13+RAND()*(Model!$G$13-Model!$F$13)</f>
        <v>1310.1211603089655</v>
      </c>
      <c r="B2162" s="31">
        <f ca="1">Model!$F$14+RAND()*(Model!$G$14-Model!$F$14)</f>
        <v>0.21810014995568722</v>
      </c>
      <c r="C2162" s="32">
        <f ca="1">Model!$F$15+RAND()*(Model!$G$15-Model!$F$15)</f>
        <v>3.664038319070647E-2</v>
      </c>
      <c r="D2162" s="33">
        <f ca="1">Model!$F$16+RAND()*(Model!$G$16-Model!$F$16)</f>
        <v>51.899331559183842</v>
      </c>
      <c r="E2162" s="33">
        <f>Model!$D$17</f>
        <v>800</v>
      </c>
      <c r="G2162" s="36">
        <f t="shared" ca="1" si="36"/>
        <v>1405.6037066284555</v>
      </c>
    </row>
    <row r="2163" spans="1:7" x14ac:dyDescent="0.2">
      <c r="A2163" s="6">
        <f ca="1">Model!$F$13+RAND()*(Model!$G$13-Model!$F$13)</f>
        <v>1633.4471897299532</v>
      </c>
      <c r="B2163" s="31">
        <f ca="1">Model!$F$14+RAND()*(Model!$G$14-Model!$F$14)</f>
        <v>0.40130022168782842</v>
      </c>
      <c r="C2163" s="32">
        <f ca="1">Model!$F$15+RAND()*(Model!$G$15-Model!$F$15)</f>
        <v>4.7461746572850849E-2</v>
      </c>
      <c r="D2163" s="33">
        <f ca="1">Model!$F$16+RAND()*(Model!$G$16-Model!$F$16)</f>
        <v>48.17750394708137</v>
      </c>
      <c r="E2163" s="33">
        <f>Model!$D$17</f>
        <v>800</v>
      </c>
      <c r="G2163" s="36">
        <f t="shared" ca="1" si="36"/>
        <v>2279.5188120244184</v>
      </c>
    </row>
    <row r="2164" spans="1:7" x14ac:dyDescent="0.2">
      <c r="A2164" s="6">
        <f ca="1">Model!$F$13+RAND()*(Model!$G$13-Model!$F$13)</f>
        <v>1202.9880620134229</v>
      </c>
      <c r="B2164" s="31">
        <f ca="1">Model!$F$14+RAND()*(Model!$G$14-Model!$F$14)</f>
        <v>0.2658904820988599</v>
      </c>
      <c r="C2164" s="32">
        <f ca="1">Model!$F$15+RAND()*(Model!$G$15-Model!$F$15)</f>
        <v>4.8614139063696341E-2</v>
      </c>
      <c r="D2164" s="33">
        <f ca="1">Model!$F$16+RAND()*(Model!$G$16-Model!$F$16)</f>
        <v>49.010450225448906</v>
      </c>
      <c r="E2164" s="33">
        <f>Model!$D$17</f>
        <v>800</v>
      </c>
      <c r="G2164" s="36">
        <f t="shared" ca="1" si="36"/>
        <v>1746.3772947049097</v>
      </c>
    </row>
    <row r="2165" spans="1:7" x14ac:dyDescent="0.2">
      <c r="A2165" s="6">
        <f ca="1">Model!$F$13+RAND()*(Model!$G$13-Model!$F$13)</f>
        <v>1570.322617263655</v>
      </c>
      <c r="B2165" s="31">
        <f ca="1">Model!$F$14+RAND()*(Model!$G$14-Model!$F$14)</f>
        <v>0.2083515186351374</v>
      </c>
      <c r="C2165" s="32">
        <f ca="1">Model!$F$15+RAND()*(Model!$G$15-Model!$F$15)</f>
        <v>3.0912739853504914E-2</v>
      </c>
      <c r="D2165" s="33">
        <f ca="1">Model!$F$16+RAND()*(Model!$G$16-Model!$F$16)</f>
        <v>50.298321359049368</v>
      </c>
      <c r="E2165" s="33">
        <f>Model!$D$17</f>
        <v>800</v>
      </c>
      <c r="G2165" s="36">
        <f t="shared" ca="1" si="36"/>
        <v>1314.4510317644435</v>
      </c>
    </row>
    <row r="2166" spans="1:7" x14ac:dyDescent="0.2">
      <c r="A2166" s="6">
        <f ca="1">Model!$F$13+RAND()*(Model!$G$13-Model!$F$13)</f>
        <v>1473.9423849293246</v>
      </c>
      <c r="B2166" s="31">
        <f ca="1">Model!$F$14+RAND()*(Model!$G$14-Model!$F$14)</f>
        <v>0.67977011723663283</v>
      </c>
      <c r="C2166" s="32">
        <f ca="1">Model!$F$15+RAND()*(Model!$G$15-Model!$F$15)</f>
        <v>4.2824514380145597E-2</v>
      </c>
      <c r="D2166" s="33">
        <f ca="1">Model!$F$16+RAND()*(Model!$G$16-Model!$F$16)</f>
        <v>49.190166860572781</v>
      </c>
      <c r="E2166" s="33">
        <f>Model!$D$17</f>
        <v>800</v>
      </c>
      <c r="G2166" s="36">
        <f t="shared" ca="1" si="36"/>
        <v>1302.9839853704289</v>
      </c>
    </row>
    <row r="2167" spans="1:7" x14ac:dyDescent="0.2">
      <c r="A2167" s="6">
        <f ca="1">Model!$F$13+RAND()*(Model!$G$13-Model!$F$13)</f>
        <v>1200.5320327856625</v>
      </c>
      <c r="B2167" s="31">
        <f ca="1">Model!$F$14+RAND()*(Model!$G$14-Model!$F$14)</f>
        <v>0.55538194949226671</v>
      </c>
      <c r="C2167" s="32">
        <f ca="1">Model!$F$15+RAND()*(Model!$G$15-Model!$F$15)</f>
        <v>2.5194057944285975E-2</v>
      </c>
      <c r="D2167" s="33">
        <f ca="1">Model!$F$16+RAND()*(Model!$G$16-Model!$F$16)</f>
        <v>49.373722925552698</v>
      </c>
      <c r="E2167" s="33">
        <f>Model!$D$17</f>
        <v>800</v>
      </c>
      <c r="G2167" s="36">
        <f t="shared" ca="1" si="36"/>
        <v>26.617311360384065</v>
      </c>
    </row>
    <row r="2168" spans="1:7" x14ac:dyDescent="0.2">
      <c r="A2168" s="6">
        <f ca="1">Model!$F$13+RAND()*(Model!$G$13-Model!$F$13)</f>
        <v>1549.9360895945599</v>
      </c>
      <c r="B2168" s="31">
        <f ca="1">Model!$F$14+RAND()*(Model!$G$14-Model!$F$14)</f>
        <v>0.29817791443357389</v>
      </c>
      <c r="C2168" s="32">
        <f ca="1">Model!$F$15+RAND()*(Model!$G$15-Model!$F$15)</f>
        <v>3.8117873793590572E-2</v>
      </c>
      <c r="D2168" s="33">
        <f ca="1">Model!$F$16+RAND()*(Model!$G$16-Model!$F$16)</f>
        <v>50.56364835878459</v>
      </c>
      <c r="E2168" s="33">
        <f>Model!$D$17</f>
        <v>800</v>
      </c>
      <c r="G2168" s="36">
        <f t="shared" ca="1" si="36"/>
        <v>1725.1571981005977</v>
      </c>
    </row>
    <row r="2169" spans="1:7" x14ac:dyDescent="0.2">
      <c r="A2169" s="6">
        <f ca="1">Model!$F$13+RAND()*(Model!$G$13-Model!$F$13)</f>
        <v>1698.6009850715172</v>
      </c>
      <c r="B2169" s="31">
        <f ca="1">Model!$F$14+RAND()*(Model!$G$14-Model!$F$14)</f>
        <v>0.76112899585035265</v>
      </c>
      <c r="C2169" s="32">
        <f ca="1">Model!$F$15+RAND()*(Model!$G$15-Model!$F$15)</f>
        <v>1.120200945517138E-2</v>
      </c>
      <c r="D2169" s="33">
        <f ca="1">Model!$F$16+RAND()*(Model!$G$16-Model!$F$16)</f>
        <v>50.423187045062797</v>
      </c>
      <c r="E2169" s="33">
        <f>Model!$D$17</f>
        <v>800</v>
      </c>
      <c r="G2169" s="36">
        <f t="shared" ca="1" si="36"/>
        <v>-1133.4149524686227</v>
      </c>
    </row>
    <row r="2170" spans="1:7" x14ac:dyDescent="0.2">
      <c r="A2170" s="6">
        <f ca="1">Model!$F$13+RAND()*(Model!$G$13-Model!$F$13)</f>
        <v>1655.3901126867077</v>
      </c>
      <c r="B2170" s="31">
        <f ca="1">Model!$F$14+RAND()*(Model!$G$14-Model!$F$14)</f>
        <v>0.33335675706853229</v>
      </c>
      <c r="C2170" s="32">
        <f ca="1">Model!$F$15+RAND()*(Model!$G$15-Model!$F$15)</f>
        <v>1.8773077210788809E-2</v>
      </c>
      <c r="D2170" s="33">
        <f ca="1">Model!$F$16+RAND()*(Model!$G$16-Model!$F$16)</f>
        <v>50.798107419343744</v>
      </c>
      <c r="E2170" s="33">
        <f>Model!$D$17</f>
        <v>800</v>
      </c>
      <c r="G2170" s="36">
        <f t="shared" ca="1" si="36"/>
        <v>226.80543815625288</v>
      </c>
    </row>
    <row r="2171" spans="1:7" x14ac:dyDescent="0.2">
      <c r="A2171" s="6">
        <f ca="1">Model!$F$13+RAND()*(Model!$G$13-Model!$F$13)</f>
        <v>1313.1895604089359</v>
      </c>
      <c r="B2171" s="31">
        <f ca="1">Model!$F$14+RAND()*(Model!$G$14-Model!$F$14)</f>
        <v>0.6357997907479237</v>
      </c>
      <c r="C2171" s="32">
        <f ca="1">Model!$F$15+RAND()*(Model!$G$15-Model!$F$15)</f>
        <v>3.0899179597400149E-2</v>
      </c>
      <c r="D2171" s="33">
        <f ca="1">Model!$F$16+RAND()*(Model!$G$16-Model!$F$16)</f>
        <v>52.066199559880211</v>
      </c>
      <c r="E2171" s="33">
        <f>Model!$D$17</f>
        <v>800</v>
      </c>
      <c r="G2171" s="36">
        <f t="shared" ca="1" si="36"/>
        <v>477.73746117227529</v>
      </c>
    </row>
    <row r="2172" spans="1:7" x14ac:dyDescent="0.2">
      <c r="A2172" s="6">
        <f ca="1">Model!$F$13+RAND()*(Model!$G$13-Model!$F$13)</f>
        <v>1292.1819447773705</v>
      </c>
      <c r="B2172" s="31">
        <f ca="1">Model!$F$14+RAND()*(Model!$G$14-Model!$F$14)</f>
        <v>0.67265577673056454</v>
      </c>
      <c r="C2172" s="32">
        <f ca="1">Model!$F$15+RAND()*(Model!$G$15-Model!$F$15)</f>
        <v>2.5877378201561684E-2</v>
      </c>
      <c r="D2172" s="33">
        <f ca="1">Model!$F$16+RAND()*(Model!$G$16-Model!$F$16)</f>
        <v>49.944850627117482</v>
      </c>
      <c r="E2172" s="33">
        <f>Model!$D$17</f>
        <v>800</v>
      </c>
      <c r="G2172" s="36">
        <f t="shared" ca="1" si="36"/>
        <v>0.87629454887633074</v>
      </c>
    </row>
    <row r="2173" spans="1:7" x14ac:dyDescent="0.2">
      <c r="A2173" s="6">
        <f ca="1">Model!$F$13+RAND()*(Model!$G$13-Model!$F$13)</f>
        <v>1276.3538491975501</v>
      </c>
      <c r="B2173" s="31">
        <f ca="1">Model!$F$14+RAND()*(Model!$G$14-Model!$F$14)</f>
        <v>0.40157461940090827</v>
      </c>
      <c r="C2173" s="32">
        <f ca="1">Model!$F$15+RAND()*(Model!$G$15-Model!$F$15)</f>
        <v>2.9911917869296888E-2</v>
      </c>
      <c r="D2173" s="33">
        <f ca="1">Model!$F$16+RAND()*(Model!$G$16-Model!$F$16)</f>
        <v>51.233231787411206</v>
      </c>
      <c r="E2173" s="33">
        <f>Model!$D$17</f>
        <v>800</v>
      </c>
      <c r="G2173" s="36">
        <f t="shared" ca="1" si="36"/>
        <v>643.44082361072583</v>
      </c>
    </row>
    <row r="2174" spans="1:7" x14ac:dyDescent="0.2">
      <c r="A2174" s="6">
        <f ca="1">Model!$F$13+RAND()*(Model!$G$13-Model!$F$13)</f>
        <v>1275.8880842526632</v>
      </c>
      <c r="B2174" s="31">
        <f ca="1">Model!$F$14+RAND()*(Model!$G$14-Model!$F$14)</f>
        <v>0.48176460232107232</v>
      </c>
      <c r="C2174" s="32">
        <f ca="1">Model!$F$15+RAND()*(Model!$G$15-Model!$F$15)</f>
        <v>4.9724787930925808E-2</v>
      </c>
      <c r="D2174" s="33">
        <f ca="1">Model!$F$16+RAND()*(Model!$G$16-Model!$F$16)</f>
        <v>52.292411609866335</v>
      </c>
      <c r="E2174" s="33">
        <f>Model!$D$17</f>
        <v>800</v>
      </c>
      <c r="G2174" s="36">
        <f t="shared" ca="1" si="36"/>
        <v>1902.9235810450809</v>
      </c>
    </row>
    <row r="2175" spans="1:7" x14ac:dyDescent="0.2">
      <c r="A2175" s="6">
        <f ca="1">Model!$F$13+RAND()*(Model!$G$13-Model!$F$13)</f>
        <v>1397.1533571351515</v>
      </c>
      <c r="B2175" s="31">
        <f ca="1">Model!$F$14+RAND()*(Model!$G$14-Model!$F$14)</f>
        <v>0.70626555076506015</v>
      </c>
      <c r="C2175" s="32">
        <f ca="1">Model!$F$15+RAND()*(Model!$G$15-Model!$F$15)</f>
        <v>3.5201718922141738E-2</v>
      </c>
      <c r="D2175" s="33">
        <f ca="1">Model!$F$16+RAND()*(Model!$G$16-Model!$F$16)</f>
        <v>49.824621849622915</v>
      </c>
      <c r="E2175" s="33">
        <f>Model!$D$17</f>
        <v>800</v>
      </c>
      <c r="G2175" s="36">
        <f t="shared" ca="1" si="36"/>
        <v>663.72321994264212</v>
      </c>
    </row>
    <row r="2176" spans="1:7" x14ac:dyDescent="0.2">
      <c r="A2176" s="6">
        <f ca="1">Model!$F$13+RAND()*(Model!$G$13-Model!$F$13)</f>
        <v>1224.2022034917845</v>
      </c>
      <c r="B2176" s="31">
        <f ca="1">Model!$F$14+RAND()*(Model!$G$14-Model!$F$14)</f>
        <v>0.76666586039795281</v>
      </c>
      <c r="C2176" s="32">
        <f ca="1">Model!$F$15+RAND()*(Model!$G$15-Model!$F$15)</f>
        <v>3.8630469711180254E-2</v>
      </c>
      <c r="D2176" s="33">
        <f ca="1">Model!$F$16+RAND()*(Model!$G$16-Model!$F$16)</f>
        <v>47.26761964608631</v>
      </c>
      <c r="E2176" s="33">
        <f>Model!$D$17</f>
        <v>800</v>
      </c>
      <c r="G2176" s="36">
        <f t="shared" ca="1" si="36"/>
        <v>496.80288918603219</v>
      </c>
    </row>
    <row r="2177" spans="1:7" x14ac:dyDescent="0.2">
      <c r="A2177" s="6">
        <f ca="1">Model!$F$13+RAND()*(Model!$G$13-Model!$F$13)</f>
        <v>1381.9571045690609</v>
      </c>
      <c r="B2177" s="31">
        <f ca="1">Model!$F$14+RAND()*(Model!$G$14-Model!$F$14)</f>
        <v>0.65360167045482265</v>
      </c>
      <c r="C2177" s="32">
        <f ca="1">Model!$F$15+RAND()*(Model!$G$15-Model!$F$15)</f>
        <v>4.2112219470901234E-2</v>
      </c>
      <c r="D2177" s="33">
        <f ca="1">Model!$F$16+RAND()*(Model!$G$16-Model!$F$16)</f>
        <v>52.34856269707295</v>
      </c>
      <c r="E2177" s="33">
        <f>Model!$D$17</f>
        <v>800</v>
      </c>
      <c r="G2177" s="36">
        <f t="shared" ca="1" si="36"/>
        <v>1343.2945352681727</v>
      </c>
    </row>
    <row r="2178" spans="1:7" x14ac:dyDescent="0.2">
      <c r="A2178" s="6">
        <f ca="1">Model!$F$13+RAND()*(Model!$G$13-Model!$F$13)</f>
        <v>1464.1209461130918</v>
      </c>
      <c r="B2178" s="31">
        <f ca="1">Model!$F$14+RAND()*(Model!$G$14-Model!$F$14)</f>
        <v>0.54420538167584254</v>
      </c>
      <c r="C2178" s="32">
        <f ca="1">Model!$F$15+RAND()*(Model!$G$15-Model!$F$15)</f>
        <v>2.9086087080981309E-2</v>
      </c>
      <c r="D2178" s="33">
        <f ca="1">Model!$F$16+RAND()*(Model!$G$16-Model!$F$16)</f>
        <v>48.366592997680506</v>
      </c>
      <c r="E2178" s="33">
        <f>Model!$D$17</f>
        <v>800</v>
      </c>
      <c r="G2178" s="36">
        <f t="shared" ca="1" si="36"/>
        <v>462.93543400502517</v>
      </c>
    </row>
    <row r="2179" spans="1:7" x14ac:dyDescent="0.2">
      <c r="A2179" s="6">
        <f ca="1">Model!$F$13+RAND()*(Model!$G$13-Model!$F$13)</f>
        <v>1268.6840047999681</v>
      </c>
      <c r="B2179" s="31">
        <f ca="1">Model!$F$14+RAND()*(Model!$G$14-Model!$F$14)</f>
        <v>0.7274443190957709</v>
      </c>
      <c r="C2179" s="32">
        <f ca="1">Model!$F$15+RAND()*(Model!$G$15-Model!$F$15)</f>
        <v>2.8418006618446907E-2</v>
      </c>
      <c r="D2179" s="33">
        <f ca="1">Model!$F$16+RAND()*(Model!$G$16-Model!$F$16)</f>
        <v>52.753052647327642</v>
      </c>
      <c r="E2179" s="33">
        <f>Model!$D$17</f>
        <v>800</v>
      </c>
      <c r="G2179" s="36">
        <f t="shared" ca="1" si="36"/>
        <v>179.03365249104809</v>
      </c>
    </row>
    <row r="2180" spans="1:7" x14ac:dyDescent="0.2">
      <c r="A2180" s="6">
        <f ca="1">Model!$F$13+RAND()*(Model!$G$13-Model!$F$13)</f>
        <v>1506.6182918963927</v>
      </c>
      <c r="B2180" s="31">
        <f ca="1">Model!$F$14+RAND()*(Model!$G$14-Model!$F$14)</f>
        <v>0.24329365366332772</v>
      </c>
      <c r="C2180" s="32">
        <f ca="1">Model!$F$15+RAND()*(Model!$G$15-Model!$F$15)</f>
        <v>2.2082629372171061E-2</v>
      </c>
      <c r="D2180" s="33">
        <f ca="1">Model!$F$16+RAND()*(Model!$G$16-Model!$F$16)</f>
        <v>51.055166059664117</v>
      </c>
      <c r="E2180" s="33">
        <f>Model!$D$17</f>
        <v>800</v>
      </c>
      <c r="G2180" s="36">
        <f t="shared" ca="1" si="36"/>
        <v>532.05947165239627</v>
      </c>
    </row>
    <row r="2181" spans="1:7" x14ac:dyDescent="0.2">
      <c r="A2181" s="6">
        <f ca="1">Model!$F$13+RAND()*(Model!$G$13-Model!$F$13)</f>
        <v>1576.0456241444299</v>
      </c>
      <c r="B2181" s="31">
        <f ca="1">Model!$F$14+RAND()*(Model!$G$14-Model!$F$14)</f>
        <v>0.59653443821739005</v>
      </c>
      <c r="C2181" s="32">
        <f ca="1">Model!$F$15+RAND()*(Model!$G$15-Model!$F$15)</f>
        <v>3.7650593544199702E-2</v>
      </c>
      <c r="D2181" s="33">
        <f ca="1">Model!$F$16+RAND()*(Model!$G$16-Model!$F$16)</f>
        <v>49.786182776198281</v>
      </c>
      <c r="E2181" s="33">
        <f>Model!$D$17</f>
        <v>800</v>
      </c>
      <c r="G2181" s="36">
        <f t="shared" ca="1" si="36"/>
        <v>1214.0994574662236</v>
      </c>
    </row>
    <row r="2182" spans="1:7" x14ac:dyDescent="0.2">
      <c r="A2182" s="6">
        <f ca="1">Model!$F$13+RAND()*(Model!$G$13-Model!$F$13)</f>
        <v>1608.0254277262234</v>
      </c>
      <c r="B2182" s="31">
        <f ca="1">Model!$F$14+RAND()*(Model!$G$14-Model!$F$14)</f>
        <v>0.23416587278026635</v>
      </c>
      <c r="C2182" s="32">
        <f ca="1">Model!$F$15+RAND()*(Model!$G$15-Model!$F$15)</f>
        <v>4.3213937860222131E-2</v>
      </c>
      <c r="D2182" s="33">
        <f ca="1">Model!$F$16+RAND()*(Model!$G$16-Model!$F$16)</f>
        <v>50.315462591750432</v>
      </c>
      <c r="E2182" s="33">
        <f>Model!$D$17</f>
        <v>800</v>
      </c>
      <c r="G2182" s="36">
        <f t="shared" ca="1" si="36"/>
        <v>2319.8320828610831</v>
      </c>
    </row>
    <row r="2183" spans="1:7" x14ac:dyDescent="0.2">
      <c r="A2183" s="6">
        <f ca="1">Model!$F$13+RAND()*(Model!$G$13-Model!$F$13)</f>
        <v>1326.990197291608</v>
      </c>
      <c r="B2183" s="31">
        <f ca="1">Model!$F$14+RAND()*(Model!$G$14-Model!$F$14)</f>
        <v>0.53333479039392362</v>
      </c>
      <c r="C2183" s="32">
        <f ca="1">Model!$F$15+RAND()*(Model!$G$15-Model!$F$15)</f>
        <v>2.6459373767760225E-2</v>
      </c>
      <c r="D2183" s="33">
        <f ca="1">Model!$F$16+RAND()*(Model!$G$16-Model!$F$16)</f>
        <v>47.885136724493307</v>
      </c>
      <c r="E2183" s="33">
        <f>Model!$D$17</f>
        <v>800</v>
      </c>
      <c r="G2183" s="36">
        <f t="shared" ca="1" si="36"/>
        <v>173.58078052760811</v>
      </c>
    </row>
    <row r="2184" spans="1:7" x14ac:dyDescent="0.2">
      <c r="A2184" s="6">
        <f ca="1">Model!$F$13+RAND()*(Model!$G$13-Model!$F$13)</f>
        <v>1735.1879983856716</v>
      </c>
      <c r="B2184" s="31">
        <f ca="1">Model!$F$14+RAND()*(Model!$G$14-Model!$F$14)</f>
        <v>0.24722935791437822</v>
      </c>
      <c r="C2184" s="32">
        <f ca="1">Model!$F$15+RAND()*(Model!$G$15-Model!$F$15)</f>
        <v>1.0925331147564528E-2</v>
      </c>
      <c r="D2184" s="33">
        <f ca="1">Model!$F$16+RAND()*(Model!$G$16-Model!$F$16)</f>
        <v>47.118131366358533</v>
      </c>
      <c r="E2184" s="33">
        <f>Model!$D$17</f>
        <v>800</v>
      </c>
      <c r="G2184" s="36">
        <f t="shared" ca="1" si="36"/>
        <v>-335.74727508689216</v>
      </c>
    </row>
    <row r="2185" spans="1:7" x14ac:dyDescent="0.2">
      <c r="A2185" s="6">
        <f ca="1">Model!$F$13+RAND()*(Model!$G$13-Model!$F$13)</f>
        <v>1549.397639785238</v>
      </c>
      <c r="B2185" s="31">
        <f ca="1">Model!$F$14+RAND()*(Model!$G$14-Model!$F$14)</f>
        <v>0.51580367258752646</v>
      </c>
      <c r="C2185" s="32">
        <f ca="1">Model!$F$15+RAND()*(Model!$G$15-Model!$F$15)</f>
        <v>4.8730307274180949E-2</v>
      </c>
      <c r="D2185" s="33">
        <f ca="1">Model!$F$16+RAND()*(Model!$G$16-Model!$F$16)</f>
        <v>52.275093479061489</v>
      </c>
      <c r="E2185" s="33">
        <f>Model!$D$17</f>
        <v>800</v>
      </c>
      <c r="G2185" s="36">
        <f t="shared" ca="1" si="36"/>
        <v>2347.721686345265</v>
      </c>
    </row>
    <row r="2186" spans="1:7" x14ac:dyDescent="0.2">
      <c r="A2186" s="6">
        <f ca="1">Model!$F$13+RAND()*(Model!$G$13-Model!$F$13)</f>
        <v>1592.1788813714638</v>
      </c>
      <c r="B2186" s="31">
        <f ca="1">Model!$F$14+RAND()*(Model!$G$14-Model!$F$14)</f>
        <v>0.43400184002957953</v>
      </c>
      <c r="C2186" s="32">
        <f ca="1">Model!$F$15+RAND()*(Model!$G$15-Model!$F$15)</f>
        <v>2.9799322958166244E-2</v>
      </c>
      <c r="D2186" s="33">
        <f ca="1">Model!$F$16+RAND()*(Model!$G$16-Model!$F$16)</f>
        <v>51.845690137573293</v>
      </c>
      <c r="E2186" s="33">
        <f>Model!$D$17</f>
        <v>800</v>
      </c>
      <c r="G2186" s="36">
        <f t="shared" ca="1" si="36"/>
        <v>968.85441287107346</v>
      </c>
    </row>
    <row r="2187" spans="1:7" x14ac:dyDescent="0.2">
      <c r="A2187" s="6">
        <f ca="1">Model!$F$13+RAND()*(Model!$G$13-Model!$F$13)</f>
        <v>1502.8916592033345</v>
      </c>
      <c r="B2187" s="31">
        <f ca="1">Model!$F$14+RAND()*(Model!$G$14-Model!$F$14)</f>
        <v>0.75233095575977726</v>
      </c>
      <c r="C2187" s="32">
        <f ca="1">Model!$F$15+RAND()*(Model!$G$15-Model!$F$15)</f>
        <v>2.7770412689710595E-2</v>
      </c>
      <c r="D2187" s="33">
        <f ca="1">Model!$F$16+RAND()*(Model!$G$16-Model!$F$16)</f>
        <v>47.014544968987494</v>
      </c>
      <c r="E2187" s="33">
        <f>Model!$D$17</f>
        <v>800</v>
      </c>
      <c r="G2187" s="36">
        <f t="shared" ca="1" si="36"/>
        <v>31.523444701575499</v>
      </c>
    </row>
    <row r="2188" spans="1:7" x14ac:dyDescent="0.2">
      <c r="A2188" s="6">
        <f ca="1">Model!$F$13+RAND()*(Model!$G$13-Model!$F$13)</f>
        <v>1370.5336860451298</v>
      </c>
      <c r="B2188" s="31">
        <f ca="1">Model!$F$14+RAND()*(Model!$G$14-Model!$F$14)</f>
        <v>0.55775410183380969</v>
      </c>
      <c r="C2188" s="32">
        <f ca="1">Model!$F$15+RAND()*(Model!$G$15-Model!$F$15)</f>
        <v>1.0817124307788011E-2</v>
      </c>
      <c r="D2188" s="33">
        <f ca="1">Model!$F$16+RAND()*(Model!$G$16-Model!$F$16)</f>
        <v>48.473780762334492</v>
      </c>
      <c r="E2188" s="33">
        <f>Model!$D$17</f>
        <v>800</v>
      </c>
      <c r="G2188" s="36">
        <f t="shared" ca="1" si="36"/>
        <v>-845.78567878399713</v>
      </c>
    </row>
    <row r="2189" spans="1:7" x14ac:dyDescent="0.2">
      <c r="A2189" s="6">
        <f ca="1">Model!$F$13+RAND()*(Model!$G$13-Model!$F$13)</f>
        <v>1380.8479540134053</v>
      </c>
      <c r="B2189" s="31">
        <f ca="1">Model!$F$14+RAND()*(Model!$G$14-Model!$F$14)</f>
        <v>0.46774475026327089</v>
      </c>
      <c r="C2189" s="32">
        <f ca="1">Model!$F$15+RAND()*(Model!$G$15-Model!$F$15)</f>
        <v>4.9690892841149213E-2</v>
      </c>
      <c r="D2189" s="33">
        <f ca="1">Model!$F$16+RAND()*(Model!$G$16-Model!$F$16)</f>
        <v>49.106272456105032</v>
      </c>
      <c r="E2189" s="33">
        <f>Model!$D$17</f>
        <v>800</v>
      </c>
      <c r="G2189" s="36">
        <f t="shared" ca="1" si="36"/>
        <v>1923.5703814335441</v>
      </c>
    </row>
    <row r="2190" spans="1:7" x14ac:dyDescent="0.2">
      <c r="A2190" s="6">
        <f ca="1">Model!$F$13+RAND()*(Model!$G$13-Model!$F$13)</f>
        <v>1678.3709856969094</v>
      </c>
      <c r="B2190" s="31">
        <f ca="1">Model!$F$14+RAND()*(Model!$G$14-Model!$F$14)</f>
        <v>0.48022690944497076</v>
      </c>
      <c r="C2190" s="32">
        <f ca="1">Model!$F$15+RAND()*(Model!$G$15-Model!$F$15)</f>
        <v>3.9520365027054256E-2</v>
      </c>
      <c r="D2190" s="33">
        <f ca="1">Model!$F$16+RAND()*(Model!$G$16-Model!$F$16)</f>
        <v>48.001373748094345</v>
      </c>
      <c r="E2190" s="33">
        <f>Model!$D$17</f>
        <v>800</v>
      </c>
      <c r="G2190" s="36">
        <f t="shared" ca="1" si="36"/>
        <v>1577.9242413865459</v>
      </c>
    </row>
    <row r="2191" spans="1:7" x14ac:dyDescent="0.2">
      <c r="A2191" s="6">
        <f ca="1">Model!$F$13+RAND()*(Model!$G$13-Model!$F$13)</f>
        <v>1797.8279437920673</v>
      </c>
      <c r="B2191" s="31">
        <f ca="1">Model!$F$14+RAND()*(Model!$G$14-Model!$F$14)</f>
        <v>0.21001516089148667</v>
      </c>
      <c r="C2191" s="32">
        <f ca="1">Model!$F$15+RAND()*(Model!$G$15-Model!$F$15)</f>
        <v>3.4434990659429336E-2</v>
      </c>
      <c r="D2191" s="33">
        <f ca="1">Model!$F$16+RAND()*(Model!$G$16-Model!$F$16)</f>
        <v>50.139500875919161</v>
      </c>
      <c r="E2191" s="33">
        <f>Model!$D$17</f>
        <v>800</v>
      </c>
      <c r="G2191" s="36">
        <f t="shared" ca="1" si="36"/>
        <v>1926.4745442319295</v>
      </c>
    </row>
    <row r="2192" spans="1:7" x14ac:dyDescent="0.2">
      <c r="A2192" s="6">
        <f ca="1">Model!$F$13+RAND()*(Model!$G$13-Model!$F$13)</f>
        <v>1431.9719506806864</v>
      </c>
      <c r="B2192" s="31">
        <f ca="1">Model!$F$14+RAND()*(Model!$G$14-Model!$F$14)</f>
        <v>0.75253930174301198</v>
      </c>
      <c r="C2192" s="32">
        <f ca="1">Model!$F$15+RAND()*(Model!$G$15-Model!$F$15)</f>
        <v>4.4592099772366105E-2</v>
      </c>
      <c r="D2192" s="33">
        <f ca="1">Model!$F$16+RAND()*(Model!$G$16-Model!$F$16)</f>
        <v>52.310531690232793</v>
      </c>
      <c r="E2192" s="33">
        <f>Model!$D$17</f>
        <v>800</v>
      </c>
      <c r="G2192" s="36">
        <f t="shared" ca="1" si="36"/>
        <v>1462.6547931863727</v>
      </c>
    </row>
    <row r="2193" spans="1:7" x14ac:dyDescent="0.2">
      <c r="A2193" s="6">
        <f ca="1">Model!$F$13+RAND()*(Model!$G$13-Model!$F$13)</f>
        <v>1483.1492671918459</v>
      </c>
      <c r="B2193" s="31">
        <f ca="1">Model!$F$14+RAND()*(Model!$G$14-Model!$F$14)</f>
        <v>0.4151009017998627</v>
      </c>
      <c r="C2193" s="32">
        <f ca="1">Model!$F$15+RAND()*(Model!$G$15-Model!$F$15)</f>
        <v>2.1134151161787518E-2</v>
      </c>
      <c r="D2193" s="33">
        <f ca="1">Model!$F$16+RAND()*(Model!$G$16-Model!$F$16)</f>
        <v>50.283493173442999</v>
      </c>
      <c r="E2193" s="33">
        <f>Model!$D$17</f>
        <v>800</v>
      </c>
      <c r="G2193" s="36">
        <f t="shared" ca="1" si="36"/>
        <v>160.48456420124512</v>
      </c>
    </row>
    <row r="2194" spans="1:7" x14ac:dyDescent="0.2">
      <c r="A2194" s="6">
        <f ca="1">Model!$F$13+RAND()*(Model!$G$13-Model!$F$13)</f>
        <v>1552.0081641931865</v>
      </c>
      <c r="B2194" s="31">
        <f ca="1">Model!$F$14+RAND()*(Model!$G$14-Model!$F$14)</f>
        <v>0.32533586173063067</v>
      </c>
      <c r="C2194" s="32">
        <f ca="1">Model!$F$15+RAND()*(Model!$G$15-Model!$F$15)</f>
        <v>2.2626996920473635E-2</v>
      </c>
      <c r="D2194" s="33">
        <f ca="1">Model!$F$16+RAND()*(Model!$G$16-Model!$F$16)</f>
        <v>48.71591236270794</v>
      </c>
      <c r="E2194" s="33">
        <f>Model!$D$17</f>
        <v>800</v>
      </c>
      <c r="G2194" s="36">
        <f t="shared" ca="1" si="36"/>
        <v>405.84661389897815</v>
      </c>
    </row>
    <row r="2195" spans="1:7" x14ac:dyDescent="0.2">
      <c r="A2195" s="6">
        <f ca="1">Model!$F$13+RAND()*(Model!$G$13-Model!$F$13)</f>
        <v>1311.890501219694</v>
      </c>
      <c r="B2195" s="31">
        <f ca="1">Model!$F$14+RAND()*(Model!$G$14-Model!$F$14)</f>
        <v>0.64893284619630509</v>
      </c>
      <c r="C2195" s="32">
        <f ca="1">Model!$F$15+RAND()*(Model!$G$15-Model!$F$15)</f>
        <v>2.4760077216306686E-2</v>
      </c>
      <c r="D2195" s="33">
        <f ca="1">Model!$F$16+RAND()*(Model!$G$16-Model!$F$16)</f>
        <v>51.17988059915772</v>
      </c>
      <c r="E2195" s="33">
        <f>Model!$D$17</f>
        <v>800</v>
      </c>
      <c r="G2195" s="36">
        <f t="shared" ca="1" si="36"/>
        <v>11.12215211274156</v>
      </c>
    </row>
    <row r="2196" spans="1:7" x14ac:dyDescent="0.2">
      <c r="A2196" s="6">
        <f ca="1">Model!$F$13+RAND()*(Model!$G$13-Model!$F$13)</f>
        <v>1337.5699126320269</v>
      </c>
      <c r="B2196" s="31">
        <f ca="1">Model!$F$14+RAND()*(Model!$G$14-Model!$F$14)</f>
        <v>0.74730192480316626</v>
      </c>
      <c r="C2196" s="32">
        <f ca="1">Model!$F$15+RAND()*(Model!$G$15-Model!$F$15)</f>
        <v>2.4099609497691465E-2</v>
      </c>
      <c r="D2196" s="33">
        <f ca="1">Model!$F$16+RAND()*(Model!$G$16-Model!$F$16)</f>
        <v>47.831026151203218</v>
      </c>
      <c r="E2196" s="33">
        <f>Model!$D$17</f>
        <v>800</v>
      </c>
      <c r="G2196" s="36">
        <f t="shared" ca="1" si="36"/>
        <v>-257.739624137276</v>
      </c>
    </row>
    <row r="2197" spans="1:7" x14ac:dyDescent="0.2">
      <c r="A2197" s="6">
        <f ca="1">Model!$F$13+RAND()*(Model!$G$13-Model!$F$13)</f>
        <v>1685.8380105830036</v>
      </c>
      <c r="B2197" s="31">
        <f ca="1">Model!$F$14+RAND()*(Model!$G$14-Model!$F$14)</f>
        <v>0.66333168368603879</v>
      </c>
      <c r="C2197" s="32">
        <f ca="1">Model!$F$15+RAND()*(Model!$G$15-Model!$F$15)</f>
        <v>2.7134720099094588E-2</v>
      </c>
      <c r="D2197" s="33">
        <f ca="1">Model!$F$16+RAND()*(Model!$G$16-Model!$F$16)</f>
        <v>47.22451341556107</v>
      </c>
      <c r="E2197" s="33">
        <f>Model!$D$17</f>
        <v>800</v>
      </c>
      <c r="G2197" s="36">
        <f t="shared" ca="1" si="36"/>
        <v>242.00344224228343</v>
      </c>
    </row>
    <row r="2198" spans="1:7" x14ac:dyDescent="0.2">
      <c r="A2198" s="6">
        <f ca="1">Model!$F$13+RAND()*(Model!$G$13-Model!$F$13)</f>
        <v>1547.8657922623722</v>
      </c>
      <c r="B2198" s="31">
        <f ca="1">Model!$F$14+RAND()*(Model!$G$14-Model!$F$14)</f>
        <v>0.41084837833447196</v>
      </c>
      <c r="C2198" s="32">
        <f ca="1">Model!$F$15+RAND()*(Model!$G$15-Model!$F$15)</f>
        <v>4.2714856667808693E-2</v>
      </c>
      <c r="D2198" s="33">
        <f ca="1">Model!$F$16+RAND()*(Model!$G$16-Model!$F$16)</f>
        <v>50.29585851215861</v>
      </c>
      <c r="E2198" s="33">
        <f>Model!$D$17</f>
        <v>800</v>
      </c>
      <c r="G2198" s="36">
        <f t="shared" ca="1" si="36"/>
        <v>1889.4663596870148</v>
      </c>
    </row>
    <row r="2199" spans="1:7" x14ac:dyDescent="0.2">
      <c r="A2199" s="6">
        <f ca="1">Model!$F$13+RAND()*(Model!$G$13-Model!$F$13)</f>
        <v>1486.0102002103833</v>
      </c>
      <c r="B2199" s="31">
        <f ca="1">Model!$F$14+RAND()*(Model!$G$14-Model!$F$14)</f>
        <v>0.3422558586704838</v>
      </c>
      <c r="C2199" s="32">
        <f ca="1">Model!$F$15+RAND()*(Model!$G$15-Model!$F$15)</f>
        <v>4.0358672846140413E-2</v>
      </c>
      <c r="D2199" s="33">
        <f ca="1">Model!$F$16+RAND()*(Model!$G$16-Model!$F$16)</f>
        <v>48.761432973752783</v>
      </c>
      <c r="E2199" s="33">
        <f>Model!$D$17</f>
        <v>800</v>
      </c>
      <c r="G2199" s="36">
        <f t="shared" ca="1" si="36"/>
        <v>1615.7932036569587</v>
      </c>
    </row>
    <row r="2200" spans="1:7" x14ac:dyDescent="0.2">
      <c r="A2200" s="6">
        <f ca="1">Model!$F$13+RAND()*(Model!$G$13-Model!$F$13)</f>
        <v>1439.1673291672089</v>
      </c>
      <c r="B2200" s="31">
        <f ca="1">Model!$F$14+RAND()*(Model!$G$14-Model!$F$14)</f>
        <v>0.32535498667939144</v>
      </c>
      <c r="C2200" s="32">
        <f ca="1">Model!$F$15+RAND()*(Model!$G$15-Model!$F$15)</f>
        <v>3.3420077612827268E-2</v>
      </c>
      <c r="D2200" s="33">
        <f ca="1">Model!$F$16+RAND()*(Model!$G$16-Model!$F$16)</f>
        <v>50.549650008443152</v>
      </c>
      <c r="E2200" s="33">
        <f>Model!$D$17</f>
        <v>800</v>
      </c>
      <c r="G2200" s="36">
        <f t="shared" ca="1" si="36"/>
        <v>1163.0504872580445</v>
      </c>
    </row>
    <row r="2201" spans="1:7" x14ac:dyDescent="0.2">
      <c r="A2201" s="6">
        <f ca="1">Model!$F$13+RAND()*(Model!$G$13-Model!$F$13)</f>
        <v>1203.1835690007206</v>
      </c>
      <c r="B2201" s="31">
        <f ca="1">Model!$F$14+RAND()*(Model!$G$14-Model!$F$14)</f>
        <v>0.30116401872558757</v>
      </c>
      <c r="C2201" s="32">
        <f ca="1">Model!$F$15+RAND()*(Model!$G$15-Model!$F$15)</f>
        <v>4.1180213543560301E-2</v>
      </c>
      <c r="D2201" s="33">
        <f ca="1">Model!$F$16+RAND()*(Model!$G$16-Model!$F$16)</f>
        <v>52.786048857706533</v>
      </c>
      <c r="E2201" s="33">
        <f>Model!$D$17</f>
        <v>800</v>
      </c>
      <c r="G2201" s="36">
        <f t="shared" ca="1" si="36"/>
        <v>1453.0535717046741</v>
      </c>
    </row>
    <row r="2202" spans="1:7" x14ac:dyDescent="0.2">
      <c r="A2202" s="6">
        <f ca="1">Model!$F$13+RAND()*(Model!$G$13-Model!$F$13)</f>
        <v>1519.5566051215644</v>
      </c>
      <c r="B2202" s="31">
        <f ca="1">Model!$F$14+RAND()*(Model!$G$14-Model!$F$14)</f>
        <v>0.67597059286161376</v>
      </c>
      <c r="C2202" s="32">
        <f ca="1">Model!$F$15+RAND()*(Model!$G$15-Model!$F$15)</f>
        <v>1.796570502078295E-2</v>
      </c>
      <c r="D2202" s="33">
        <f ca="1">Model!$F$16+RAND()*(Model!$G$16-Model!$F$16)</f>
        <v>51.383180271355634</v>
      </c>
      <c r="E2202" s="33">
        <f>Model!$D$17</f>
        <v>800</v>
      </c>
      <c r="G2202" s="36">
        <f t="shared" ca="1" si="36"/>
        <v>-424.4196017353861</v>
      </c>
    </row>
    <row r="2203" spans="1:7" x14ac:dyDescent="0.2">
      <c r="A2203" s="6">
        <f ca="1">Model!$F$13+RAND()*(Model!$G$13-Model!$F$13)</f>
        <v>1363.2596099832931</v>
      </c>
      <c r="B2203" s="31">
        <f ca="1">Model!$F$14+RAND()*(Model!$G$14-Model!$F$14)</f>
        <v>0.35464689991746967</v>
      </c>
      <c r="C2203" s="32">
        <f ca="1">Model!$F$15+RAND()*(Model!$G$15-Model!$F$15)</f>
        <v>4.0190078471264372E-2</v>
      </c>
      <c r="D2203" s="33">
        <f ca="1">Model!$F$16+RAND()*(Model!$G$16-Model!$F$16)</f>
        <v>47.967233042332474</v>
      </c>
      <c r="E2203" s="33">
        <f>Model!$D$17</f>
        <v>800</v>
      </c>
      <c r="G2203" s="36">
        <f t="shared" ca="1" si="36"/>
        <v>1344.6254336517545</v>
      </c>
    </row>
    <row r="2204" spans="1:7" x14ac:dyDescent="0.2">
      <c r="A2204" s="6">
        <f ca="1">Model!$F$13+RAND()*(Model!$G$13-Model!$F$13)</f>
        <v>1719.2983542204811</v>
      </c>
      <c r="B2204" s="31">
        <f ca="1">Model!$F$14+RAND()*(Model!$G$14-Model!$F$14)</f>
        <v>0.33694156139449982</v>
      </c>
      <c r="C2204" s="32">
        <f ca="1">Model!$F$15+RAND()*(Model!$G$15-Model!$F$15)</f>
        <v>4.5258857545687828E-2</v>
      </c>
      <c r="D2204" s="33">
        <f ca="1">Model!$F$16+RAND()*(Model!$G$16-Model!$F$16)</f>
        <v>50.97068602839343</v>
      </c>
      <c r="E2204" s="33">
        <f>Model!$D$17</f>
        <v>800</v>
      </c>
      <c r="G2204" s="36">
        <f t="shared" ca="1" si="36"/>
        <v>2586.9033498055919</v>
      </c>
    </row>
    <row r="2205" spans="1:7" x14ac:dyDescent="0.2">
      <c r="A2205" s="6">
        <f ca="1">Model!$F$13+RAND()*(Model!$G$13-Model!$F$13)</f>
        <v>1584.2478124686049</v>
      </c>
      <c r="B2205" s="31">
        <f ca="1">Model!$F$14+RAND()*(Model!$G$14-Model!$F$14)</f>
        <v>0.35691876796072985</v>
      </c>
      <c r="C2205" s="32">
        <f ca="1">Model!$F$15+RAND()*(Model!$G$15-Model!$F$15)</f>
        <v>1.4194739227392304E-2</v>
      </c>
      <c r="D2205" s="33">
        <f ca="1">Model!$F$16+RAND()*(Model!$G$16-Model!$F$16)</f>
        <v>51.783387914551305</v>
      </c>
      <c r="E2205" s="33">
        <f>Model!$D$17</f>
        <v>800</v>
      </c>
      <c r="G2205" s="36">
        <f t="shared" ca="1" si="36"/>
        <v>-200.94374898888123</v>
      </c>
    </row>
    <row r="2206" spans="1:7" x14ac:dyDescent="0.2">
      <c r="A2206" s="6">
        <f ca="1">Model!$F$13+RAND()*(Model!$G$13-Model!$F$13)</f>
        <v>1757.1006774499779</v>
      </c>
      <c r="B2206" s="31">
        <f ca="1">Model!$F$14+RAND()*(Model!$G$14-Model!$F$14)</f>
        <v>0.75305288417893967</v>
      </c>
      <c r="C2206" s="32">
        <f ca="1">Model!$F$15+RAND()*(Model!$G$15-Model!$F$15)</f>
        <v>2.1167987091829415E-2</v>
      </c>
      <c r="D2206" s="33">
        <f ca="1">Model!$F$16+RAND()*(Model!$G$16-Model!$F$16)</f>
        <v>48.648133330533639</v>
      </c>
      <c r="E2206" s="33">
        <f>Model!$D$17</f>
        <v>800</v>
      </c>
      <c r="G2206" s="36">
        <f t="shared" ca="1" si="36"/>
        <v>-313.75722343636835</v>
      </c>
    </row>
    <row r="2207" spans="1:7" x14ac:dyDescent="0.2">
      <c r="A2207" s="6">
        <f ca="1">Model!$F$13+RAND()*(Model!$G$13-Model!$F$13)</f>
        <v>1441.1231493728285</v>
      </c>
      <c r="B2207" s="31">
        <f ca="1">Model!$F$14+RAND()*(Model!$G$14-Model!$F$14)</f>
        <v>0.20544369044604105</v>
      </c>
      <c r="C2207" s="32">
        <f ca="1">Model!$F$15+RAND()*(Model!$G$15-Model!$F$15)</f>
        <v>1.3814502703305895E-2</v>
      </c>
      <c r="D2207" s="33">
        <f ca="1">Model!$F$16+RAND()*(Model!$G$16-Model!$F$16)</f>
        <v>50.918719006383306</v>
      </c>
      <c r="E2207" s="33">
        <f>Model!$D$17</f>
        <v>800</v>
      </c>
      <c r="G2207" s="36">
        <f t="shared" ca="1" si="36"/>
        <v>-82.359450915471029</v>
      </c>
    </row>
    <row r="2208" spans="1:7" x14ac:dyDescent="0.2">
      <c r="A2208" s="6">
        <f ca="1">Model!$F$13+RAND()*(Model!$G$13-Model!$F$13)</f>
        <v>1646.9388117662481</v>
      </c>
      <c r="B2208" s="31">
        <f ca="1">Model!$F$14+RAND()*(Model!$G$14-Model!$F$14)</f>
        <v>0.53303480525364799</v>
      </c>
      <c r="C2208" s="32">
        <f ca="1">Model!$F$15+RAND()*(Model!$G$15-Model!$F$15)</f>
        <v>1.5114480794113434E-2</v>
      </c>
      <c r="D2208" s="33">
        <f ca="1">Model!$F$16+RAND()*(Model!$G$16-Model!$F$16)</f>
        <v>50.590330158366569</v>
      </c>
      <c r="E2208" s="33">
        <f>Model!$D$17</f>
        <v>800</v>
      </c>
      <c r="G2208" s="36">
        <f t="shared" ca="1" si="36"/>
        <v>-418.54958953670848</v>
      </c>
    </row>
    <row r="2209" spans="1:7" x14ac:dyDescent="0.2">
      <c r="A2209" s="6">
        <f ca="1">Model!$F$13+RAND()*(Model!$G$13-Model!$F$13)</f>
        <v>1640.1650474818616</v>
      </c>
      <c r="B2209" s="31">
        <f ca="1">Model!$F$14+RAND()*(Model!$G$14-Model!$F$14)</f>
        <v>0.50236553942648365</v>
      </c>
      <c r="C2209" s="32">
        <f ca="1">Model!$F$15+RAND()*(Model!$G$15-Model!$F$15)</f>
        <v>2.063324909546483E-2</v>
      </c>
      <c r="D2209" s="33">
        <f ca="1">Model!$F$16+RAND()*(Model!$G$16-Model!$F$16)</f>
        <v>50.429132446949801</v>
      </c>
      <c r="E2209" s="33">
        <f>Model!$D$17</f>
        <v>800</v>
      </c>
      <c r="G2209" s="36">
        <f t="shared" ca="1" si="36"/>
        <v>82.656972231085547</v>
      </c>
    </row>
    <row r="2210" spans="1:7" x14ac:dyDescent="0.2">
      <c r="A2210" s="6">
        <f ca="1">Model!$F$13+RAND()*(Model!$G$13-Model!$F$13)</f>
        <v>1612.702249611214</v>
      </c>
      <c r="B2210" s="31">
        <f ca="1">Model!$F$14+RAND()*(Model!$G$14-Model!$F$14)</f>
        <v>0.70049782275727202</v>
      </c>
      <c r="C2210" s="32">
        <f ca="1">Model!$F$15+RAND()*(Model!$G$15-Model!$F$15)</f>
        <v>4.7298433405873593E-2</v>
      </c>
      <c r="D2210" s="33">
        <f ca="1">Model!$F$16+RAND()*(Model!$G$16-Model!$F$16)</f>
        <v>52.510677948764553</v>
      </c>
      <c r="E2210" s="33">
        <f>Model!$D$17</f>
        <v>800</v>
      </c>
      <c r="G2210" s="36">
        <f t="shared" ca="1" si="36"/>
        <v>2075.7303037923684</v>
      </c>
    </row>
    <row r="2211" spans="1:7" x14ac:dyDescent="0.2">
      <c r="A2211" s="6">
        <f ca="1">Model!$F$13+RAND()*(Model!$G$13-Model!$F$13)</f>
        <v>1722.078615044592</v>
      </c>
      <c r="B2211" s="31">
        <f ca="1">Model!$F$14+RAND()*(Model!$G$14-Model!$F$14)</f>
        <v>0.39849175713652807</v>
      </c>
      <c r="C2211" s="32">
        <f ca="1">Model!$F$15+RAND()*(Model!$G$15-Model!$F$15)</f>
        <v>3.7199736422281221E-2</v>
      </c>
      <c r="D2211" s="33">
        <f ca="1">Model!$F$16+RAND()*(Model!$G$16-Model!$F$16)</f>
        <v>47.960145078167812</v>
      </c>
      <c r="E2211" s="33">
        <f>Model!$D$17</f>
        <v>800</v>
      </c>
      <c r="G2211" s="36">
        <f t="shared" ca="1" si="36"/>
        <v>1586.1345135233332</v>
      </c>
    </row>
    <row r="2212" spans="1:7" x14ac:dyDescent="0.2">
      <c r="A2212" s="6">
        <f ca="1">Model!$F$13+RAND()*(Model!$G$13-Model!$F$13)</f>
        <v>1246.0893258020301</v>
      </c>
      <c r="B2212" s="31">
        <f ca="1">Model!$F$14+RAND()*(Model!$G$14-Model!$F$14)</f>
        <v>0.64298683065195716</v>
      </c>
      <c r="C2212" s="32">
        <f ca="1">Model!$F$15+RAND()*(Model!$G$15-Model!$F$15)</f>
        <v>1.1654872234759171E-2</v>
      </c>
      <c r="D2212" s="33">
        <f ca="1">Model!$F$16+RAND()*(Model!$G$16-Model!$F$16)</f>
        <v>47.874223640796217</v>
      </c>
      <c r="E2212" s="33">
        <f>Model!$D$17</f>
        <v>800</v>
      </c>
      <c r="G2212" s="36">
        <f t="shared" ca="1" si="36"/>
        <v>-905.94110737093717</v>
      </c>
    </row>
    <row r="2213" spans="1:7" x14ac:dyDescent="0.2">
      <c r="A2213" s="6">
        <f ca="1">Model!$F$13+RAND()*(Model!$G$13-Model!$F$13)</f>
        <v>1544.7912252623064</v>
      </c>
      <c r="B2213" s="31">
        <f ca="1">Model!$F$14+RAND()*(Model!$G$14-Model!$F$14)</f>
        <v>0.58939229063825316</v>
      </c>
      <c r="C2213" s="32">
        <f ca="1">Model!$F$15+RAND()*(Model!$G$15-Model!$F$15)</f>
        <v>4.784350667261935E-2</v>
      </c>
      <c r="D2213" s="33">
        <f ca="1">Model!$F$16+RAND()*(Model!$G$16-Model!$F$16)</f>
        <v>47.558043681152739</v>
      </c>
      <c r="E2213" s="33">
        <f>Model!$D$17</f>
        <v>800</v>
      </c>
      <c r="G2213" s="36">
        <f t="shared" ca="1" si="36"/>
        <v>1804.442758328405</v>
      </c>
    </row>
    <row r="2214" spans="1:7" x14ac:dyDescent="0.2">
      <c r="A2214" s="6">
        <f ca="1">Model!$F$13+RAND()*(Model!$G$13-Model!$F$13)</f>
        <v>1364.083470230775</v>
      </c>
      <c r="B2214" s="31">
        <f ca="1">Model!$F$14+RAND()*(Model!$G$14-Model!$F$14)</f>
        <v>0.22502846817160732</v>
      </c>
      <c r="C2214" s="32">
        <f ca="1">Model!$F$15+RAND()*(Model!$G$15-Model!$F$15)</f>
        <v>3.5588887784630326E-2</v>
      </c>
      <c r="D2214" s="33">
        <f ca="1">Model!$F$16+RAND()*(Model!$G$16-Model!$F$16)</f>
        <v>52.743054064664719</v>
      </c>
      <c r="E2214" s="33">
        <f>Model!$D$17</f>
        <v>800</v>
      </c>
      <c r="G2214" s="36">
        <f t="shared" ca="1" si="36"/>
        <v>1453.5179521862779</v>
      </c>
    </row>
    <row r="2215" spans="1:7" x14ac:dyDescent="0.2">
      <c r="A2215" s="6">
        <f ca="1">Model!$F$13+RAND()*(Model!$G$13-Model!$F$13)</f>
        <v>1646.1568059370725</v>
      </c>
      <c r="B2215" s="31">
        <f ca="1">Model!$F$14+RAND()*(Model!$G$14-Model!$F$14)</f>
        <v>0.21838935789126712</v>
      </c>
      <c r="C2215" s="32">
        <f ca="1">Model!$F$15+RAND()*(Model!$G$15-Model!$F$15)</f>
        <v>1.6181210506482534E-2</v>
      </c>
      <c r="D2215" s="33">
        <f ca="1">Model!$F$16+RAND()*(Model!$G$16-Model!$F$16)</f>
        <v>48.81994896746518</v>
      </c>
      <c r="E2215" s="33">
        <f>Model!$D$17</f>
        <v>800</v>
      </c>
      <c r="G2215" s="36">
        <f t="shared" ca="1" si="36"/>
        <v>140.90456742828883</v>
      </c>
    </row>
    <row r="2216" spans="1:7" x14ac:dyDescent="0.2">
      <c r="A2216" s="6">
        <f ca="1">Model!$F$13+RAND()*(Model!$G$13-Model!$F$13)</f>
        <v>1565.6605270745129</v>
      </c>
      <c r="B2216" s="31">
        <f ca="1">Model!$F$14+RAND()*(Model!$G$14-Model!$F$14)</f>
        <v>0.28741460781236777</v>
      </c>
      <c r="C2216" s="32">
        <f ca="1">Model!$F$15+RAND()*(Model!$G$15-Model!$F$15)</f>
        <v>1.9537872229111186E-2</v>
      </c>
      <c r="D2216" s="33">
        <f ca="1">Model!$F$16+RAND()*(Model!$G$16-Model!$F$16)</f>
        <v>52.850187176700089</v>
      </c>
      <c r="E2216" s="33">
        <f>Model!$D$17</f>
        <v>800</v>
      </c>
      <c r="G2216" s="36">
        <f t="shared" ca="1" si="36"/>
        <v>366.67636062190718</v>
      </c>
    </row>
    <row r="2217" spans="1:7" x14ac:dyDescent="0.2">
      <c r="A2217" s="6">
        <f ca="1">Model!$F$13+RAND()*(Model!$G$13-Model!$F$13)</f>
        <v>1678.9716462730937</v>
      </c>
      <c r="B2217" s="31">
        <f ca="1">Model!$F$14+RAND()*(Model!$G$14-Model!$F$14)</f>
        <v>0.50003575027759906</v>
      </c>
      <c r="C2217" s="32">
        <f ca="1">Model!$F$15+RAND()*(Model!$G$15-Model!$F$15)</f>
        <v>1.1408104209227249E-2</v>
      </c>
      <c r="D2217" s="33">
        <f ca="1">Model!$F$16+RAND()*(Model!$G$16-Model!$F$16)</f>
        <v>52.270660695066695</v>
      </c>
      <c r="E2217" s="33">
        <f>Model!$D$17</f>
        <v>800</v>
      </c>
      <c r="G2217" s="36">
        <f t="shared" ref="G2217:G2280" ca="1" si="37">A2217*C2217*D2217-(E2217+A2217*B2217)</f>
        <v>-638.35970115517966</v>
      </c>
    </row>
    <row r="2218" spans="1:7" x14ac:dyDescent="0.2">
      <c r="A2218" s="6">
        <f ca="1">Model!$F$13+RAND()*(Model!$G$13-Model!$F$13)</f>
        <v>1550.3104700268914</v>
      </c>
      <c r="B2218" s="31">
        <f ca="1">Model!$F$14+RAND()*(Model!$G$14-Model!$F$14)</f>
        <v>0.60014449625619548</v>
      </c>
      <c r="C2218" s="32">
        <f ca="1">Model!$F$15+RAND()*(Model!$G$15-Model!$F$15)</f>
        <v>2.556236257022438E-2</v>
      </c>
      <c r="D2218" s="33">
        <f ca="1">Model!$F$16+RAND()*(Model!$G$16-Model!$F$16)</f>
        <v>47.876562524013934</v>
      </c>
      <c r="E2218" s="33">
        <f>Model!$D$17</f>
        <v>800</v>
      </c>
      <c r="G2218" s="36">
        <f t="shared" ca="1" si="37"/>
        <v>166.91864623228935</v>
      </c>
    </row>
    <row r="2219" spans="1:7" x14ac:dyDescent="0.2">
      <c r="A2219" s="6">
        <f ca="1">Model!$F$13+RAND()*(Model!$G$13-Model!$F$13)</f>
        <v>1421.3444617536254</v>
      </c>
      <c r="B2219" s="31">
        <f ca="1">Model!$F$14+RAND()*(Model!$G$14-Model!$F$14)</f>
        <v>0.2010007672173251</v>
      </c>
      <c r="C2219" s="32">
        <f ca="1">Model!$F$15+RAND()*(Model!$G$15-Model!$F$15)</f>
        <v>3.0603745646677075E-2</v>
      </c>
      <c r="D2219" s="33">
        <f ca="1">Model!$F$16+RAND()*(Model!$G$16-Model!$F$16)</f>
        <v>49.36877138615673</v>
      </c>
      <c r="E2219" s="33">
        <f>Model!$D$17</f>
        <v>800</v>
      </c>
      <c r="G2219" s="36">
        <f t="shared" ca="1" si="37"/>
        <v>1061.7744165211691</v>
      </c>
    </row>
    <row r="2220" spans="1:7" x14ac:dyDescent="0.2">
      <c r="A2220" s="6">
        <f ca="1">Model!$F$13+RAND()*(Model!$G$13-Model!$F$13)</f>
        <v>1756.1643667732046</v>
      </c>
      <c r="B2220" s="31">
        <f ca="1">Model!$F$14+RAND()*(Model!$G$14-Model!$F$14)</f>
        <v>0.2719650522100544</v>
      </c>
      <c r="C2220" s="32">
        <f ca="1">Model!$F$15+RAND()*(Model!$G$15-Model!$F$15)</f>
        <v>3.4430659621286101E-2</v>
      </c>
      <c r="D2220" s="33">
        <f ca="1">Model!$F$16+RAND()*(Model!$G$16-Model!$F$16)</f>
        <v>47.510238570464644</v>
      </c>
      <c r="E2220" s="33">
        <f>Model!$D$17</f>
        <v>800</v>
      </c>
      <c r="G2220" s="36">
        <f t="shared" ca="1" si="37"/>
        <v>1595.1338843453595</v>
      </c>
    </row>
    <row r="2221" spans="1:7" x14ac:dyDescent="0.2">
      <c r="A2221" s="6">
        <f ca="1">Model!$F$13+RAND()*(Model!$G$13-Model!$F$13)</f>
        <v>1206.9588200220901</v>
      </c>
      <c r="B2221" s="31">
        <f ca="1">Model!$F$14+RAND()*(Model!$G$14-Model!$F$14)</f>
        <v>0.43201770618135138</v>
      </c>
      <c r="C2221" s="32">
        <f ca="1">Model!$F$15+RAND()*(Model!$G$15-Model!$F$15)</f>
        <v>1.4489620201176777E-2</v>
      </c>
      <c r="D2221" s="33">
        <f ca="1">Model!$F$16+RAND()*(Model!$G$16-Model!$F$16)</f>
        <v>48.747320409965717</v>
      </c>
      <c r="E2221" s="33">
        <f>Model!$D$17</f>
        <v>800</v>
      </c>
      <c r="G2221" s="36">
        <f t="shared" ca="1" si="37"/>
        <v>-468.91616615309101</v>
      </c>
    </row>
    <row r="2222" spans="1:7" x14ac:dyDescent="0.2">
      <c r="A2222" s="6">
        <f ca="1">Model!$F$13+RAND()*(Model!$G$13-Model!$F$13)</f>
        <v>1203.5021743629013</v>
      </c>
      <c r="B2222" s="31">
        <f ca="1">Model!$F$14+RAND()*(Model!$G$14-Model!$F$14)</f>
        <v>0.65860764677060923</v>
      </c>
      <c r="C2222" s="32">
        <f ca="1">Model!$F$15+RAND()*(Model!$G$15-Model!$F$15)</f>
        <v>4.2210813707486285E-2</v>
      </c>
      <c r="D2222" s="33">
        <f ca="1">Model!$F$16+RAND()*(Model!$G$16-Model!$F$16)</f>
        <v>49.985427743637153</v>
      </c>
      <c r="E2222" s="33">
        <f>Model!$D$17</f>
        <v>800</v>
      </c>
      <c r="G2222" s="36">
        <f t="shared" ca="1" si="37"/>
        <v>946.66428661927648</v>
      </c>
    </row>
    <row r="2223" spans="1:7" x14ac:dyDescent="0.2">
      <c r="A2223" s="6">
        <f ca="1">Model!$F$13+RAND()*(Model!$G$13-Model!$F$13)</f>
        <v>1307.9737143975915</v>
      </c>
      <c r="B2223" s="31">
        <f ca="1">Model!$F$14+RAND()*(Model!$G$14-Model!$F$14)</f>
        <v>0.22027777588872163</v>
      </c>
      <c r="C2223" s="32">
        <f ca="1">Model!$F$15+RAND()*(Model!$G$15-Model!$F$15)</f>
        <v>3.895401087415535E-2</v>
      </c>
      <c r="D2223" s="33">
        <f ca="1">Model!$F$16+RAND()*(Model!$G$16-Model!$F$16)</f>
        <v>51.269477911825362</v>
      </c>
      <c r="E2223" s="33">
        <f>Model!$D$17</f>
        <v>800</v>
      </c>
      <c r="G2223" s="36">
        <f t="shared" ca="1" si="37"/>
        <v>1524.1045174505048</v>
      </c>
    </row>
    <row r="2224" spans="1:7" x14ac:dyDescent="0.2">
      <c r="A2224" s="6">
        <f ca="1">Model!$F$13+RAND()*(Model!$G$13-Model!$F$13)</f>
        <v>1689.7208579435742</v>
      </c>
      <c r="B2224" s="31">
        <f ca="1">Model!$F$14+RAND()*(Model!$G$14-Model!$F$14)</f>
        <v>0.78984095729149328</v>
      </c>
      <c r="C2224" s="32">
        <f ca="1">Model!$F$15+RAND()*(Model!$G$15-Model!$F$15)</f>
        <v>2.1019247835190498E-2</v>
      </c>
      <c r="D2224" s="33">
        <f ca="1">Model!$F$16+RAND()*(Model!$G$16-Model!$F$16)</f>
        <v>47.033020523106984</v>
      </c>
      <c r="E2224" s="33">
        <f>Model!$D$17</f>
        <v>800</v>
      </c>
      <c r="G2224" s="36">
        <f t="shared" ca="1" si="37"/>
        <v>-464.15487143817904</v>
      </c>
    </row>
    <row r="2225" spans="1:7" x14ac:dyDescent="0.2">
      <c r="A2225" s="6">
        <f ca="1">Model!$F$13+RAND()*(Model!$G$13-Model!$F$13)</f>
        <v>1209.2818548875678</v>
      </c>
      <c r="B2225" s="31">
        <f ca="1">Model!$F$14+RAND()*(Model!$G$14-Model!$F$14)</f>
        <v>0.58778333341533417</v>
      </c>
      <c r="C2225" s="32">
        <f ca="1">Model!$F$15+RAND()*(Model!$G$15-Model!$F$15)</f>
        <v>1.462866843615732E-2</v>
      </c>
      <c r="D2225" s="33">
        <f ca="1">Model!$F$16+RAND()*(Model!$G$16-Model!$F$16)</f>
        <v>52.703138021415995</v>
      </c>
      <c r="E2225" s="33">
        <f>Model!$D$17</f>
        <v>800</v>
      </c>
      <c r="G2225" s="36">
        <f t="shared" ca="1" si="37"/>
        <v>-578.46754756713358</v>
      </c>
    </row>
    <row r="2226" spans="1:7" x14ac:dyDescent="0.2">
      <c r="A2226" s="6">
        <f ca="1">Model!$F$13+RAND()*(Model!$G$13-Model!$F$13)</f>
        <v>1236.8016161523401</v>
      </c>
      <c r="B2226" s="31">
        <f ca="1">Model!$F$14+RAND()*(Model!$G$14-Model!$F$14)</f>
        <v>0.40699063559773196</v>
      </c>
      <c r="C2226" s="32">
        <f ca="1">Model!$F$15+RAND()*(Model!$G$15-Model!$F$15)</f>
        <v>4.2835433627225965E-2</v>
      </c>
      <c r="D2226" s="33">
        <f ca="1">Model!$F$16+RAND()*(Model!$G$16-Model!$F$16)</f>
        <v>50.998504594370345</v>
      </c>
      <c r="E2226" s="33">
        <f>Model!$D$17</f>
        <v>800</v>
      </c>
      <c r="G2226" s="36">
        <f t="shared" ca="1" si="37"/>
        <v>1398.4797096140978</v>
      </c>
    </row>
    <row r="2227" spans="1:7" x14ac:dyDescent="0.2">
      <c r="A2227" s="6">
        <f ca="1">Model!$F$13+RAND()*(Model!$G$13-Model!$F$13)</f>
        <v>1699.4155434136123</v>
      </c>
      <c r="B2227" s="31">
        <f ca="1">Model!$F$14+RAND()*(Model!$G$14-Model!$F$14)</f>
        <v>0.75915253913384428</v>
      </c>
      <c r="C2227" s="32">
        <f ca="1">Model!$F$15+RAND()*(Model!$G$15-Model!$F$15)</f>
        <v>2.7375086438588804E-2</v>
      </c>
      <c r="D2227" s="33">
        <f ca="1">Model!$F$16+RAND()*(Model!$G$16-Model!$F$16)</f>
        <v>49.565179701141652</v>
      </c>
      <c r="E2227" s="33">
        <f>Model!$D$17</f>
        <v>800</v>
      </c>
      <c r="G2227" s="36">
        <f t="shared" ca="1" si="37"/>
        <v>215.73818835136035</v>
      </c>
    </row>
    <row r="2228" spans="1:7" x14ac:dyDescent="0.2">
      <c r="A2228" s="6">
        <f ca="1">Model!$F$13+RAND()*(Model!$G$13-Model!$F$13)</f>
        <v>1234.3456595408522</v>
      </c>
      <c r="B2228" s="31">
        <f ca="1">Model!$F$14+RAND()*(Model!$G$14-Model!$F$14)</f>
        <v>0.21332244987495386</v>
      </c>
      <c r="C2228" s="32">
        <f ca="1">Model!$F$15+RAND()*(Model!$G$15-Model!$F$15)</f>
        <v>3.1405668871255565E-2</v>
      </c>
      <c r="D2228" s="33">
        <f ca="1">Model!$F$16+RAND()*(Model!$G$16-Model!$F$16)</f>
        <v>51.948370738792654</v>
      </c>
      <c r="E2228" s="33">
        <f>Model!$D$17</f>
        <v>800</v>
      </c>
      <c r="G2228" s="36">
        <f t="shared" ca="1" si="37"/>
        <v>950.48838323882933</v>
      </c>
    </row>
    <row r="2229" spans="1:7" x14ac:dyDescent="0.2">
      <c r="A2229" s="6">
        <f ca="1">Model!$F$13+RAND()*(Model!$G$13-Model!$F$13)</f>
        <v>1751.1774971246091</v>
      </c>
      <c r="B2229" s="31">
        <f ca="1">Model!$F$14+RAND()*(Model!$G$14-Model!$F$14)</f>
        <v>0.65463494057077964</v>
      </c>
      <c r="C2229" s="32">
        <f ca="1">Model!$F$15+RAND()*(Model!$G$15-Model!$F$15)</f>
        <v>4.8629038159109406E-2</v>
      </c>
      <c r="D2229" s="33">
        <f ca="1">Model!$F$16+RAND()*(Model!$G$16-Model!$F$16)</f>
        <v>51.797975327841733</v>
      </c>
      <c r="E2229" s="33">
        <f>Model!$D$17</f>
        <v>800</v>
      </c>
      <c r="G2229" s="36">
        <f t="shared" ca="1" si="37"/>
        <v>2464.6340118009202</v>
      </c>
    </row>
    <row r="2230" spans="1:7" x14ac:dyDescent="0.2">
      <c r="A2230" s="6">
        <f ca="1">Model!$F$13+RAND()*(Model!$G$13-Model!$F$13)</f>
        <v>1795.3090129112652</v>
      </c>
      <c r="B2230" s="31">
        <f ca="1">Model!$F$14+RAND()*(Model!$G$14-Model!$F$14)</f>
        <v>0.79140777929304074</v>
      </c>
      <c r="C2230" s="32">
        <f ca="1">Model!$F$15+RAND()*(Model!$G$15-Model!$F$15)</f>
        <v>2.4665162225826681E-2</v>
      </c>
      <c r="D2230" s="33">
        <f ca="1">Model!$F$16+RAND()*(Model!$G$16-Model!$F$16)</f>
        <v>50.008527886058879</v>
      </c>
      <c r="E2230" s="33">
        <f>Model!$D$17</f>
        <v>800</v>
      </c>
      <c r="G2230" s="36">
        <f t="shared" ca="1" si="37"/>
        <v>-6.36448826824153</v>
      </c>
    </row>
    <row r="2231" spans="1:7" x14ac:dyDescent="0.2">
      <c r="A2231" s="6">
        <f ca="1">Model!$F$13+RAND()*(Model!$G$13-Model!$F$13)</f>
        <v>1582.4102225102038</v>
      </c>
      <c r="B2231" s="31">
        <f ca="1">Model!$F$14+RAND()*(Model!$G$14-Model!$F$14)</f>
        <v>0.38083614021047058</v>
      </c>
      <c r="C2231" s="32">
        <f ca="1">Model!$F$15+RAND()*(Model!$G$15-Model!$F$15)</f>
        <v>1.8377084468681741E-2</v>
      </c>
      <c r="D2231" s="33">
        <f ca="1">Model!$F$16+RAND()*(Model!$G$16-Model!$F$16)</f>
        <v>52.133102036183729</v>
      </c>
      <c r="E2231" s="33">
        <f>Model!$D$17</f>
        <v>800</v>
      </c>
      <c r="G2231" s="36">
        <f t="shared" ca="1" si="37"/>
        <v>113.39610613676041</v>
      </c>
    </row>
    <row r="2232" spans="1:7" x14ac:dyDescent="0.2">
      <c r="A2232" s="6">
        <f ca="1">Model!$F$13+RAND()*(Model!$G$13-Model!$F$13)</f>
        <v>1678.5748042674199</v>
      </c>
      <c r="B2232" s="31">
        <f ca="1">Model!$F$14+RAND()*(Model!$G$14-Model!$F$14)</f>
        <v>0.48620635052187017</v>
      </c>
      <c r="C2232" s="32">
        <f ca="1">Model!$F$15+RAND()*(Model!$G$15-Model!$F$15)</f>
        <v>1.0448688993849115E-2</v>
      </c>
      <c r="D2232" s="33">
        <f ca="1">Model!$F$16+RAND()*(Model!$G$16-Model!$F$16)</f>
        <v>49.138580404192645</v>
      </c>
      <c r="E2232" s="33">
        <f>Model!$D$17</f>
        <v>800</v>
      </c>
      <c r="G2232" s="36">
        <f t="shared" ca="1" si="37"/>
        <v>-754.29678291441758</v>
      </c>
    </row>
    <row r="2233" spans="1:7" x14ac:dyDescent="0.2">
      <c r="A2233" s="6">
        <f ca="1">Model!$F$13+RAND()*(Model!$G$13-Model!$F$13)</f>
        <v>1266.7294405383145</v>
      </c>
      <c r="B2233" s="31">
        <f ca="1">Model!$F$14+RAND()*(Model!$G$14-Model!$F$14)</f>
        <v>0.55371042450697039</v>
      </c>
      <c r="C2233" s="32">
        <f ca="1">Model!$F$15+RAND()*(Model!$G$15-Model!$F$15)</f>
        <v>4.8598373533247613E-2</v>
      </c>
      <c r="D2233" s="33">
        <f ca="1">Model!$F$16+RAND()*(Model!$G$16-Model!$F$16)</f>
        <v>49.253695625707849</v>
      </c>
      <c r="E2233" s="33">
        <f>Model!$D$17</f>
        <v>800</v>
      </c>
      <c r="G2233" s="36">
        <f t="shared" ca="1" si="37"/>
        <v>1530.7049930777143</v>
      </c>
    </row>
    <row r="2234" spans="1:7" x14ac:dyDescent="0.2">
      <c r="A2234" s="6">
        <f ca="1">Model!$F$13+RAND()*(Model!$G$13-Model!$F$13)</f>
        <v>1458.7237341668761</v>
      </c>
      <c r="B2234" s="31">
        <f ca="1">Model!$F$14+RAND()*(Model!$G$14-Model!$F$14)</f>
        <v>0.67120645493332332</v>
      </c>
      <c r="C2234" s="32">
        <f ca="1">Model!$F$15+RAND()*(Model!$G$15-Model!$F$15)</f>
        <v>2.0973844848342263E-2</v>
      </c>
      <c r="D2234" s="33">
        <f ca="1">Model!$F$16+RAND()*(Model!$G$16-Model!$F$16)</f>
        <v>49.972249148636436</v>
      </c>
      <c r="E2234" s="33">
        <f>Model!$D$17</f>
        <v>800</v>
      </c>
      <c r="G2234" s="36">
        <f t="shared" ca="1" si="37"/>
        <v>-250.20156104066587</v>
      </c>
    </row>
    <row r="2235" spans="1:7" x14ac:dyDescent="0.2">
      <c r="A2235" s="6">
        <f ca="1">Model!$F$13+RAND()*(Model!$G$13-Model!$F$13)</f>
        <v>1421.8100657517855</v>
      </c>
      <c r="B2235" s="31">
        <f ca="1">Model!$F$14+RAND()*(Model!$G$14-Model!$F$14)</f>
        <v>0.3872032491304922</v>
      </c>
      <c r="C2235" s="32">
        <f ca="1">Model!$F$15+RAND()*(Model!$G$15-Model!$F$15)</f>
        <v>3.1643006402715293E-2</v>
      </c>
      <c r="D2235" s="33">
        <f ca="1">Model!$F$16+RAND()*(Model!$G$16-Model!$F$16)</f>
        <v>48.472261411525757</v>
      </c>
      <c r="E2235" s="33">
        <f>Model!$D$17</f>
        <v>800</v>
      </c>
      <c r="G2235" s="36">
        <f t="shared" ca="1" si="37"/>
        <v>830.25428740920825</v>
      </c>
    </row>
    <row r="2236" spans="1:7" x14ac:dyDescent="0.2">
      <c r="A2236" s="6">
        <f ca="1">Model!$F$13+RAND()*(Model!$G$13-Model!$F$13)</f>
        <v>1496.4366336642336</v>
      </c>
      <c r="B2236" s="31">
        <f ca="1">Model!$F$14+RAND()*(Model!$G$14-Model!$F$14)</f>
        <v>0.40223000650876517</v>
      </c>
      <c r="C2236" s="32">
        <f ca="1">Model!$F$15+RAND()*(Model!$G$15-Model!$F$15)</f>
        <v>3.5284230705698819E-2</v>
      </c>
      <c r="D2236" s="33">
        <f ca="1">Model!$F$16+RAND()*(Model!$G$16-Model!$F$16)</f>
        <v>49.034797119284839</v>
      </c>
      <c r="E2236" s="33">
        <f>Model!$D$17</f>
        <v>800</v>
      </c>
      <c r="G2236" s="36">
        <f t="shared" ca="1" si="37"/>
        <v>1187.1557479290552</v>
      </c>
    </row>
    <row r="2237" spans="1:7" x14ac:dyDescent="0.2">
      <c r="A2237" s="6">
        <f ca="1">Model!$F$13+RAND()*(Model!$G$13-Model!$F$13)</f>
        <v>1799.4848057235949</v>
      </c>
      <c r="B2237" s="31">
        <f ca="1">Model!$F$14+RAND()*(Model!$G$14-Model!$F$14)</f>
        <v>0.69417389498670412</v>
      </c>
      <c r="C2237" s="32">
        <f ca="1">Model!$F$15+RAND()*(Model!$G$15-Model!$F$15)</f>
        <v>4.3491615739777237E-2</v>
      </c>
      <c r="D2237" s="33">
        <f ca="1">Model!$F$16+RAND()*(Model!$G$16-Model!$F$16)</f>
        <v>48.496234039940155</v>
      </c>
      <c r="E2237" s="33">
        <f>Model!$D$17</f>
        <v>800</v>
      </c>
      <c r="G2237" s="36">
        <f t="shared" ca="1" si="37"/>
        <v>1746.2812224406402</v>
      </c>
    </row>
    <row r="2238" spans="1:7" x14ac:dyDescent="0.2">
      <c r="A2238" s="6">
        <f ca="1">Model!$F$13+RAND()*(Model!$G$13-Model!$F$13)</f>
        <v>1627.3226738928361</v>
      </c>
      <c r="B2238" s="31">
        <f ca="1">Model!$F$14+RAND()*(Model!$G$14-Model!$F$14)</f>
        <v>0.25728887266085698</v>
      </c>
      <c r="C2238" s="32">
        <f ca="1">Model!$F$15+RAND()*(Model!$G$15-Model!$F$15)</f>
        <v>2.4050690762369167E-2</v>
      </c>
      <c r="D2238" s="33">
        <f ca="1">Model!$F$16+RAND()*(Model!$G$16-Model!$F$16)</f>
        <v>50.292611768314046</v>
      </c>
      <c r="E2238" s="33">
        <f>Model!$D$17</f>
        <v>800</v>
      </c>
      <c r="G2238" s="36">
        <f t="shared" ca="1" si="37"/>
        <v>749.6720117746645</v>
      </c>
    </row>
    <row r="2239" spans="1:7" x14ac:dyDescent="0.2">
      <c r="A2239" s="6">
        <f ca="1">Model!$F$13+RAND()*(Model!$G$13-Model!$F$13)</f>
        <v>1704.5011583959767</v>
      </c>
      <c r="B2239" s="31">
        <f ca="1">Model!$F$14+RAND()*(Model!$G$14-Model!$F$14)</f>
        <v>0.33629628592083705</v>
      </c>
      <c r="C2239" s="32">
        <f ca="1">Model!$F$15+RAND()*(Model!$G$15-Model!$F$15)</f>
        <v>4.6484249387978509E-2</v>
      </c>
      <c r="D2239" s="33">
        <f ca="1">Model!$F$16+RAND()*(Model!$G$16-Model!$F$16)</f>
        <v>52.803830674453835</v>
      </c>
      <c r="E2239" s="33">
        <f>Model!$D$17</f>
        <v>800</v>
      </c>
      <c r="G2239" s="36">
        <f t="shared" ca="1" si="37"/>
        <v>2810.5598306823181</v>
      </c>
    </row>
    <row r="2240" spans="1:7" x14ac:dyDescent="0.2">
      <c r="A2240" s="6">
        <f ca="1">Model!$F$13+RAND()*(Model!$G$13-Model!$F$13)</f>
        <v>1718.2352908782304</v>
      </c>
      <c r="B2240" s="31">
        <f ca="1">Model!$F$14+RAND()*(Model!$G$14-Model!$F$14)</f>
        <v>0.48802333885328764</v>
      </c>
      <c r="C2240" s="32">
        <f ca="1">Model!$F$15+RAND()*(Model!$G$15-Model!$F$15)</f>
        <v>4.9396960393194141E-2</v>
      </c>
      <c r="D2240" s="33">
        <f ca="1">Model!$F$16+RAND()*(Model!$G$16-Model!$F$16)</f>
        <v>50.58417821510384</v>
      </c>
      <c r="E2240" s="33">
        <f>Model!$D$17</f>
        <v>800</v>
      </c>
      <c r="G2240" s="36">
        <f t="shared" ca="1" si="37"/>
        <v>2654.8235837651155</v>
      </c>
    </row>
    <row r="2241" spans="1:7" x14ac:dyDescent="0.2">
      <c r="A2241" s="6">
        <f ca="1">Model!$F$13+RAND()*(Model!$G$13-Model!$F$13)</f>
        <v>1620.9672115436836</v>
      </c>
      <c r="B2241" s="31">
        <f ca="1">Model!$F$14+RAND()*(Model!$G$14-Model!$F$14)</f>
        <v>0.79077779858645059</v>
      </c>
      <c r="C2241" s="32">
        <f ca="1">Model!$F$15+RAND()*(Model!$G$15-Model!$F$15)</f>
        <v>3.8524068230140242E-2</v>
      </c>
      <c r="D2241" s="33">
        <f ca="1">Model!$F$16+RAND()*(Model!$G$16-Model!$F$16)</f>
        <v>49.193514096043025</v>
      </c>
      <c r="E2241" s="33">
        <f>Model!$D$17</f>
        <v>800</v>
      </c>
      <c r="G2241" s="36">
        <f t="shared" ca="1" si="37"/>
        <v>990.12566813663852</v>
      </c>
    </row>
    <row r="2242" spans="1:7" x14ac:dyDescent="0.2">
      <c r="A2242" s="6">
        <f ca="1">Model!$F$13+RAND()*(Model!$G$13-Model!$F$13)</f>
        <v>1318.4002062538868</v>
      </c>
      <c r="B2242" s="31">
        <f ca="1">Model!$F$14+RAND()*(Model!$G$14-Model!$F$14)</f>
        <v>0.78033818893233264</v>
      </c>
      <c r="C2242" s="32">
        <f ca="1">Model!$F$15+RAND()*(Model!$G$15-Model!$F$15)</f>
        <v>2.1754390066183647E-2</v>
      </c>
      <c r="D2242" s="33">
        <f ca="1">Model!$F$16+RAND()*(Model!$G$16-Model!$F$16)</f>
        <v>52.584015986914579</v>
      </c>
      <c r="E2242" s="33">
        <f>Model!$D$17</f>
        <v>800</v>
      </c>
      <c r="G2242" s="36">
        <f t="shared" ca="1" si="37"/>
        <v>-320.63626897352037</v>
      </c>
    </row>
    <row r="2243" spans="1:7" x14ac:dyDescent="0.2">
      <c r="A2243" s="6">
        <f ca="1">Model!$F$13+RAND()*(Model!$G$13-Model!$F$13)</f>
        <v>1581.0326107315593</v>
      </c>
      <c r="B2243" s="31">
        <f ca="1">Model!$F$14+RAND()*(Model!$G$14-Model!$F$14)</f>
        <v>0.22859301743892171</v>
      </c>
      <c r="C2243" s="32">
        <f ca="1">Model!$F$15+RAND()*(Model!$G$15-Model!$F$15)</f>
        <v>4.7585310032099946E-2</v>
      </c>
      <c r="D2243" s="33">
        <f ca="1">Model!$F$16+RAND()*(Model!$G$16-Model!$F$16)</f>
        <v>51.435413511359592</v>
      </c>
      <c r="E2243" s="33">
        <f>Model!$D$17</f>
        <v>800</v>
      </c>
      <c r="G2243" s="36">
        <f t="shared" ca="1" si="37"/>
        <v>2708.2751277299089</v>
      </c>
    </row>
    <row r="2244" spans="1:7" x14ac:dyDescent="0.2">
      <c r="A2244" s="6">
        <f ca="1">Model!$F$13+RAND()*(Model!$G$13-Model!$F$13)</f>
        <v>1369.0531837611729</v>
      </c>
      <c r="B2244" s="31">
        <f ca="1">Model!$F$14+RAND()*(Model!$G$14-Model!$F$14)</f>
        <v>0.3139415240428603</v>
      </c>
      <c r="C2244" s="32">
        <f ca="1">Model!$F$15+RAND()*(Model!$G$15-Model!$F$15)</f>
        <v>2.1796180460812553E-2</v>
      </c>
      <c r="D2244" s="33">
        <f ca="1">Model!$F$16+RAND()*(Model!$G$16-Model!$F$16)</f>
        <v>51.821162734734187</v>
      </c>
      <c r="E2244" s="33">
        <f>Model!$D$17</f>
        <v>800</v>
      </c>
      <c r="G2244" s="36">
        <f t="shared" ca="1" si="37"/>
        <v>316.5476028973801</v>
      </c>
    </row>
    <row r="2245" spans="1:7" x14ac:dyDescent="0.2">
      <c r="A2245" s="6">
        <f ca="1">Model!$F$13+RAND()*(Model!$G$13-Model!$F$13)</f>
        <v>1669.2064503838537</v>
      </c>
      <c r="B2245" s="31">
        <f ca="1">Model!$F$14+RAND()*(Model!$G$14-Model!$F$14)</f>
        <v>0.50575193486085324</v>
      </c>
      <c r="C2245" s="32">
        <f ca="1">Model!$F$15+RAND()*(Model!$G$15-Model!$F$15)</f>
        <v>1.9714045356914407E-2</v>
      </c>
      <c r="D2245" s="33">
        <f ca="1">Model!$F$16+RAND()*(Model!$G$16-Model!$F$16)</f>
        <v>51.526310495230888</v>
      </c>
      <c r="E2245" s="33">
        <f>Model!$D$17</f>
        <v>800</v>
      </c>
      <c r="G2245" s="36">
        <f t="shared" ca="1" si="37"/>
        <v>51.36220370318506</v>
      </c>
    </row>
    <row r="2246" spans="1:7" x14ac:dyDescent="0.2">
      <c r="A2246" s="6">
        <f ca="1">Model!$F$13+RAND()*(Model!$G$13-Model!$F$13)</f>
        <v>1362.1160501354966</v>
      </c>
      <c r="B2246" s="31">
        <f ca="1">Model!$F$14+RAND()*(Model!$G$14-Model!$F$14)</f>
        <v>0.21276224910932764</v>
      </c>
      <c r="C2246" s="32">
        <f ca="1">Model!$F$15+RAND()*(Model!$G$15-Model!$F$15)</f>
        <v>3.8139682279252914E-2</v>
      </c>
      <c r="D2246" s="33">
        <f ca="1">Model!$F$16+RAND()*(Model!$G$16-Model!$F$16)</f>
        <v>51.125327652814768</v>
      </c>
      <c r="E2246" s="33">
        <f>Model!$D$17</f>
        <v>800</v>
      </c>
      <c r="G2246" s="36">
        <f t="shared" ca="1" si="37"/>
        <v>1566.1883239436522</v>
      </c>
    </row>
    <row r="2247" spans="1:7" x14ac:dyDescent="0.2">
      <c r="A2247" s="6">
        <f ca="1">Model!$F$13+RAND()*(Model!$G$13-Model!$F$13)</f>
        <v>1327.2242720094173</v>
      </c>
      <c r="B2247" s="31">
        <f ca="1">Model!$F$14+RAND()*(Model!$G$14-Model!$F$14)</f>
        <v>0.30337366647270919</v>
      </c>
      <c r="C2247" s="32">
        <f ca="1">Model!$F$15+RAND()*(Model!$G$15-Model!$F$15)</f>
        <v>3.899604693593834E-2</v>
      </c>
      <c r="D2247" s="33">
        <f ca="1">Model!$F$16+RAND()*(Model!$G$16-Model!$F$16)</f>
        <v>51.625113376528986</v>
      </c>
      <c r="E2247" s="33">
        <f>Model!$D$17</f>
        <v>800</v>
      </c>
      <c r="G2247" s="36">
        <f t="shared" ca="1" si="37"/>
        <v>1469.2902871404638</v>
      </c>
    </row>
    <row r="2248" spans="1:7" x14ac:dyDescent="0.2">
      <c r="A2248" s="6">
        <f ca="1">Model!$F$13+RAND()*(Model!$G$13-Model!$F$13)</f>
        <v>1698.8997940583256</v>
      </c>
      <c r="B2248" s="31">
        <f ca="1">Model!$F$14+RAND()*(Model!$G$14-Model!$F$14)</f>
        <v>0.45819160300010936</v>
      </c>
      <c r="C2248" s="32">
        <f ca="1">Model!$F$15+RAND()*(Model!$G$15-Model!$F$15)</f>
        <v>4.0434872557620988E-2</v>
      </c>
      <c r="D2248" s="33">
        <f ca="1">Model!$F$16+RAND()*(Model!$G$16-Model!$F$16)</f>
        <v>50.653106935295362</v>
      </c>
      <c r="E2248" s="33">
        <f>Model!$D$17</f>
        <v>800</v>
      </c>
      <c r="G2248" s="36">
        <f t="shared" ca="1" si="37"/>
        <v>1901.1832611876562</v>
      </c>
    </row>
    <row r="2249" spans="1:7" x14ac:dyDescent="0.2">
      <c r="A2249" s="6">
        <f ca="1">Model!$F$13+RAND()*(Model!$G$13-Model!$F$13)</f>
        <v>1457.7034679614981</v>
      </c>
      <c r="B2249" s="31">
        <f ca="1">Model!$F$14+RAND()*(Model!$G$14-Model!$F$14)</f>
        <v>0.42101701556981025</v>
      </c>
      <c r="C2249" s="32">
        <f ca="1">Model!$F$15+RAND()*(Model!$G$15-Model!$F$15)</f>
        <v>3.1529242508159826E-2</v>
      </c>
      <c r="D2249" s="33">
        <f ca="1">Model!$F$16+RAND()*(Model!$G$16-Model!$F$16)</f>
        <v>51.200150761227881</v>
      </c>
      <c r="E2249" s="33">
        <f>Model!$D$17</f>
        <v>800</v>
      </c>
      <c r="G2249" s="36">
        <f t="shared" ca="1" si="37"/>
        <v>939.455616055056</v>
      </c>
    </row>
    <row r="2250" spans="1:7" x14ac:dyDescent="0.2">
      <c r="A2250" s="6">
        <f ca="1">Model!$F$13+RAND()*(Model!$G$13-Model!$F$13)</f>
        <v>1782.2192805631153</v>
      </c>
      <c r="B2250" s="31">
        <f ca="1">Model!$F$14+RAND()*(Model!$G$14-Model!$F$14)</f>
        <v>0.52756108551481162</v>
      </c>
      <c r="C2250" s="32">
        <f ca="1">Model!$F$15+RAND()*(Model!$G$15-Model!$F$15)</f>
        <v>3.0834988549044672E-2</v>
      </c>
      <c r="D2250" s="33">
        <f ca="1">Model!$F$16+RAND()*(Model!$G$16-Model!$F$16)</f>
        <v>52.604165893806559</v>
      </c>
      <c r="E2250" s="33">
        <f>Model!$D$17</f>
        <v>800</v>
      </c>
      <c r="G2250" s="36">
        <f t="shared" ca="1" si="37"/>
        <v>1150.6172014947879</v>
      </c>
    </row>
    <row r="2251" spans="1:7" x14ac:dyDescent="0.2">
      <c r="A2251" s="6">
        <f ca="1">Model!$F$13+RAND()*(Model!$G$13-Model!$F$13)</f>
        <v>1253.6245455993783</v>
      </c>
      <c r="B2251" s="31">
        <f ca="1">Model!$F$14+RAND()*(Model!$G$14-Model!$F$14)</f>
        <v>0.65472764435806563</v>
      </c>
      <c r="C2251" s="32">
        <f ca="1">Model!$F$15+RAND()*(Model!$G$15-Model!$F$15)</f>
        <v>3.6296278481886393E-2</v>
      </c>
      <c r="D2251" s="33">
        <f ca="1">Model!$F$16+RAND()*(Model!$G$16-Model!$F$16)</f>
        <v>47.490378992865253</v>
      </c>
      <c r="E2251" s="33">
        <f>Model!$D$17</f>
        <v>800</v>
      </c>
      <c r="G2251" s="36">
        <f t="shared" ca="1" si="37"/>
        <v>540.1200970848231</v>
      </c>
    </row>
    <row r="2252" spans="1:7" x14ac:dyDescent="0.2">
      <c r="A2252" s="6">
        <f ca="1">Model!$F$13+RAND()*(Model!$G$13-Model!$F$13)</f>
        <v>1554.8035075304285</v>
      </c>
      <c r="B2252" s="31">
        <f ca="1">Model!$F$14+RAND()*(Model!$G$14-Model!$F$14)</f>
        <v>0.7838846562905486</v>
      </c>
      <c r="C2252" s="32">
        <f ca="1">Model!$F$15+RAND()*(Model!$G$15-Model!$F$15)</f>
        <v>2.1036411470771923E-2</v>
      </c>
      <c r="D2252" s="33">
        <f ca="1">Model!$F$16+RAND()*(Model!$G$16-Model!$F$16)</f>
        <v>49.071662970189024</v>
      </c>
      <c r="E2252" s="33">
        <f>Model!$D$17</f>
        <v>800</v>
      </c>
      <c r="G2252" s="36">
        <f t="shared" ca="1" si="37"/>
        <v>-413.77586679137744</v>
      </c>
    </row>
    <row r="2253" spans="1:7" x14ac:dyDescent="0.2">
      <c r="A2253" s="6">
        <f ca="1">Model!$F$13+RAND()*(Model!$G$13-Model!$F$13)</f>
        <v>1389.9425322055524</v>
      </c>
      <c r="B2253" s="31">
        <f ca="1">Model!$F$14+RAND()*(Model!$G$14-Model!$F$14)</f>
        <v>0.78767342433804832</v>
      </c>
      <c r="C2253" s="32">
        <f ca="1">Model!$F$15+RAND()*(Model!$G$15-Model!$F$15)</f>
        <v>4.8412637482167932E-2</v>
      </c>
      <c r="D2253" s="33">
        <f ca="1">Model!$F$16+RAND()*(Model!$G$16-Model!$F$16)</f>
        <v>48.347291423040467</v>
      </c>
      <c r="E2253" s="33">
        <f>Model!$D$17</f>
        <v>800</v>
      </c>
      <c r="G2253" s="36">
        <f t="shared" ca="1" si="37"/>
        <v>1358.5063469043241</v>
      </c>
    </row>
    <row r="2254" spans="1:7" x14ac:dyDescent="0.2">
      <c r="A2254" s="6">
        <f ca="1">Model!$F$13+RAND()*(Model!$G$13-Model!$F$13)</f>
        <v>1680.6420370947537</v>
      </c>
      <c r="B2254" s="31">
        <f ca="1">Model!$F$14+RAND()*(Model!$G$14-Model!$F$14)</f>
        <v>0.70435405976535814</v>
      </c>
      <c r="C2254" s="32">
        <f ca="1">Model!$F$15+RAND()*(Model!$G$15-Model!$F$15)</f>
        <v>4.5181929539600173E-2</v>
      </c>
      <c r="D2254" s="33">
        <f ca="1">Model!$F$16+RAND()*(Model!$G$16-Model!$F$16)</f>
        <v>50.496727440296482</v>
      </c>
      <c r="E2254" s="33">
        <f>Model!$D$17</f>
        <v>800</v>
      </c>
      <c r="G2254" s="36">
        <f t="shared" ca="1" si="37"/>
        <v>1850.6842875998821</v>
      </c>
    </row>
    <row r="2255" spans="1:7" x14ac:dyDescent="0.2">
      <c r="A2255" s="6">
        <f ca="1">Model!$F$13+RAND()*(Model!$G$13-Model!$F$13)</f>
        <v>1602.5559024013965</v>
      </c>
      <c r="B2255" s="31">
        <f ca="1">Model!$F$14+RAND()*(Model!$G$14-Model!$F$14)</f>
        <v>0.53744929749552561</v>
      </c>
      <c r="C2255" s="32">
        <f ca="1">Model!$F$15+RAND()*(Model!$G$15-Model!$F$15)</f>
        <v>2.7901132673816775E-2</v>
      </c>
      <c r="D2255" s="33">
        <f ca="1">Model!$F$16+RAND()*(Model!$G$16-Model!$F$16)</f>
        <v>47.281545242977877</v>
      </c>
      <c r="E2255" s="33">
        <f>Model!$D$17</f>
        <v>800</v>
      </c>
      <c r="G2255" s="36">
        <f t="shared" ca="1" si="37"/>
        <v>452.81309161243371</v>
      </c>
    </row>
    <row r="2256" spans="1:7" x14ac:dyDescent="0.2">
      <c r="A2256" s="6">
        <f ca="1">Model!$F$13+RAND()*(Model!$G$13-Model!$F$13)</f>
        <v>1549.2964947181483</v>
      </c>
      <c r="B2256" s="31">
        <f ca="1">Model!$F$14+RAND()*(Model!$G$14-Model!$F$14)</f>
        <v>0.76265599894643432</v>
      </c>
      <c r="C2256" s="32">
        <f ca="1">Model!$F$15+RAND()*(Model!$G$15-Model!$F$15)</f>
        <v>3.3754331106389777E-2</v>
      </c>
      <c r="D2256" s="33">
        <f ca="1">Model!$F$16+RAND()*(Model!$G$16-Model!$F$16)</f>
        <v>50.583889943896175</v>
      </c>
      <c r="E2256" s="33">
        <f>Model!$D$17</f>
        <v>800</v>
      </c>
      <c r="G2256" s="36">
        <f t="shared" ca="1" si="37"/>
        <v>663.72787460443851</v>
      </c>
    </row>
    <row r="2257" spans="1:7" x14ac:dyDescent="0.2">
      <c r="A2257" s="6">
        <f ca="1">Model!$F$13+RAND()*(Model!$G$13-Model!$F$13)</f>
        <v>1391.6806964975017</v>
      </c>
      <c r="B2257" s="31">
        <f ca="1">Model!$F$14+RAND()*(Model!$G$14-Model!$F$14)</f>
        <v>0.45531384245582168</v>
      </c>
      <c r="C2257" s="32">
        <f ca="1">Model!$F$15+RAND()*(Model!$G$15-Model!$F$15)</f>
        <v>2.4532867712776893E-2</v>
      </c>
      <c r="D2257" s="33">
        <f ca="1">Model!$F$16+RAND()*(Model!$G$16-Model!$F$16)</f>
        <v>47.833090458776972</v>
      </c>
      <c r="E2257" s="33">
        <f>Model!$D$17</f>
        <v>800</v>
      </c>
      <c r="G2257" s="36">
        <f t="shared" ca="1" si="37"/>
        <v>199.46198709396185</v>
      </c>
    </row>
    <row r="2258" spans="1:7" x14ac:dyDescent="0.2">
      <c r="A2258" s="6">
        <f ca="1">Model!$F$13+RAND()*(Model!$G$13-Model!$F$13)</f>
        <v>1315.7525044184727</v>
      </c>
      <c r="B2258" s="31">
        <f ca="1">Model!$F$14+RAND()*(Model!$G$14-Model!$F$14)</f>
        <v>0.72688316392298047</v>
      </c>
      <c r="C2258" s="32">
        <f ca="1">Model!$F$15+RAND()*(Model!$G$15-Model!$F$15)</f>
        <v>3.5069239294824077E-2</v>
      </c>
      <c r="D2258" s="33">
        <f ca="1">Model!$F$16+RAND()*(Model!$G$16-Model!$F$16)</f>
        <v>51.483880882734915</v>
      </c>
      <c r="E2258" s="33">
        <f>Model!$D$17</f>
        <v>800</v>
      </c>
      <c r="G2258" s="36">
        <f t="shared" ca="1" si="37"/>
        <v>619.19351191274018</v>
      </c>
    </row>
    <row r="2259" spans="1:7" x14ac:dyDescent="0.2">
      <c r="A2259" s="6">
        <f ca="1">Model!$F$13+RAND()*(Model!$G$13-Model!$F$13)</f>
        <v>1435.7930424061019</v>
      </c>
      <c r="B2259" s="31">
        <f ca="1">Model!$F$14+RAND()*(Model!$G$14-Model!$F$14)</f>
        <v>0.34621075812071478</v>
      </c>
      <c r="C2259" s="32">
        <f ca="1">Model!$F$15+RAND()*(Model!$G$15-Model!$F$15)</f>
        <v>4.9457152030699433E-2</v>
      </c>
      <c r="D2259" s="33">
        <f ca="1">Model!$F$16+RAND()*(Model!$G$16-Model!$F$16)</f>
        <v>49.672764537115803</v>
      </c>
      <c r="E2259" s="33">
        <f>Model!$D$17</f>
        <v>800</v>
      </c>
      <c r="G2259" s="36">
        <f t="shared" ca="1" si="37"/>
        <v>2230.1876743803914</v>
      </c>
    </row>
    <row r="2260" spans="1:7" x14ac:dyDescent="0.2">
      <c r="A2260" s="6">
        <f ca="1">Model!$F$13+RAND()*(Model!$G$13-Model!$F$13)</f>
        <v>1298.6586977243805</v>
      </c>
      <c r="B2260" s="31">
        <f ca="1">Model!$F$14+RAND()*(Model!$G$14-Model!$F$14)</f>
        <v>0.50329726954936205</v>
      </c>
      <c r="C2260" s="32">
        <f ca="1">Model!$F$15+RAND()*(Model!$G$15-Model!$F$15)</f>
        <v>1.4741328729312914E-2</v>
      </c>
      <c r="D2260" s="33">
        <f ca="1">Model!$F$16+RAND()*(Model!$G$16-Model!$F$16)</f>
        <v>52.428697782143651</v>
      </c>
      <c r="E2260" s="33">
        <f>Model!$D$17</f>
        <v>800</v>
      </c>
      <c r="G2260" s="36">
        <f t="shared" ca="1" si="37"/>
        <v>-449.91875763221094</v>
      </c>
    </row>
    <row r="2261" spans="1:7" x14ac:dyDescent="0.2">
      <c r="A2261" s="6">
        <f ca="1">Model!$F$13+RAND()*(Model!$G$13-Model!$F$13)</f>
        <v>1470.456695981361</v>
      </c>
      <c r="B2261" s="31">
        <f ca="1">Model!$F$14+RAND()*(Model!$G$14-Model!$F$14)</f>
        <v>0.24307164610628823</v>
      </c>
      <c r="C2261" s="32">
        <f ca="1">Model!$F$15+RAND()*(Model!$G$15-Model!$F$15)</f>
        <v>1.7726042615350608E-2</v>
      </c>
      <c r="D2261" s="33">
        <f ca="1">Model!$F$16+RAND()*(Model!$G$16-Model!$F$16)</f>
        <v>49.526014496059069</v>
      </c>
      <c r="E2261" s="33">
        <f>Model!$D$17</f>
        <v>800</v>
      </c>
      <c r="G2261" s="36">
        <f t="shared" ca="1" si="37"/>
        <v>133.48796187570474</v>
      </c>
    </row>
    <row r="2262" spans="1:7" x14ac:dyDescent="0.2">
      <c r="A2262" s="6">
        <f ca="1">Model!$F$13+RAND()*(Model!$G$13-Model!$F$13)</f>
        <v>1201.3282118880704</v>
      </c>
      <c r="B2262" s="31">
        <f ca="1">Model!$F$14+RAND()*(Model!$G$14-Model!$F$14)</f>
        <v>0.65991147195730782</v>
      </c>
      <c r="C2262" s="32">
        <f ca="1">Model!$F$15+RAND()*(Model!$G$15-Model!$F$15)</f>
        <v>3.107388865707876E-2</v>
      </c>
      <c r="D2262" s="33">
        <f ca="1">Model!$F$16+RAND()*(Model!$G$16-Model!$F$16)</f>
        <v>51.674329574767015</v>
      </c>
      <c r="E2262" s="33">
        <f>Model!$D$17</f>
        <v>800</v>
      </c>
      <c r="G2262" s="36">
        <f t="shared" ca="1" si="37"/>
        <v>336.22930728402662</v>
      </c>
    </row>
    <row r="2263" spans="1:7" x14ac:dyDescent="0.2">
      <c r="A2263" s="6">
        <f ca="1">Model!$F$13+RAND()*(Model!$G$13-Model!$F$13)</f>
        <v>1565.2954821001963</v>
      </c>
      <c r="B2263" s="31">
        <f ca="1">Model!$F$14+RAND()*(Model!$G$14-Model!$F$14)</f>
        <v>0.32548899191246417</v>
      </c>
      <c r="C2263" s="32">
        <f ca="1">Model!$F$15+RAND()*(Model!$G$15-Model!$F$15)</f>
        <v>4.7968495675737591E-2</v>
      </c>
      <c r="D2263" s="33">
        <f ca="1">Model!$F$16+RAND()*(Model!$G$16-Model!$F$16)</f>
        <v>51.176975847031166</v>
      </c>
      <c r="E2263" s="33">
        <f>Model!$D$17</f>
        <v>800</v>
      </c>
      <c r="G2263" s="36">
        <f t="shared" ca="1" si="37"/>
        <v>2533.1301076595701</v>
      </c>
    </row>
    <row r="2264" spans="1:7" x14ac:dyDescent="0.2">
      <c r="A2264" s="6">
        <f ca="1">Model!$F$13+RAND()*(Model!$G$13-Model!$F$13)</f>
        <v>1424.5158930673938</v>
      </c>
      <c r="B2264" s="31">
        <f ca="1">Model!$F$14+RAND()*(Model!$G$14-Model!$F$14)</f>
        <v>0.63404454538117894</v>
      </c>
      <c r="C2264" s="32">
        <f ca="1">Model!$F$15+RAND()*(Model!$G$15-Model!$F$15)</f>
        <v>1.1914745480151404E-2</v>
      </c>
      <c r="D2264" s="33">
        <f ca="1">Model!$F$16+RAND()*(Model!$G$16-Model!$F$16)</f>
        <v>49.326397034381181</v>
      </c>
      <c r="E2264" s="33">
        <f>Model!$D$17</f>
        <v>800</v>
      </c>
      <c r="G2264" s="36">
        <f t="shared" ca="1" si="37"/>
        <v>-866.00220778579524</v>
      </c>
    </row>
    <row r="2265" spans="1:7" x14ac:dyDescent="0.2">
      <c r="A2265" s="6">
        <f ca="1">Model!$F$13+RAND()*(Model!$G$13-Model!$F$13)</f>
        <v>1759.7717534078356</v>
      </c>
      <c r="B2265" s="31">
        <f ca="1">Model!$F$14+RAND()*(Model!$G$14-Model!$F$14)</f>
        <v>0.58249849628666184</v>
      </c>
      <c r="C2265" s="32">
        <f ca="1">Model!$F$15+RAND()*(Model!$G$15-Model!$F$15)</f>
        <v>1.6103900409366316E-2</v>
      </c>
      <c r="D2265" s="33">
        <f ca="1">Model!$F$16+RAND()*(Model!$G$16-Model!$F$16)</f>
        <v>48.956241403790408</v>
      </c>
      <c r="E2265" s="33">
        <f>Model!$D$17</f>
        <v>800</v>
      </c>
      <c r="G2265" s="36">
        <f t="shared" ca="1" si="37"/>
        <v>-437.68421935410402</v>
      </c>
    </row>
    <row r="2266" spans="1:7" x14ac:dyDescent="0.2">
      <c r="A2266" s="6">
        <f ca="1">Model!$F$13+RAND()*(Model!$G$13-Model!$F$13)</f>
        <v>1791.3314946232686</v>
      </c>
      <c r="B2266" s="31">
        <f ca="1">Model!$F$14+RAND()*(Model!$G$14-Model!$F$14)</f>
        <v>0.21349871762873829</v>
      </c>
      <c r="C2266" s="32">
        <f ca="1">Model!$F$15+RAND()*(Model!$G$15-Model!$F$15)</f>
        <v>3.0838909295602901E-2</v>
      </c>
      <c r="D2266" s="33">
        <f ca="1">Model!$F$16+RAND()*(Model!$G$16-Model!$F$16)</f>
        <v>48.484432239377561</v>
      </c>
      <c r="E2266" s="33">
        <f>Model!$D$17</f>
        <v>800</v>
      </c>
      <c r="G2266" s="36">
        <f t="shared" ca="1" si="37"/>
        <v>1495.964427603247</v>
      </c>
    </row>
    <row r="2267" spans="1:7" x14ac:dyDescent="0.2">
      <c r="A2267" s="6">
        <f ca="1">Model!$F$13+RAND()*(Model!$G$13-Model!$F$13)</f>
        <v>1735.385806235859</v>
      </c>
      <c r="B2267" s="31">
        <f ca="1">Model!$F$14+RAND()*(Model!$G$14-Model!$F$14)</f>
        <v>0.66122130093517817</v>
      </c>
      <c r="C2267" s="32">
        <f ca="1">Model!$F$15+RAND()*(Model!$G$15-Model!$F$15)</f>
        <v>4.4510814333114768E-2</v>
      </c>
      <c r="D2267" s="33">
        <f ca="1">Model!$F$16+RAND()*(Model!$G$16-Model!$F$16)</f>
        <v>47.099062672459823</v>
      </c>
      <c r="E2267" s="33">
        <f>Model!$D$17</f>
        <v>800</v>
      </c>
      <c r="G2267" s="36">
        <f t="shared" ca="1" si="37"/>
        <v>1690.619345350025</v>
      </c>
    </row>
    <row r="2268" spans="1:7" x14ac:dyDescent="0.2">
      <c r="A2268" s="6">
        <f ca="1">Model!$F$13+RAND()*(Model!$G$13-Model!$F$13)</f>
        <v>1286.7694350573563</v>
      </c>
      <c r="B2268" s="31">
        <f ca="1">Model!$F$14+RAND()*(Model!$G$14-Model!$F$14)</f>
        <v>0.22421276536941953</v>
      </c>
      <c r="C2268" s="32">
        <f ca="1">Model!$F$15+RAND()*(Model!$G$15-Model!$F$15)</f>
        <v>2.1575957715188741E-2</v>
      </c>
      <c r="D2268" s="33">
        <f ca="1">Model!$F$16+RAND()*(Model!$G$16-Model!$F$16)</f>
        <v>52.558151839349208</v>
      </c>
      <c r="E2268" s="33">
        <f>Model!$D$17</f>
        <v>800</v>
      </c>
      <c r="G2268" s="36">
        <f t="shared" ca="1" si="37"/>
        <v>370.67670584084294</v>
      </c>
    </row>
    <row r="2269" spans="1:7" x14ac:dyDescent="0.2">
      <c r="A2269" s="6">
        <f ca="1">Model!$F$13+RAND()*(Model!$G$13-Model!$F$13)</f>
        <v>1538.6289646304417</v>
      </c>
      <c r="B2269" s="31">
        <f ca="1">Model!$F$14+RAND()*(Model!$G$14-Model!$F$14)</f>
        <v>0.5482256774437021</v>
      </c>
      <c r="C2269" s="32">
        <f ca="1">Model!$F$15+RAND()*(Model!$G$15-Model!$F$15)</f>
        <v>3.4586742073503242E-2</v>
      </c>
      <c r="D2269" s="33">
        <f ca="1">Model!$F$16+RAND()*(Model!$G$16-Model!$F$16)</f>
        <v>50.335043222162405</v>
      </c>
      <c r="E2269" s="33">
        <f>Model!$D$17</f>
        <v>800</v>
      </c>
      <c r="G2269" s="36">
        <f t="shared" ca="1" si="37"/>
        <v>1035.1219656274172</v>
      </c>
    </row>
    <row r="2270" spans="1:7" x14ac:dyDescent="0.2">
      <c r="A2270" s="6">
        <f ca="1">Model!$F$13+RAND()*(Model!$G$13-Model!$F$13)</f>
        <v>1207.0404846640579</v>
      </c>
      <c r="B2270" s="31">
        <f ca="1">Model!$F$14+RAND()*(Model!$G$14-Model!$F$14)</f>
        <v>0.75971369880716555</v>
      </c>
      <c r="C2270" s="32">
        <f ca="1">Model!$F$15+RAND()*(Model!$G$15-Model!$F$15)</f>
        <v>1.0543926219078079E-2</v>
      </c>
      <c r="D2270" s="33">
        <f ca="1">Model!$F$16+RAND()*(Model!$G$16-Model!$F$16)</f>
        <v>48.469677163836565</v>
      </c>
      <c r="E2270" s="33">
        <f>Model!$D$17</f>
        <v>800</v>
      </c>
      <c r="G2270" s="36">
        <f t="shared" ca="1" si="37"/>
        <v>-1100.1342363405997</v>
      </c>
    </row>
    <row r="2271" spans="1:7" x14ac:dyDescent="0.2">
      <c r="A2271" s="6">
        <f ca="1">Model!$F$13+RAND()*(Model!$G$13-Model!$F$13)</f>
        <v>1450.1919757461831</v>
      </c>
      <c r="B2271" s="31">
        <f ca="1">Model!$F$14+RAND()*(Model!$G$14-Model!$F$14)</f>
        <v>0.39972681320523928</v>
      </c>
      <c r="C2271" s="32">
        <f ca="1">Model!$F$15+RAND()*(Model!$G$15-Model!$F$15)</f>
        <v>2.9125770672808249E-2</v>
      </c>
      <c r="D2271" s="33">
        <f ca="1">Model!$F$16+RAND()*(Model!$G$16-Model!$F$16)</f>
        <v>49.92668059937283</v>
      </c>
      <c r="E2271" s="33">
        <f>Model!$D$17</f>
        <v>800</v>
      </c>
      <c r="G2271" s="36">
        <f t="shared" ca="1" si="37"/>
        <v>729.12046702415137</v>
      </c>
    </row>
    <row r="2272" spans="1:7" x14ac:dyDescent="0.2">
      <c r="A2272" s="6">
        <f ca="1">Model!$F$13+RAND()*(Model!$G$13-Model!$F$13)</f>
        <v>1709.2809321532623</v>
      </c>
      <c r="B2272" s="31">
        <f ca="1">Model!$F$14+RAND()*(Model!$G$14-Model!$F$14)</f>
        <v>0.72016050278268007</v>
      </c>
      <c r="C2272" s="32">
        <f ca="1">Model!$F$15+RAND()*(Model!$G$15-Model!$F$15)</f>
        <v>3.7498718061920802E-2</v>
      </c>
      <c r="D2272" s="33">
        <f ca="1">Model!$F$16+RAND()*(Model!$G$16-Model!$F$16)</f>
        <v>49.289688104678497</v>
      </c>
      <c r="E2272" s="33">
        <f>Model!$D$17</f>
        <v>800</v>
      </c>
      <c r="G2272" s="36">
        <f t="shared" ca="1" si="37"/>
        <v>1128.307532409442</v>
      </c>
    </row>
    <row r="2273" spans="1:7" x14ac:dyDescent="0.2">
      <c r="A2273" s="6">
        <f ca="1">Model!$F$13+RAND()*(Model!$G$13-Model!$F$13)</f>
        <v>1419.40815343385</v>
      </c>
      <c r="B2273" s="31">
        <f ca="1">Model!$F$14+RAND()*(Model!$G$14-Model!$F$14)</f>
        <v>0.42403882153442018</v>
      </c>
      <c r="C2273" s="32">
        <f ca="1">Model!$F$15+RAND()*(Model!$G$15-Model!$F$15)</f>
        <v>4.0948543016757287E-2</v>
      </c>
      <c r="D2273" s="33">
        <f ca="1">Model!$F$16+RAND()*(Model!$G$16-Model!$F$16)</f>
        <v>49.263566894503526</v>
      </c>
      <c r="E2273" s="33">
        <f>Model!$D$17</f>
        <v>800</v>
      </c>
      <c r="G2273" s="36">
        <f t="shared" ca="1" si="37"/>
        <v>1461.4471534133233</v>
      </c>
    </row>
    <row r="2274" spans="1:7" x14ac:dyDescent="0.2">
      <c r="A2274" s="6">
        <f ca="1">Model!$F$13+RAND()*(Model!$G$13-Model!$F$13)</f>
        <v>1233.3409216549744</v>
      </c>
      <c r="B2274" s="31">
        <f ca="1">Model!$F$14+RAND()*(Model!$G$14-Model!$F$14)</f>
        <v>0.2179375113224466</v>
      </c>
      <c r="C2274" s="32">
        <f ca="1">Model!$F$15+RAND()*(Model!$G$15-Model!$F$15)</f>
        <v>4.2537314112533753E-2</v>
      </c>
      <c r="D2274" s="33">
        <f ca="1">Model!$F$16+RAND()*(Model!$G$16-Model!$F$16)</f>
        <v>49.144582817235978</v>
      </c>
      <c r="E2274" s="33">
        <f>Model!$D$17</f>
        <v>800</v>
      </c>
      <c r="G2274" s="36">
        <f t="shared" ca="1" si="37"/>
        <v>1509.4814981583586</v>
      </c>
    </row>
    <row r="2275" spans="1:7" x14ac:dyDescent="0.2">
      <c r="A2275" s="6">
        <f ca="1">Model!$F$13+RAND()*(Model!$G$13-Model!$F$13)</f>
        <v>1634.7839619871647</v>
      </c>
      <c r="B2275" s="31">
        <f ca="1">Model!$F$14+RAND()*(Model!$G$14-Model!$F$14)</f>
        <v>0.47647048452502089</v>
      </c>
      <c r="C2275" s="32">
        <f ca="1">Model!$F$15+RAND()*(Model!$G$15-Model!$F$15)</f>
        <v>4.2697644497809037E-2</v>
      </c>
      <c r="D2275" s="33">
        <f ca="1">Model!$F$16+RAND()*(Model!$G$16-Model!$F$16)</f>
        <v>49.752651096881308</v>
      </c>
      <c r="E2275" s="33">
        <f>Model!$D$17</f>
        <v>800</v>
      </c>
      <c r="G2275" s="36">
        <f t="shared" ca="1" si="37"/>
        <v>1893.8796097493591</v>
      </c>
    </row>
    <row r="2276" spans="1:7" x14ac:dyDescent="0.2">
      <c r="A2276" s="6">
        <f ca="1">Model!$F$13+RAND()*(Model!$G$13-Model!$F$13)</f>
        <v>1566.1099152437505</v>
      </c>
      <c r="B2276" s="31">
        <f ca="1">Model!$F$14+RAND()*(Model!$G$14-Model!$F$14)</f>
        <v>0.3648167249585702</v>
      </c>
      <c r="C2276" s="32">
        <f ca="1">Model!$F$15+RAND()*(Model!$G$15-Model!$F$15)</f>
        <v>3.1216955144448451E-2</v>
      </c>
      <c r="D2276" s="33">
        <f ca="1">Model!$F$16+RAND()*(Model!$G$16-Model!$F$16)</f>
        <v>47.101859319290597</v>
      </c>
      <c r="E2276" s="33">
        <f>Model!$D$17</f>
        <v>800</v>
      </c>
      <c r="G2276" s="36">
        <f t="shared" ca="1" si="37"/>
        <v>931.42832853986852</v>
      </c>
    </row>
    <row r="2277" spans="1:7" x14ac:dyDescent="0.2">
      <c r="A2277" s="6">
        <f ca="1">Model!$F$13+RAND()*(Model!$G$13-Model!$F$13)</f>
        <v>1513.1345873842731</v>
      </c>
      <c r="B2277" s="31">
        <f ca="1">Model!$F$14+RAND()*(Model!$G$14-Model!$F$14)</f>
        <v>0.435109066474271</v>
      </c>
      <c r="C2277" s="32">
        <f ca="1">Model!$F$15+RAND()*(Model!$G$15-Model!$F$15)</f>
        <v>2.016901311797319E-2</v>
      </c>
      <c r="D2277" s="33">
        <f ca="1">Model!$F$16+RAND()*(Model!$G$16-Model!$F$16)</f>
        <v>48.954349515715201</v>
      </c>
      <c r="E2277" s="33">
        <f>Model!$D$17</f>
        <v>800</v>
      </c>
      <c r="G2277" s="36">
        <f t="shared" ca="1" si="37"/>
        <v>35.631376831318903</v>
      </c>
    </row>
    <row r="2278" spans="1:7" x14ac:dyDescent="0.2">
      <c r="A2278" s="6">
        <f ca="1">Model!$F$13+RAND()*(Model!$G$13-Model!$F$13)</f>
        <v>1729.0033101865342</v>
      </c>
      <c r="B2278" s="31">
        <f ca="1">Model!$F$14+RAND()*(Model!$G$14-Model!$F$14)</f>
        <v>0.46610155503087364</v>
      </c>
      <c r="C2278" s="32">
        <f ca="1">Model!$F$15+RAND()*(Model!$G$15-Model!$F$15)</f>
        <v>1.3597561959404723E-2</v>
      </c>
      <c r="D2278" s="33">
        <f ca="1">Model!$F$16+RAND()*(Model!$G$16-Model!$F$16)</f>
        <v>50.601297431664669</v>
      </c>
      <c r="E2278" s="33">
        <f>Model!$D$17</f>
        <v>800</v>
      </c>
      <c r="G2278" s="36">
        <f t="shared" ca="1" si="37"/>
        <v>-416.24300891826579</v>
      </c>
    </row>
    <row r="2279" spans="1:7" x14ac:dyDescent="0.2">
      <c r="A2279" s="6">
        <f ca="1">Model!$F$13+RAND()*(Model!$G$13-Model!$F$13)</f>
        <v>1241.8640116219738</v>
      </c>
      <c r="B2279" s="31">
        <f ca="1">Model!$F$14+RAND()*(Model!$G$14-Model!$F$14)</f>
        <v>0.25766308014278988</v>
      </c>
      <c r="C2279" s="32">
        <f ca="1">Model!$F$15+RAND()*(Model!$G$15-Model!$F$15)</f>
        <v>3.4190829237674566E-2</v>
      </c>
      <c r="D2279" s="33">
        <f ca="1">Model!$F$16+RAND()*(Model!$G$16-Model!$F$16)</f>
        <v>47.346006414030555</v>
      </c>
      <c r="E2279" s="33">
        <f>Model!$D$17</f>
        <v>800</v>
      </c>
      <c r="G2279" s="36">
        <f t="shared" ca="1" si="37"/>
        <v>890.34598748852068</v>
      </c>
    </row>
    <row r="2280" spans="1:7" x14ac:dyDescent="0.2">
      <c r="A2280" s="6">
        <f ca="1">Model!$F$13+RAND()*(Model!$G$13-Model!$F$13)</f>
        <v>1391.5702081058259</v>
      </c>
      <c r="B2280" s="31">
        <f ca="1">Model!$F$14+RAND()*(Model!$G$14-Model!$F$14)</f>
        <v>0.33502536297669261</v>
      </c>
      <c r="C2280" s="32">
        <f ca="1">Model!$F$15+RAND()*(Model!$G$15-Model!$F$15)</f>
        <v>1.7618238308497271E-2</v>
      </c>
      <c r="D2280" s="33">
        <f ca="1">Model!$F$16+RAND()*(Model!$G$16-Model!$F$16)</f>
        <v>51.873201210880957</v>
      </c>
      <c r="E2280" s="33">
        <f>Model!$D$17</f>
        <v>800</v>
      </c>
      <c r="G2280" s="36">
        <f t="shared" ca="1" si="37"/>
        <v>5.5647666068218768</v>
      </c>
    </row>
    <row r="2281" spans="1:7" x14ac:dyDescent="0.2">
      <c r="A2281" s="6">
        <f ca="1">Model!$F$13+RAND()*(Model!$G$13-Model!$F$13)</f>
        <v>1224.9429671284909</v>
      </c>
      <c r="B2281" s="31">
        <f ca="1">Model!$F$14+RAND()*(Model!$G$14-Model!$F$14)</f>
        <v>0.68400455655139025</v>
      </c>
      <c r="C2281" s="32">
        <f ca="1">Model!$F$15+RAND()*(Model!$G$15-Model!$F$15)</f>
        <v>3.3162293128480021E-2</v>
      </c>
      <c r="D2281" s="33">
        <f ca="1">Model!$F$16+RAND()*(Model!$G$16-Model!$F$16)</f>
        <v>51.008267842987586</v>
      </c>
      <c r="E2281" s="33">
        <f>Model!$D$17</f>
        <v>800</v>
      </c>
      <c r="G2281" s="36">
        <f t="shared" ref="G2281:G2344" ca="1" si="38">A2281*C2281*D2281-(E2281+A2281*B2281)</f>
        <v>434.18708942711328</v>
      </c>
    </row>
    <row r="2282" spans="1:7" x14ac:dyDescent="0.2">
      <c r="A2282" s="6">
        <f ca="1">Model!$F$13+RAND()*(Model!$G$13-Model!$F$13)</f>
        <v>1227.6728982817719</v>
      </c>
      <c r="B2282" s="31">
        <f ca="1">Model!$F$14+RAND()*(Model!$G$14-Model!$F$14)</f>
        <v>0.4243139686914017</v>
      </c>
      <c r="C2282" s="32">
        <f ca="1">Model!$F$15+RAND()*(Model!$G$15-Model!$F$15)</f>
        <v>4.5874259369259485E-2</v>
      </c>
      <c r="D2282" s="33">
        <f ca="1">Model!$F$16+RAND()*(Model!$G$16-Model!$F$16)</f>
        <v>51.241352526510433</v>
      </c>
      <c r="E2282" s="33">
        <f>Model!$D$17</f>
        <v>800</v>
      </c>
      <c r="G2282" s="36">
        <f t="shared" ca="1" si="38"/>
        <v>1564.9217058197173</v>
      </c>
    </row>
    <row r="2283" spans="1:7" x14ac:dyDescent="0.2">
      <c r="A2283" s="6">
        <f ca="1">Model!$F$13+RAND()*(Model!$G$13-Model!$F$13)</f>
        <v>1551.2445406447273</v>
      </c>
      <c r="B2283" s="31">
        <f ca="1">Model!$F$14+RAND()*(Model!$G$14-Model!$F$14)</f>
        <v>0.26249881066361241</v>
      </c>
      <c r="C2283" s="32">
        <f ca="1">Model!$F$15+RAND()*(Model!$G$15-Model!$F$15)</f>
        <v>1.3153620255679477E-2</v>
      </c>
      <c r="D2283" s="33">
        <f ca="1">Model!$F$16+RAND()*(Model!$G$16-Model!$F$16)</f>
        <v>49.618630174434514</v>
      </c>
      <c r="E2283" s="33">
        <f>Model!$D$17</f>
        <v>800</v>
      </c>
      <c r="G2283" s="36">
        <f t="shared" ca="1" si="38"/>
        <v>-194.75741999369779</v>
      </c>
    </row>
    <row r="2284" spans="1:7" x14ac:dyDescent="0.2">
      <c r="A2284" s="6">
        <f ca="1">Model!$F$13+RAND()*(Model!$G$13-Model!$F$13)</f>
        <v>1254.7548462035688</v>
      </c>
      <c r="B2284" s="31">
        <f ca="1">Model!$F$14+RAND()*(Model!$G$14-Model!$F$14)</f>
        <v>0.61456114389220873</v>
      </c>
      <c r="C2284" s="32">
        <f ca="1">Model!$F$15+RAND()*(Model!$G$15-Model!$F$15)</f>
        <v>3.190686578225712E-2</v>
      </c>
      <c r="D2284" s="33">
        <f ca="1">Model!$F$16+RAND()*(Model!$G$16-Model!$F$16)</f>
        <v>48.568751454230302</v>
      </c>
      <c r="E2284" s="33">
        <f>Model!$D$17</f>
        <v>800</v>
      </c>
      <c r="G2284" s="36">
        <f t="shared" ca="1" si="38"/>
        <v>373.34069279953428</v>
      </c>
    </row>
    <row r="2285" spans="1:7" x14ac:dyDescent="0.2">
      <c r="A2285" s="6">
        <f ca="1">Model!$F$13+RAND()*(Model!$G$13-Model!$F$13)</f>
        <v>1377.926184312862</v>
      </c>
      <c r="B2285" s="31">
        <f ca="1">Model!$F$14+RAND()*(Model!$G$14-Model!$F$14)</f>
        <v>0.4137476596873127</v>
      </c>
      <c r="C2285" s="32">
        <f ca="1">Model!$F$15+RAND()*(Model!$G$15-Model!$F$15)</f>
        <v>2.9518508555860044E-2</v>
      </c>
      <c r="D2285" s="33">
        <f ca="1">Model!$F$16+RAND()*(Model!$G$16-Model!$F$16)</f>
        <v>52.089992859168476</v>
      </c>
      <c r="E2285" s="33">
        <f>Model!$D$17</f>
        <v>800</v>
      </c>
      <c r="G2285" s="36">
        <f t="shared" ca="1" si="38"/>
        <v>748.6116096687706</v>
      </c>
    </row>
    <row r="2286" spans="1:7" x14ac:dyDescent="0.2">
      <c r="A2286" s="6">
        <f ca="1">Model!$F$13+RAND()*(Model!$G$13-Model!$F$13)</f>
        <v>1764.0817707564147</v>
      </c>
      <c r="B2286" s="31">
        <f ca="1">Model!$F$14+RAND()*(Model!$G$14-Model!$F$14)</f>
        <v>0.47347574414285859</v>
      </c>
      <c r="C2286" s="32">
        <f ca="1">Model!$F$15+RAND()*(Model!$G$15-Model!$F$15)</f>
        <v>3.2582826671411762E-2</v>
      </c>
      <c r="D2286" s="33">
        <f ca="1">Model!$F$16+RAND()*(Model!$G$16-Model!$F$16)</f>
        <v>51.500553518955122</v>
      </c>
      <c r="E2286" s="33">
        <f>Model!$D$17</f>
        <v>800</v>
      </c>
      <c r="G2286" s="36">
        <f t="shared" ca="1" si="38"/>
        <v>1324.9385708450829</v>
      </c>
    </row>
    <row r="2287" spans="1:7" x14ac:dyDescent="0.2">
      <c r="A2287" s="6">
        <f ca="1">Model!$F$13+RAND()*(Model!$G$13-Model!$F$13)</f>
        <v>1420.3611247230947</v>
      </c>
      <c r="B2287" s="31">
        <f ca="1">Model!$F$14+RAND()*(Model!$G$14-Model!$F$14)</f>
        <v>0.67282218722677878</v>
      </c>
      <c r="C2287" s="32">
        <f ca="1">Model!$F$15+RAND()*(Model!$G$15-Model!$F$15)</f>
        <v>2.6738332199244652E-2</v>
      </c>
      <c r="D2287" s="33">
        <f ca="1">Model!$F$16+RAND()*(Model!$G$16-Model!$F$16)</f>
        <v>48.0275445238847</v>
      </c>
      <c r="E2287" s="33">
        <f>Model!$D$17</f>
        <v>800</v>
      </c>
      <c r="G2287" s="36">
        <f t="shared" ca="1" si="38"/>
        <v>68.343814348261503</v>
      </c>
    </row>
    <row r="2288" spans="1:7" x14ac:dyDescent="0.2">
      <c r="A2288" s="6">
        <f ca="1">Model!$F$13+RAND()*(Model!$G$13-Model!$F$13)</f>
        <v>1304.5480941272772</v>
      </c>
      <c r="B2288" s="31">
        <f ca="1">Model!$F$14+RAND()*(Model!$G$14-Model!$F$14)</f>
        <v>0.67894101484610681</v>
      </c>
      <c r="C2288" s="32">
        <f ca="1">Model!$F$15+RAND()*(Model!$G$15-Model!$F$15)</f>
        <v>2.29509812485445E-2</v>
      </c>
      <c r="D2288" s="33">
        <f ca="1">Model!$F$16+RAND()*(Model!$G$16-Model!$F$16)</f>
        <v>52.948376642247297</v>
      </c>
      <c r="E2288" s="33">
        <f>Model!$D$17</f>
        <v>800</v>
      </c>
      <c r="G2288" s="36">
        <f t="shared" ca="1" si="38"/>
        <v>-100.40192543989519</v>
      </c>
    </row>
    <row r="2289" spans="1:7" x14ac:dyDescent="0.2">
      <c r="A2289" s="6">
        <f ca="1">Model!$F$13+RAND()*(Model!$G$13-Model!$F$13)</f>
        <v>1289.7042756171602</v>
      </c>
      <c r="B2289" s="31">
        <f ca="1">Model!$F$14+RAND()*(Model!$G$14-Model!$F$14)</f>
        <v>0.44210808448949296</v>
      </c>
      <c r="C2289" s="32">
        <f ca="1">Model!$F$15+RAND()*(Model!$G$15-Model!$F$15)</f>
        <v>1.3171470661176438E-2</v>
      </c>
      <c r="D2289" s="33">
        <f ca="1">Model!$F$16+RAND()*(Model!$G$16-Model!$F$16)</f>
        <v>52.762511016895196</v>
      </c>
      <c r="E2289" s="33">
        <f>Model!$D$17</f>
        <v>800</v>
      </c>
      <c r="G2289" s="36">
        <f t="shared" ca="1" si="38"/>
        <v>-473.89597645739104</v>
      </c>
    </row>
    <row r="2290" spans="1:7" x14ac:dyDescent="0.2">
      <c r="A2290" s="6">
        <f ca="1">Model!$F$13+RAND()*(Model!$G$13-Model!$F$13)</f>
        <v>1691.0414649403328</v>
      </c>
      <c r="B2290" s="31">
        <f ca="1">Model!$F$14+RAND()*(Model!$G$14-Model!$F$14)</f>
        <v>0.34386250585726919</v>
      </c>
      <c r="C2290" s="32">
        <f ca="1">Model!$F$15+RAND()*(Model!$G$15-Model!$F$15)</f>
        <v>2.7693194170145263E-2</v>
      </c>
      <c r="D2290" s="33">
        <f ca="1">Model!$F$16+RAND()*(Model!$G$16-Model!$F$16)</f>
        <v>49.3964985173996</v>
      </c>
      <c r="E2290" s="33">
        <f>Model!$D$17</f>
        <v>800</v>
      </c>
      <c r="G2290" s="36">
        <f t="shared" ca="1" si="38"/>
        <v>931.7690468726164</v>
      </c>
    </row>
    <row r="2291" spans="1:7" x14ac:dyDescent="0.2">
      <c r="A2291" s="6">
        <f ca="1">Model!$F$13+RAND()*(Model!$G$13-Model!$F$13)</f>
        <v>1707.4816789325575</v>
      </c>
      <c r="B2291" s="31">
        <f ca="1">Model!$F$14+RAND()*(Model!$G$14-Model!$F$14)</f>
        <v>0.44492059624425673</v>
      </c>
      <c r="C2291" s="32">
        <f ca="1">Model!$F$15+RAND()*(Model!$G$15-Model!$F$15)</f>
        <v>3.9789230391162701E-2</v>
      </c>
      <c r="D2291" s="33">
        <f ca="1">Model!$F$16+RAND()*(Model!$G$16-Model!$F$16)</f>
        <v>50.218368793936307</v>
      </c>
      <c r="E2291" s="33">
        <f>Model!$D$17</f>
        <v>800</v>
      </c>
      <c r="G2291" s="36">
        <f t="shared" ca="1" si="38"/>
        <v>1852.1111698088675</v>
      </c>
    </row>
    <row r="2292" spans="1:7" x14ac:dyDescent="0.2">
      <c r="A2292" s="6">
        <f ca="1">Model!$F$13+RAND()*(Model!$G$13-Model!$F$13)</f>
        <v>1502.0848389950418</v>
      </c>
      <c r="B2292" s="31">
        <f ca="1">Model!$F$14+RAND()*(Model!$G$14-Model!$F$14)</f>
        <v>0.46182717987656974</v>
      </c>
      <c r="C2292" s="32">
        <f ca="1">Model!$F$15+RAND()*(Model!$G$15-Model!$F$15)</f>
        <v>2.0545228605097349E-2</v>
      </c>
      <c r="D2292" s="33">
        <f ca="1">Model!$F$16+RAND()*(Model!$G$16-Model!$F$16)</f>
        <v>47.700238907963815</v>
      </c>
      <c r="E2292" s="33">
        <f>Model!$D$17</f>
        <v>800</v>
      </c>
      <c r="G2292" s="36">
        <f t="shared" ca="1" si="38"/>
        <v>-21.641967920100797</v>
      </c>
    </row>
    <row r="2293" spans="1:7" x14ac:dyDescent="0.2">
      <c r="A2293" s="6">
        <f ca="1">Model!$F$13+RAND()*(Model!$G$13-Model!$F$13)</f>
        <v>1736.0518515878148</v>
      </c>
      <c r="B2293" s="31">
        <f ca="1">Model!$F$14+RAND()*(Model!$G$14-Model!$F$14)</f>
        <v>0.62564623833222854</v>
      </c>
      <c r="C2293" s="32">
        <f ca="1">Model!$F$15+RAND()*(Model!$G$15-Model!$F$15)</f>
        <v>3.0544902675260638E-2</v>
      </c>
      <c r="D2293" s="33">
        <f ca="1">Model!$F$16+RAND()*(Model!$G$16-Model!$F$16)</f>
        <v>47.352476648955239</v>
      </c>
      <c r="E2293" s="33">
        <f>Model!$D$17</f>
        <v>800</v>
      </c>
      <c r="G2293" s="36">
        <f t="shared" ca="1" si="38"/>
        <v>624.83079504916691</v>
      </c>
    </row>
    <row r="2294" spans="1:7" x14ac:dyDescent="0.2">
      <c r="A2294" s="6">
        <f ca="1">Model!$F$13+RAND()*(Model!$G$13-Model!$F$13)</f>
        <v>1698.8699042772598</v>
      </c>
      <c r="B2294" s="31">
        <f ca="1">Model!$F$14+RAND()*(Model!$G$14-Model!$F$14)</f>
        <v>0.65575063515919663</v>
      </c>
      <c r="C2294" s="32">
        <f ca="1">Model!$F$15+RAND()*(Model!$G$15-Model!$F$15)</f>
        <v>3.9435804183899067E-2</v>
      </c>
      <c r="D2294" s="33">
        <f ca="1">Model!$F$16+RAND()*(Model!$G$16-Model!$F$16)</f>
        <v>49.848039224040832</v>
      </c>
      <c r="E2294" s="33">
        <f>Model!$D$17</f>
        <v>800</v>
      </c>
      <c r="G2294" s="36">
        <f t="shared" ca="1" si="38"/>
        <v>1425.5992152992458</v>
      </c>
    </row>
    <row r="2295" spans="1:7" x14ac:dyDescent="0.2">
      <c r="A2295" s="6">
        <f ca="1">Model!$F$13+RAND()*(Model!$G$13-Model!$F$13)</f>
        <v>1473.8915241937893</v>
      </c>
      <c r="B2295" s="31">
        <f ca="1">Model!$F$14+RAND()*(Model!$G$14-Model!$F$14)</f>
        <v>0.78197648474848869</v>
      </c>
      <c r="C2295" s="32">
        <f ca="1">Model!$F$15+RAND()*(Model!$G$15-Model!$F$15)</f>
        <v>1.6584095433976015E-2</v>
      </c>
      <c r="D2295" s="33">
        <f ca="1">Model!$F$16+RAND()*(Model!$G$16-Model!$F$16)</f>
        <v>49.851637021384199</v>
      </c>
      <c r="E2295" s="33">
        <f>Model!$D$17</f>
        <v>800</v>
      </c>
      <c r="G2295" s="36">
        <f t="shared" ca="1" si="38"/>
        <v>-734.01708784438006</v>
      </c>
    </row>
    <row r="2296" spans="1:7" x14ac:dyDescent="0.2">
      <c r="A2296" s="6">
        <f ca="1">Model!$F$13+RAND()*(Model!$G$13-Model!$F$13)</f>
        <v>1202.4474636966302</v>
      </c>
      <c r="B2296" s="31">
        <f ca="1">Model!$F$14+RAND()*(Model!$G$14-Model!$F$14)</f>
        <v>0.31540784474482003</v>
      </c>
      <c r="C2296" s="32">
        <f ca="1">Model!$F$15+RAND()*(Model!$G$15-Model!$F$15)</f>
        <v>2.2281917179689768E-2</v>
      </c>
      <c r="D2296" s="33">
        <f ca="1">Model!$F$16+RAND()*(Model!$G$16-Model!$F$16)</f>
        <v>49.508821902038484</v>
      </c>
      <c r="E2296" s="33">
        <f>Model!$D$17</f>
        <v>800</v>
      </c>
      <c r="G2296" s="36">
        <f t="shared" ca="1" si="38"/>
        <v>147.2203233718094</v>
      </c>
    </row>
    <row r="2297" spans="1:7" x14ac:dyDescent="0.2">
      <c r="A2297" s="6">
        <f ca="1">Model!$F$13+RAND()*(Model!$G$13-Model!$F$13)</f>
        <v>1308.4625509430396</v>
      </c>
      <c r="B2297" s="31">
        <f ca="1">Model!$F$14+RAND()*(Model!$G$14-Model!$F$14)</f>
        <v>0.61835426394796089</v>
      </c>
      <c r="C2297" s="32">
        <f ca="1">Model!$F$15+RAND()*(Model!$G$15-Model!$F$15)</f>
        <v>2.0412184744574922E-2</v>
      </c>
      <c r="D2297" s="33">
        <f ca="1">Model!$F$16+RAND()*(Model!$G$16-Model!$F$16)</f>
        <v>51.775074048717883</v>
      </c>
      <c r="E2297" s="33">
        <f>Model!$D$17</f>
        <v>800</v>
      </c>
      <c r="G2297" s="36">
        <f t="shared" ca="1" si="38"/>
        <v>-226.25472550030167</v>
      </c>
    </row>
    <row r="2298" spans="1:7" x14ac:dyDescent="0.2">
      <c r="A2298" s="6">
        <f ca="1">Model!$F$13+RAND()*(Model!$G$13-Model!$F$13)</f>
        <v>1274.6061039098302</v>
      </c>
      <c r="B2298" s="31">
        <f ca="1">Model!$F$14+RAND()*(Model!$G$14-Model!$F$14)</f>
        <v>0.23537550534685053</v>
      </c>
      <c r="C2298" s="32">
        <f ca="1">Model!$F$15+RAND()*(Model!$G$15-Model!$F$15)</f>
        <v>4.3087390955424576E-2</v>
      </c>
      <c r="D2298" s="33">
        <f ca="1">Model!$F$16+RAND()*(Model!$G$16-Model!$F$16)</f>
        <v>49.404473166323733</v>
      </c>
      <c r="E2298" s="33">
        <f>Model!$D$17</f>
        <v>800</v>
      </c>
      <c r="G2298" s="36">
        <f t="shared" ca="1" si="38"/>
        <v>1613.2555127737392</v>
      </c>
    </row>
    <row r="2299" spans="1:7" x14ac:dyDescent="0.2">
      <c r="A2299" s="6">
        <f ca="1">Model!$F$13+RAND()*(Model!$G$13-Model!$F$13)</f>
        <v>1688.6317488420225</v>
      </c>
      <c r="B2299" s="31">
        <f ca="1">Model!$F$14+RAND()*(Model!$G$14-Model!$F$14)</f>
        <v>0.30268524921256623</v>
      </c>
      <c r="C2299" s="32">
        <f ca="1">Model!$F$15+RAND()*(Model!$G$15-Model!$F$15)</f>
        <v>1.6766842807971569E-2</v>
      </c>
      <c r="D2299" s="33">
        <f ca="1">Model!$F$16+RAND()*(Model!$G$16-Model!$F$16)</f>
        <v>51.331086368735299</v>
      </c>
      <c r="E2299" s="33">
        <f>Model!$D$17</f>
        <v>800</v>
      </c>
      <c r="G2299" s="36">
        <f t="shared" ca="1" si="38"/>
        <v>142.21431204000828</v>
      </c>
    </row>
    <row r="2300" spans="1:7" x14ac:dyDescent="0.2">
      <c r="A2300" s="6">
        <f ca="1">Model!$F$13+RAND()*(Model!$G$13-Model!$F$13)</f>
        <v>1780.0595877299322</v>
      </c>
      <c r="B2300" s="31">
        <f ca="1">Model!$F$14+RAND()*(Model!$G$14-Model!$F$14)</f>
        <v>0.42426842367072354</v>
      </c>
      <c r="C2300" s="32">
        <f ca="1">Model!$F$15+RAND()*(Model!$G$15-Model!$F$15)</f>
        <v>2.6490832485789796E-2</v>
      </c>
      <c r="D2300" s="33">
        <f ca="1">Model!$F$16+RAND()*(Model!$G$16-Model!$F$16)</f>
        <v>52.781710912693555</v>
      </c>
      <c r="E2300" s="33">
        <f>Model!$D$17</f>
        <v>800</v>
      </c>
      <c r="G2300" s="36">
        <f t="shared" ca="1" si="38"/>
        <v>933.71224465336581</v>
      </c>
    </row>
    <row r="2301" spans="1:7" x14ac:dyDescent="0.2">
      <c r="A2301" s="6">
        <f ca="1">Model!$F$13+RAND()*(Model!$G$13-Model!$F$13)</f>
        <v>1217.7160557998075</v>
      </c>
      <c r="B2301" s="31">
        <f ca="1">Model!$F$14+RAND()*(Model!$G$14-Model!$F$14)</f>
        <v>0.54463723155922827</v>
      </c>
      <c r="C2301" s="32">
        <f ca="1">Model!$F$15+RAND()*(Model!$G$15-Model!$F$15)</f>
        <v>4.6901406643543156E-2</v>
      </c>
      <c r="D2301" s="33">
        <f ca="1">Model!$F$16+RAND()*(Model!$G$16-Model!$F$16)</f>
        <v>51.933551644152743</v>
      </c>
      <c r="E2301" s="33">
        <f>Model!$D$17</f>
        <v>800</v>
      </c>
      <c r="G2301" s="36">
        <f t="shared" ca="1" si="38"/>
        <v>1502.8464477384082</v>
      </c>
    </row>
    <row r="2302" spans="1:7" x14ac:dyDescent="0.2">
      <c r="A2302" s="6">
        <f ca="1">Model!$F$13+RAND()*(Model!$G$13-Model!$F$13)</f>
        <v>1780.5635144446583</v>
      </c>
      <c r="B2302" s="31">
        <f ca="1">Model!$F$14+RAND()*(Model!$G$14-Model!$F$14)</f>
        <v>0.40129020337327392</v>
      </c>
      <c r="C2302" s="32">
        <f ca="1">Model!$F$15+RAND()*(Model!$G$15-Model!$F$15)</f>
        <v>4.3947605584176E-2</v>
      </c>
      <c r="D2302" s="33">
        <f ca="1">Model!$F$16+RAND()*(Model!$G$16-Model!$F$16)</f>
        <v>48.471874028136241</v>
      </c>
      <c r="E2302" s="33">
        <f>Model!$D$17</f>
        <v>800</v>
      </c>
      <c r="G2302" s="36">
        <f t="shared" ca="1" si="38"/>
        <v>2278.4743035402034</v>
      </c>
    </row>
    <row r="2303" spans="1:7" x14ac:dyDescent="0.2">
      <c r="A2303" s="6">
        <f ca="1">Model!$F$13+RAND()*(Model!$G$13-Model!$F$13)</f>
        <v>1669.9233856847118</v>
      </c>
      <c r="B2303" s="31">
        <f ca="1">Model!$F$14+RAND()*(Model!$G$14-Model!$F$14)</f>
        <v>0.41827665737904207</v>
      </c>
      <c r="C2303" s="32">
        <f ca="1">Model!$F$15+RAND()*(Model!$G$15-Model!$F$15)</f>
        <v>2.7673566349559663E-2</v>
      </c>
      <c r="D2303" s="33">
        <f ca="1">Model!$F$16+RAND()*(Model!$G$16-Model!$F$16)</f>
        <v>52.147503332516074</v>
      </c>
      <c r="E2303" s="33">
        <f>Model!$D$17</f>
        <v>800</v>
      </c>
      <c r="G2303" s="36">
        <f t="shared" ca="1" si="38"/>
        <v>911.38881251043654</v>
      </c>
    </row>
    <row r="2304" spans="1:7" x14ac:dyDescent="0.2">
      <c r="A2304" s="6">
        <f ca="1">Model!$F$13+RAND()*(Model!$G$13-Model!$F$13)</f>
        <v>1580.6604535801653</v>
      </c>
      <c r="B2304" s="31">
        <f ca="1">Model!$F$14+RAND()*(Model!$G$14-Model!$F$14)</f>
        <v>0.28783612939637604</v>
      </c>
      <c r="C2304" s="32">
        <f ca="1">Model!$F$15+RAND()*(Model!$G$15-Model!$F$15)</f>
        <v>1.1379282203133072E-2</v>
      </c>
      <c r="D2304" s="33">
        <f ca="1">Model!$F$16+RAND()*(Model!$G$16-Model!$F$16)</f>
        <v>47.912923611882064</v>
      </c>
      <c r="E2304" s="33">
        <f>Model!$D$17</f>
        <v>800</v>
      </c>
      <c r="G2304" s="36">
        <f t="shared" ca="1" si="38"/>
        <v>-393.1719051100722</v>
      </c>
    </row>
    <row r="2305" spans="1:7" x14ac:dyDescent="0.2">
      <c r="A2305" s="6">
        <f ca="1">Model!$F$13+RAND()*(Model!$G$13-Model!$F$13)</f>
        <v>1276.6191155379415</v>
      </c>
      <c r="B2305" s="31">
        <f ca="1">Model!$F$14+RAND()*(Model!$G$14-Model!$F$14)</f>
        <v>0.51452135284794265</v>
      </c>
      <c r="C2305" s="32">
        <f ca="1">Model!$F$15+RAND()*(Model!$G$15-Model!$F$15)</f>
        <v>3.8465258112575569E-2</v>
      </c>
      <c r="D2305" s="33">
        <f ca="1">Model!$F$16+RAND()*(Model!$G$16-Model!$F$16)</f>
        <v>48.274150969996668</v>
      </c>
      <c r="E2305" s="33">
        <f>Model!$D$17</f>
        <v>800</v>
      </c>
      <c r="G2305" s="36">
        <f t="shared" ca="1" si="38"/>
        <v>913.67774356474001</v>
      </c>
    </row>
    <row r="2306" spans="1:7" x14ac:dyDescent="0.2">
      <c r="A2306" s="6">
        <f ca="1">Model!$F$13+RAND()*(Model!$G$13-Model!$F$13)</f>
        <v>1632.6848279737485</v>
      </c>
      <c r="B2306" s="31">
        <f ca="1">Model!$F$14+RAND()*(Model!$G$14-Model!$F$14)</f>
        <v>0.40752097371770979</v>
      </c>
      <c r="C2306" s="32">
        <f ca="1">Model!$F$15+RAND()*(Model!$G$15-Model!$F$15)</f>
        <v>2.4959391182432962E-2</v>
      </c>
      <c r="D2306" s="33">
        <f ca="1">Model!$F$16+RAND()*(Model!$G$16-Model!$F$16)</f>
        <v>51.249800622620533</v>
      </c>
      <c r="E2306" s="33">
        <f>Model!$D$17</f>
        <v>800</v>
      </c>
      <c r="G2306" s="36">
        <f t="shared" ca="1" si="38"/>
        <v>623.11805341322133</v>
      </c>
    </row>
    <row r="2307" spans="1:7" x14ac:dyDescent="0.2">
      <c r="A2307" s="6">
        <f ca="1">Model!$F$13+RAND()*(Model!$G$13-Model!$F$13)</f>
        <v>1237.031168935782</v>
      </c>
      <c r="B2307" s="31">
        <f ca="1">Model!$F$14+RAND()*(Model!$G$14-Model!$F$14)</f>
        <v>0.77219467622206817</v>
      </c>
      <c r="C2307" s="32">
        <f ca="1">Model!$F$15+RAND()*(Model!$G$15-Model!$F$15)</f>
        <v>1.8751741311138735E-2</v>
      </c>
      <c r="D2307" s="33">
        <f ca="1">Model!$F$16+RAND()*(Model!$G$16-Model!$F$16)</f>
        <v>49.335529263779158</v>
      </c>
      <c r="E2307" s="33">
        <f>Model!$D$17</f>
        <v>800</v>
      </c>
      <c r="G2307" s="36">
        <f t="shared" ca="1" si="38"/>
        <v>-610.81784706186295</v>
      </c>
    </row>
    <row r="2308" spans="1:7" x14ac:dyDescent="0.2">
      <c r="A2308" s="6">
        <f ca="1">Model!$F$13+RAND()*(Model!$G$13-Model!$F$13)</f>
        <v>1615.7082267768553</v>
      </c>
      <c r="B2308" s="31">
        <f ca="1">Model!$F$14+RAND()*(Model!$G$14-Model!$F$14)</f>
        <v>0.55928728893724777</v>
      </c>
      <c r="C2308" s="32">
        <f ca="1">Model!$F$15+RAND()*(Model!$G$15-Model!$F$15)</f>
        <v>1.5945236157143709E-2</v>
      </c>
      <c r="D2308" s="33">
        <f ca="1">Model!$F$16+RAND()*(Model!$G$16-Model!$F$16)</f>
        <v>52.604967611729094</v>
      </c>
      <c r="E2308" s="33">
        <f>Model!$D$17</f>
        <v>800</v>
      </c>
      <c r="G2308" s="36">
        <f t="shared" ca="1" si="38"/>
        <v>-348.39122416955593</v>
      </c>
    </row>
    <row r="2309" spans="1:7" x14ac:dyDescent="0.2">
      <c r="A2309" s="6">
        <f ca="1">Model!$F$13+RAND()*(Model!$G$13-Model!$F$13)</f>
        <v>1670.6150609022427</v>
      </c>
      <c r="B2309" s="31">
        <f ca="1">Model!$F$14+RAND()*(Model!$G$14-Model!$F$14)</f>
        <v>0.65594679239588438</v>
      </c>
      <c r="C2309" s="32">
        <f ca="1">Model!$F$15+RAND()*(Model!$G$15-Model!$F$15)</f>
        <v>3.337102345626021E-2</v>
      </c>
      <c r="D2309" s="33">
        <f ca="1">Model!$F$16+RAND()*(Model!$G$16-Model!$F$16)</f>
        <v>48.116063164937366</v>
      </c>
      <c r="E2309" s="33">
        <f>Model!$D$17</f>
        <v>800</v>
      </c>
      <c r="G2309" s="36">
        <f t="shared" ca="1" si="38"/>
        <v>786.64239693519585</v>
      </c>
    </row>
    <row r="2310" spans="1:7" x14ac:dyDescent="0.2">
      <c r="A2310" s="6">
        <f ca="1">Model!$F$13+RAND()*(Model!$G$13-Model!$F$13)</f>
        <v>1272.5408636252014</v>
      </c>
      <c r="B2310" s="31">
        <f ca="1">Model!$F$14+RAND()*(Model!$G$14-Model!$F$14)</f>
        <v>0.64207031252706803</v>
      </c>
      <c r="C2310" s="32">
        <f ca="1">Model!$F$15+RAND()*(Model!$G$15-Model!$F$15)</f>
        <v>3.105814943637452E-2</v>
      </c>
      <c r="D2310" s="33">
        <f ca="1">Model!$F$16+RAND()*(Model!$G$16-Model!$F$16)</f>
        <v>52.610182672865783</v>
      </c>
      <c r="E2310" s="33">
        <f>Model!$D$17</f>
        <v>800</v>
      </c>
      <c r="G2310" s="36">
        <f t="shared" ca="1" si="38"/>
        <v>462.23913988316281</v>
      </c>
    </row>
    <row r="2311" spans="1:7" x14ac:dyDescent="0.2">
      <c r="A2311" s="6">
        <f ca="1">Model!$F$13+RAND()*(Model!$G$13-Model!$F$13)</f>
        <v>1349.3397447026859</v>
      </c>
      <c r="B2311" s="31">
        <f ca="1">Model!$F$14+RAND()*(Model!$G$14-Model!$F$14)</f>
        <v>0.75320969301780738</v>
      </c>
      <c r="C2311" s="32">
        <f ca="1">Model!$F$15+RAND()*(Model!$G$15-Model!$F$15)</f>
        <v>4.136813353589873E-2</v>
      </c>
      <c r="D2311" s="33">
        <f ca="1">Model!$F$16+RAND()*(Model!$G$16-Model!$F$16)</f>
        <v>48.190224101075032</v>
      </c>
      <c r="E2311" s="33">
        <f>Model!$D$17</f>
        <v>800</v>
      </c>
      <c r="G2311" s="36">
        <f t="shared" ca="1" si="38"/>
        <v>873.6264747639766</v>
      </c>
    </row>
    <row r="2312" spans="1:7" x14ac:dyDescent="0.2">
      <c r="A2312" s="6">
        <f ca="1">Model!$F$13+RAND()*(Model!$G$13-Model!$F$13)</f>
        <v>1657.4763384751391</v>
      </c>
      <c r="B2312" s="31">
        <f ca="1">Model!$F$14+RAND()*(Model!$G$14-Model!$F$14)</f>
        <v>0.73682424263234103</v>
      </c>
      <c r="C2312" s="32">
        <f ca="1">Model!$F$15+RAND()*(Model!$G$15-Model!$F$15)</f>
        <v>1.1248118127752962E-2</v>
      </c>
      <c r="D2312" s="33">
        <f ca="1">Model!$F$16+RAND()*(Model!$G$16-Model!$F$16)</f>
        <v>52.184645343153278</v>
      </c>
      <c r="E2312" s="33">
        <f>Model!$D$17</f>
        <v>800</v>
      </c>
      <c r="G2312" s="36">
        <f t="shared" ca="1" si="38"/>
        <v>-1048.3648524796945</v>
      </c>
    </row>
    <row r="2313" spans="1:7" x14ac:dyDescent="0.2">
      <c r="A2313" s="6">
        <f ca="1">Model!$F$13+RAND()*(Model!$G$13-Model!$F$13)</f>
        <v>1441.1144393008967</v>
      </c>
      <c r="B2313" s="31">
        <f ca="1">Model!$F$14+RAND()*(Model!$G$14-Model!$F$14)</f>
        <v>0.71011092240787521</v>
      </c>
      <c r="C2313" s="32">
        <f ca="1">Model!$F$15+RAND()*(Model!$G$15-Model!$F$15)</f>
        <v>2.7554057697619302E-2</v>
      </c>
      <c r="D2313" s="33">
        <f ca="1">Model!$F$16+RAND()*(Model!$G$16-Model!$F$16)</f>
        <v>51.584648360097972</v>
      </c>
      <c r="E2313" s="33">
        <f>Model!$D$17</f>
        <v>800</v>
      </c>
      <c r="G2313" s="36">
        <f t="shared" ca="1" si="38"/>
        <v>225.00050596926667</v>
      </c>
    </row>
    <row r="2314" spans="1:7" x14ac:dyDescent="0.2">
      <c r="A2314" s="6">
        <f ca="1">Model!$F$13+RAND()*(Model!$G$13-Model!$F$13)</f>
        <v>1612.9814159719592</v>
      </c>
      <c r="B2314" s="31">
        <f ca="1">Model!$F$14+RAND()*(Model!$G$14-Model!$F$14)</f>
        <v>0.44923059220688172</v>
      </c>
      <c r="C2314" s="32">
        <f ca="1">Model!$F$15+RAND()*(Model!$G$15-Model!$F$15)</f>
        <v>4.6932280346984274E-2</v>
      </c>
      <c r="D2314" s="33">
        <f ca="1">Model!$F$16+RAND()*(Model!$G$16-Model!$F$16)</f>
        <v>50.036554662712852</v>
      </c>
      <c r="E2314" s="33">
        <f>Model!$D$17</f>
        <v>800</v>
      </c>
      <c r="G2314" s="36">
        <f t="shared" ca="1" si="38"/>
        <v>2263.2114244484696</v>
      </c>
    </row>
    <row r="2315" spans="1:7" x14ac:dyDescent="0.2">
      <c r="A2315" s="6">
        <f ca="1">Model!$F$13+RAND()*(Model!$G$13-Model!$F$13)</f>
        <v>1329.1768021820208</v>
      </c>
      <c r="B2315" s="31">
        <f ca="1">Model!$F$14+RAND()*(Model!$G$14-Model!$F$14)</f>
        <v>0.3931438279811546</v>
      </c>
      <c r="C2315" s="32">
        <f ca="1">Model!$F$15+RAND()*(Model!$G$15-Model!$F$15)</f>
        <v>1.1022400754521757E-2</v>
      </c>
      <c r="D2315" s="33">
        <f ca="1">Model!$F$16+RAND()*(Model!$G$16-Model!$F$16)</f>
        <v>48.059426117353766</v>
      </c>
      <c r="E2315" s="33">
        <f>Model!$D$17</f>
        <v>800</v>
      </c>
      <c r="G2315" s="36">
        <f t="shared" ca="1" si="38"/>
        <v>-618.45249011529654</v>
      </c>
    </row>
    <row r="2316" spans="1:7" x14ac:dyDescent="0.2">
      <c r="A2316" s="6">
        <f ca="1">Model!$F$13+RAND()*(Model!$G$13-Model!$F$13)</f>
        <v>1767.6254465600932</v>
      </c>
      <c r="B2316" s="31">
        <f ca="1">Model!$F$14+RAND()*(Model!$G$14-Model!$F$14)</f>
        <v>0.24874296353376391</v>
      </c>
      <c r="C2316" s="32">
        <f ca="1">Model!$F$15+RAND()*(Model!$G$15-Model!$F$15)</f>
        <v>1.8506499334316917E-2</v>
      </c>
      <c r="D2316" s="33">
        <f ca="1">Model!$F$16+RAND()*(Model!$G$16-Model!$F$16)</f>
        <v>51.34437125598059</v>
      </c>
      <c r="E2316" s="33">
        <f>Model!$D$17</f>
        <v>800</v>
      </c>
      <c r="G2316" s="36">
        <f t="shared" ca="1" si="38"/>
        <v>439.92138974019053</v>
      </c>
    </row>
    <row r="2317" spans="1:7" x14ac:dyDescent="0.2">
      <c r="A2317" s="6">
        <f ca="1">Model!$F$13+RAND()*(Model!$G$13-Model!$F$13)</f>
        <v>1621.9868772730433</v>
      </c>
      <c r="B2317" s="31">
        <f ca="1">Model!$F$14+RAND()*(Model!$G$14-Model!$F$14)</f>
        <v>0.47469927598717188</v>
      </c>
      <c r="C2317" s="32">
        <f ca="1">Model!$F$15+RAND()*(Model!$G$15-Model!$F$15)</f>
        <v>2.0475126016518866E-2</v>
      </c>
      <c r="D2317" s="33">
        <f ca="1">Model!$F$16+RAND()*(Model!$G$16-Model!$F$16)</f>
        <v>51.326831348171986</v>
      </c>
      <c r="E2317" s="33">
        <f>Model!$D$17</f>
        <v>800</v>
      </c>
      <c r="G2317" s="36">
        <f t="shared" ca="1" si="38"/>
        <v>134.62787000705612</v>
      </c>
    </row>
    <row r="2318" spans="1:7" x14ac:dyDescent="0.2">
      <c r="A2318" s="6">
        <f ca="1">Model!$F$13+RAND()*(Model!$G$13-Model!$F$13)</f>
        <v>1713.4809462378983</v>
      </c>
      <c r="B2318" s="31">
        <f ca="1">Model!$F$14+RAND()*(Model!$G$14-Model!$F$14)</f>
        <v>0.201771849305585</v>
      </c>
      <c r="C2318" s="32">
        <f ca="1">Model!$F$15+RAND()*(Model!$G$15-Model!$F$15)</f>
        <v>2.9238423575406847E-2</v>
      </c>
      <c r="D2318" s="33">
        <f ca="1">Model!$F$16+RAND()*(Model!$G$16-Model!$F$16)</f>
        <v>49.181422606483096</v>
      </c>
      <c r="E2318" s="33">
        <f>Model!$D$17</f>
        <v>800</v>
      </c>
      <c r="G2318" s="36">
        <f t="shared" ca="1" si="38"/>
        <v>1318.2315623102995</v>
      </c>
    </row>
    <row r="2319" spans="1:7" x14ac:dyDescent="0.2">
      <c r="A2319" s="6">
        <f ca="1">Model!$F$13+RAND()*(Model!$G$13-Model!$F$13)</f>
        <v>1590.5062198742328</v>
      </c>
      <c r="B2319" s="31">
        <f ca="1">Model!$F$14+RAND()*(Model!$G$14-Model!$F$14)</f>
        <v>0.26113609522375736</v>
      </c>
      <c r="C2319" s="32">
        <f ca="1">Model!$F$15+RAND()*(Model!$G$15-Model!$F$15)</f>
        <v>1.2215723259372587E-2</v>
      </c>
      <c r="D2319" s="33">
        <f ca="1">Model!$F$16+RAND()*(Model!$G$16-Model!$F$16)</f>
        <v>51.991197298211418</v>
      </c>
      <c r="E2319" s="33">
        <f>Model!$D$17</f>
        <v>800</v>
      </c>
      <c r="G2319" s="36">
        <f t="shared" ca="1" si="38"/>
        <v>-205.19205413494626</v>
      </c>
    </row>
    <row r="2320" spans="1:7" x14ac:dyDescent="0.2">
      <c r="A2320" s="6">
        <f ca="1">Model!$F$13+RAND()*(Model!$G$13-Model!$F$13)</f>
        <v>1574.9562425733104</v>
      </c>
      <c r="B2320" s="31">
        <f ca="1">Model!$F$14+RAND()*(Model!$G$14-Model!$F$14)</f>
        <v>0.28535752733535796</v>
      </c>
      <c r="C2320" s="32">
        <f ca="1">Model!$F$15+RAND()*(Model!$G$15-Model!$F$15)</f>
        <v>3.2183207459598573E-2</v>
      </c>
      <c r="D2320" s="33">
        <f ca="1">Model!$F$16+RAND()*(Model!$G$16-Model!$F$16)</f>
        <v>50.990587125388764</v>
      </c>
      <c r="E2320" s="33">
        <f>Model!$D$17</f>
        <v>800</v>
      </c>
      <c r="G2320" s="36">
        <f t="shared" ca="1" si="38"/>
        <v>1335.1415874526401</v>
      </c>
    </row>
    <row r="2321" spans="1:7" x14ac:dyDescent="0.2">
      <c r="A2321" s="6">
        <f ca="1">Model!$F$13+RAND()*(Model!$G$13-Model!$F$13)</f>
        <v>1632.1204495158788</v>
      </c>
      <c r="B2321" s="31">
        <f ca="1">Model!$F$14+RAND()*(Model!$G$14-Model!$F$14)</f>
        <v>0.36435350984849779</v>
      </c>
      <c r="C2321" s="32">
        <f ca="1">Model!$F$15+RAND()*(Model!$G$15-Model!$F$15)</f>
        <v>2.6633772245318134E-2</v>
      </c>
      <c r="D2321" s="33">
        <f ca="1">Model!$F$16+RAND()*(Model!$G$16-Model!$F$16)</f>
        <v>51.611245212573301</v>
      </c>
      <c r="E2321" s="33">
        <f>Model!$D$17</f>
        <v>800</v>
      </c>
      <c r="G2321" s="36">
        <f t="shared" ca="1" si="38"/>
        <v>848.84746515846518</v>
      </c>
    </row>
    <row r="2322" spans="1:7" x14ac:dyDescent="0.2">
      <c r="A2322" s="6">
        <f ca="1">Model!$F$13+RAND()*(Model!$G$13-Model!$F$13)</f>
        <v>1565.9738266277886</v>
      </c>
      <c r="B2322" s="31">
        <f ca="1">Model!$F$14+RAND()*(Model!$G$14-Model!$F$14)</f>
        <v>0.24714849978120884</v>
      </c>
      <c r="C2322" s="32">
        <f ca="1">Model!$F$15+RAND()*(Model!$G$15-Model!$F$15)</f>
        <v>1.2703575462409508E-2</v>
      </c>
      <c r="D2322" s="33">
        <f ca="1">Model!$F$16+RAND()*(Model!$G$16-Model!$F$16)</f>
        <v>48.479701027668831</v>
      </c>
      <c r="E2322" s="33">
        <f>Model!$D$17</f>
        <v>800</v>
      </c>
      <c r="G2322" s="36">
        <f t="shared" ca="1" si="38"/>
        <v>-222.59876495925084</v>
      </c>
    </row>
    <row r="2323" spans="1:7" x14ac:dyDescent="0.2">
      <c r="A2323" s="6">
        <f ca="1">Model!$F$13+RAND()*(Model!$G$13-Model!$F$13)</f>
        <v>1302.9026541221222</v>
      </c>
      <c r="B2323" s="31">
        <f ca="1">Model!$F$14+RAND()*(Model!$G$14-Model!$F$14)</f>
        <v>0.70393555899060778</v>
      </c>
      <c r="C2323" s="32">
        <f ca="1">Model!$F$15+RAND()*(Model!$G$15-Model!$F$15)</f>
        <v>2.9693884630553342E-2</v>
      </c>
      <c r="D2323" s="33">
        <f ca="1">Model!$F$16+RAND()*(Model!$G$16-Model!$F$16)</f>
        <v>52.002003745117307</v>
      </c>
      <c r="E2323" s="33">
        <f>Model!$D$17</f>
        <v>800</v>
      </c>
      <c r="G2323" s="36">
        <f t="shared" ca="1" si="38"/>
        <v>294.70655024428152</v>
      </c>
    </row>
    <row r="2324" spans="1:7" x14ac:dyDescent="0.2">
      <c r="A2324" s="6">
        <f ca="1">Model!$F$13+RAND()*(Model!$G$13-Model!$F$13)</f>
        <v>1568.8955691592996</v>
      </c>
      <c r="B2324" s="31">
        <f ca="1">Model!$F$14+RAND()*(Model!$G$14-Model!$F$14)</f>
        <v>0.70908502345336322</v>
      </c>
      <c r="C2324" s="32">
        <f ca="1">Model!$F$15+RAND()*(Model!$G$15-Model!$F$15)</f>
        <v>4.4647041088311926E-2</v>
      </c>
      <c r="D2324" s="33">
        <f ca="1">Model!$F$16+RAND()*(Model!$G$16-Model!$F$16)</f>
        <v>51.818873978404497</v>
      </c>
      <c r="E2324" s="33">
        <f>Model!$D$17</f>
        <v>800</v>
      </c>
      <c r="G2324" s="36">
        <f t="shared" ca="1" si="38"/>
        <v>1717.2527333907337</v>
      </c>
    </row>
    <row r="2325" spans="1:7" x14ac:dyDescent="0.2">
      <c r="A2325" s="6">
        <f ca="1">Model!$F$13+RAND()*(Model!$G$13-Model!$F$13)</f>
        <v>1279.2360944793857</v>
      </c>
      <c r="B2325" s="31">
        <f ca="1">Model!$F$14+RAND()*(Model!$G$14-Model!$F$14)</f>
        <v>0.48104474059509017</v>
      </c>
      <c r="C2325" s="32">
        <f ca="1">Model!$F$15+RAND()*(Model!$G$15-Model!$F$15)</f>
        <v>4.9109300538743926E-2</v>
      </c>
      <c r="D2325" s="33">
        <f ca="1">Model!$F$16+RAND()*(Model!$G$16-Model!$F$16)</f>
        <v>50.260929057939023</v>
      </c>
      <c r="E2325" s="33">
        <f>Model!$D$17</f>
        <v>800</v>
      </c>
      <c r="G2325" s="36">
        <f t="shared" ca="1" si="38"/>
        <v>1742.1418829553475</v>
      </c>
    </row>
    <row r="2326" spans="1:7" x14ac:dyDescent="0.2">
      <c r="A2326" s="6">
        <f ca="1">Model!$F$13+RAND()*(Model!$G$13-Model!$F$13)</f>
        <v>1618.705540070413</v>
      </c>
      <c r="B2326" s="31">
        <f ca="1">Model!$F$14+RAND()*(Model!$G$14-Model!$F$14)</f>
        <v>0.74980680428400315</v>
      </c>
      <c r="C2326" s="32">
        <f ca="1">Model!$F$15+RAND()*(Model!$G$15-Model!$F$15)</f>
        <v>3.677709592764275E-2</v>
      </c>
      <c r="D2326" s="33">
        <f ca="1">Model!$F$16+RAND()*(Model!$G$16-Model!$F$16)</f>
        <v>52.838716481665685</v>
      </c>
      <c r="E2326" s="33">
        <f>Model!$D$17</f>
        <v>800</v>
      </c>
      <c r="G2326" s="36">
        <f t="shared" ca="1" si="38"/>
        <v>1131.8404692602128</v>
      </c>
    </row>
    <row r="2327" spans="1:7" x14ac:dyDescent="0.2">
      <c r="A2327" s="6">
        <f ca="1">Model!$F$13+RAND()*(Model!$G$13-Model!$F$13)</f>
        <v>1213.6183622096978</v>
      </c>
      <c r="B2327" s="31">
        <f ca="1">Model!$F$14+RAND()*(Model!$G$14-Model!$F$14)</f>
        <v>0.70618254295444349</v>
      </c>
      <c r="C2327" s="32">
        <f ca="1">Model!$F$15+RAND()*(Model!$G$15-Model!$F$15)</f>
        <v>3.0950057013834777E-2</v>
      </c>
      <c r="D2327" s="33">
        <f ca="1">Model!$F$16+RAND()*(Model!$G$16-Model!$F$16)</f>
        <v>48.390304653696312</v>
      </c>
      <c r="E2327" s="33">
        <f>Model!$D$17</f>
        <v>800</v>
      </c>
      <c r="G2327" s="36">
        <f t="shared" ca="1" si="38"/>
        <v>160.57910965671044</v>
      </c>
    </row>
    <row r="2328" spans="1:7" x14ac:dyDescent="0.2">
      <c r="A2328" s="6">
        <f ca="1">Model!$F$13+RAND()*(Model!$G$13-Model!$F$13)</f>
        <v>1471.4505943658401</v>
      </c>
      <c r="B2328" s="31">
        <f ca="1">Model!$F$14+RAND()*(Model!$G$14-Model!$F$14)</f>
        <v>0.49534264076363804</v>
      </c>
      <c r="C2328" s="32">
        <f ca="1">Model!$F$15+RAND()*(Model!$G$15-Model!$F$15)</f>
        <v>3.4185640848703701E-2</v>
      </c>
      <c r="D2328" s="33">
        <f ca="1">Model!$F$16+RAND()*(Model!$G$16-Model!$F$16)</f>
        <v>52.305283399393318</v>
      </c>
      <c r="E2328" s="33">
        <f>Model!$D$17</f>
        <v>800</v>
      </c>
      <c r="G2328" s="36">
        <f t="shared" ca="1" si="38"/>
        <v>1102.2133297690752</v>
      </c>
    </row>
    <row r="2329" spans="1:7" x14ac:dyDescent="0.2">
      <c r="A2329" s="6">
        <f ca="1">Model!$F$13+RAND()*(Model!$G$13-Model!$F$13)</f>
        <v>1443.4408262902641</v>
      </c>
      <c r="B2329" s="31">
        <f ca="1">Model!$F$14+RAND()*(Model!$G$14-Model!$F$14)</f>
        <v>0.22588762259837952</v>
      </c>
      <c r="C2329" s="32">
        <f ca="1">Model!$F$15+RAND()*(Model!$G$15-Model!$F$15)</f>
        <v>4.8357002556560877E-2</v>
      </c>
      <c r="D2329" s="33">
        <f ca="1">Model!$F$16+RAND()*(Model!$G$16-Model!$F$16)</f>
        <v>47.689033343724091</v>
      </c>
      <c r="E2329" s="33">
        <f>Model!$D$17</f>
        <v>800</v>
      </c>
      <c r="G2329" s="36">
        <f t="shared" ca="1" si="38"/>
        <v>2202.661606992182</v>
      </c>
    </row>
    <row r="2330" spans="1:7" x14ac:dyDescent="0.2">
      <c r="A2330" s="6">
        <f ca="1">Model!$F$13+RAND()*(Model!$G$13-Model!$F$13)</f>
        <v>1249.6926030917102</v>
      </c>
      <c r="B2330" s="31">
        <f ca="1">Model!$F$14+RAND()*(Model!$G$14-Model!$F$14)</f>
        <v>0.61005055470874803</v>
      </c>
      <c r="C2330" s="32">
        <f ca="1">Model!$F$15+RAND()*(Model!$G$15-Model!$F$15)</f>
        <v>1.5758957938475801E-2</v>
      </c>
      <c r="D2330" s="33">
        <f ca="1">Model!$F$16+RAND()*(Model!$G$16-Model!$F$16)</f>
        <v>51.592388047397655</v>
      </c>
      <c r="E2330" s="33">
        <f>Model!$D$17</f>
        <v>800</v>
      </c>
      <c r="G2330" s="36">
        <f t="shared" ca="1" si="38"/>
        <v>-546.32275093202622</v>
      </c>
    </row>
    <row r="2331" spans="1:7" x14ac:dyDescent="0.2">
      <c r="A2331" s="6">
        <f ca="1">Model!$F$13+RAND()*(Model!$G$13-Model!$F$13)</f>
        <v>1776.2289452009918</v>
      </c>
      <c r="B2331" s="31">
        <f ca="1">Model!$F$14+RAND()*(Model!$G$14-Model!$F$14)</f>
        <v>0.76835711628766479</v>
      </c>
      <c r="C2331" s="32">
        <f ca="1">Model!$F$15+RAND()*(Model!$G$15-Model!$F$15)</f>
        <v>3.7821014375413145E-2</v>
      </c>
      <c r="D2331" s="33">
        <f ca="1">Model!$F$16+RAND()*(Model!$G$16-Model!$F$16)</f>
        <v>52.653346150766687</v>
      </c>
      <c r="E2331" s="33">
        <f>Model!$D$17</f>
        <v>800</v>
      </c>
      <c r="G2331" s="36">
        <f t="shared" ca="1" si="38"/>
        <v>1372.4094318967932</v>
      </c>
    </row>
    <row r="2332" spans="1:7" x14ac:dyDescent="0.2">
      <c r="A2332" s="6">
        <f ca="1">Model!$F$13+RAND()*(Model!$G$13-Model!$F$13)</f>
        <v>1303.7595502012618</v>
      </c>
      <c r="B2332" s="31">
        <f ca="1">Model!$F$14+RAND()*(Model!$G$14-Model!$F$14)</f>
        <v>0.75374579508556594</v>
      </c>
      <c r="C2332" s="32">
        <f ca="1">Model!$F$15+RAND()*(Model!$G$15-Model!$F$15)</f>
        <v>4.2273184232379565E-2</v>
      </c>
      <c r="D2332" s="33">
        <f ca="1">Model!$F$16+RAND()*(Model!$G$16-Model!$F$16)</f>
        <v>50.447169565010796</v>
      </c>
      <c r="E2332" s="33">
        <f>Model!$D$17</f>
        <v>800</v>
      </c>
      <c r="G2332" s="36">
        <f t="shared" ca="1" si="38"/>
        <v>997.64543791393135</v>
      </c>
    </row>
    <row r="2333" spans="1:7" x14ac:dyDescent="0.2">
      <c r="A2333" s="6">
        <f ca="1">Model!$F$13+RAND()*(Model!$G$13-Model!$F$13)</f>
        <v>1545.981788197088</v>
      </c>
      <c r="B2333" s="31">
        <f ca="1">Model!$F$14+RAND()*(Model!$G$14-Model!$F$14)</f>
        <v>0.55773375691532912</v>
      </c>
      <c r="C2333" s="32">
        <f ca="1">Model!$F$15+RAND()*(Model!$G$15-Model!$F$15)</f>
        <v>1.5624077920930044E-2</v>
      </c>
      <c r="D2333" s="33">
        <f ca="1">Model!$F$16+RAND()*(Model!$G$16-Model!$F$16)</f>
        <v>47.591294848310049</v>
      </c>
      <c r="E2333" s="33">
        <f>Model!$D$17</f>
        <v>800</v>
      </c>
      <c r="G2333" s="36">
        <f t="shared" ca="1" si="38"/>
        <v>-512.70039944688119</v>
      </c>
    </row>
    <row r="2334" spans="1:7" x14ac:dyDescent="0.2">
      <c r="A2334" s="6">
        <f ca="1">Model!$F$13+RAND()*(Model!$G$13-Model!$F$13)</f>
        <v>1411.2260593297387</v>
      </c>
      <c r="B2334" s="31">
        <f ca="1">Model!$F$14+RAND()*(Model!$G$14-Model!$F$14)</f>
        <v>0.27832860644730201</v>
      </c>
      <c r="C2334" s="32">
        <f ca="1">Model!$F$15+RAND()*(Model!$G$15-Model!$F$15)</f>
        <v>2.4035171264342126E-2</v>
      </c>
      <c r="D2334" s="33">
        <f ca="1">Model!$F$16+RAND()*(Model!$G$16-Model!$F$16)</f>
        <v>49.304559495868503</v>
      </c>
      <c r="E2334" s="33">
        <f>Model!$D$17</f>
        <v>800</v>
      </c>
      <c r="G2334" s="36">
        <f t="shared" ca="1" si="38"/>
        <v>479.57973075326117</v>
      </c>
    </row>
    <row r="2335" spans="1:7" x14ac:dyDescent="0.2">
      <c r="A2335" s="6">
        <f ca="1">Model!$F$13+RAND()*(Model!$G$13-Model!$F$13)</f>
        <v>1549.0652767076601</v>
      </c>
      <c r="B2335" s="31">
        <f ca="1">Model!$F$14+RAND()*(Model!$G$14-Model!$F$14)</f>
        <v>0.57188888065380294</v>
      </c>
      <c r="C2335" s="32">
        <f ca="1">Model!$F$15+RAND()*(Model!$G$15-Model!$F$15)</f>
        <v>3.4321787958270449E-2</v>
      </c>
      <c r="D2335" s="33">
        <f ca="1">Model!$F$16+RAND()*(Model!$G$16-Model!$F$16)</f>
        <v>50.898567542860178</v>
      </c>
      <c r="E2335" s="33">
        <f>Model!$D$17</f>
        <v>800</v>
      </c>
      <c r="G2335" s="36">
        <f t="shared" ca="1" si="38"/>
        <v>1020.215152837952</v>
      </c>
    </row>
    <row r="2336" spans="1:7" x14ac:dyDescent="0.2">
      <c r="A2336" s="6">
        <f ca="1">Model!$F$13+RAND()*(Model!$G$13-Model!$F$13)</f>
        <v>1585.6423416696593</v>
      </c>
      <c r="B2336" s="31">
        <f ca="1">Model!$F$14+RAND()*(Model!$G$14-Model!$F$14)</f>
        <v>0.66289110614877633</v>
      </c>
      <c r="C2336" s="32">
        <f ca="1">Model!$F$15+RAND()*(Model!$G$15-Model!$F$15)</f>
        <v>4.8610722664362935E-2</v>
      </c>
      <c r="D2336" s="33">
        <f ca="1">Model!$F$16+RAND()*(Model!$G$16-Model!$F$16)</f>
        <v>48.208947642043526</v>
      </c>
      <c r="E2336" s="33">
        <f>Model!$D$17</f>
        <v>800</v>
      </c>
      <c r="G2336" s="36">
        <f t="shared" ca="1" si="38"/>
        <v>1864.7998810252004</v>
      </c>
    </row>
    <row r="2337" spans="1:7" x14ac:dyDescent="0.2">
      <c r="A2337" s="6">
        <f ca="1">Model!$F$13+RAND()*(Model!$G$13-Model!$F$13)</f>
        <v>1430.4662188872458</v>
      </c>
      <c r="B2337" s="31">
        <f ca="1">Model!$F$14+RAND()*(Model!$G$14-Model!$F$14)</f>
        <v>0.44147463733923487</v>
      </c>
      <c r="C2337" s="32">
        <f ca="1">Model!$F$15+RAND()*(Model!$G$15-Model!$F$15)</f>
        <v>2.7406913535612046E-2</v>
      </c>
      <c r="D2337" s="33">
        <f ca="1">Model!$F$16+RAND()*(Model!$G$16-Model!$F$16)</f>
        <v>47.768991503442642</v>
      </c>
      <c r="E2337" s="33">
        <f>Model!$D$17</f>
        <v>800</v>
      </c>
      <c r="G2337" s="36">
        <f t="shared" ca="1" si="38"/>
        <v>441.25270518696152</v>
      </c>
    </row>
    <row r="2338" spans="1:7" x14ac:dyDescent="0.2">
      <c r="A2338" s="6">
        <f ca="1">Model!$F$13+RAND()*(Model!$G$13-Model!$F$13)</f>
        <v>1358.0555506219748</v>
      </c>
      <c r="B2338" s="31">
        <f ca="1">Model!$F$14+RAND()*(Model!$G$14-Model!$F$14)</f>
        <v>0.5195333642447395</v>
      </c>
      <c r="C2338" s="32">
        <f ca="1">Model!$F$15+RAND()*(Model!$G$15-Model!$F$15)</f>
        <v>3.4476126348440356E-2</v>
      </c>
      <c r="D2338" s="33">
        <f ca="1">Model!$F$16+RAND()*(Model!$G$16-Model!$F$16)</f>
        <v>52.2246810860171</v>
      </c>
      <c r="E2338" s="33">
        <f>Model!$D$17</f>
        <v>800</v>
      </c>
      <c r="G2338" s="36">
        <f t="shared" ca="1" si="38"/>
        <v>939.63023763782053</v>
      </c>
    </row>
    <row r="2339" spans="1:7" x14ac:dyDescent="0.2">
      <c r="A2339" s="6">
        <f ca="1">Model!$F$13+RAND()*(Model!$G$13-Model!$F$13)</f>
        <v>1566.3384706311697</v>
      </c>
      <c r="B2339" s="31">
        <f ca="1">Model!$F$14+RAND()*(Model!$G$14-Model!$F$14)</f>
        <v>0.75012267490612405</v>
      </c>
      <c r="C2339" s="32">
        <f ca="1">Model!$F$15+RAND()*(Model!$G$15-Model!$F$15)</f>
        <v>1.075070862511859E-2</v>
      </c>
      <c r="D2339" s="33">
        <f ca="1">Model!$F$16+RAND()*(Model!$G$16-Model!$F$16)</f>
        <v>47.476796383020975</v>
      </c>
      <c r="E2339" s="33">
        <f>Model!$D$17</f>
        <v>800</v>
      </c>
      <c r="G2339" s="36">
        <f t="shared" ca="1" si="38"/>
        <v>-1175.4724308324649</v>
      </c>
    </row>
    <row r="2340" spans="1:7" x14ac:dyDescent="0.2">
      <c r="A2340" s="6">
        <f ca="1">Model!$F$13+RAND()*(Model!$G$13-Model!$F$13)</f>
        <v>1674.0871858943242</v>
      </c>
      <c r="B2340" s="31">
        <f ca="1">Model!$F$14+RAND()*(Model!$G$14-Model!$F$14)</f>
        <v>0.38471976682621811</v>
      </c>
      <c r="C2340" s="32">
        <f ca="1">Model!$F$15+RAND()*(Model!$G$15-Model!$F$15)</f>
        <v>4.4760962909015899E-2</v>
      </c>
      <c r="D2340" s="33">
        <f ca="1">Model!$F$16+RAND()*(Model!$G$16-Model!$F$16)</f>
        <v>47.621880473348099</v>
      </c>
      <c r="E2340" s="33">
        <f>Model!$D$17</f>
        <v>800</v>
      </c>
      <c r="G2340" s="36">
        <f t="shared" ca="1" si="38"/>
        <v>2124.4318652842212</v>
      </c>
    </row>
    <row r="2341" spans="1:7" x14ac:dyDescent="0.2">
      <c r="A2341" s="6">
        <f ca="1">Model!$F$13+RAND()*(Model!$G$13-Model!$F$13)</f>
        <v>1764.7782817731784</v>
      </c>
      <c r="B2341" s="31">
        <f ca="1">Model!$F$14+RAND()*(Model!$G$14-Model!$F$14)</f>
        <v>0.42599873441428743</v>
      </c>
      <c r="C2341" s="32">
        <f ca="1">Model!$F$15+RAND()*(Model!$G$15-Model!$F$15)</f>
        <v>1.0015919022923044E-2</v>
      </c>
      <c r="D2341" s="33">
        <f ca="1">Model!$F$16+RAND()*(Model!$G$16-Model!$F$16)</f>
        <v>48.550587138921763</v>
      </c>
      <c r="E2341" s="33">
        <f>Model!$D$17</f>
        <v>800</v>
      </c>
      <c r="G2341" s="36">
        <f t="shared" ca="1" si="38"/>
        <v>-693.61913890683184</v>
      </c>
    </row>
    <row r="2342" spans="1:7" x14ac:dyDescent="0.2">
      <c r="A2342" s="6">
        <f ca="1">Model!$F$13+RAND()*(Model!$G$13-Model!$F$13)</f>
        <v>1649.6215498965971</v>
      </c>
      <c r="B2342" s="31">
        <f ca="1">Model!$F$14+RAND()*(Model!$G$14-Model!$F$14)</f>
        <v>0.67665186905678709</v>
      </c>
      <c r="C2342" s="32">
        <f ca="1">Model!$F$15+RAND()*(Model!$G$15-Model!$F$15)</f>
        <v>2.8916878351712035E-2</v>
      </c>
      <c r="D2342" s="33">
        <f ca="1">Model!$F$16+RAND()*(Model!$G$16-Model!$F$16)</f>
        <v>51.043816625172468</v>
      </c>
      <c r="E2342" s="33">
        <f>Model!$D$17</f>
        <v>800</v>
      </c>
      <c r="G2342" s="36">
        <f t="shared" ca="1" si="38"/>
        <v>518.66782146836408</v>
      </c>
    </row>
    <row r="2343" spans="1:7" x14ac:dyDescent="0.2">
      <c r="A2343" s="6">
        <f ca="1">Model!$F$13+RAND()*(Model!$G$13-Model!$F$13)</f>
        <v>1561.817644451226</v>
      </c>
      <c r="B2343" s="31">
        <f ca="1">Model!$F$14+RAND()*(Model!$G$14-Model!$F$14)</f>
        <v>0.65040051555740064</v>
      </c>
      <c r="C2343" s="32">
        <f ca="1">Model!$F$15+RAND()*(Model!$G$15-Model!$F$15)</f>
        <v>3.9556092403660925E-2</v>
      </c>
      <c r="D2343" s="33">
        <f ca="1">Model!$F$16+RAND()*(Model!$G$16-Model!$F$16)</f>
        <v>49.47886092162468</v>
      </c>
      <c r="E2343" s="33">
        <f>Model!$D$17</f>
        <v>800</v>
      </c>
      <c r="G2343" s="36">
        <f t="shared" ca="1" si="38"/>
        <v>1240.9674907472249</v>
      </c>
    </row>
    <row r="2344" spans="1:7" x14ac:dyDescent="0.2">
      <c r="A2344" s="6">
        <f ca="1">Model!$F$13+RAND()*(Model!$G$13-Model!$F$13)</f>
        <v>1783.7033290848901</v>
      </c>
      <c r="B2344" s="31">
        <f ca="1">Model!$F$14+RAND()*(Model!$G$14-Model!$F$14)</f>
        <v>0.79488879740851281</v>
      </c>
      <c r="C2344" s="32">
        <f ca="1">Model!$F$15+RAND()*(Model!$G$15-Model!$F$15)</f>
        <v>1.1171500046815165E-2</v>
      </c>
      <c r="D2344" s="33">
        <f ca="1">Model!$F$16+RAND()*(Model!$G$16-Model!$F$16)</f>
        <v>49.303785533493233</v>
      </c>
      <c r="E2344" s="33">
        <f>Model!$D$17</f>
        <v>800</v>
      </c>
      <c r="G2344" s="36">
        <f t="shared" ca="1" si="38"/>
        <v>-1235.386919278068</v>
      </c>
    </row>
    <row r="2345" spans="1:7" x14ac:dyDescent="0.2">
      <c r="A2345" s="6">
        <f ca="1">Model!$F$13+RAND()*(Model!$G$13-Model!$F$13)</f>
        <v>1405.6493947207516</v>
      </c>
      <c r="B2345" s="31">
        <f ca="1">Model!$F$14+RAND()*(Model!$G$14-Model!$F$14)</f>
        <v>0.43584403388069132</v>
      </c>
      <c r="C2345" s="32">
        <f ca="1">Model!$F$15+RAND()*(Model!$G$15-Model!$F$15)</f>
        <v>2.6210987915341211E-2</v>
      </c>
      <c r="D2345" s="33">
        <f ca="1">Model!$F$16+RAND()*(Model!$G$16-Model!$F$16)</f>
        <v>52.93100676358668</v>
      </c>
      <c r="E2345" s="33">
        <f>Model!$D$17</f>
        <v>800</v>
      </c>
      <c r="G2345" s="36">
        <f t="shared" ref="G2345:G2408" ca="1" si="39">A2345*C2345*D2345-(E2345+A2345*B2345)</f>
        <v>537.51749089162058</v>
      </c>
    </row>
    <row r="2346" spans="1:7" x14ac:dyDescent="0.2">
      <c r="A2346" s="6">
        <f ca="1">Model!$F$13+RAND()*(Model!$G$13-Model!$F$13)</f>
        <v>1425.661528340167</v>
      </c>
      <c r="B2346" s="31">
        <f ca="1">Model!$F$14+RAND()*(Model!$G$14-Model!$F$14)</f>
        <v>0.42354396675246325</v>
      </c>
      <c r="C2346" s="32">
        <f ca="1">Model!$F$15+RAND()*(Model!$G$15-Model!$F$15)</f>
        <v>2.5723746881937765E-2</v>
      </c>
      <c r="D2346" s="33">
        <f ca="1">Model!$F$16+RAND()*(Model!$G$16-Model!$F$16)</f>
        <v>48.180871984735177</v>
      </c>
      <c r="E2346" s="33">
        <f>Model!$D$17</f>
        <v>800</v>
      </c>
      <c r="G2346" s="36">
        <f t="shared" ca="1" si="39"/>
        <v>363.12394590855592</v>
      </c>
    </row>
    <row r="2347" spans="1:7" x14ac:dyDescent="0.2">
      <c r="A2347" s="6">
        <f ca="1">Model!$F$13+RAND()*(Model!$G$13-Model!$F$13)</f>
        <v>1410.4190439946897</v>
      </c>
      <c r="B2347" s="31">
        <f ca="1">Model!$F$14+RAND()*(Model!$G$14-Model!$F$14)</f>
        <v>0.69310762341813281</v>
      </c>
      <c r="C2347" s="32">
        <f ca="1">Model!$F$15+RAND()*(Model!$G$15-Model!$F$15)</f>
        <v>3.7971054389420139E-2</v>
      </c>
      <c r="D2347" s="33">
        <f ca="1">Model!$F$16+RAND()*(Model!$G$16-Model!$F$16)</f>
        <v>49.982214654599183</v>
      </c>
      <c r="E2347" s="33">
        <f>Model!$D$17</f>
        <v>800</v>
      </c>
      <c r="G2347" s="36">
        <f t="shared" ca="1" si="39"/>
        <v>899.23022404296171</v>
      </c>
    </row>
    <row r="2348" spans="1:7" x14ac:dyDescent="0.2">
      <c r="A2348" s="6">
        <f ca="1">Model!$F$13+RAND()*(Model!$G$13-Model!$F$13)</f>
        <v>1435.4650881158011</v>
      </c>
      <c r="B2348" s="31">
        <f ca="1">Model!$F$14+RAND()*(Model!$G$14-Model!$F$14)</f>
        <v>0.7622310475236429</v>
      </c>
      <c r="C2348" s="32">
        <f ca="1">Model!$F$15+RAND()*(Model!$G$15-Model!$F$15)</f>
        <v>4.2124320858392267E-2</v>
      </c>
      <c r="D2348" s="33">
        <f ca="1">Model!$F$16+RAND()*(Model!$G$16-Model!$F$16)</f>
        <v>49.47466016078868</v>
      </c>
      <c r="E2348" s="33">
        <f>Model!$D$17</f>
        <v>800</v>
      </c>
      <c r="G2348" s="36">
        <f t="shared" ca="1" si="39"/>
        <v>1097.4772946724706</v>
      </c>
    </row>
    <row r="2349" spans="1:7" x14ac:dyDescent="0.2">
      <c r="A2349" s="6">
        <f ca="1">Model!$F$13+RAND()*(Model!$G$13-Model!$F$13)</f>
        <v>1605.6876224237226</v>
      </c>
      <c r="B2349" s="31">
        <f ca="1">Model!$F$14+RAND()*(Model!$G$14-Model!$F$14)</f>
        <v>0.53673673687268431</v>
      </c>
      <c r="C2349" s="32">
        <f ca="1">Model!$F$15+RAND()*(Model!$G$15-Model!$F$15)</f>
        <v>2.9335064926580362E-2</v>
      </c>
      <c r="D2349" s="33">
        <f ca="1">Model!$F$16+RAND()*(Model!$G$16-Model!$F$16)</f>
        <v>47.958384755310725</v>
      </c>
      <c r="E2349" s="33">
        <f>Model!$D$17</f>
        <v>800</v>
      </c>
      <c r="G2349" s="36">
        <f t="shared" ca="1" si="39"/>
        <v>597.14989575541767</v>
      </c>
    </row>
    <row r="2350" spans="1:7" x14ac:dyDescent="0.2">
      <c r="A2350" s="6">
        <f ca="1">Model!$F$13+RAND()*(Model!$G$13-Model!$F$13)</f>
        <v>1208.4780874450312</v>
      </c>
      <c r="B2350" s="31">
        <f ca="1">Model!$F$14+RAND()*(Model!$G$14-Model!$F$14)</f>
        <v>0.26535548610461679</v>
      </c>
      <c r="C2350" s="32">
        <f ca="1">Model!$F$15+RAND()*(Model!$G$15-Model!$F$15)</f>
        <v>2.0252696472121082E-2</v>
      </c>
      <c r="D2350" s="33">
        <f ca="1">Model!$F$16+RAND()*(Model!$G$16-Model!$F$16)</f>
        <v>51.69383180000807</v>
      </c>
      <c r="E2350" s="33">
        <f>Model!$D$17</f>
        <v>800</v>
      </c>
      <c r="G2350" s="36">
        <f t="shared" ca="1" si="39"/>
        <v>144.52713607384112</v>
      </c>
    </row>
    <row r="2351" spans="1:7" x14ac:dyDescent="0.2">
      <c r="A2351" s="6">
        <f ca="1">Model!$F$13+RAND()*(Model!$G$13-Model!$F$13)</f>
        <v>1789.5573113355181</v>
      </c>
      <c r="B2351" s="31">
        <f ca="1">Model!$F$14+RAND()*(Model!$G$14-Model!$F$14)</f>
        <v>0.55770035892461445</v>
      </c>
      <c r="C2351" s="32">
        <f ca="1">Model!$F$15+RAND()*(Model!$G$15-Model!$F$15)</f>
        <v>2.9848654399984298E-2</v>
      </c>
      <c r="D2351" s="33">
        <f ca="1">Model!$F$16+RAND()*(Model!$G$16-Model!$F$16)</f>
        <v>50.945165870113634</v>
      </c>
      <c r="E2351" s="33">
        <f>Model!$D$17</f>
        <v>800</v>
      </c>
      <c r="G2351" s="36">
        <f t="shared" ca="1" si="39"/>
        <v>923.2439954413619</v>
      </c>
    </row>
    <row r="2352" spans="1:7" x14ac:dyDescent="0.2">
      <c r="A2352" s="6">
        <f ca="1">Model!$F$13+RAND()*(Model!$G$13-Model!$F$13)</f>
        <v>1410.4198357160292</v>
      </c>
      <c r="B2352" s="31">
        <f ca="1">Model!$F$14+RAND()*(Model!$G$14-Model!$F$14)</f>
        <v>0.31871608076895652</v>
      </c>
      <c r="C2352" s="32">
        <f ca="1">Model!$F$15+RAND()*(Model!$G$15-Model!$F$15)</f>
        <v>1.5964005528854571E-2</v>
      </c>
      <c r="D2352" s="33">
        <f ca="1">Model!$F$16+RAND()*(Model!$G$16-Model!$F$16)</f>
        <v>50.857668095765476</v>
      </c>
      <c r="E2352" s="33">
        <f>Model!$D$17</f>
        <v>800</v>
      </c>
      <c r="G2352" s="36">
        <f t="shared" ca="1" si="39"/>
        <v>-104.41476750102061</v>
      </c>
    </row>
    <row r="2353" spans="1:7" x14ac:dyDescent="0.2">
      <c r="A2353" s="6">
        <f ca="1">Model!$F$13+RAND()*(Model!$G$13-Model!$F$13)</f>
        <v>1542.1194629302813</v>
      </c>
      <c r="B2353" s="31">
        <f ca="1">Model!$F$14+RAND()*(Model!$G$14-Model!$F$14)</f>
        <v>0.63586911094194898</v>
      </c>
      <c r="C2353" s="32">
        <f ca="1">Model!$F$15+RAND()*(Model!$G$15-Model!$F$15)</f>
        <v>3.3162612010854485E-2</v>
      </c>
      <c r="D2353" s="33">
        <f ca="1">Model!$F$16+RAND()*(Model!$G$16-Model!$F$16)</f>
        <v>47.371951741703043</v>
      </c>
      <c r="E2353" s="33">
        <f>Model!$D$17</f>
        <v>800</v>
      </c>
      <c r="G2353" s="36">
        <f t="shared" ca="1" si="39"/>
        <v>642.04908698884105</v>
      </c>
    </row>
    <row r="2354" spans="1:7" x14ac:dyDescent="0.2">
      <c r="A2354" s="6">
        <f ca="1">Model!$F$13+RAND()*(Model!$G$13-Model!$F$13)</f>
        <v>1735.9117378337905</v>
      </c>
      <c r="B2354" s="31">
        <f ca="1">Model!$F$14+RAND()*(Model!$G$14-Model!$F$14)</f>
        <v>0.6870205177826616</v>
      </c>
      <c r="C2354" s="32">
        <f ca="1">Model!$F$15+RAND()*(Model!$G$15-Model!$F$15)</f>
        <v>2.3078114422056324E-2</v>
      </c>
      <c r="D2354" s="33">
        <f ca="1">Model!$F$16+RAND()*(Model!$G$16-Model!$F$16)</f>
        <v>50.939018886865114</v>
      </c>
      <c r="E2354" s="33">
        <f>Model!$D$17</f>
        <v>800</v>
      </c>
      <c r="G2354" s="36">
        <f t="shared" ca="1" si="39"/>
        <v>48.090075261703078</v>
      </c>
    </row>
    <row r="2355" spans="1:7" x14ac:dyDescent="0.2">
      <c r="A2355" s="6">
        <f ca="1">Model!$F$13+RAND()*(Model!$G$13-Model!$F$13)</f>
        <v>1438.5256495572028</v>
      </c>
      <c r="B2355" s="31">
        <f ca="1">Model!$F$14+RAND()*(Model!$G$14-Model!$F$14)</f>
        <v>0.44358941596471385</v>
      </c>
      <c r="C2355" s="32">
        <f ca="1">Model!$F$15+RAND()*(Model!$G$15-Model!$F$15)</f>
        <v>4.8270122809750828E-2</v>
      </c>
      <c r="D2355" s="33">
        <f ca="1">Model!$F$16+RAND()*(Model!$G$16-Model!$F$16)</f>
        <v>48.779504752165174</v>
      </c>
      <c r="E2355" s="33">
        <f>Model!$D$17</f>
        <v>800</v>
      </c>
      <c r="G2355" s="36">
        <f t="shared" ca="1" si="39"/>
        <v>1949.0272188745494</v>
      </c>
    </row>
    <row r="2356" spans="1:7" x14ac:dyDescent="0.2">
      <c r="A2356" s="6">
        <f ca="1">Model!$F$13+RAND()*(Model!$G$13-Model!$F$13)</f>
        <v>1746.0388557755009</v>
      </c>
      <c r="B2356" s="31">
        <f ca="1">Model!$F$14+RAND()*(Model!$G$14-Model!$F$14)</f>
        <v>0.79989055280162225</v>
      </c>
      <c r="C2356" s="32">
        <f ca="1">Model!$F$15+RAND()*(Model!$G$15-Model!$F$15)</f>
        <v>3.3576344866097285E-2</v>
      </c>
      <c r="D2356" s="33">
        <f ca="1">Model!$F$16+RAND()*(Model!$G$16-Model!$F$16)</f>
        <v>49.969043704219857</v>
      </c>
      <c r="E2356" s="33">
        <f>Model!$D$17</f>
        <v>800</v>
      </c>
      <c r="G2356" s="36">
        <f t="shared" ca="1" si="39"/>
        <v>732.82532149715644</v>
      </c>
    </row>
    <row r="2357" spans="1:7" x14ac:dyDescent="0.2">
      <c r="A2357" s="6">
        <f ca="1">Model!$F$13+RAND()*(Model!$G$13-Model!$F$13)</f>
        <v>1775.9049426135707</v>
      </c>
      <c r="B2357" s="31">
        <f ca="1">Model!$F$14+RAND()*(Model!$G$14-Model!$F$14)</f>
        <v>0.2646967238234611</v>
      </c>
      <c r="C2357" s="32">
        <f ca="1">Model!$F$15+RAND()*(Model!$G$15-Model!$F$15)</f>
        <v>1.6000277289585429E-2</v>
      </c>
      <c r="D2357" s="33">
        <f ca="1">Model!$F$16+RAND()*(Model!$G$16-Model!$F$16)</f>
        <v>51.50154212459087</v>
      </c>
      <c r="E2357" s="33">
        <f>Model!$D$17</f>
        <v>800</v>
      </c>
      <c r="G2357" s="36">
        <f t="shared" ca="1" si="39"/>
        <v>193.33863266539379</v>
      </c>
    </row>
    <row r="2358" spans="1:7" x14ac:dyDescent="0.2">
      <c r="A2358" s="6">
        <f ca="1">Model!$F$13+RAND()*(Model!$G$13-Model!$F$13)</f>
        <v>1273.5802770808245</v>
      </c>
      <c r="B2358" s="31">
        <f ca="1">Model!$F$14+RAND()*(Model!$G$14-Model!$F$14)</f>
        <v>0.23229948136116219</v>
      </c>
      <c r="C2358" s="32">
        <f ca="1">Model!$F$15+RAND()*(Model!$G$15-Model!$F$15)</f>
        <v>2.734718492657625E-2</v>
      </c>
      <c r="D2358" s="33">
        <f ca="1">Model!$F$16+RAND()*(Model!$G$16-Model!$F$16)</f>
        <v>52.334659947618093</v>
      </c>
      <c r="E2358" s="33">
        <f>Model!$D$17</f>
        <v>800</v>
      </c>
      <c r="G2358" s="36">
        <f t="shared" ca="1" si="39"/>
        <v>726.90321689902953</v>
      </c>
    </row>
    <row r="2359" spans="1:7" x14ac:dyDescent="0.2">
      <c r="A2359" s="6">
        <f ca="1">Model!$F$13+RAND()*(Model!$G$13-Model!$F$13)</f>
        <v>1692.1627314015873</v>
      </c>
      <c r="B2359" s="31">
        <f ca="1">Model!$F$14+RAND()*(Model!$G$14-Model!$F$14)</f>
        <v>0.3302308113309923</v>
      </c>
      <c r="C2359" s="32">
        <f ca="1">Model!$F$15+RAND()*(Model!$G$15-Model!$F$15)</f>
        <v>4.9505918990193513E-2</v>
      </c>
      <c r="D2359" s="33">
        <f ca="1">Model!$F$16+RAND()*(Model!$G$16-Model!$F$16)</f>
        <v>49.390635106553525</v>
      </c>
      <c r="E2359" s="33">
        <f>Model!$D$17</f>
        <v>800</v>
      </c>
      <c r="G2359" s="36">
        <f t="shared" ca="1" si="39"/>
        <v>2778.7515240757366</v>
      </c>
    </row>
    <row r="2360" spans="1:7" x14ac:dyDescent="0.2">
      <c r="A2360" s="6">
        <f ca="1">Model!$F$13+RAND()*(Model!$G$13-Model!$F$13)</f>
        <v>1508.2154415813854</v>
      </c>
      <c r="B2360" s="31">
        <f ca="1">Model!$F$14+RAND()*(Model!$G$14-Model!$F$14)</f>
        <v>0.62247697142984171</v>
      </c>
      <c r="C2360" s="32">
        <f ca="1">Model!$F$15+RAND()*(Model!$G$15-Model!$F$15)</f>
        <v>4.2250819415820901E-2</v>
      </c>
      <c r="D2360" s="33">
        <f ca="1">Model!$F$16+RAND()*(Model!$G$16-Model!$F$16)</f>
        <v>47.065763684357314</v>
      </c>
      <c r="E2360" s="33">
        <f>Model!$D$17</f>
        <v>800</v>
      </c>
      <c r="G2360" s="36">
        <f t="shared" ca="1" si="39"/>
        <v>1260.358199497543</v>
      </c>
    </row>
    <row r="2361" spans="1:7" x14ac:dyDescent="0.2">
      <c r="A2361" s="6">
        <f ca="1">Model!$F$13+RAND()*(Model!$G$13-Model!$F$13)</f>
        <v>1460.9093830873062</v>
      </c>
      <c r="B2361" s="31">
        <f ca="1">Model!$F$14+RAND()*(Model!$G$14-Model!$F$14)</f>
        <v>0.25819806621777763</v>
      </c>
      <c r="C2361" s="32">
        <f ca="1">Model!$F$15+RAND()*(Model!$G$15-Model!$F$15)</f>
        <v>3.8754878378121749E-2</v>
      </c>
      <c r="D2361" s="33">
        <f ca="1">Model!$F$16+RAND()*(Model!$G$16-Model!$F$16)</f>
        <v>47.012127587518684</v>
      </c>
      <c r="E2361" s="33">
        <f>Model!$D$17</f>
        <v>800</v>
      </c>
      <c r="G2361" s="36">
        <f t="shared" ca="1" si="39"/>
        <v>1484.4988311834361</v>
      </c>
    </row>
    <row r="2362" spans="1:7" x14ac:dyDescent="0.2">
      <c r="A2362" s="6">
        <f ca="1">Model!$F$13+RAND()*(Model!$G$13-Model!$F$13)</f>
        <v>1355.3549766275526</v>
      </c>
      <c r="B2362" s="31">
        <f ca="1">Model!$F$14+RAND()*(Model!$G$14-Model!$F$14)</f>
        <v>0.22823712919626982</v>
      </c>
      <c r="C2362" s="32">
        <f ca="1">Model!$F$15+RAND()*(Model!$G$15-Model!$F$15)</f>
        <v>3.1038136864578215E-2</v>
      </c>
      <c r="D2362" s="33">
        <f ca="1">Model!$F$16+RAND()*(Model!$G$16-Model!$F$16)</f>
        <v>52.247387207554929</v>
      </c>
      <c r="E2362" s="33">
        <f>Model!$D$17</f>
        <v>800</v>
      </c>
      <c r="G2362" s="36">
        <f t="shared" ca="1" si="39"/>
        <v>1088.5847300196356</v>
      </c>
    </row>
    <row r="2363" spans="1:7" x14ac:dyDescent="0.2">
      <c r="A2363" s="6">
        <f ca="1">Model!$F$13+RAND()*(Model!$G$13-Model!$F$13)</f>
        <v>1746.0423304024425</v>
      </c>
      <c r="B2363" s="31">
        <f ca="1">Model!$F$14+RAND()*(Model!$G$14-Model!$F$14)</f>
        <v>0.35795028743963159</v>
      </c>
      <c r="C2363" s="32">
        <f ca="1">Model!$F$15+RAND()*(Model!$G$15-Model!$F$15)</f>
        <v>3.8806796743156714E-2</v>
      </c>
      <c r="D2363" s="33">
        <f ca="1">Model!$F$16+RAND()*(Model!$G$16-Model!$F$16)</f>
        <v>47.299773840150777</v>
      </c>
      <c r="E2363" s="33">
        <f>Model!$D$17</f>
        <v>800</v>
      </c>
      <c r="G2363" s="36">
        <f t="shared" ca="1" si="39"/>
        <v>1779.956376268949</v>
      </c>
    </row>
    <row r="2364" spans="1:7" x14ac:dyDescent="0.2">
      <c r="A2364" s="6">
        <f ca="1">Model!$F$13+RAND()*(Model!$G$13-Model!$F$13)</f>
        <v>1242.4238920872767</v>
      </c>
      <c r="B2364" s="31">
        <f ca="1">Model!$F$14+RAND()*(Model!$G$14-Model!$F$14)</f>
        <v>0.65883878152037534</v>
      </c>
      <c r="C2364" s="32">
        <f ca="1">Model!$F$15+RAND()*(Model!$G$15-Model!$F$15)</f>
        <v>3.5256773562704444E-2</v>
      </c>
      <c r="D2364" s="33">
        <f ca="1">Model!$F$16+RAND()*(Model!$G$16-Model!$F$16)</f>
        <v>47.844436143361051</v>
      </c>
      <c r="E2364" s="33">
        <f>Model!$D$17</f>
        <v>800</v>
      </c>
      <c r="G2364" s="36">
        <f t="shared" ca="1" si="39"/>
        <v>477.21383569169552</v>
      </c>
    </row>
    <row r="2365" spans="1:7" x14ac:dyDescent="0.2">
      <c r="A2365" s="6">
        <f ca="1">Model!$F$13+RAND()*(Model!$G$13-Model!$F$13)</f>
        <v>1532.0561440134954</v>
      </c>
      <c r="B2365" s="31">
        <f ca="1">Model!$F$14+RAND()*(Model!$G$14-Model!$F$14)</f>
        <v>0.27483672257607117</v>
      </c>
      <c r="C2365" s="32">
        <f ca="1">Model!$F$15+RAND()*(Model!$G$15-Model!$F$15)</f>
        <v>1.0623887593132935E-2</v>
      </c>
      <c r="D2365" s="33">
        <f ca="1">Model!$F$16+RAND()*(Model!$G$16-Model!$F$16)</f>
        <v>47.327108991159221</v>
      </c>
      <c r="E2365" s="33">
        <f>Model!$D$17</f>
        <v>800</v>
      </c>
      <c r="G2365" s="36">
        <f t="shared" ca="1" si="39"/>
        <v>-450.75069893390275</v>
      </c>
    </row>
    <row r="2366" spans="1:7" x14ac:dyDescent="0.2">
      <c r="A2366" s="6">
        <f ca="1">Model!$F$13+RAND()*(Model!$G$13-Model!$F$13)</f>
        <v>1243.4921565807604</v>
      </c>
      <c r="B2366" s="31">
        <f ca="1">Model!$F$14+RAND()*(Model!$G$14-Model!$F$14)</f>
        <v>0.6138927373427856</v>
      </c>
      <c r="C2366" s="32">
        <f ca="1">Model!$F$15+RAND()*(Model!$G$15-Model!$F$15)</f>
        <v>4.6141408423038863E-2</v>
      </c>
      <c r="D2366" s="33">
        <f ca="1">Model!$F$16+RAND()*(Model!$G$16-Model!$F$16)</f>
        <v>51.575069948249123</v>
      </c>
      <c r="E2366" s="33">
        <f>Model!$D$17</f>
        <v>800</v>
      </c>
      <c r="G2366" s="36">
        <f t="shared" ca="1" si="39"/>
        <v>1395.8251380600759</v>
      </c>
    </row>
    <row r="2367" spans="1:7" x14ac:dyDescent="0.2">
      <c r="A2367" s="6">
        <f ca="1">Model!$F$13+RAND()*(Model!$G$13-Model!$F$13)</f>
        <v>1299.8672307415281</v>
      </c>
      <c r="B2367" s="31">
        <f ca="1">Model!$F$14+RAND()*(Model!$G$14-Model!$F$14)</f>
        <v>0.33377025176856512</v>
      </c>
      <c r="C2367" s="32">
        <f ca="1">Model!$F$15+RAND()*(Model!$G$15-Model!$F$15)</f>
        <v>2.8687528128796803E-2</v>
      </c>
      <c r="D2367" s="33">
        <f ca="1">Model!$F$16+RAND()*(Model!$G$16-Model!$F$16)</f>
        <v>52.365317262397738</v>
      </c>
      <c r="E2367" s="33">
        <f>Model!$D$17</f>
        <v>800</v>
      </c>
      <c r="G2367" s="36">
        <f t="shared" ca="1" si="39"/>
        <v>718.84450248572466</v>
      </c>
    </row>
    <row r="2368" spans="1:7" x14ac:dyDescent="0.2">
      <c r="A2368" s="6">
        <f ca="1">Model!$F$13+RAND()*(Model!$G$13-Model!$F$13)</f>
        <v>1304.3049553067019</v>
      </c>
      <c r="B2368" s="31">
        <f ca="1">Model!$F$14+RAND()*(Model!$G$14-Model!$F$14)</f>
        <v>0.55296683951601044</v>
      </c>
      <c r="C2368" s="32">
        <f ca="1">Model!$F$15+RAND()*(Model!$G$15-Model!$F$15)</f>
        <v>1.0863768690968603E-2</v>
      </c>
      <c r="D2368" s="33">
        <f ca="1">Model!$F$16+RAND()*(Model!$G$16-Model!$F$16)</f>
        <v>49.04848571580871</v>
      </c>
      <c r="E2368" s="33">
        <f>Model!$D$17</f>
        <v>800</v>
      </c>
      <c r="G2368" s="36">
        <f t="shared" ca="1" si="39"/>
        <v>-826.23666292754422</v>
      </c>
    </row>
    <row r="2369" spans="1:7" x14ac:dyDescent="0.2">
      <c r="A2369" s="6">
        <f ca="1">Model!$F$13+RAND()*(Model!$G$13-Model!$F$13)</f>
        <v>1623.8343909341536</v>
      </c>
      <c r="B2369" s="31">
        <f ca="1">Model!$F$14+RAND()*(Model!$G$14-Model!$F$14)</f>
        <v>0.73215222158384297</v>
      </c>
      <c r="C2369" s="32">
        <f ca="1">Model!$F$15+RAND()*(Model!$G$15-Model!$F$15)</f>
        <v>3.2682310004470076E-2</v>
      </c>
      <c r="D2369" s="33">
        <f ca="1">Model!$F$16+RAND()*(Model!$G$16-Model!$F$16)</f>
        <v>51.428713627827896</v>
      </c>
      <c r="E2369" s="33">
        <f>Model!$D$17</f>
        <v>800</v>
      </c>
      <c r="G2369" s="36">
        <f t="shared" ca="1" si="39"/>
        <v>740.46176490937887</v>
      </c>
    </row>
    <row r="2370" spans="1:7" x14ac:dyDescent="0.2">
      <c r="A2370" s="6">
        <f ca="1">Model!$F$13+RAND()*(Model!$G$13-Model!$F$13)</f>
        <v>1496.6642536779527</v>
      </c>
      <c r="B2370" s="31">
        <f ca="1">Model!$F$14+RAND()*(Model!$G$14-Model!$F$14)</f>
        <v>0.50652529943827207</v>
      </c>
      <c r="C2370" s="32">
        <f ca="1">Model!$F$15+RAND()*(Model!$G$15-Model!$F$15)</f>
        <v>2.7392979863257241E-2</v>
      </c>
      <c r="D2370" s="33">
        <f ca="1">Model!$F$16+RAND()*(Model!$G$16-Model!$F$16)</f>
        <v>47.6025099336333</v>
      </c>
      <c r="E2370" s="33">
        <f>Model!$D$17</f>
        <v>800</v>
      </c>
      <c r="G2370" s="36">
        <f t="shared" ca="1" si="39"/>
        <v>393.51385636317127</v>
      </c>
    </row>
    <row r="2371" spans="1:7" x14ac:dyDescent="0.2">
      <c r="A2371" s="6">
        <f ca="1">Model!$F$13+RAND()*(Model!$G$13-Model!$F$13)</f>
        <v>1371.8276648680687</v>
      </c>
      <c r="B2371" s="31">
        <f ca="1">Model!$F$14+RAND()*(Model!$G$14-Model!$F$14)</f>
        <v>0.22515583553289981</v>
      </c>
      <c r="C2371" s="32">
        <f ca="1">Model!$F$15+RAND()*(Model!$G$15-Model!$F$15)</f>
        <v>4.7453560842076803E-2</v>
      </c>
      <c r="D2371" s="33">
        <f ca="1">Model!$F$16+RAND()*(Model!$G$16-Model!$F$16)</f>
        <v>52.863520878838557</v>
      </c>
      <c r="E2371" s="33">
        <f>Model!$D$17</f>
        <v>800</v>
      </c>
      <c r="G2371" s="36">
        <f t="shared" ca="1" si="39"/>
        <v>2332.4401640625028</v>
      </c>
    </row>
    <row r="2372" spans="1:7" x14ac:dyDescent="0.2">
      <c r="A2372" s="6">
        <f ca="1">Model!$F$13+RAND()*(Model!$G$13-Model!$F$13)</f>
        <v>1643.4763009870364</v>
      </c>
      <c r="B2372" s="31">
        <f ca="1">Model!$F$14+RAND()*(Model!$G$14-Model!$F$14)</f>
        <v>0.55417366781631083</v>
      </c>
      <c r="C2372" s="32">
        <f ca="1">Model!$F$15+RAND()*(Model!$G$15-Model!$F$15)</f>
        <v>1.1037417104372383E-2</v>
      </c>
      <c r="D2372" s="33">
        <f ca="1">Model!$F$16+RAND()*(Model!$G$16-Model!$F$16)</f>
        <v>52.670468300967983</v>
      </c>
      <c r="E2372" s="33">
        <f>Model!$D$17</f>
        <v>800</v>
      </c>
      <c r="G2372" s="36">
        <f t="shared" ca="1" si="39"/>
        <v>-755.34303480335689</v>
      </c>
    </row>
    <row r="2373" spans="1:7" x14ac:dyDescent="0.2">
      <c r="A2373" s="6">
        <f ca="1">Model!$F$13+RAND()*(Model!$G$13-Model!$F$13)</f>
        <v>1706.774587733031</v>
      </c>
      <c r="B2373" s="31">
        <f ca="1">Model!$F$14+RAND()*(Model!$G$14-Model!$F$14)</f>
        <v>0.47353539182629562</v>
      </c>
      <c r="C2373" s="32">
        <f ca="1">Model!$F$15+RAND()*(Model!$G$15-Model!$F$15)</f>
        <v>2.8550203607431074E-2</v>
      </c>
      <c r="D2373" s="33">
        <f ca="1">Model!$F$16+RAND()*(Model!$G$16-Model!$F$16)</f>
        <v>48.013533016272618</v>
      </c>
      <c r="E2373" s="33">
        <f>Model!$D$17</f>
        <v>800</v>
      </c>
      <c r="G2373" s="36">
        <f t="shared" ca="1" si="39"/>
        <v>731.42184957248264</v>
      </c>
    </row>
    <row r="2374" spans="1:7" x14ac:dyDescent="0.2">
      <c r="A2374" s="6">
        <f ca="1">Model!$F$13+RAND()*(Model!$G$13-Model!$F$13)</f>
        <v>1528.1846798896172</v>
      </c>
      <c r="B2374" s="31">
        <f ca="1">Model!$F$14+RAND()*(Model!$G$14-Model!$F$14)</f>
        <v>0.35355335332823123</v>
      </c>
      <c r="C2374" s="32">
        <f ca="1">Model!$F$15+RAND()*(Model!$G$15-Model!$F$15)</f>
        <v>2.6395519598512884E-2</v>
      </c>
      <c r="D2374" s="33">
        <f ca="1">Model!$F$16+RAND()*(Model!$G$16-Model!$F$16)</f>
        <v>50.513499476709008</v>
      </c>
      <c r="E2374" s="33">
        <f>Model!$D$17</f>
        <v>800</v>
      </c>
      <c r="G2374" s="36">
        <f t="shared" ca="1" si="39"/>
        <v>697.2797611418714</v>
      </c>
    </row>
    <row r="2375" spans="1:7" x14ac:dyDescent="0.2">
      <c r="A2375" s="6">
        <f ca="1">Model!$F$13+RAND()*(Model!$G$13-Model!$F$13)</f>
        <v>1519.2108181879507</v>
      </c>
      <c r="B2375" s="31">
        <f ca="1">Model!$F$14+RAND()*(Model!$G$14-Model!$F$14)</f>
        <v>0.66387329910709791</v>
      </c>
      <c r="C2375" s="32">
        <f ca="1">Model!$F$15+RAND()*(Model!$G$15-Model!$F$15)</f>
        <v>1.5202913109178574E-2</v>
      </c>
      <c r="D2375" s="33">
        <f ca="1">Model!$F$16+RAND()*(Model!$G$16-Model!$F$16)</f>
        <v>51.059711017044563</v>
      </c>
      <c r="E2375" s="33">
        <f>Model!$D$17</f>
        <v>800</v>
      </c>
      <c r="G2375" s="36">
        <f t="shared" ca="1" si="39"/>
        <v>-629.26645334523141</v>
      </c>
    </row>
    <row r="2376" spans="1:7" x14ac:dyDescent="0.2">
      <c r="A2376" s="6">
        <f ca="1">Model!$F$13+RAND()*(Model!$G$13-Model!$F$13)</f>
        <v>1614.9563716675739</v>
      </c>
      <c r="B2376" s="31">
        <f ca="1">Model!$F$14+RAND()*(Model!$G$14-Model!$F$14)</f>
        <v>0.75517593066481625</v>
      </c>
      <c r="C2376" s="32">
        <f ca="1">Model!$F$15+RAND()*(Model!$G$15-Model!$F$15)</f>
        <v>1.331693911459586E-2</v>
      </c>
      <c r="D2376" s="33">
        <f ca="1">Model!$F$16+RAND()*(Model!$G$16-Model!$F$16)</f>
        <v>51.364661097477097</v>
      </c>
      <c r="E2376" s="33">
        <f>Model!$D$17</f>
        <v>800</v>
      </c>
      <c r="G2376" s="36">
        <f t="shared" ca="1" si="39"/>
        <v>-914.91361948161489</v>
      </c>
    </row>
    <row r="2377" spans="1:7" x14ac:dyDescent="0.2">
      <c r="A2377" s="6">
        <f ca="1">Model!$F$13+RAND()*(Model!$G$13-Model!$F$13)</f>
        <v>1543.7060387521501</v>
      </c>
      <c r="B2377" s="31">
        <f ca="1">Model!$F$14+RAND()*(Model!$G$14-Model!$F$14)</f>
        <v>0.31784260894793359</v>
      </c>
      <c r="C2377" s="32">
        <f ca="1">Model!$F$15+RAND()*(Model!$G$15-Model!$F$15)</f>
        <v>1.2171501328518547E-2</v>
      </c>
      <c r="D2377" s="33">
        <f ca="1">Model!$F$16+RAND()*(Model!$G$16-Model!$F$16)</f>
        <v>51.70287572638388</v>
      </c>
      <c r="E2377" s="33">
        <f>Model!$D$17</f>
        <v>800</v>
      </c>
      <c r="G2377" s="36">
        <f t="shared" ca="1" si="39"/>
        <v>-319.19884290141636</v>
      </c>
    </row>
    <row r="2378" spans="1:7" x14ac:dyDescent="0.2">
      <c r="A2378" s="6">
        <f ca="1">Model!$F$13+RAND()*(Model!$G$13-Model!$F$13)</f>
        <v>1565.6882487720325</v>
      </c>
      <c r="B2378" s="31">
        <f ca="1">Model!$F$14+RAND()*(Model!$G$14-Model!$F$14)</f>
        <v>0.42688904115200754</v>
      </c>
      <c r="C2378" s="32">
        <f ca="1">Model!$F$15+RAND()*(Model!$G$15-Model!$F$15)</f>
        <v>4.0025183474480829E-2</v>
      </c>
      <c r="D2378" s="33">
        <f ca="1">Model!$F$16+RAND()*(Model!$G$16-Model!$F$16)</f>
        <v>48.69237643626078</v>
      </c>
      <c r="E2378" s="33">
        <f>Model!$D$17</f>
        <v>800</v>
      </c>
      <c r="G2378" s="36">
        <f t="shared" ca="1" si="39"/>
        <v>1583.0280229789905</v>
      </c>
    </row>
    <row r="2379" spans="1:7" x14ac:dyDescent="0.2">
      <c r="A2379" s="6">
        <f ca="1">Model!$F$13+RAND()*(Model!$G$13-Model!$F$13)</f>
        <v>1679.8932101132623</v>
      </c>
      <c r="B2379" s="31">
        <f ca="1">Model!$F$14+RAND()*(Model!$G$14-Model!$F$14)</f>
        <v>0.2477598082398508</v>
      </c>
      <c r="C2379" s="32">
        <f ca="1">Model!$F$15+RAND()*(Model!$G$15-Model!$F$15)</f>
        <v>2.0748315834162423E-2</v>
      </c>
      <c r="D2379" s="33">
        <f ca="1">Model!$F$16+RAND()*(Model!$G$16-Model!$F$16)</f>
        <v>47.610142843814529</v>
      </c>
      <c r="E2379" s="33">
        <f>Model!$D$17</f>
        <v>800</v>
      </c>
      <c r="G2379" s="36">
        <f t="shared" ca="1" si="39"/>
        <v>443.23936157865273</v>
      </c>
    </row>
    <row r="2380" spans="1:7" x14ac:dyDescent="0.2">
      <c r="A2380" s="6">
        <f ca="1">Model!$F$13+RAND()*(Model!$G$13-Model!$F$13)</f>
        <v>1704.2159639326933</v>
      </c>
      <c r="B2380" s="31">
        <f ca="1">Model!$F$14+RAND()*(Model!$G$14-Model!$F$14)</f>
        <v>0.64520688945070725</v>
      </c>
      <c r="C2380" s="32">
        <f ca="1">Model!$F$15+RAND()*(Model!$G$15-Model!$F$15)</f>
        <v>2.0318660993451809E-2</v>
      </c>
      <c r="D2380" s="33">
        <f ca="1">Model!$F$16+RAND()*(Model!$G$16-Model!$F$16)</f>
        <v>50.460070869302015</v>
      </c>
      <c r="E2380" s="33">
        <f>Model!$D$17</f>
        <v>800</v>
      </c>
      <c r="G2380" s="36">
        <f t="shared" ca="1" si="39"/>
        <v>-152.27150772553273</v>
      </c>
    </row>
    <row r="2381" spans="1:7" x14ac:dyDescent="0.2">
      <c r="A2381" s="6">
        <f ca="1">Model!$F$13+RAND()*(Model!$G$13-Model!$F$13)</f>
        <v>1527.7823011742582</v>
      </c>
      <c r="B2381" s="31">
        <f ca="1">Model!$F$14+RAND()*(Model!$G$14-Model!$F$14)</f>
        <v>0.25766558915228621</v>
      </c>
      <c r="C2381" s="32">
        <f ca="1">Model!$F$15+RAND()*(Model!$G$15-Model!$F$15)</f>
        <v>1.6718253082777839E-2</v>
      </c>
      <c r="D2381" s="33">
        <f ca="1">Model!$F$16+RAND()*(Model!$G$16-Model!$F$16)</f>
        <v>50.764747861594905</v>
      </c>
      <c r="E2381" s="33">
        <f>Model!$D$17</f>
        <v>800</v>
      </c>
      <c r="G2381" s="36">
        <f t="shared" ca="1" si="39"/>
        <v>102.96870765319227</v>
      </c>
    </row>
    <row r="2382" spans="1:7" x14ac:dyDescent="0.2">
      <c r="A2382" s="6">
        <f ca="1">Model!$F$13+RAND()*(Model!$G$13-Model!$F$13)</f>
        <v>1322.0116975431961</v>
      </c>
      <c r="B2382" s="31">
        <f ca="1">Model!$F$14+RAND()*(Model!$G$14-Model!$F$14)</f>
        <v>0.79895302319038697</v>
      </c>
      <c r="C2382" s="32">
        <f ca="1">Model!$F$15+RAND()*(Model!$G$15-Model!$F$15)</f>
        <v>1.0869940166087048E-2</v>
      </c>
      <c r="D2382" s="33">
        <f ca="1">Model!$F$16+RAND()*(Model!$G$16-Model!$F$16)</f>
        <v>49.056612508844431</v>
      </c>
      <c r="E2382" s="33">
        <f>Model!$D$17</f>
        <v>800</v>
      </c>
      <c r="G2382" s="36">
        <f t="shared" ca="1" si="39"/>
        <v>-1151.2724955401256</v>
      </c>
    </row>
    <row r="2383" spans="1:7" x14ac:dyDescent="0.2">
      <c r="A2383" s="6">
        <f ca="1">Model!$F$13+RAND()*(Model!$G$13-Model!$F$13)</f>
        <v>1585.0410043651632</v>
      </c>
      <c r="B2383" s="31">
        <f ca="1">Model!$F$14+RAND()*(Model!$G$14-Model!$F$14)</f>
        <v>0.51398380309024283</v>
      </c>
      <c r="C2383" s="32">
        <f ca="1">Model!$F$15+RAND()*(Model!$G$15-Model!$F$15)</f>
        <v>1.2547818870037123E-2</v>
      </c>
      <c r="D2383" s="33">
        <f ca="1">Model!$F$16+RAND()*(Model!$G$16-Model!$F$16)</f>
        <v>48.555212833905557</v>
      </c>
      <c r="E2383" s="33">
        <f>Model!$D$17</f>
        <v>800</v>
      </c>
      <c r="G2383" s="36">
        <f t="shared" ca="1" si="39"/>
        <v>-648.98012597542834</v>
      </c>
    </row>
    <row r="2384" spans="1:7" x14ac:dyDescent="0.2">
      <c r="A2384" s="6">
        <f ca="1">Model!$F$13+RAND()*(Model!$G$13-Model!$F$13)</f>
        <v>1332.6372933467114</v>
      </c>
      <c r="B2384" s="31">
        <f ca="1">Model!$F$14+RAND()*(Model!$G$14-Model!$F$14)</f>
        <v>0.67212344888447828</v>
      </c>
      <c r="C2384" s="32">
        <f ca="1">Model!$F$15+RAND()*(Model!$G$15-Model!$F$15)</f>
        <v>4.7120380117285227E-2</v>
      </c>
      <c r="D2384" s="33">
        <f ca="1">Model!$F$16+RAND()*(Model!$G$16-Model!$F$16)</f>
        <v>50.131266043437577</v>
      </c>
      <c r="E2384" s="33">
        <f>Model!$D$17</f>
        <v>800</v>
      </c>
      <c r="G2384" s="36">
        <f t="shared" ca="1" si="39"/>
        <v>1452.2647865962419</v>
      </c>
    </row>
    <row r="2385" spans="1:7" x14ac:dyDescent="0.2">
      <c r="A2385" s="6">
        <f ca="1">Model!$F$13+RAND()*(Model!$G$13-Model!$F$13)</f>
        <v>1749.3118937345273</v>
      </c>
      <c r="B2385" s="31">
        <f ca="1">Model!$F$14+RAND()*(Model!$G$14-Model!$F$14)</f>
        <v>0.59413351821304339</v>
      </c>
      <c r="C2385" s="32">
        <f ca="1">Model!$F$15+RAND()*(Model!$G$15-Model!$F$15)</f>
        <v>4.1637767490074265E-2</v>
      </c>
      <c r="D2385" s="33">
        <f ca="1">Model!$F$16+RAND()*(Model!$G$16-Model!$F$16)</f>
        <v>52.682935090743705</v>
      </c>
      <c r="E2385" s="33">
        <f>Model!$D$17</f>
        <v>800</v>
      </c>
      <c r="G2385" s="36">
        <f t="shared" ca="1" si="39"/>
        <v>1997.9653938612421</v>
      </c>
    </row>
    <row r="2386" spans="1:7" x14ac:dyDescent="0.2">
      <c r="A2386" s="6">
        <f ca="1">Model!$F$13+RAND()*(Model!$G$13-Model!$F$13)</f>
        <v>1500.8865902175276</v>
      </c>
      <c r="B2386" s="31">
        <f ca="1">Model!$F$14+RAND()*(Model!$G$14-Model!$F$14)</f>
        <v>0.37230018757628824</v>
      </c>
      <c r="C2386" s="32">
        <f ca="1">Model!$F$15+RAND()*(Model!$G$15-Model!$F$15)</f>
        <v>2.2009930809549109E-2</v>
      </c>
      <c r="D2386" s="33">
        <f ca="1">Model!$F$16+RAND()*(Model!$G$16-Model!$F$16)</f>
        <v>50.250342001484114</v>
      </c>
      <c r="E2386" s="33">
        <f>Model!$D$17</f>
        <v>800</v>
      </c>
      <c r="G2386" s="36">
        <f t="shared" ca="1" si="39"/>
        <v>301.21004143283699</v>
      </c>
    </row>
    <row r="2387" spans="1:7" x14ac:dyDescent="0.2">
      <c r="A2387" s="6">
        <f ca="1">Model!$F$13+RAND()*(Model!$G$13-Model!$F$13)</f>
        <v>1380.8637494150246</v>
      </c>
      <c r="B2387" s="31">
        <f ca="1">Model!$F$14+RAND()*(Model!$G$14-Model!$F$14)</f>
        <v>0.68449368828037271</v>
      </c>
      <c r="C2387" s="32">
        <f ca="1">Model!$F$15+RAND()*(Model!$G$15-Model!$F$15)</f>
        <v>2.5874058253681005E-2</v>
      </c>
      <c r="D2387" s="33">
        <f ca="1">Model!$F$16+RAND()*(Model!$G$16-Model!$F$16)</f>
        <v>47.455610678243708</v>
      </c>
      <c r="E2387" s="33">
        <f>Model!$D$17</f>
        <v>800</v>
      </c>
      <c r="G2387" s="36">
        <f t="shared" ca="1" si="39"/>
        <v>-49.672405005184601</v>
      </c>
    </row>
    <row r="2388" spans="1:7" x14ac:dyDescent="0.2">
      <c r="A2388" s="6">
        <f ca="1">Model!$F$13+RAND()*(Model!$G$13-Model!$F$13)</f>
        <v>1398.1439442262881</v>
      </c>
      <c r="B2388" s="31">
        <f ca="1">Model!$F$14+RAND()*(Model!$G$14-Model!$F$14)</f>
        <v>0.25151970567910437</v>
      </c>
      <c r="C2388" s="32">
        <f ca="1">Model!$F$15+RAND()*(Model!$G$15-Model!$F$15)</f>
        <v>2.6570889432931476E-2</v>
      </c>
      <c r="D2388" s="33">
        <f ca="1">Model!$F$16+RAND()*(Model!$G$16-Model!$F$16)</f>
        <v>52.52691177413913</v>
      </c>
      <c r="E2388" s="33">
        <f>Model!$D$17</f>
        <v>800</v>
      </c>
      <c r="G2388" s="36">
        <f t="shared" ca="1" si="39"/>
        <v>799.71024517829915</v>
      </c>
    </row>
    <row r="2389" spans="1:7" x14ac:dyDescent="0.2">
      <c r="A2389" s="6">
        <f ca="1">Model!$F$13+RAND()*(Model!$G$13-Model!$F$13)</f>
        <v>1207.5085463758096</v>
      </c>
      <c r="B2389" s="31">
        <f ca="1">Model!$F$14+RAND()*(Model!$G$14-Model!$F$14)</f>
        <v>0.256455201134556</v>
      </c>
      <c r="C2389" s="32">
        <f ca="1">Model!$F$15+RAND()*(Model!$G$15-Model!$F$15)</f>
        <v>3.75906516074365E-2</v>
      </c>
      <c r="D2389" s="33">
        <f ca="1">Model!$F$16+RAND()*(Model!$G$16-Model!$F$16)</f>
        <v>49.276403585422749</v>
      </c>
      <c r="E2389" s="33">
        <f>Model!$D$17</f>
        <v>800</v>
      </c>
      <c r="G2389" s="36">
        <f t="shared" ca="1" si="39"/>
        <v>1127.0350180677417</v>
      </c>
    </row>
    <row r="2390" spans="1:7" x14ac:dyDescent="0.2">
      <c r="A2390" s="6">
        <f ca="1">Model!$F$13+RAND()*(Model!$G$13-Model!$F$13)</f>
        <v>1587.4697112929273</v>
      </c>
      <c r="B2390" s="31">
        <f ca="1">Model!$F$14+RAND()*(Model!$G$14-Model!$F$14)</f>
        <v>0.36129541788981645</v>
      </c>
      <c r="C2390" s="32">
        <f ca="1">Model!$F$15+RAND()*(Model!$G$15-Model!$F$15)</f>
        <v>4.2853576607497362E-2</v>
      </c>
      <c r="D2390" s="33">
        <f ca="1">Model!$F$16+RAND()*(Model!$G$16-Model!$F$16)</f>
        <v>47.932271664853999</v>
      </c>
      <c r="E2390" s="33">
        <f>Model!$D$17</f>
        <v>800</v>
      </c>
      <c r="G2390" s="36">
        <f t="shared" ca="1" si="39"/>
        <v>1887.2272274392938</v>
      </c>
    </row>
    <row r="2391" spans="1:7" x14ac:dyDescent="0.2">
      <c r="A2391" s="6">
        <f ca="1">Model!$F$13+RAND()*(Model!$G$13-Model!$F$13)</f>
        <v>1394.4581195865235</v>
      </c>
      <c r="B2391" s="31">
        <f ca="1">Model!$F$14+RAND()*(Model!$G$14-Model!$F$14)</f>
        <v>0.26604791576175024</v>
      </c>
      <c r="C2391" s="32">
        <f ca="1">Model!$F$15+RAND()*(Model!$G$15-Model!$F$15)</f>
        <v>3.1197362242595346E-2</v>
      </c>
      <c r="D2391" s="33">
        <f ca="1">Model!$F$16+RAND()*(Model!$G$16-Model!$F$16)</f>
        <v>50.331255173650888</v>
      </c>
      <c r="E2391" s="33">
        <f>Model!$D$17</f>
        <v>800</v>
      </c>
      <c r="G2391" s="36">
        <f t="shared" ca="1" si="39"/>
        <v>1018.5888094300817</v>
      </c>
    </row>
    <row r="2392" spans="1:7" x14ac:dyDescent="0.2">
      <c r="A2392" s="6">
        <f ca="1">Model!$F$13+RAND()*(Model!$G$13-Model!$F$13)</f>
        <v>1304.1814093187184</v>
      </c>
      <c r="B2392" s="31">
        <f ca="1">Model!$F$14+RAND()*(Model!$G$14-Model!$F$14)</f>
        <v>0.61808362288309637</v>
      </c>
      <c r="C2392" s="32">
        <f ca="1">Model!$F$15+RAND()*(Model!$G$15-Model!$F$15)</f>
        <v>2.4238178226640102E-2</v>
      </c>
      <c r="D2392" s="33">
        <f ca="1">Model!$F$16+RAND()*(Model!$G$16-Model!$F$16)</f>
        <v>51.475968359161541</v>
      </c>
      <c r="E2392" s="33">
        <f>Model!$D$17</f>
        <v>800</v>
      </c>
      <c r="G2392" s="36">
        <f t="shared" ca="1" si="39"/>
        <v>21.112709984307003</v>
      </c>
    </row>
    <row r="2393" spans="1:7" x14ac:dyDescent="0.2">
      <c r="A2393" s="6">
        <f ca="1">Model!$F$13+RAND()*(Model!$G$13-Model!$F$13)</f>
        <v>1413.2037028755417</v>
      </c>
      <c r="B2393" s="31">
        <f ca="1">Model!$F$14+RAND()*(Model!$G$14-Model!$F$14)</f>
        <v>0.43303904536128812</v>
      </c>
      <c r="C2393" s="32">
        <f ca="1">Model!$F$15+RAND()*(Model!$G$15-Model!$F$15)</f>
        <v>3.1592160591715837E-2</v>
      </c>
      <c r="D2393" s="33">
        <f ca="1">Model!$F$16+RAND()*(Model!$G$16-Model!$F$16)</f>
        <v>52.191481812209609</v>
      </c>
      <c r="E2393" s="33">
        <f>Model!$D$17</f>
        <v>800</v>
      </c>
      <c r="G2393" s="36">
        <f t="shared" ca="1" si="39"/>
        <v>918.17677807365567</v>
      </c>
    </row>
    <row r="2394" spans="1:7" x14ac:dyDescent="0.2">
      <c r="A2394" s="6">
        <f ca="1">Model!$F$13+RAND()*(Model!$G$13-Model!$F$13)</f>
        <v>1370.1942044005898</v>
      </c>
      <c r="B2394" s="31">
        <f ca="1">Model!$F$14+RAND()*(Model!$G$14-Model!$F$14)</f>
        <v>0.26432600234810333</v>
      </c>
      <c r="C2394" s="32">
        <f ca="1">Model!$F$15+RAND()*(Model!$G$15-Model!$F$15)</f>
        <v>3.0062977390211403E-2</v>
      </c>
      <c r="D2394" s="33">
        <f ca="1">Model!$F$16+RAND()*(Model!$G$16-Model!$F$16)</f>
        <v>49.993515601371797</v>
      </c>
      <c r="E2394" s="33">
        <f>Model!$D$17</f>
        <v>800</v>
      </c>
      <c r="G2394" s="36">
        <f t="shared" ca="1" si="39"/>
        <v>897.16080675545618</v>
      </c>
    </row>
    <row r="2395" spans="1:7" x14ac:dyDescent="0.2">
      <c r="A2395" s="6">
        <f ca="1">Model!$F$13+RAND()*(Model!$G$13-Model!$F$13)</f>
        <v>1650.2028981721455</v>
      </c>
      <c r="B2395" s="31">
        <f ca="1">Model!$F$14+RAND()*(Model!$G$14-Model!$F$14)</f>
        <v>0.52098056018628114</v>
      </c>
      <c r="C2395" s="32">
        <f ca="1">Model!$F$15+RAND()*(Model!$G$15-Model!$F$15)</f>
        <v>1.0574714969940474E-2</v>
      </c>
      <c r="D2395" s="33">
        <f ca="1">Model!$F$16+RAND()*(Model!$G$16-Model!$F$16)</f>
        <v>49.769886390129976</v>
      </c>
      <c r="E2395" s="33">
        <f>Model!$D$17</f>
        <v>800</v>
      </c>
      <c r="G2395" s="36">
        <f t="shared" ca="1" si="39"/>
        <v>-791.21794613116128</v>
      </c>
    </row>
    <row r="2396" spans="1:7" x14ac:dyDescent="0.2">
      <c r="A2396" s="6">
        <f ca="1">Model!$F$13+RAND()*(Model!$G$13-Model!$F$13)</f>
        <v>1232.2912754395402</v>
      </c>
      <c r="B2396" s="31">
        <f ca="1">Model!$F$14+RAND()*(Model!$G$14-Model!$F$14)</f>
        <v>0.53979103905543657</v>
      </c>
      <c r="C2396" s="32">
        <f ca="1">Model!$F$15+RAND()*(Model!$G$15-Model!$F$15)</f>
        <v>2.8497779634054823E-2</v>
      </c>
      <c r="D2396" s="33">
        <f ca="1">Model!$F$16+RAND()*(Model!$G$16-Model!$F$16)</f>
        <v>52.616829096133216</v>
      </c>
      <c r="E2396" s="33">
        <f>Model!$D$17</f>
        <v>800</v>
      </c>
      <c r="G2396" s="36">
        <f t="shared" ca="1" si="39"/>
        <v>382.59513906704001</v>
      </c>
    </row>
    <row r="2397" spans="1:7" x14ac:dyDescent="0.2">
      <c r="A2397" s="6">
        <f ca="1">Model!$F$13+RAND()*(Model!$G$13-Model!$F$13)</f>
        <v>1397.4622073810806</v>
      </c>
      <c r="B2397" s="31">
        <f ca="1">Model!$F$14+RAND()*(Model!$G$14-Model!$F$14)</f>
        <v>0.75356863752694703</v>
      </c>
      <c r="C2397" s="32">
        <f ca="1">Model!$F$15+RAND()*(Model!$G$15-Model!$F$15)</f>
        <v>1.2356792674667516E-2</v>
      </c>
      <c r="D2397" s="33">
        <f ca="1">Model!$F$16+RAND()*(Model!$G$16-Model!$F$16)</f>
        <v>47.401738093032748</v>
      </c>
      <c r="E2397" s="33">
        <f>Model!$D$17</f>
        <v>800</v>
      </c>
      <c r="G2397" s="36">
        <f t="shared" ca="1" si="39"/>
        <v>-1034.5433315894193</v>
      </c>
    </row>
    <row r="2398" spans="1:7" x14ac:dyDescent="0.2">
      <c r="A2398" s="6">
        <f ca="1">Model!$F$13+RAND()*(Model!$G$13-Model!$F$13)</f>
        <v>1467.0032804117711</v>
      </c>
      <c r="B2398" s="31">
        <f ca="1">Model!$F$14+RAND()*(Model!$G$14-Model!$F$14)</f>
        <v>0.78054625210217687</v>
      </c>
      <c r="C2398" s="32">
        <f ca="1">Model!$F$15+RAND()*(Model!$G$15-Model!$F$15)</f>
        <v>2.776069258040563E-2</v>
      </c>
      <c r="D2398" s="33">
        <f ca="1">Model!$F$16+RAND()*(Model!$G$16-Model!$F$16)</f>
        <v>52.760283606521384</v>
      </c>
      <c r="E2398" s="33">
        <f>Model!$D$17</f>
        <v>800</v>
      </c>
      <c r="G2398" s="36">
        <f t="shared" ca="1" si="39"/>
        <v>203.60006638034929</v>
      </c>
    </row>
    <row r="2399" spans="1:7" x14ac:dyDescent="0.2">
      <c r="A2399" s="6">
        <f ca="1">Model!$F$13+RAND()*(Model!$G$13-Model!$F$13)</f>
        <v>1287.0272019799304</v>
      </c>
      <c r="B2399" s="31">
        <f ca="1">Model!$F$14+RAND()*(Model!$G$14-Model!$F$14)</f>
        <v>0.79654571443985156</v>
      </c>
      <c r="C2399" s="32">
        <f ca="1">Model!$F$15+RAND()*(Model!$G$15-Model!$F$15)</f>
        <v>4.264005034992252E-2</v>
      </c>
      <c r="D2399" s="33">
        <f ca="1">Model!$F$16+RAND()*(Model!$G$16-Model!$F$16)</f>
        <v>48.087186468022651</v>
      </c>
      <c r="E2399" s="33">
        <f>Model!$D$17</f>
        <v>800</v>
      </c>
      <c r="G2399" s="36">
        <f t="shared" ca="1" si="39"/>
        <v>813.7961210835258</v>
      </c>
    </row>
    <row r="2400" spans="1:7" x14ac:dyDescent="0.2">
      <c r="A2400" s="6">
        <f ca="1">Model!$F$13+RAND()*(Model!$G$13-Model!$F$13)</f>
        <v>1494.1755959935326</v>
      </c>
      <c r="B2400" s="31">
        <f ca="1">Model!$F$14+RAND()*(Model!$G$14-Model!$F$14)</f>
        <v>0.21686825401335968</v>
      </c>
      <c r="C2400" s="32">
        <f ca="1">Model!$F$15+RAND()*(Model!$G$15-Model!$F$15)</f>
        <v>4.2621074300594863E-2</v>
      </c>
      <c r="D2400" s="33">
        <f ca="1">Model!$F$16+RAND()*(Model!$G$16-Model!$F$16)</f>
        <v>50.172128907075717</v>
      </c>
      <c r="E2400" s="33">
        <f>Model!$D$17</f>
        <v>800</v>
      </c>
      <c r="G2400" s="36">
        <f t="shared" ca="1" si="39"/>
        <v>2071.0909507775277</v>
      </c>
    </row>
    <row r="2401" spans="1:7" x14ac:dyDescent="0.2">
      <c r="A2401" s="6">
        <f ca="1">Model!$F$13+RAND()*(Model!$G$13-Model!$F$13)</f>
        <v>1573.2043476942017</v>
      </c>
      <c r="B2401" s="31">
        <f ca="1">Model!$F$14+RAND()*(Model!$G$14-Model!$F$14)</f>
        <v>0.33816766078186994</v>
      </c>
      <c r="C2401" s="32">
        <f ca="1">Model!$F$15+RAND()*(Model!$G$15-Model!$F$15)</f>
        <v>2.2065128395008734E-2</v>
      </c>
      <c r="D2401" s="33">
        <f ca="1">Model!$F$16+RAND()*(Model!$G$16-Model!$F$16)</f>
        <v>49.533846188277323</v>
      </c>
      <c r="E2401" s="33">
        <f>Model!$D$17</f>
        <v>800</v>
      </c>
      <c r="G2401" s="36">
        <f t="shared" ca="1" si="39"/>
        <v>387.45938526142891</v>
      </c>
    </row>
    <row r="2402" spans="1:7" x14ac:dyDescent="0.2">
      <c r="A2402" s="6">
        <f ca="1">Model!$F$13+RAND()*(Model!$G$13-Model!$F$13)</f>
        <v>1554.8521291582965</v>
      </c>
      <c r="B2402" s="31">
        <f ca="1">Model!$F$14+RAND()*(Model!$G$14-Model!$F$14)</f>
        <v>0.47352939812499145</v>
      </c>
      <c r="C2402" s="32">
        <f ca="1">Model!$F$15+RAND()*(Model!$G$15-Model!$F$15)</f>
        <v>2.7174286543107662E-2</v>
      </c>
      <c r="D2402" s="33">
        <f ca="1">Model!$F$16+RAND()*(Model!$G$16-Model!$F$16)</f>
        <v>48.697401363924911</v>
      </c>
      <c r="E2402" s="33">
        <f>Model!$D$17</f>
        <v>800</v>
      </c>
      <c r="G2402" s="36">
        <f t="shared" ca="1" si="39"/>
        <v>521.29427756045698</v>
      </c>
    </row>
    <row r="2403" spans="1:7" x14ac:dyDescent="0.2">
      <c r="A2403" s="6">
        <f ca="1">Model!$F$13+RAND()*(Model!$G$13-Model!$F$13)</f>
        <v>1521.9732821280543</v>
      </c>
      <c r="B2403" s="31">
        <f ca="1">Model!$F$14+RAND()*(Model!$G$14-Model!$F$14)</f>
        <v>0.35222352961035241</v>
      </c>
      <c r="C2403" s="32">
        <f ca="1">Model!$F$15+RAND()*(Model!$G$15-Model!$F$15)</f>
        <v>4.0383536764202844E-2</v>
      </c>
      <c r="D2403" s="33">
        <f ca="1">Model!$F$16+RAND()*(Model!$G$16-Model!$F$16)</f>
        <v>49.987578760694639</v>
      </c>
      <c r="E2403" s="33">
        <f>Model!$D$17</f>
        <v>800</v>
      </c>
      <c r="G2403" s="36">
        <f t="shared" ca="1" si="39"/>
        <v>1736.2949557860402</v>
      </c>
    </row>
    <row r="2404" spans="1:7" x14ac:dyDescent="0.2">
      <c r="A2404" s="6">
        <f ca="1">Model!$F$13+RAND()*(Model!$G$13-Model!$F$13)</f>
        <v>1505.5494552025111</v>
      </c>
      <c r="B2404" s="31">
        <f ca="1">Model!$F$14+RAND()*(Model!$G$14-Model!$F$14)</f>
        <v>0.49971394228119798</v>
      </c>
      <c r="C2404" s="32">
        <f ca="1">Model!$F$15+RAND()*(Model!$G$15-Model!$F$15)</f>
        <v>2.7306825273759022E-2</v>
      </c>
      <c r="D2404" s="33">
        <f ca="1">Model!$F$16+RAND()*(Model!$G$16-Model!$F$16)</f>
        <v>52.627108162959438</v>
      </c>
      <c r="E2404" s="33">
        <f>Model!$D$17</f>
        <v>800</v>
      </c>
      <c r="G2404" s="36">
        <f t="shared" ca="1" si="39"/>
        <v>611.24982425034773</v>
      </c>
    </row>
    <row r="2405" spans="1:7" x14ac:dyDescent="0.2">
      <c r="A2405" s="6">
        <f ca="1">Model!$F$13+RAND()*(Model!$G$13-Model!$F$13)</f>
        <v>1280.5274070783851</v>
      </c>
      <c r="B2405" s="31">
        <f ca="1">Model!$F$14+RAND()*(Model!$G$14-Model!$F$14)</f>
        <v>0.24182994939485614</v>
      </c>
      <c r="C2405" s="32">
        <f ca="1">Model!$F$15+RAND()*(Model!$G$15-Model!$F$15)</f>
        <v>3.2180655839754692E-2</v>
      </c>
      <c r="D2405" s="33">
        <f ca="1">Model!$F$16+RAND()*(Model!$G$16-Model!$F$16)</f>
        <v>49.286593923746118</v>
      </c>
      <c r="E2405" s="33">
        <f>Model!$D$17</f>
        <v>800</v>
      </c>
      <c r="G2405" s="36">
        <f t="shared" ca="1" si="39"/>
        <v>921.342522299846</v>
      </c>
    </row>
    <row r="2406" spans="1:7" x14ac:dyDescent="0.2">
      <c r="A2406" s="6">
        <f ca="1">Model!$F$13+RAND()*(Model!$G$13-Model!$F$13)</f>
        <v>1466.9107989949666</v>
      </c>
      <c r="B2406" s="31">
        <f ca="1">Model!$F$14+RAND()*(Model!$G$14-Model!$F$14)</f>
        <v>0.7992596472518041</v>
      </c>
      <c r="C2406" s="32">
        <f ca="1">Model!$F$15+RAND()*(Model!$G$15-Model!$F$15)</f>
        <v>1.6241068892892604E-2</v>
      </c>
      <c r="D2406" s="33">
        <f ca="1">Model!$F$16+RAND()*(Model!$G$16-Model!$F$16)</f>
        <v>50.452527416259677</v>
      </c>
      <c r="E2406" s="33">
        <f>Model!$D$17</f>
        <v>800</v>
      </c>
      <c r="G2406" s="36">
        <f t="shared" ca="1" si="39"/>
        <v>-770.45153706971564</v>
      </c>
    </row>
    <row r="2407" spans="1:7" x14ac:dyDescent="0.2">
      <c r="A2407" s="6">
        <f ca="1">Model!$F$13+RAND()*(Model!$G$13-Model!$F$13)</f>
        <v>1390.7959208349585</v>
      </c>
      <c r="B2407" s="31">
        <f ca="1">Model!$F$14+RAND()*(Model!$G$14-Model!$F$14)</f>
        <v>0.37742303229968199</v>
      </c>
      <c r="C2407" s="32">
        <f ca="1">Model!$F$15+RAND()*(Model!$G$15-Model!$F$15)</f>
        <v>1.9516067677277128E-2</v>
      </c>
      <c r="D2407" s="33">
        <f ca="1">Model!$F$16+RAND()*(Model!$G$16-Model!$F$16)</f>
        <v>48.562833357347806</v>
      </c>
      <c r="E2407" s="33">
        <f>Model!$D$17</f>
        <v>800</v>
      </c>
      <c r="G2407" s="36">
        <f t="shared" ca="1" si="39"/>
        <v>-6.7838714296731268</v>
      </c>
    </row>
    <row r="2408" spans="1:7" x14ac:dyDescent="0.2">
      <c r="A2408" s="6">
        <f ca="1">Model!$F$13+RAND()*(Model!$G$13-Model!$F$13)</f>
        <v>1787.9797939530617</v>
      </c>
      <c r="B2408" s="31">
        <f ca="1">Model!$F$14+RAND()*(Model!$G$14-Model!$F$14)</f>
        <v>0.45304203351823397</v>
      </c>
      <c r="C2408" s="32">
        <f ca="1">Model!$F$15+RAND()*(Model!$G$15-Model!$F$15)</f>
        <v>1.241806126747521E-2</v>
      </c>
      <c r="D2408" s="33">
        <f ca="1">Model!$F$16+RAND()*(Model!$G$16-Model!$F$16)</f>
        <v>47.330476597212893</v>
      </c>
      <c r="E2408" s="33">
        <f>Model!$D$17</f>
        <v>800</v>
      </c>
      <c r="G2408" s="36">
        <f t="shared" ca="1" si="39"/>
        <v>-559.13994623487997</v>
      </c>
    </row>
    <row r="2409" spans="1:7" x14ac:dyDescent="0.2">
      <c r="A2409" s="6">
        <f ca="1">Model!$F$13+RAND()*(Model!$G$13-Model!$F$13)</f>
        <v>1299.0335356748765</v>
      </c>
      <c r="B2409" s="31">
        <f ca="1">Model!$F$14+RAND()*(Model!$G$14-Model!$F$14)</f>
        <v>0.44699007221652476</v>
      </c>
      <c r="C2409" s="32">
        <f ca="1">Model!$F$15+RAND()*(Model!$G$15-Model!$F$15)</f>
        <v>1.9070898392410524E-2</v>
      </c>
      <c r="D2409" s="33">
        <f ca="1">Model!$F$16+RAND()*(Model!$G$16-Model!$F$16)</f>
        <v>52.09186328836681</v>
      </c>
      <c r="E2409" s="33">
        <f>Model!$D$17</f>
        <v>800</v>
      </c>
      <c r="G2409" s="36">
        <f t="shared" ref="G2409:G2472" ca="1" si="40">A2409*C2409*D2409-(E2409+A2409*B2409)</f>
        <v>-90.144995522958652</v>
      </c>
    </row>
    <row r="2410" spans="1:7" x14ac:dyDescent="0.2">
      <c r="A2410" s="6">
        <f ca="1">Model!$F$13+RAND()*(Model!$G$13-Model!$F$13)</f>
        <v>1738.0218660806206</v>
      </c>
      <c r="B2410" s="31">
        <f ca="1">Model!$F$14+RAND()*(Model!$G$14-Model!$F$14)</f>
        <v>0.76442744215982317</v>
      </c>
      <c r="C2410" s="32">
        <f ca="1">Model!$F$15+RAND()*(Model!$G$15-Model!$F$15)</f>
        <v>3.1648158077713061E-2</v>
      </c>
      <c r="D2410" s="33">
        <f ca="1">Model!$F$16+RAND()*(Model!$G$16-Model!$F$16)</f>
        <v>48.738532327581254</v>
      </c>
      <c r="E2410" s="33">
        <f>Model!$D$17</f>
        <v>800</v>
      </c>
      <c r="G2410" s="36">
        <f t="shared" ca="1" si="40"/>
        <v>552.28065854694387</v>
      </c>
    </row>
    <row r="2411" spans="1:7" x14ac:dyDescent="0.2">
      <c r="A2411" s="6">
        <f ca="1">Model!$F$13+RAND()*(Model!$G$13-Model!$F$13)</f>
        <v>1597.8409251747196</v>
      </c>
      <c r="B2411" s="31">
        <f ca="1">Model!$F$14+RAND()*(Model!$G$14-Model!$F$14)</f>
        <v>0.43018813037278641</v>
      </c>
      <c r="C2411" s="32">
        <f ca="1">Model!$F$15+RAND()*(Model!$G$15-Model!$F$15)</f>
        <v>2.7419213650424844E-2</v>
      </c>
      <c r="D2411" s="33">
        <f ca="1">Model!$F$16+RAND()*(Model!$G$16-Model!$F$16)</f>
        <v>52.522497500006864</v>
      </c>
      <c r="E2411" s="33">
        <f>Model!$D$17</f>
        <v>800</v>
      </c>
      <c r="G2411" s="36">
        <f t="shared" ca="1" si="40"/>
        <v>813.71938953061454</v>
      </c>
    </row>
    <row r="2412" spans="1:7" x14ac:dyDescent="0.2">
      <c r="A2412" s="6">
        <f ca="1">Model!$F$13+RAND()*(Model!$G$13-Model!$F$13)</f>
        <v>1279.437194528248</v>
      </c>
      <c r="B2412" s="31">
        <f ca="1">Model!$F$14+RAND()*(Model!$G$14-Model!$F$14)</f>
        <v>0.778147480359485</v>
      </c>
      <c r="C2412" s="32">
        <f ca="1">Model!$F$15+RAND()*(Model!$G$15-Model!$F$15)</f>
        <v>2.8433169157496344E-2</v>
      </c>
      <c r="D2412" s="33">
        <f ca="1">Model!$F$16+RAND()*(Model!$G$16-Model!$F$16)</f>
        <v>49.032113147861168</v>
      </c>
      <c r="E2412" s="33">
        <f>Model!$D$17</f>
        <v>800</v>
      </c>
      <c r="G2412" s="36">
        <f t="shared" ca="1" si="40"/>
        <v>-11.878347780075273</v>
      </c>
    </row>
    <row r="2413" spans="1:7" x14ac:dyDescent="0.2">
      <c r="A2413" s="6">
        <f ca="1">Model!$F$13+RAND()*(Model!$G$13-Model!$F$13)</f>
        <v>1450.3239864795642</v>
      </c>
      <c r="B2413" s="31">
        <f ca="1">Model!$F$14+RAND()*(Model!$G$14-Model!$F$14)</f>
        <v>0.6994206283074702</v>
      </c>
      <c r="C2413" s="32">
        <f ca="1">Model!$F$15+RAND()*(Model!$G$15-Model!$F$15)</f>
        <v>3.4860840617469184E-2</v>
      </c>
      <c r="D2413" s="33">
        <f ca="1">Model!$F$16+RAND()*(Model!$G$16-Model!$F$16)</f>
        <v>49.803676127200049</v>
      </c>
      <c r="E2413" s="33">
        <f>Model!$D$17</f>
        <v>800</v>
      </c>
      <c r="G2413" s="36">
        <f t="shared" ca="1" si="40"/>
        <v>703.66311347982491</v>
      </c>
    </row>
    <row r="2414" spans="1:7" x14ac:dyDescent="0.2">
      <c r="A2414" s="6">
        <f ca="1">Model!$F$13+RAND()*(Model!$G$13-Model!$F$13)</f>
        <v>1775.5830849130548</v>
      </c>
      <c r="B2414" s="31">
        <f ca="1">Model!$F$14+RAND()*(Model!$G$14-Model!$F$14)</f>
        <v>0.38258459100394293</v>
      </c>
      <c r="C2414" s="32">
        <f ca="1">Model!$F$15+RAND()*(Model!$G$15-Model!$F$15)</f>
        <v>1.8667670696942869E-2</v>
      </c>
      <c r="D2414" s="33">
        <f ca="1">Model!$F$16+RAND()*(Model!$G$16-Model!$F$16)</f>
        <v>50.371196949513433</v>
      </c>
      <c r="E2414" s="33">
        <f>Model!$D$17</f>
        <v>800</v>
      </c>
      <c r="G2414" s="36">
        <f t="shared" ca="1" si="40"/>
        <v>190.29298208488353</v>
      </c>
    </row>
    <row r="2415" spans="1:7" x14ac:dyDescent="0.2">
      <c r="A2415" s="6">
        <f ca="1">Model!$F$13+RAND()*(Model!$G$13-Model!$F$13)</f>
        <v>1521.3693470890744</v>
      </c>
      <c r="B2415" s="31">
        <f ca="1">Model!$F$14+RAND()*(Model!$G$14-Model!$F$14)</f>
        <v>0.62569282783656599</v>
      </c>
      <c r="C2415" s="32">
        <f ca="1">Model!$F$15+RAND()*(Model!$G$15-Model!$F$15)</f>
        <v>2.2052550989739926E-2</v>
      </c>
      <c r="D2415" s="33">
        <f ca="1">Model!$F$16+RAND()*(Model!$G$16-Model!$F$16)</f>
        <v>47.702200588752831</v>
      </c>
      <c r="E2415" s="33">
        <f>Model!$D$17</f>
        <v>800</v>
      </c>
      <c r="G2415" s="36">
        <f t="shared" ca="1" si="40"/>
        <v>-151.49747673274283</v>
      </c>
    </row>
    <row r="2416" spans="1:7" x14ac:dyDescent="0.2">
      <c r="A2416" s="6">
        <f ca="1">Model!$F$13+RAND()*(Model!$G$13-Model!$F$13)</f>
        <v>1688.6695255431057</v>
      </c>
      <c r="B2416" s="31">
        <f ca="1">Model!$F$14+RAND()*(Model!$G$14-Model!$F$14)</f>
        <v>0.54494243149713617</v>
      </c>
      <c r="C2416" s="32">
        <f ca="1">Model!$F$15+RAND()*(Model!$G$15-Model!$F$15)</f>
        <v>3.2100608858123471E-2</v>
      </c>
      <c r="D2416" s="33">
        <f ca="1">Model!$F$16+RAND()*(Model!$G$16-Model!$F$16)</f>
        <v>47.416957904503057</v>
      </c>
      <c r="E2416" s="33">
        <f>Model!$D$17</f>
        <v>800</v>
      </c>
      <c r="G2416" s="36">
        <f t="shared" ca="1" si="40"/>
        <v>850.11852999653502</v>
      </c>
    </row>
    <row r="2417" spans="1:7" x14ac:dyDescent="0.2">
      <c r="A2417" s="6">
        <f ca="1">Model!$F$13+RAND()*(Model!$G$13-Model!$F$13)</f>
        <v>1529.6280308065016</v>
      </c>
      <c r="B2417" s="31">
        <f ca="1">Model!$F$14+RAND()*(Model!$G$14-Model!$F$14)</f>
        <v>0.49423275342605594</v>
      </c>
      <c r="C2417" s="32">
        <f ca="1">Model!$F$15+RAND()*(Model!$G$15-Model!$F$15)</f>
        <v>1.5047962006411956E-2</v>
      </c>
      <c r="D2417" s="33">
        <f ca="1">Model!$F$16+RAND()*(Model!$G$16-Model!$F$16)</f>
        <v>48.961896342137472</v>
      </c>
      <c r="E2417" s="33">
        <f>Model!$D$17</f>
        <v>800</v>
      </c>
      <c r="G2417" s="36">
        <f t="shared" ca="1" si="40"/>
        <v>-428.9978950837617</v>
      </c>
    </row>
    <row r="2418" spans="1:7" x14ac:dyDescent="0.2">
      <c r="A2418" s="6">
        <f ca="1">Model!$F$13+RAND()*(Model!$G$13-Model!$F$13)</f>
        <v>1329.7188856762093</v>
      </c>
      <c r="B2418" s="31">
        <f ca="1">Model!$F$14+RAND()*(Model!$G$14-Model!$F$14)</f>
        <v>0.54178613614292059</v>
      </c>
      <c r="C2418" s="32">
        <f ca="1">Model!$F$15+RAND()*(Model!$G$15-Model!$F$15)</f>
        <v>2.3474536772919857E-2</v>
      </c>
      <c r="D2418" s="33">
        <f ca="1">Model!$F$16+RAND()*(Model!$G$16-Model!$F$16)</f>
        <v>49.595427336460617</v>
      </c>
      <c r="E2418" s="33">
        <f>Model!$D$17</f>
        <v>800</v>
      </c>
      <c r="G2418" s="36">
        <f t="shared" ca="1" si="40"/>
        <v>27.674939228503263</v>
      </c>
    </row>
    <row r="2419" spans="1:7" x14ac:dyDescent="0.2">
      <c r="A2419" s="6">
        <f ca="1">Model!$F$13+RAND()*(Model!$G$13-Model!$F$13)</f>
        <v>1466.8386987667177</v>
      </c>
      <c r="B2419" s="31">
        <f ca="1">Model!$F$14+RAND()*(Model!$G$14-Model!$F$14)</f>
        <v>0.67420368031395372</v>
      </c>
      <c r="C2419" s="32">
        <f ca="1">Model!$F$15+RAND()*(Model!$G$15-Model!$F$15)</f>
        <v>2.6342423153539192E-2</v>
      </c>
      <c r="D2419" s="33">
        <f ca="1">Model!$F$16+RAND()*(Model!$G$16-Model!$F$16)</f>
        <v>51.821899239977867</v>
      </c>
      <c r="E2419" s="33">
        <f>Model!$D$17</f>
        <v>800</v>
      </c>
      <c r="G2419" s="36">
        <f t="shared" ca="1" si="40"/>
        <v>213.45457868068092</v>
      </c>
    </row>
    <row r="2420" spans="1:7" x14ac:dyDescent="0.2">
      <c r="A2420" s="6">
        <f ca="1">Model!$F$13+RAND()*(Model!$G$13-Model!$F$13)</f>
        <v>1647.4146076660129</v>
      </c>
      <c r="B2420" s="31">
        <f ca="1">Model!$F$14+RAND()*(Model!$G$14-Model!$F$14)</f>
        <v>0.58542153737704783</v>
      </c>
      <c r="C2420" s="32">
        <f ca="1">Model!$F$15+RAND()*(Model!$G$15-Model!$F$15)</f>
        <v>3.3371770703905942E-2</v>
      </c>
      <c r="D2420" s="33">
        <f ca="1">Model!$F$16+RAND()*(Model!$G$16-Model!$F$16)</f>
        <v>50.656490594915653</v>
      </c>
      <c r="E2420" s="33">
        <f>Model!$D$17</f>
        <v>800</v>
      </c>
      <c r="G2420" s="36">
        <f t="shared" ca="1" si="40"/>
        <v>1020.5171117612217</v>
      </c>
    </row>
    <row r="2421" spans="1:7" x14ac:dyDescent="0.2">
      <c r="A2421" s="6">
        <f ca="1">Model!$F$13+RAND()*(Model!$G$13-Model!$F$13)</f>
        <v>1545.7461055026047</v>
      </c>
      <c r="B2421" s="31">
        <f ca="1">Model!$F$14+RAND()*(Model!$G$14-Model!$F$14)</f>
        <v>0.64267613339876206</v>
      </c>
      <c r="C2421" s="32">
        <f ca="1">Model!$F$15+RAND()*(Model!$G$15-Model!$F$15)</f>
        <v>4.2022365443350175E-2</v>
      </c>
      <c r="D2421" s="33">
        <f ca="1">Model!$F$16+RAND()*(Model!$G$16-Model!$F$16)</f>
        <v>51.215751960001832</v>
      </c>
      <c r="E2421" s="33">
        <f>Model!$D$17</f>
        <v>800</v>
      </c>
      <c r="G2421" s="36">
        <f t="shared" ca="1" si="40"/>
        <v>1533.3515282367734</v>
      </c>
    </row>
    <row r="2422" spans="1:7" x14ac:dyDescent="0.2">
      <c r="A2422" s="6">
        <f ca="1">Model!$F$13+RAND()*(Model!$G$13-Model!$F$13)</f>
        <v>1555.5983528558809</v>
      </c>
      <c r="B2422" s="31">
        <f ca="1">Model!$F$14+RAND()*(Model!$G$14-Model!$F$14)</f>
        <v>0.4784669806830355</v>
      </c>
      <c r="C2422" s="32">
        <f ca="1">Model!$F$15+RAND()*(Model!$G$15-Model!$F$15)</f>
        <v>3.7653581835460581E-2</v>
      </c>
      <c r="D2422" s="33">
        <f ca="1">Model!$F$16+RAND()*(Model!$G$16-Model!$F$16)</f>
        <v>48.453531027031133</v>
      </c>
      <c r="E2422" s="33">
        <f>Model!$D$17</f>
        <v>800</v>
      </c>
      <c r="G2422" s="36">
        <f t="shared" ca="1" si="40"/>
        <v>1293.807405601457</v>
      </c>
    </row>
    <row r="2423" spans="1:7" x14ac:dyDescent="0.2">
      <c r="A2423" s="6">
        <f ca="1">Model!$F$13+RAND()*(Model!$G$13-Model!$F$13)</f>
        <v>1574.9193590968409</v>
      </c>
      <c r="B2423" s="31">
        <f ca="1">Model!$F$14+RAND()*(Model!$G$14-Model!$F$14)</f>
        <v>0.63963249874488437</v>
      </c>
      <c r="C2423" s="32">
        <f ca="1">Model!$F$15+RAND()*(Model!$G$15-Model!$F$15)</f>
        <v>4.4616623711489251E-2</v>
      </c>
      <c r="D2423" s="33">
        <f ca="1">Model!$F$16+RAND()*(Model!$G$16-Model!$F$16)</f>
        <v>52.031419138933714</v>
      </c>
      <c r="E2423" s="33">
        <f>Model!$D$17</f>
        <v>800</v>
      </c>
      <c r="G2423" s="36">
        <f t="shared" ca="1" si="40"/>
        <v>1848.752531896354</v>
      </c>
    </row>
    <row r="2424" spans="1:7" x14ac:dyDescent="0.2">
      <c r="A2424" s="6">
        <f ca="1">Model!$F$13+RAND()*(Model!$G$13-Model!$F$13)</f>
        <v>1545.6279966282152</v>
      </c>
      <c r="B2424" s="31">
        <f ca="1">Model!$F$14+RAND()*(Model!$G$14-Model!$F$14)</f>
        <v>0.6829331333503732</v>
      </c>
      <c r="C2424" s="32">
        <f ca="1">Model!$F$15+RAND()*(Model!$G$15-Model!$F$15)</f>
        <v>3.6034138067141168E-2</v>
      </c>
      <c r="D2424" s="33">
        <f ca="1">Model!$F$16+RAND()*(Model!$G$16-Model!$F$16)</f>
        <v>50.268048115170743</v>
      </c>
      <c r="E2424" s="33">
        <f>Model!$D$17</f>
        <v>800</v>
      </c>
      <c r="G2424" s="36">
        <f t="shared" ca="1" si="40"/>
        <v>944.13710047308405</v>
      </c>
    </row>
    <row r="2425" spans="1:7" x14ac:dyDescent="0.2">
      <c r="A2425" s="6">
        <f ca="1">Model!$F$13+RAND()*(Model!$G$13-Model!$F$13)</f>
        <v>1340.4913874615606</v>
      </c>
      <c r="B2425" s="31">
        <f ca="1">Model!$F$14+RAND()*(Model!$G$14-Model!$F$14)</f>
        <v>0.45482871510677059</v>
      </c>
      <c r="C2425" s="32">
        <f ca="1">Model!$F$15+RAND()*(Model!$G$15-Model!$F$15)</f>
        <v>2.8163590055988827E-2</v>
      </c>
      <c r="D2425" s="33">
        <f ca="1">Model!$F$16+RAND()*(Model!$G$16-Model!$F$16)</f>
        <v>52.546514751116383</v>
      </c>
      <c r="E2425" s="33">
        <f>Model!$D$17</f>
        <v>800</v>
      </c>
      <c r="G2425" s="36">
        <f t="shared" ca="1" si="40"/>
        <v>574.09721862729793</v>
      </c>
    </row>
    <row r="2426" spans="1:7" x14ac:dyDescent="0.2">
      <c r="A2426" s="6">
        <f ca="1">Model!$F$13+RAND()*(Model!$G$13-Model!$F$13)</f>
        <v>1616.4597268657201</v>
      </c>
      <c r="B2426" s="31">
        <f ca="1">Model!$F$14+RAND()*(Model!$G$14-Model!$F$14)</f>
        <v>0.66263542878781045</v>
      </c>
      <c r="C2426" s="32">
        <f ca="1">Model!$F$15+RAND()*(Model!$G$15-Model!$F$15)</f>
        <v>1.9033888651322058E-2</v>
      </c>
      <c r="D2426" s="33">
        <f ca="1">Model!$F$16+RAND()*(Model!$G$16-Model!$F$16)</f>
        <v>48.729734654624075</v>
      </c>
      <c r="E2426" s="33">
        <f>Model!$D$17</f>
        <v>800</v>
      </c>
      <c r="G2426" s="36">
        <f t="shared" ca="1" si="40"/>
        <v>-371.83066907429838</v>
      </c>
    </row>
    <row r="2427" spans="1:7" x14ac:dyDescent="0.2">
      <c r="A2427" s="6">
        <f ca="1">Model!$F$13+RAND()*(Model!$G$13-Model!$F$13)</f>
        <v>1395.7340115388913</v>
      </c>
      <c r="B2427" s="31">
        <f ca="1">Model!$F$14+RAND()*(Model!$G$14-Model!$F$14)</f>
        <v>0.45618171875228553</v>
      </c>
      <c r="C2427" s="32">
        <f ca="1">Model!$F$15+RAND()*(Model!$G$15-Model!$F$15)</f>
        <v>3.4045226099169351E-2</v>
      </c>
      <c r="D2427" s="33">
        <f ca="1">Model!$F$16+RAND()*(Model!$G$16-Model!$F$16)</f>
        <v>51.73312725682468</v>
      </c>
      <c r="E2427" s="33">
        <f>Model!$D$17</f>
        <v>800</v>
      </c>
      <c r="G2427" s="36">
        <f t="shared" ca="1" si="40"/>
        <v>1021.5505391872994</v>
      </c>
    </row>
    <row r="2428" spans="1:7" x14ac:dyDescent="0.2">
      <c r="A2428" s="6">
        <f ca="1">Model!$F$13+RAND()*(Model!$G$13-Model!$F$13)</f>
        <v>1660.1595859203494</v>
      </c>
      <c r="B2428" s="31">
        <f ca="1">Model!$F$14+RAND()*(Model!$G$14-Model!$F$14)</f>
        <v>0.62451298013491341</v>
      </c>
      <c r="C2428" s="32">
        <f ca="1">Model!$F$15+RAND()*(Model!$G$15-Model!$F$15)</f>
        <v>3.4978728879055163E-2</v>
      </c>
      <c r="D2428" s="33">
        <f ca="1">Model!$F$16+RAND()*(Model!$G$16-Model!$F$16)</f>
        <v>52.435092318695041</v>
      </c>
      <c r="E2428" s="33">
        <f>Model!$D$17</f>
        <v>800</v>
      </c>
      <c r="G2428" s="36">
        <f t="shared" ca="1" si="40"/>
        <v>1208.1288655090038</v>
      </c>
    </row>
    <row r="2429" spans="1:7" x14ac:dyDescent="0.2">
      <c r="A2429" s="6">
        <f ca="1">Model!$F$13+RAND()*(Model!$G$13-Model!$F$13)</f>
        <v>1510.5932709751833</v>
      </c>
      <c r="B2429" s="31">
        <f ca="1">Model!$F$14+RAND()*(Model!$G$14-Model!$F$14)</f>
        <v>0.43178560394049226</v>
      </c>
      <c r="C2429" s="32">
        <f ca="1">Model!$F$15+RAND()*(Model!$G$15-Model!$F$15)</f>
        <v>1.6700056055514879E-2</v>
      </c>
      <c r="D2429" s="33">
        <f ca="1">Model!$F$16+RAND()*(Model!$G$16-Model!$F$16)</f>
        <v>47.739852116752921</v>
      </c>
      <c r="E2429" s="33">
        <f>Model!$D$17</f>
        <v>800</v>
      </c>
      <c r="G2429" s="36">
        <f t="shared" ca="1" si="40"/>
        <v>-247.91954595089646</v>
      </c>
    </row>
    <row r="2430" spans="1:7" x14ac:dyDescent="0.2">
      <c r="A2430" s="6">
        <f ca="1">Model!$F$13+RAND()*(Model!$G$13-Model!$F$13)</f>
        <v>1750.7914684420009</v>
      </c>
      <c r="B2430" s="31">
        <f ca="1">Model!$F$14+RAND()*(Model!$G$14-Model!$F$14)</f>
        <v>0.58276021306590786</v>
      </c>
      <c r="C2430" s="32">
        <f ca="1">Model!$F$15+RAND()*(Model!$G$15-Model!$F$15)</f>
        <v>3.4225623337262742E-2</v>
      </c>
      <c r="D2430" s="33">
        <f ca="1">Model!$F$16+RAND()*(Model!$G$16-Model!$F$16)</f>
        <v>51.824375546488064</v>
      </c>
      <c r="E2430" s="33">
        <f>Model!$D$17</f>
        <v>800</v>
      </c>
      <c r="G2430" s="36">
        <f t="shared" ca="1" si="40"/>
        <v>1285.1249604543043</v>
      </c>
    </row>
    <row r="2431" spans="1:7" x14ac:dyDescent="0.2">
      <c r="A2431" s="6">
        <f ca="1">Model!$F$13+RAND()*(Model!$G$13-Model!$F$13)</f>
        <v>1585.2328522950556</v>
      </c>
      <c r="B2431" s="31">
        <f ca="1">Model!$F$14+RAND()*(Model!$G$14-Model!$F$14)</f>
        <v>0.46028754347300738</v>
      </c>
      <c r="C2431" s="32">
        <f ca="1">Model!$F$15+RAND()*(Model!$G$15-Model!$F$15)</f>
        <v>3.9431490661532301E-2</v>
      </c>
      <c r="D2431" s="33">
        <f ca="1">Model!$F$16+RAND()*(Model!$G$16-Model!$F$16)</f>
        <v>50.628454341804847</v>
      </c>
      <c r="E2431" s="33">
        <f>Model!$D$17</f>
        <v>800</v>
      </c>
      <c r="G2431" s="36">
        <f t="shared" ca="1" si="40"/>
        <v>1635.0252684966695</v>
      </c>
    </row>
    <row r="2432" spans="1:7" x14ac:dyDescent="0.2">
      <c r="A2432" s="6">
        <f ca="1">Model!$F$13+RAND()*(Model!$G$13-Model!$F$13)</f>
        <v>1434.8339823398403</v>
      </c>
      <c r="B2432" s="31">
        <f ca="1">Model!$F$14+RAND()*(Model!$G$14-Model!$F$14)</f>
        <v>0.52573106310058604</v>
      </c>
      <c r="C2432" s="32">
        <f ca="1">Model!$F$15+RAND()*(Model!$G$15-Model!$F$15)</f>
        <v>1.3964946543861271E-2</v>
      </c>
      <c r="D2432" s="33">
        <f ca="1">Model!$F$16+RAND()*(Model!$G$16-Model!$F$16)</f>
        <v>47.262451382775957</v>
      </c>
      <c r="E2432" s="33">
        <f>Model!$D$17</f>
        <v>800</v>
      </c>
      <c r="G2432" s="36">
        <f t="shared" ca="1" si="40"/>
        <v>-607.32110330970283</v>
      </c>
    </row>
    <row r="2433" spans="1:7" x14ac:dyDescent="0.2">
      <c r="A2433" s="6">
        <f ca="1">Model!$F$13+RAND()*(Model!$G$13-Model!$F$13)</f>
        <v>1507.4111238178962</v>
      </c>
      <c r="B2433" s="31">
        <f ca="1">Model!$F$14+RAND()*(Model!$G$14-Model!$F$14)</f>
        <v>0.53028381404865321</v>
      </c>
      <c r="C2433" s="32">
        <f ca="1">Model!$F$15+RAND()*(Model!$G$15-Model!$F$15)</f>
        <v>4.0091865542999372E-2</v>
      </c>
      <c r="D2433" s="33">
        <f ca="1">Model!$F$16+RAND()*(Model!$G$16-Model!$F$16)</f>
        <v>48.389807218722659</v>
      </c>
      <c r="E2433" s="33">
        <f>Model!$D$17</f>
        <v>800</v>
      </c>
      <c r="G2433" s="36">
        <f t="shared" ca="1" si="40"/>
        <v>1325.0786061155029</v>
      </c>
    </row>
    <row r="2434" spans="1:7" x14ac:dyDescent="0.2">
      <c r="A2434" s="6">
        <f ca="1">Model!$F$13+RAND()*(Model!$G$13-Model!$F$13)</f>
        <v>1654.3938184218468</v>
      </c>
      <c r="B2434" s="31">
        <f ca="1">Model!$F$14+RAND()*(Model!$G$14-Model!$F$14)</f>
        <v>0.40368919405806147</v>
      </c>
      <c r="C2434" s="32">
        <f ca="1">Model!$F$15+RAND()*(Model!$G$15-Model!$F$15)</f>
        <v>4.3482944890315518E-2</v>
      </c>
      <c r="D2434" s="33">
        <f ca="1">Model!$F$16+RAND()*(Model!$G$16-Model!$F$16)</f>
        <v>48.244698605071449</v>
      </c>
      <c r="E2434" s="33">
        <f>Model!$D$17</f>
        <v>800</v>
      </c>
      <c r="G2434" s="36">
        <f t="shared" ca="1" si="40"/>
        <v>2002.7621314951455</v>
      </c>
    </row>
    <row r="2435" spans="1:7" x14ac:dyDescent="0.2">
      <c r="A2435" s="6">
        <f ca="1">Model!$F$13+RAND()*(Model!$G$13-Model!$F$13)</f>
        <v>1233.8033435704779</v>
      </c>
      <c r="B2435" s="31">
        <f ca="1">Model!$F$14+RAND()*(Model!$G$14-Model!$F$14)</f>
        <v>0.49463067820016948</v>
      </c>
      <c r="C2435" s="32">
        <f ca="1">Model!$F$15+RAND()*(Model!$G$15-Model!$F$15)</f>
        <v>4.3249795052058289E-2</v>
      </c>
      <c r="D2435" s="33">
        <f ca="1">Model!$F$16+RAND()*(Model!$G$16-Model!$F$16)</f>
        <v>51.160724032948636</v>
      </c>
      <c r="E2435" s="33">
        <f>Model!$D$17</f>
        <v>800</v>
      </c>
      <c r="G2435" s="36">
        <f t="shared" ca="1" si="40"/>
        <v>1319.7483586846909</v>
      </c>
    </row>
    <row r="2436" spans="1:7" x14ac:dyDescent="0.2">
      <c r="A2436" s="6">
        <f ca="1">Model!$F$13+RAND()*(Model!$G$13-Model!$F$13)</f>
        <v>1649.1469430316888</v>
      </c>
      <c r="B2436" s="31">
        <f ca="1">Model!$F$14+RAND()*(Model!$G$14-Model!$F$14)</f>
        <v>0.66356710599321467</v>
      </c>
      <c r="C2436" s="32">
        <f ca="1">Model!$F$15+RAND()*(Model!$G$15-Model!$F$15)</f>
        <v>3.4831328309408785E-2</v>
      </c>
      <c r="D2436" s="33">
        <f ca="1">Model!$F$16+RAND()*(Model!$G$16-Model!$F$16)</f>
        <v>52.348773147378679</v>
      </c>
      <c r="E2436" s="33">
        <f>Model!$D$17</f>
        <v>800</v>
      </c>
      <c r="G2436" s="36">
        <f t="shared" ca="1" si="40"/>
        <v>1112.6974426901206</v>
      </c>
    </row>
    <row r="2437" spans="1:7" x14ac:dyDescent="0.2">
      <c r="A2437" s="6">
        <f ca="1">Model!$F$13+RAND()*(Model!$G$13-Model!$F$13)</f>
        <v>1617.7013622497966</v>
      </c>
      <c r="B2437" s="31">
        <f ca="1">Model!$F$14+RAND()*(Model!$G$14-Model!$F$14)</f>
        <v>0.36814963923875876</v>
      </c>
      <c r="C2437" s="32">
        <f ca="1">Model!$F$15+RAND()*(Model!$G$15-Model!$F$15)</f>
        <v>1.5477771985644928E-2</v>
      </c>
      <c r="D2437" s="33">
        <f ca="1">Model!$F$16+RAND()*(Model!$G$16-Model!$F$16)</f>
        <v>50.162987513146675</v>
      </c>
      <c r="E2437" s="33">
        <f>Model!$D$17</f>
        <v>800</v>
      </c>
      <c r="G2437" s="36">
        <f t="shared" ca="1" si="40"/>
        <v>-139.55458298022199</v>
      </c>
    </row>
    <row r="2438" spans="1:7" x14ac:dyDescent="0.2">
      <c r="A2438" s="6">
        <f ca="1">Model!$F$13+RAND()*(Model!$G$13-Model!$F$13)</f>
        <v>1772.7447038213031</v>
      </c>
      <c r="B2438" s="31">
        <f ca="1">Model!$F$14+RAND()*(Model!$G$14-Model!$F$14)</f>
        <v>0.25347707768580452</v>
      </c>
      <c r="C2438" s="32">
        <f ca="1">Model!$F$15+RAND()*(Model!$G$15-Model!$F$15)</f>
        <v>4.1429118711035051E-2</v>
      </c>
      <c r="D2438" s="33">
        <f ca="1">Model!$F$16+RAND()*(Model!$G$16-Model!$F$16)</f>
        <v>52.954396826070038</v>
      </c>
      <c r="E2438" s="33">
        <f>Model!$D$17</f>
        <v>800</v>
      </c>
      <c r="G2438" s="36">
        <f t="shared" ca="1" si="40"/>
        <v>2639.7928989386201</v>
      </c>
    </row>
    <row r="2439" spans="1:7" x14ac:dyDescent="0.2">
      <c r="A2439" s="6">
        <f ca="1">Model!$F$13+RAND()*(Model!$G$13-Model!$F$13)</f>
        <v>1363.0841717000037</v>
      </c>
      <c r="B2439" s="31">
        <f ca="1">Model!$F$14+RAND()*(Model!$G$14-Model!$F$14)</f>
        <v>0.21379435401558036</v>
      </c>
      <c r="C2439" s="32">
        <f ca="1">Model!$F$15+RAND()*(Model!$G$15-Model!$F$15)</f>
        <v>1.4718500566580733E-2</v>
      </c>
      <c r="D2439" s="33">
        <f ca="1">Model!$F$16+RAND()*(Model!$G$16-Model!$F$16)</f>
        <v>47.867586249432271</v>
      </c>
      <c r="E2439" s="33">
        <f>Model!$D$17</f>
        <v>800</v>
      </c>
      <c r="G2439" s="36">
        <f t="shared" ca="1" si="40"/>
        <v>-131.07361076504753</v>
      </c>
    </row>
    <row r="2440" spans="1:7" x14ac:dyDescent="0.2">
      <c r="A2440" s="6">
        <f ca="1">Model!$F$13+RAND()*(Model!$G$13-Model!$F$13)</f>
        <v>1219.6734088566329</v>
      </c>
      <c r="B2440" s="31">
        <f ca="1">Model!$F$14+RAND()*(Model!$G$14-Model!$F$14)</f>
        <v>0.43706891412011423</v>
      </c>
      <c r="C2440" s="32">
        <f ca="1">Model!$F$15+RAND()*(Model!$G$15-Model!$F$15)</f>
        <v>2.125911930771867E-2</v>
      </c>
      <c r="D2440" s="33">
        <f ca="1">Model!$F$16+RAND()*(Model!$G$16-Model!$F$16)</f>
        <v>52.614195458408481</v>
      </c>
      <c r="E2440" s="33">
        <f>Model!$D$17</f>
        <v>800</v>
      </c>
      <c r="G2440" s="36">
        <f t="shared" ca="1" si="40"/>
        <v>31.161744548441675</v>
      </c>
    </row>
    <row r="2441" spans="1:7" x14ac:dyDescent="0.2">
      <c r="A2441" s="6">
        <f ca="1">Model!$F$13+RAND()*(Model!$G$13-Model!$F$13)</f>
        <v>1477.2848367373745</v>
      </c>
      <c r="B2441" s="31">
        <f ca="1">Model!$F$14+RAND()*(Model!$G$14-Model!$F$14)</f>
        <v>0.22944830558812576</v>
      </c>
      <c r="C2441" s="32">
        <f ca="1">Model!$F$15+RAND()*(Model!$G$15-Model!$F$15)</f>
        <v>2.8576296024180957E-2</v>
      </c>
      <c r="D2441" s="33">
        <f ca="1">Model!$F$16+RAND()*(Model!$G$16-Model!$F$16)</f>
        <v>52.405839160083787</v>
      </c>
      <c r="E2441" s="33">
        <f>Model!$D$17</f>
        <v>800</v>
      </c>
      <c r="G2441" s="36">
        <f t="shared" ca="1" si="40"/>
        <v>1073.3692288704608</v>
      </c>
    </row>
    <row r="2442" spans="1:7" x14ac:dyDescent="0.2">
      <c r="A2442" s="6">
        <f ca="1">Model!$F$13+RAND()*(Model!$G$13-Model!$F$13)</f>
        <v>1685.1178004132585</v>
      </c>
      <c r="B2442" s="31">
        <f ca="1">Model!$F$14+RAND()*(Model!$G$14-Model!$F$14)</f>
        <v>0.33977053645025052</v>
      </c>
      <c r="C2442" s="32">
        <f ca="1">Model!$F$15+RAND()*(Model!$G$15-Model!$F$15)</f>
        <v>2.4076241406465936E-2</v>
      </c>
      <c r="D2442" s="33">
        <f ca="1">Model!$F$16+RAND()*(Model!$G$16-Model!$F$16)</f>
        <v>49.23386213722425</v>
      </c>
      <c r="E2442" s="33">
        <f>Model!$D$17</f>
        <v>800</v>
      </c>
      <c r="G2442" s="36">
        <f t="shared" ca="1" si="40"/>
        <v>624.92855768521463</v>
      </c>
    </row>
    <row r="2443" spans="1:7" x14ac:dyDescent="0.2">
      <c r="A2443" s="6">
        <f ca="1">Model!$F$13+RAND()*(Model!$G$13-Model!$F$13)</f>
        <v>1617.7980546758488</v>
      </c>
      <c r="B2443" s="31">
        <f ca="1">Model!$F$14+RAND()*(Model!$G$14-Model!$F$14)</f>
        <v>0.68578465210813899</v>
      </c>
      <c r="C2443" s="32">
        <f ca="1">Model!$F$15+RAND()*(Model!$G$15-Model!$F$15)</f>
        <v>1.6449064347704982E-2</v>
      </c>
      <c r="D2443" s="33">
        <f ca="1">Model!$F$16+RAND()*(Model!$G$16-Model!$F$16)</f>
        <v>51.817797257553259</v>
      </c>
      <c r="E2443" s="33">
        <f>Model!$D$17</f>
        <v>800</v>
      </c>
      <c r="G2443" s="36">
        <f t="shared" ca="1" si="40"/>
        <v>-530.52397768941546</v>
      </c>
    </row>
    <row r="2444" spans="1:7" x14ac:dyDescent="0.2">
      <c r="A2444" s="6">
        <f ca="1">Model!$F$13+RAND()*(Model!$G$13-Model!$F$13)</f>
        <v>1421.5640758427951</v>
      </c>
      <c r="B2444" s="31">
        <f ca="1">Model!$F$14+RAND()*(Model!$G$14-Model!$F$14)</f>
        <v>0.63477003857340275</v>
      </c>
      <c r="C2444" s="32">
        <f ca="1">Model!$F$15+RAND()*(Model!$G$15-Model!$F$15)</f>
        <v>4.496247764776308E-2</v>
      </c>
      <c r="D2444" s="33">
        <f ca="1">Model!$F$16+RAND()*(Model!$G$16-Model!$F$16)</f>
        <v>49.541254670308092</v>
      </c>
      <c r="E2444" s="33">
        <f>Model!$D$17</f>
        <v>800</v>
      </c>
      <c r="G2444" s="36">
        <f t="shared" ca="1" si="40"/>
        <v>1464.1642210328778</v>
      </c>
    </row>
    <row r="2445" spans="1:7" x14ac:dyDescent="0.2">
      <c r="A2445" s="6">
        <f ca="1">Model!$F$13+RAND()*(Model!$G$13-Model!$F$13)</f>
        <v>1755.6318030163625</v>
      </c>
      <c r="B2445" s="31">
        <f ca="1">Model!$F$14+RAND()*(Model!$G$14-Model!$F$14)</f>
        <v>0.64427947822322973</v>
      </c>
      <c r="C2445" s="32">
        <f ca="1">Model!$F$15+RAND()*(Model!$G$15-Model!$F$15)</f>
        <v>3.6445405407511892E-2</v>
      </c>
      <c r="D2445" s="33">
        <f ca="1">Model!$F$16+RAND()*(Model!$G$16-Model!$F$16)</f>
        <v>51.168045427328138</v>
      </c>
      <c r="E2445" s="33">
        <f>Model!$D$17</f>
        <v>800</v>
      </c>
      <c r="G2445" s="36">
        <f t="shared" ca="1" si="40"/>
        <v>1342.8551495765448</v>
      </c>
    </row>
    <row r="2446" spans="1:7" x14ac:dyDescent="0.2">
      <c r="A2446" s="6">
        <f ca="1">Model!$F$13+RAND()*(Model!$G$13-Model!$F$13)</f>
        <v>1468.2867799808321</v>
      </c>
      <c r="B2446" s="31">
        <f ca="1">Model!$F$14+RAND()*(Model!$G$14-Model!$F$14)</f>
        <v>0.52704054357426822</v>
      </c>
      <c r="C2446" s="32">
        <f ca="1">Model!$F$15+RAND()*(Model!$G$15-Model!$F$15)</f>
        <v>1.0157219578878714E-2</v>
      </c>
      <c r="D2446" s="33">
        <f ca="1">Model!$F$16+RAND()*(Model!$G$16-Model!$F$16)</f>
        <v>48.349620185745806</v>
      </c>
      <c r="E2446" s="33">
        <f>Model!$D$17</f>
        <v>800</v>
      </c>
      <c r="G2446" s="36">
        <f t="shared" ca="1" si="40"/>
        <v>-852.77438916051256</v>
      </c>
    </row>
    <row r="2447" spans="1:7" x14ac:dyDescent="0.2">
      <c r="A2447" s="6">
        <f ca="1">Model!$F$13+RAND()*(Model!$G$13-Model!$F$13)</f>
        <v>1742.8381250544867</v>
      </c>
      <c r="B2447" s="31">
        <f ca="1">Model!$F$14+RAND()*(Model!$G$14-Model!$F$14)</f>
        <v>0.30177566757716273</v>
      </c>
      <c r="C2447" s="32">
        <f ca="1">Model!$F$15+RAND()*(Model!$G$15-Model!$F$15)</f>
        <v>3.8431917804816543E-2</v>
      </c>
      <c r="D2447" s="33">
        <f ca="1">Model!$F$16+RAND()*(Model!$G$16-Model!$F$16)</f>
        <v>47.99338363361894</v>
      </c>
      <c r="E2447" s="33">
        <f>Model!$D$17</f>
        <v>800</v>
      </c>
      <c r="G2447" s="36">
        <f t="shared" ca="1" si="40"/>
        <v>1888.6800483875236</v>
      </c>
    </row>
    <row r="2448" spans="1:7" x14ac:dyDescent="0.2">
      <c r="A2448" s="6">
        <f ca="1">Model!$F$13+RAND()*(Model!$G$13-Model!$F$13)</f>
        <v>1485.8414288193494</v>
      </c>
      <c r="B2448" s="31">
        <f ca="1">Model!$F$14+RAND()*(Model!$G$14-Model!$F$14)</f>
        <v>0.76496643901828976</v>
      </c>
      <c r="C2448" s="32">
        <f ca="1">Model!$F$15+RAND()*(Model!$G$15-Model!$F$15)</f>
        <v>1.2276433042502193E-2</v>
      </c>
      <c r="D2448" s="33">
        <f ca="1">Model!$F$16+RAND()*(Model!$G$16-Model!$F$16)</f>
        <v>47.003201430964978</v>
      </c>
      <c r="E2448" s="33">
        <f>Model!$D$17</f>
        <v>800</v>
      </c>
      <c r="G2448" s="36">
        <f t="shared" ca="1" si="40"/>
        <v>-1079.2412877869949</v>
      </c>
    </row>
    <row r="2449" spans="1:7" x14ac:dyDescent="0.2">
      <c r="A2449" s="6">
        <f ca="1">Model!$F$13+RAND()*(Model!$G$13-Model!$F$13)</f>
        <v>1201.4437904368197</v>
      </c>
      <c r="B2449" s="31">
        <f ca="1">Model!$F$14+RAND()*(Model!$G$14-Model!$F$14)</f>
        <v>0.73117151620037824</v>
      </c>
      <c r="C2449" s="32">
        <f ca="1">Model!$F$15+RAND()*(Model!$G$15-Model!$F$15)</f>
        <v>4.3392165073010282E-2</v>
      </c>
      <c r="D2449" s="33">
        <f ca="1">Model!$F$16+RAND()*(Model!$G$16-Model!$F$16)</f>
        <v>52.541800579582052</v>
      </c>
      <c r="E2449" s="33">
        <f>Model!$D$17</f>
        <v>800</v>
      </c>
      <c r="G2449" s="36">
        <f t="shared" ca="1" si="40"/>
        <v>1060.7132042989306</v>
      </c>
    </row>
    <row r="2450" spans="1:7" x14ac:dyDescent="0.2">
      <c r="A2450" s="6">
        <f ca="1">Model!$F$13+RAND()*(Model!$G$13-Model!$F$13)</f>
        <v>1344.4701561825616</v>
      </c>
      <c r="B2450" s="31">
        <f ca="1">Model!$F$14+RAND()*(Model!$G$14-Model!$F$14)</f>
        <v>0.74934855623772179</v>
      </c>
      <c r="C2450" s="32">
        <f ca="1">Model!$F$15+RAND()*(Model!$G$15-Model!$F$15)</f>
        <v>2.2616126203819427E-2</v>
      </c>
      <c r="D2450" s="33">
        <f ca="1">Model!$F$16+RAND()*(Model!$G$16-Model!$F$16)</f>
        <v>51.826637754364299</v>
      </c>
      <c r="E2450" s="33">
        <f>Model!$D$17</f>
        <v>800</v>
      </c>
      <c r="G2450" s="36">
        <f t="shared" ca="1" si="40"/>
        <v>-231.59939546744954</v>
      </c>
    </row>
    <row r="2451" spans="1:7" x14ac:dyDescent="0.2">
      <c r="A2451" s="6">
        <f ca="1">Model!$F$13+RAND()*(Model!$G$13-Model!$F$13)</f>
        <v>1458.378514517653</v>
      </c>
      <c r="B2451" s="31">
        <f ca="1">Model!$F$14+RAND()*(Model!$G$14-Model!$F$14)</f>
        <v>0.59409759868713707</v>
      </c>
      <c r="C2451" s="32">
        <f ca="1">Model!$F$15+RAND()*(Model!$G$15-Model!$F$15)</f>
        <v>4.3946852729268661E-2</v>
      </c>
      <c r="D2451" s="33">
        <f ca="1">Model!$F$16+RAND()*(Model!$G$16-Model!$F$16)</f>
        <v>51.142173455117607</v>
      </c>
      <c r="E2451" s="33">
        <f>Model!$D$17</f>
        <v>800</v>
      </c>
      <c r="G2451" s="36">
        <f t="shared" ca="1" si="40"/>
        <v>1611.3413220420093</v>
      </c>
    </row>
    <row r="2452" spans="1:7" x14ac:dyDescent="0.2">
      <c r="A2452" s="6">
        <f ca="1">Model!$F$13+RAND()*(Model!$G$13-Model!$F$13)</f>
        <v>1445.901586773334</v>
      </c>
      <c r="B2452" s="31">
        <f ca="1">Model!$F$14+RAND()*(Model!$G$14-Model!$F$14)</f>
        <v>0.42204030522296598</v>
      </c>
      <c r="C2452" s="32">
        <f ca="1">Model!$F$15+RAND()*(Model!$G$15-Model!$F$15)</f>
        <v>3.2255038605015683E-2</v>
      </c>
      <c r="D2452" s="33">
        <f ca="1">Model!$F$16+RAND()*(Model!$G$16-Model!$F$16)</f>
        <v>49.178236538177238</v>
      </c>
      <c r="E2452" s="33">
        <f>Model!$D$17</f>
        <v>800</v>
      </c>
      <c r="G2452" s="36">
        <f t="shared" ca="1" si="40"/>
        <v>883.32674293944092</v>
      </c>
    </row>
    <row r="2453" spans="1:7" x14ac:dyDescent="0.2">
      <c r="A2453" s="6">
        <f ca="1">Model!$F$13+RAND()*(Model!$G$13-Model!$F$13)</f>
        <v>1483.3352972531277</v>
      </c>
      <c r="B2453" s="31">
        <f ca="1">Model!$F$14+RAND()*(Model!$G$14-Model!$F$14)</f>
        <v>0.52110171646743053</v>
      </c>
      <c r="C2453" s="32">
        <f ca="1">Model!$F$15+RAND()*(Model!$G$15-Model!$F$15)</f>
        <v>4.8733380760872379E-2</v>
      </c>
      <c r="D2453" s="33">
        <f ca="1">Model!$F$16+RAND()*(Model!$G$16-Model!$F$16)</f>
        <v>52.615143933744477</v>
      </c>
      <c r="E2453" s="33">
        <f>Model!$D$17</f>
        <v>800</v>
      </c>
      <c r="G2453" s="36">
        <f t="shared" ca="1" si="40"/>
        <v>2230.4720001669903</v>
      </c>
    </row>
    <row r="2454" spans="1:7" x14ac:dyDescent="0.2">
      <c r="A2454" s="6">
        <f ca="1">Model!$F$13+RAND()*(Model!$G$13-Model!$F$13)</f>
        <v>1678.9855970030512</v>
      </c>
      <c r="B2454" s="31">
        <f ca="1">Model!$F$14+RAND()*(Model!$G$14-Model!$F$14)</f>
        <v>0.76617187077791371</v>
      </c>
      <c r="C2454" s="32">
        <f ca="1">Model!$F$15+RAND()*(Model!$G$15-Model!$F$15)</f>
        <v>4.1363684838202949E-2</v>
      </c>
      <c r="D2454" s="33">
        <f ca="1">Model!$F$16+RAND()*(Model!$G$16-Model!$F$16)</f>
        <v>49.998901370271476</v>
      </c>
      <c r="E2454" s="33">
        <f>Model!$D$17</f>
        <v>800</v>
      </c>
      <c r="G2454" s="36">
        <f t="shared" ca="1" si="40"/>
        <v>1385.9837194806478</v>
      </c>
    </row>
    <row r="2455" spans="1:7" x14ac:dyDescent="0.2">
      <c r="A2455" s="6">
        <f ca="1">Model!$F$13+RAND()*(Model!$G$13-Model!$F$13)</f>
        <v>1203.5923147472654</v>
      </c>
      <c r="B2455" s="31">
        <f ca="1">Model!$F$14+RAND()*(Model!$G$14-Model!$F$14)</f>
        <v>0.5009711652988309</v>
      </c>
      <c r="C2455" s="32">
        <f ca="1">Model!$F$15+RAND()*(Model!$G$15-Model!$F$15)</f>
        <v>3.9250060216254219E-2</v>
      </c>
      <c r="D2455" s="33">
        <f ca="1">Model!$F$16+RAND()*(Model!$G$16-Model!$F$16)</f>
        <v>48.387249083845951</v>
      </c>
      <c r="E2455" s="33">
        <f>Model!$D$17</f>
        <v>800</v>
      </c>
      <c r="G2455" s="36">
        <f t="shared" ca="1" si="40"/>
        <v>882.90041675827547</v>
      </c>
    </row>
    <row r="2456" spans="1:7" x14ac:dyDescent="0.2">
      <c r="A2456" s="6">
        <f ca="1">Model!$F$13+RAND()*(Model!$G$13-Model!$F$13)</f>
        <v>1438.3620920494486</v>
      </c>
      <c r="B2456" s="31">
        <f ca="1">Model!$F$14+RAND()*(Model!$G$14-Model!$F$14)</f>
        <v>0.58702066883444637</v>
      </c>
      <c r="C2456" s="32">
        <f ca="1">Model!$F$15+RAND()*(Model!$G$15-Model!$F$15)</f>
        <v>1.8848953064448112E-2</v>
      </c>
      <c r="D2456" s="33">
        <f ca="1">Model!$F$16+RAND()*(Model!$G$16-Model!$F$16)</f>
        <v>47.15442341755832</v>
      </c>
      <c r="E2456" s="33">
        <f>Model!$D$17</f>
        <v>800</v>
      </c>
      <c r="G2456" s="36">
        <f t="shared" ca="1" si="40"/>
        <v>-365.91548890465629</v>
      </c>
    </row>
    <row r="2457" spans="1:7" x14ac:dyDescent="0.2">
      <c r="A2457" s="6">
        <f ca="1">Model!$F$13+RAND()*(Model!$G$13-Model!$F$13)</f>
        <v>1741.5676863143008</v>
      </c>
      <c r="B2457" s="31">
        <f ca="1">Model!$F$14+RAND()*(Model!$G$14-Model!$F$14)</f>
        <v>0.33782697283641061</v>
      </c>
      <c r="C2457" s="32">
        <f ca="1">Model!$F$15+RAND()*(Model!$G$15-Model!$F$15)</f>
        <v>4.4843499887951388E-2</v>
      </c>
      <c r="D2457" s="33">
        <f ca="1">Model!$F$16+RAND()*(Model!$G$16-Model!$F$16)</f>
        <v>49.29433271237712</v>
      </c>
      <c r="E2457" s="33">
        <f>Model!$D$17</f>
        <v>800</v>
      </c>
      <c r="G2457" s="36">
        <f t="shared" ca="1" si="40"/>
        <v>2461.4397808311564</v>
      </c>
    </row>
    <row r="2458" spans="1:7" x14ac:dyDescent="0.2">
      <c r="A2458" s="6">
        <f ca="1">Model!$F$13+RAND()*(Model!$G$13-Model!$F$13)</f>
        <v>1542.0794494525114</v>
      </c>
      <c r="B2458" s="31">
        <f ca="1">Model!$F$14+RAND()*(Model!$G$14-Model!$F$14)</f>
        <v>0.23483285284257094</v>
      </c>
      <c r="C2458" s="32">
        <f ca="1">Model!$F$15+RAND()*(Model!$G$15-Model!$F$15)</f>
        <v>3.7775647600714599E-2</v>
      </c>
      <c r="D2458" s="33">
        <f ca="1">Model!$F$16+RAND()*(Model!$G$16-Model!$F$16)</f>
        <v>49.585974058884986</v>
      </c>
      <c r="E2458" s="33">
        <f>Model!$D$17</f>
        <v>800</v>
      </c>
      <c r="G2458" s="36">
        <f t="shared" ca="1" si="40"/>
        <v>1726.4033025273059</v>
      </c>
    </row>
    <row r="2459" spans="1:7" x14ac:dyDescent="0.2">
      <c r="A2459" s="6">
        <f ca="1">Model!$F$13+RAND()*(Model!$G$13-Model!$F$13)</f>
        <v>1501.1968651525469</v>
      </c>
      <c r="B2459" s="31">
        <f ca="1">Model!$F$14+RAND()*(Model!$G$14-Model!$F$14)</f>
        <v>0.57120456193608482</v>
      </c>
      <c r="C2459" s="32">
        <f ca="1">Model!$F$15+RAND()*(Model!$G$15-Model!$F$15)</f>
        <v>1.2131059881218135E-2</v>
      </c>
      <c r="D2459" s="33">
        <f ca="1">Model!$F$16+RAND()*(Model!$G$16-Model!$F$16)</f>
        <v>48.822444712958955</v>
      </c>
      <c r="E2459" s="33">
        <f>Model!$D$17</f>
        <v>800</v>
      </c>
      <c r="G2459" s="36">
        <f t="shared" ca="1" si="40"/>
        <v>-768.37963226813429</v>
      </c>
    </row>
    <row r="2460" spans="1:7" x14ac:dyDescent="0.2">
      <c r="A2460" s="6">
        <f ca="1">Model!$F$13+RAND()*(Model!$G$13-Model!$F$13)</f>
        <v>1272.557657049819</v>
      </c>
      <c r="B2460" s="31">
        <f ca="1">Model!$F$14+RAND()*(Model!$G$14-Model!$F$14)</f>
        <v>0.67447655816989016</v>
      </c>
      <c r="C2460" s="32">
        <f ca="1">Model!$F$15+RAND()*(Model!$G$15-Model!$F$15)</f>
        <v>2.0471947285545605E-2</v>
      </c>
      <c r="D2460" s="33">
        <f ca="1">Model!$F$16+RAND()*(Model!$G$16-Model!$F$16)</f>
        <v>52.22545276018942</v>
      </c>
      <c r="E2460" s="33">
        <f>Model!$D$17</f>
        <v>800</v>
      </c>
      <c r="G2460" s="36">
        <f t="shared" ca="1" si="40"/>
        <v>-297.74674323264981</v>
      </c>
    </row>
    <row r="2461" spans="1:7" x14ac:dyDescent="0.2">
      <c r="A2461" s="6">
        <f ca="1">Model!$F$13+RAND()*(Model!$G$13-Model!$F$13)</f>
        <v>1378.7525485260387</v>
      </c>
      <c r="B2461" s="31">
        <f ca="1">Model!$F$14+RAND()*(Model!$G$14-Model!$F$14)</f>
        <v>0.49082117519476326</v>
      </c>
      <c r="C2461" s="32">
        <f ca="1">Model!$F$15+RAND()*(Model!$G$15-Model!$F$15)</f>
        <v>2.8751237913961489E-2</v>
      </c>
      <c r="D2461" s="33">
        <f ca="1">Model!$F$16+RAND()*(Model!$G$16-Model!$F$16)</f>
        <v>47.144100396903333</v>
      </c>
      <c r="E2461" s="33">
        <f>Model!$D$17</f>
        <v>800</v>
      </c>
      <c r="G2461" s="36">
        <f t="shared" ca="1" si="40"/>
        <v>392.11091469048711</v>
      </c>
    </row>
    <row r="2462" spans="1:7" x14ac:dyDescent="0.2">
      <c r="A2462" s="6">
        <f ca="1">Model!$F$13+RAND()*(Model!$G$13-Model!$F$13)</f>
        <v>1289.7348329759466</v>
      </c>
      <c r="B2462" s="31">
        <f ca="1">Model!$F$14+RAND()*(Model!$G$14-Model!$F$14)</f>
        <v>0.78960805424247638</v>
      </c>
      <c r="C2462" s="32">
        <f ca="1">Model!$F$15+RAND()*(Model!$G$15-Model!$F$15)</f>
        <v>4.948287698956344E-2</v>
      </c>
      <c r="D2462" s="33">
        <f ca="1">Model!$F$16+RAND()*(Model!$G$16-Model!$F$16)</f>
        <v>51.926489252990692</v>
      </c>
      <c r="E2462" s="33">
        <f>Model!$D$17</f>
        <v>800</v>
      </c>
      <c r="G2462" s="36">
        <f t="shared" ca="1" si="40"/>
        <v>1495.5526322454793</v>
      </c>
    </row>
    <row r="2463" spans="1:7" x14ac:dyDescent="0.2">
      <c r="A2463" s="6">
        <f ca="1">Model!$F$13+RAND()*(Model!$G$13-Model!$F$13)</f>
        <v>1344.1614505474745</v>
      </c>
      <c r="B2463" s="31">
        <f ca="1">Model!$F$14+RAND()*(Model!$G$14-Model!$F$14)</f>
        <v>0.2499272154557215</v>
      </c>
      <c r="C2463" s="32">
        <f ca="1">Model!$F$15+RAND()*(Model!$G$15-Model!$F$15)</f>
        <v>1.8417033499654456E-2</v>
      </c>
      <c r="D2463" s="33">
        <f ca="1">Model!$F$16+RAND()*(Model!$G$16-Model!$F$16)</f>
        <v>51.475408185997402</v>
      </c>
      <c r="E2463" s="33">
        <f>Model!$D$17</f>
        <v>800</v>
      </c>
      <c r="G2463" s="36">
        <f t="shared" ca="1" si="40"/>
        <v>138.35521259428765</v>
      </c>
    </row>
    <row r="2464" spans="1:7" x14ac:dyDescent="0.2">
      <c r="A2464" s="6">
        <f ca="1">Model!$F$13+RAND()*(Model!$G$13-Model!$F$13)</f>
        <v>1314.0112455516871</v>
      </c>
      <c r="B2464" s="31">
        <f ca="1">Model!$F$14+RAND()*(Model!$G$14-Model!$F$14)</f>
        <v>0.77163461349418472</v>
      </c>
      <c r="C2464" s="32">
        <f ca="1">Model!$F$15+RAND()*(Model!$G$15-Model!$F$15)</f>
        <v>1.6455757416963347E-2</v>
      </c>
      <c r="D2464" s="33">
        <f ca="1">Model!$F$16+RAND()*(Model!$G$16-Model!$F$16)</f>
        <v>47.611314690674156</v>
      </c>
      <c r="E2464" s="33">
        <f>Model!$D$17</f>
        <v>800</v>
      </c>
      <c r="G2464" s="36">
        <f t="shared" ca="1" si="40"/>
        <v>-784.43470718459639</v>
      </c>
    </row>
    <row r="2465" spans="1:7" x14ac:dyDescent="0.2">
      <c r="A2465" s="6">
        <f ca="1">Model!$F$13+RAND()*(Model!$G$13-Model!$F$13)</f>
        <v>1395.5433279104457</v>
      </c>
      <c r="B2465" s="31">
        <f ca="1">Model!$F$14+RAND()*(Model!$G$14-Model!$F$14)</f>
        <v>0.78411096110014578</v>
      </c>
      <c r="C2465" s="32">
        <f ca="1">Model!$F$15+RAND()*(Model!$G$15-Model!$F$15)</f>
        <v>3.924175213802631E-2</v>
      </c>
      <c r="D2465" s="33">
        <f ca="1">Model!$F$16+RAND()*(Model!$G$16-Model!$F$16)</f>
        <v>49.889671394682118</v>
      </c>
      <c r="E2465" s="33">
        <f>Model!$D$17</f>
        <v>800</v>
      </c>
      <c r="G2465" s="36">
        <f t="shared" ca="1" si="40"/>
        <v>837.87546069245013</v>
      </c>
    </row>
    <row r="2466" spans="1:7" x14ac:dyDescent="0.2">
      <c r="A2466" s="6">
        <f ca="1">Model!$F$13+RAND()*(Model!$G$13-Model!$F$13)</f>
        <v>1422.5711717198099</v>
      </c>
      <c r="B2466" s="31">
        <f ca="1">Model!$F$14+RAND()*(Model!$G$14-Model!$F$14)</f>
        <v>0.47271888565195513</v>
      </c>
      <c r="C2466" s="32">
        <f ca="1">Model!$F$15+RAND()*(Model!$G$15-Model!$F$15)</f>
        <v>1.3576174922082424E-2</v>
      </c>
      <c r="D2466" s="33">
        <f ca="1">Model!$F$16+RAND()*(Model!$G$16-Model!$F$16)</f>
        <v>49.52856723622854</v>
      </c>
      <c r="E2466" s="33">
        <f>Model!$D$17</f>
        <v>800</v>
      </c>
      <c r="G2466" s="36">
        <f t="shared" ca="1" si="40"/>
        <v>-515.92732209245924</v>
      </c>
    </row>
    <row r="2467" spans="1:7" x14ac:dyDescent="0.2">
      <c r="A2467" s="6">
        <f ca="1">Model!$F$13+RAND()*(Model!$G$13-Model!$F$13)</f>
        <v>1314.6210626325499</v>
      </c>
      <c r="B2467" s="31">
        <f ca="1">Model!$F$14+RAND()*(Model!$G$14-Model!$F$14)</f>
        <v>0.72819601064129658</v>
      </c>
      <c r="C2467" s="32">
        <f ca="1">Model!$F$15+RAND()*(Model!$G$15-Model!$F$15)</f>
        <v>2.0477594694386661E-2</v>
      </c>
      <c r="D2467" s="33">
        <f ca="1">Model!$F$16+RAND()*(Model!$G$16-Model!$F$16)</f>
        <v>50.430396140532238</v>
      </c>
      <c r="E2467" s="33">
        <f>Model!$D$17</f>
        <v>800</v>
      </c>
      <c r="G2467" s="36">
        <f t="shared" ca="1" si="40"/>
        <v>-399.70156499856944</v>
      </c>
    </row>
    <row r="2468" spans="1:7" x14ac:dyDescent="0.2">
      <c r="A2468" s="6">
        <f ca="1">Model!$F$13+RAND()*(Model!$G$13-Model!$F$13)</f>
        <v>1446.9809757905127</v>
      </c>
      <c r="B2468" s="31">
        <f ca="1">Model!$F$14+RAND()*(Model!$G$14-Model!$F$14)</f>
        <v>0.3547122627146081</v>
      </c>
      <c r="C2468" s="32">
        <f ca="1">Model!$F$15+RAND()*(Model!$G$15-Model!$F$15)</f>
        <v>1.238248391108899E-2</v>
      </c>
      <c r="D2468" s="33">
        <f ca="1">Model!$F$16+RAND()*(Model!$G$16-Model!$F$16)</f>
        <v>51.271429674622937</v>
      </c>
      <c r="E2468" s="33">
        <f>Model!$D$17</f>
        <v>800</v>
      </c>
      <c r="G2468" s="36">
        <f t="shared" ca="1" si="40"/>
        <v>-394.62047992740986</v>
      </c>
    </row>
    <row r="2469" spans="1:7" x14ac:dyDescent="0.2">
      <c r="A2469" s="6">
        <f ca="1">Model!$F$13+RAND()*(Model!$G$13-Model!$F$13)</f>
        <v>1303.0422345042975</v>
      </c>
      <c r="B2469" s="31">
        <f ca="1">Model!$F$14+RAND()*(Model!$G$14-Model!$F$14)</f>
        <v>0.48197278363902812</v>
      </c>
      <c r="C2469" s="32">
        <f ca="1">Model!$F$15+RAND()*(Model!$G$15-Model!$F$15)</f>
        <v>1.3055269994384076E-2</v>
      </c>
      <c r="D2469" s="33">
        <f ca="1">Model!$F$16+RAND()*(Model!$G$16-Model!$F$16)</f>
        <v>51.800323802636342</v>
      </c>
      <c r="E2469" s="33">
        <f>Model!$D$17</f>
        <v>800</v>
      </c>
      <c r="G2469" s="36">
        <f t="shared" ca="1" si="40"/>
        <v>-546.82615256170152</v>
      </c>
    </row>
    <row r="2470" spans="1:7" x14ac:dyDescent="0.2">
      <c r="A2470" s="6">
        <f ca="1">Model!$F$13+RAND()*(Model!$G$13-Model!$F$13)</f>
        <v>1345.2812868001258</v>
      </c>
      <c r="B2470" s="31">
        <f ca="1">Model!$F$14+RAND()*(Model!$G$14-Model!$F$14)</f>
        <v>0.51524565507536435</v>
      </c>
      <c r="C2470" s="32">
        <f ca="1">Model!$F$15+RAND()*(Model!$G$15-Model!$F$15)</f>
        <v>1.0218806445654031E-2</v>
      </c>
      <c r="D2470" s="33">
        <f ca="1">Model!$F$16+RAND()*(Model!$G$16-Model!$F$16)</f>
        <v>49.235841073917612</v>
      </c>
      <c r="E2470" s="33">
        <f>Model!$D$17</f>
        <v>800</v>
      </c>
      <c r="G2470" s="36">
        <f t="shared" ca="1" si="40"/>
        <v>-816.29690560390759</v>
      </c>
    </row>
    <row r="2471" spans="1:7" x14ac:dyDescent="0.2">
      <c r="A2471" s="6">
        <f ca="1">Model!$F$13+RAND()*(Model!$G$13-Model!$F$13)</f>
        <v>1370.9009737902829</v>
      </c>
      <c r="B2471" s="31">
        <f ca="1">Model!$F$14+RAND()*(Model!$G$14-Model!$F$14)</f>
        <v>0.50584496565032233</v>
      </c>
      <c r="C2471" s="32">
        <f ca="1">Model!$F$15+RAND()*(Model!$G$15-Model!$F$15)</f>
        <v>2.7101423753153039E-2</v>
      </c>
      <c r="D2471" s="33">
        <f ca="1">Model!$F$16+RAND()*(Model!$G$16-Model!$F$16)</f>
        <v>48.279156982225402</v>
      </c>
      <c r="E2471" s="33">
        <f>Model!$D$17</f>
        <v>800</v>
      </c>
      <c r="G2471" s="36">
        <f t="shared" ca="1" si="40"/>
        <v>300.2699404397033</v>
      </c>
    </row>
    <row r="2472" spans="1:7" x14ac:dyDescent="0.2">
      <c r="A2472" s="6">
        <f ca="1">Model!$F$13+RAND()*(Model!$G$13-Model!$F$13)</f>
        <v>1254.1833161147599</v>
      </c>
      <c r="B2472" s="31">
        <f ca="1">Model!$F$14+RAND()*(Model!$G$14-Model!$F$14)</f>
        <v>0.76575531761495497</v>
      </c>
      <c r="C2472" s="32">
        <f ca="1">Model!$F$15+RAND()*(Model!$G$15-Model!$F$15)</f>
        <v>3.013832067293426E-2</v>
      </c>
      <c r="D2472" s="33">
        <f ca="1">Model!$F$16+RAND()*(Model!$G$16-Model!$F$16)</f>
        <v>51.43530726349028</v>
      </c>
      <c r="E2472" s="33">
        <f>Model!$D$17</f>
        <v>800</v>
      </c>
      <c r="G2472" s="36">
        <f t="shared" ca="1" si="40"/>
        <v>183.80455366583078</v>
      </c>
    </row>
    <row r="2473" spans="1:7" x14ac:dyDescent="0.2">
      <c r="A2473" s="6">
        <f ca="1">Model!$F$13+RAND()*(Model!$G$13-Model!$F$13)</f>
        <v>1369.6309321909198</v>
      </c>
      <c r="B2473" s="31">
        <f ca="1">Model!$F$14+RAND()*(Model!$G$14-Model!$F$14)</f>
        <v>0.57798913732518653</v>
      </c>
      <c r="C2473" s="32">
        <f ca="1">Model!$F$15+RAND()*(Model!$G$15-Model!$F$15)</f>
        <v>2.843290759899357E-2</v>
      </c>
      <c r="D2473" s="33">
        <f ca="1">Model!$F$16+RAND()*(Model!$G$16-Model!$F$16)</f>
        <v>51.919333897860049</v>
      </c>
      <c r="E2473" s="33">
        <f>Model!$D$17</f>
        <v>800</v>
      </c>
      <c r="G2473" s="36">
        <f t="shared" ref="G2473:G2536" ca="1" si="41">A2473*C2473*D2473-(E2473+A2473*B2473)</f>
        <v>430.24151859234962</v>
      </c>
    </row>
    <row r="2474" spans="1:7" x14ac:dyDescent="0.2">
      <c r="A2474" s="6">
        <f ca="1">Model!$F$13+RAND()*(Model!$G$13-Model!$F$13)</f>
        <v>1663.7677023629064</v>
      </c>
      <c r="B2474" s="31">
        <f ca="1">Model!$F$14+RAND()*(Model!$G$14-Model!$F$14)</f>
        <v>0.79839992307334962</v>
      </c>
      <c r="C2474" s="32">
        <f ca="1">Model!$F$15+RAND()*(Model!$G$15-Model!$F$15)</f>
        <v>2.4718589620157827E-2</v>
      </c>
      <c r="D2474" s="33">
        <f ca="1">Model!$F$16+RAND()*(Model!$G$16-Model!$F$16)</f>
        <v>52.917563743454942</v>
      </c>
      <c r="E2474" s="33">
        <f>Model!$D$17</f>
        <v>800</v>
      </c>
      <c r="G2474" s="36">
        <f t="shared" ca="1" si="41"/>
        <v>47.935247745029756</v>
      </c>
    </row>
    <row r="2475" spans="1:7" x14ac:dyDescent="0.2">
      <c r="A2475" s="6">
        <f ca="1">Model!$F$13+RAND()*(Model!$G$13-Model!$F$13)</f>
        <v>1714.3856681670027</v>
      </c>
      <c r="B2475" s="31">
        <f ca="1">Model!$F$14+RAND()*(Model!$G$14-Model!$F$14)</f>
        <v>0.5752319725330125</v>
      </c>
      <c r="C2475" s="32">
        <f ca="1">Model!$F$15+RAND()*(Model!$G$15-Model!$F$15)</f>
        <v>1.7195741891745289E-2</v>
      </c>
      <c r="D2475" s="33">
        <f ca="1">Model!$F$16+RAND()*(Model!$G$16-Model!$F$16)</f>
        <v>47.799568840648597</v>
      </c>
      <c r="E2475" s="33">
        <f>Model!$D$17</f>
        <v>800</v>
      </c>
      <c r="G2475" s="36">
        <f t="shared" ca="1" si="41"/>
        <v>-377.03178117785251</v>
      </c>
    </row>
    <row r="2476" spans="1:7" x14ac:dyDescent="0.2">
      <c r="A2476" s="6">
        <f ca="1">Model!$F$13+RAND()*(Model!$G$13-Model!$F$13)</f>
        <v>1224.5378494653132</v>
      </c>
      <c r="B2476" s="31">
        <f ca="1">Model!$F$14+RAND()*(Model!$G$14-Model!$F$14)</f>
        <v>0.4686100729659971</v>
      </c>
      <c r="C2476" s="32">
        <f ca="1">Model!$F$15+RAND()*(Model!$G$15-Model!$F$15)</f>
        <v>1.4298184328557461E-2</v>
      </c>
      <c r="D2476" s="33">
        <f ca="1">Model!$F$16+RAND()*(Model!$G$16-Model!$F$16)</f>
        <v>50.220978746714223</v>
      </c>
      <c r="E2476" s="33">
        <f>Model!$D$17</f>
        <v>800</v>
      </c>
      <c r="G2476" s="36">
        <f t="shared" ca="1" si="41"/>
        <v>-494.52833305331001</v>
      </c>
    </row>
    <row r="2477" spans="1:7" x14ac:dyDescent="0.2">
      <c r="A2477" s="6">
        <f ca="1">Model!$F$13+RAND()*(Model!$G$13-Model!$F$13)</f>
        <v>1515.6848133826259</v>
      </c>
      <c r="B2477" s="31">
        <f ca="1">Model!$F$14+RAND()*(Model!$G$14-Model!$F$14)</f>
        <v>0.7469317386682941</v>
      </c>
      <c r="C2477" s="32">
        <f ca="1">Model!$F$15+RAND()*(Model!$G$15-Model!$F$15)</f>
        <v>1.7668985550501989E-2</v>
      </c>
      <c r="D2477" s="33">
        <f ca="1">Model!$F$16+RAND()*(Model!$G$16-Model!$F$16)</f>
        <v>51.502178534501425</v>
      </c>
      <c r="E2477" s="33">
        <f>Model!$D$17</f>
        <v>800</v>
      </c>
      <c r="G2477" s="36">
        <f t="shared" ca="1" si="41"/>
        <v>-552.85317750467289</v>
      </c>
    </row>
    <row r="2478" spans="1:7" x14ac:dyDescent="0.2">
      <c r="A2478" s="6">
        <f ca="1">Model!$F$13+RAND()*(Model!$G$13-Model!$F$13)</f>
        <v>1403.6102458030191</v>
      </c>
      <c r="B2478" s="31">
        <f ca="1">Model!$F$14+RAND()*(Model!$G$14-Model!$F$14)</f>
        <v>0.56632987073776575</v>
      </c>
      <c r="C2478" s="32">
        <f ca="1">Model!$F$15+RAND()*(Model!$G$15-Model!$F$15)</f>
        <v>3.5808294656256567E-2</v>
      </c>
      <c r="D2478" s="33">
        <f ca="1">Model!$F$16+RAND()*(Model!$G$16-Model!$F$16)</f>
        <v>50.799816169645915</v>
      </c>
      <c r="E2478" s="33">
        <f>Model!$D$17</f>
        <v>800</v>
      </c>
      <c r="G2478" s="36">
        <f t="shared" ca="1" si="41"/>
        <v>958.33752607526776</v>
      </c>
    </row>
    <row r="2479" spans="1:7" x14ac:dyDescent="0.2">
      <c r="A2479" s="6">
        <f ca="1">Model!$F$13+RAND()*(Model!$G$13-Model!$F$13)</f>
        <v>1487.420211837554</v>
      </c>
      <c r="B2479" s="31">
        <f ca="1">Model!$F$14+RAND()*(Model!$G$14-Model!$F$14)</f>
        <v>0.67425541056801208</v>
      </c>
      <c r="C2479" s="32">
        <f ca="1">Model!$F$15+RAND()*(Model!$G$15-Model!$F$15)</f>
        <v>4.8625043237242913E-2</v>
      </c>
      <c r="D2479" s="33">
        <f ca="1">Model!$F$16+RAND()*(Model!$G$16-Model!$F$16)</f>
        <v>51.073427542836782</v>
      </c>
      <c r="E2479" s="33">
        <f>Model!$D$17</f>
        <v>800</v>
      </c>
      <c r="G2479" s="36">
        <f t="shared" ca="1" si="41"/>
        <v>1891.0290631931161</v>
      </c>
    </row>
    <row r="2480" spans="1:7" x14ac:dyDescent="0.2">
      <c r="A2480" s="6">
        <f ca="1">Model!$F$13+RAND()*(Model!$G$13-Model!$F$13)</f>
        <v>1220.8475996192924</v>
      </c>
      <c r="B2480" s="31">
        <f ca="1">Model!$F$14+RAND()*(Model!$G$14-Model!$F$14)</f>
        <v>0.44511920939193239</v>
      </c>
      <c r="C2480" s="32">
        <f ca="1">Model!$F$15+RAND()*(Model!$G$15-Model!$F$15)</f>
        <v>4.8034859954275158E-2</v>
      </c>
      <c r="D2480" s="33">
        <f ca="1">Model!$F$16+RAND()*(Model!$G$16-Model!$F$16)</f>
        <v>49.254405512390584</v>
      </c>
      <c r="E2480" s="33">
        <f>Model!$D$17</f>
        <v>800</v>
      </c>
      <c r="G2480" s="36">
        <f t="shared" ca="1" si="41"/>
        <v>1545.0153762615332</v>
      </c>
    </row>
    <row r="2481" spans="1:7" x14ac:dyDescent="0.2">
      <c r="A2481" s="6">
        <f ca="1">Model!$F$13+RAND()*(Model!$G$13-Model!$F$13)</f>
        <v>1335.8123503464574</v>
      </c>
      <c r="B2481" s="31">
        <f ca="1">Model!$F$14+RAND()*(Model!$G$14-Model!$F$14)</f>
        <v>0.28444001376799588</v>
      </c>
      <c r="C2481" s="32">
        <f ca="1">Model!$F$15+RAND()*(Model!$G$15-Model!$F$15)</f>
        <v>4.7546375679490778E-2</v>
      </c>
      <c r="D2481" s="33">
        <f ca="1">Model!$F$16+RAND()*(Model!$G$16-Model!$F$16)</f>
        <v>48.520555715900706</v>
      </c>
      <c r="E2481" s="33">
        <f>Model!$D$17</f>
        <v>800</v>
      </c>
      <c r="G2481" s="36">
        <f t="shared" ca="1" si="41"/>
        <v>1901.7293111703509</v>
      </c>
    </row>
    <row r="2482" spans="1:7" x14ac:dyDescent="0.2">
      <c r="A2482" s="6">
        <f ca="1">Model!$F$13+RAND()*(Model!$G$13-Model!$F$13)</f>
        <v>1687.0615004973281</v>
      </c>
      <c r="B2482" s="31">
        <f ca="1">Model!$F$14+RAND()*(Model!$G$14-Model!$F$14)</f>
        <v>0.21116364447938818</v>
      </c>
      <c r="C2482" s="32">
        <f ca="1">Model!$F$15+RAND()*(Model!$G$15-Model!$F$15)</f>
        <v>3.1163131376117814E-2</v>
      </c>
      <c r="D2482" s="33">
        <f ca="1">Model!$F$16+RAND()*(Model!$G$16-Model!$F$16)</f>
        <v>48.122031042809184</v>
      </c>
      <c r="E2482" s="33">
        <f>Model!$D$17</f>
        <v>800</v>
      </c>
      <c r="G2482" s="36">
        <f t="shared" ca="1" si="41"/>
        <v>1373.7273403026352</v>
      </c>
    </row>
    <row r="2483" spans="1:7" x14ac:dyDescent="0.2">
      <c r="A2483" s="6">
        <f ca="1">Model!$F$13+RAND()*(Model!$G$13-Model!$F$13)</f>
        <v>1401.4418227572503</v>
      </c>
      <c r="B2483" s="31">
        <f ca="1">Model!$F$14+RAND()*(Model!$G$14-Model!$F$14)</f>
        <v>0.24605268654258633</v>
      </c>
      <c r="C2483" s="32">
        <f ca="1">Model!$F$15+RAND()*(Model!$G$15-Model!$F$15)</f>
        <v>1.707832807004666E-2</v>
      </c>
      <c r="D2483" s="33">
        <f ca="1">Model!$F$16+RAND()*(Model!$G$16-Model!$F$16)</f>
        <v>51.920897517482224</v>
      </c>
      <c r="E2483" s="33">
        <f>Model!$D$17</f>
        <v>800</v>
      </c>
      <c r="G2483" s="36">
        <f t="shared" ca="1" si="41"/>
        <v>97.860940704333643</v>
      </c>
    </row>
    <row r="2484" spans="1:7" x14ac:dyDescent="0.2">
      <c r="A2484" s="6">
        <f ca="1">Model!$F$13+RAND()*(Model!$G$13-Model!$F$13)</f>
        <v>1735.696211746206</v>
      </c>
      <c r="B2484" s="31">
        <f ca="1">Model!$F$14+RAND()*(Model!$G$14-Model!$F$14)</f>
        <v>0.6921083146051844</v>
      </c>
      <c r="C2484" s="32">
        <f ca="1">Model!$F$15+RAND()*(Model!$G$15-Model!$F$15)</f>
        <v>2.6795291225869253E-2</v>
      </c>
      <c r="D2484" s="33">
        <f ca="1">Model!$F$16+RAND()*(Model!$G$16-Model!$F$16)</f>
        <v>50.985312237601946</v>
      </c>
      <c r="E2484" s="33">
        <f>Model!$D$17</f>
        <v>800</v>
      </c>
      <c r="G2484" s="36">
        <f t="shared" ca="1" si="41"/>
        <v>369.95987377986171</v>
      </c>
    </row>
    <row r="2485" spans="1:7" x14ac:dyDescent="0.2">
      <c r="A2485" s="6">
        <f ca="1">Model!$F$13+RAND()*(Model!$G$13-Model!$F$13)</f>
        <v>1397.7607003364155</v>
      </c>
      <c r="B2485" s="31">
        <f ca="1">Model!$F$14+RAND()*(Model!$G$14-Model!$F$14)</f>
        <v>0.60130295024117975</v>
      </c>
      <c r="C2485" s="32">
        <f ca="1">Model!$F$15+RAND()*(Model!$G$15-Model!$F$15)</f>
        <v>4.430275933586969E-2</v>
      </c>
      <c r="D2485" s="33">
        <f ca="1">Model!$F$16+RAND()*(Model!$G$16-Model!$F$16)</f>
        <v>47.668058477823195</v>
      </c>
      <c r="E2485" s="33">
        <f>Model!$D$17</f>
        <v>800</v>
      </c>
      <c r="G2485" s="36">
        <f t="shared" ca="1" si="41"/>
        <v>1311.3504865862201</v>
      </c>
    </row>
    <row r="2486" spans="1:7" x14ac:dyDescent="0.2">
      <c r="A2486" s="6">
        <f ca="1">Model!$F$13+RAND()*(Model!$G$13-Model!$F$13)</f>
        <v>1514.8379400294743</v>
      </c>
      <c r="B2486" s="31">
        <f ca="1">Model!$F$14+RAND()*(Model!$G$14-Model!$F$14)</f>
        <v>0.32069965588738081</v>
      </c>
      <c r="C2486" s="32">
        <f ca="1">Model!$F$15+RAND()*(Model!$G$15-Model!$F$15)</f>
        <v>2.6621316905908472E-2</v>
      </c>
      <c r="D2486" s="33">
        <f ca="1">Model!$F$16+RAND()*(Model!$G$16-Model!$F$16)</f>
        <v>51.263682200111525</v>
      </c>
      <c r="E2486" s="33">
        <f>Model!$D$17</f>
        <v>800</v>
      </c>
      <c r="G2486" s="36">
        <f t="shared" ca="1" si="41"/>
        <v>781.50152493863789</v>
      </c>
    </row>
    <row r="2487" spans="1:7" x14ac:dyDescent="0.2">
      <c r="A2487" s="6">
        <f ca="1">Model!$F$13+RAND()*(Model!$G$13-Model!$F$13)</f>
        <v>1501.9367574567893</v>
      </c>
      <c r="B2487" s="31">
        <f ca="1">Model!$F$14+RAND()*(Model!$G$14-Model!$F$14)</f>
        <v>0.54522685272879012</v>
      </c>
      <c r="C2487" s="32">
        <f ca="1">Model!$F$15+RAND()*(Model!$G$15-Model!$F$15)</f>
        <v>3.5679164315012932E-2</v>
      </c>
      <c r="D2487" s="33">
        <f ca="1">Model!$F$16+RAND()*(Model!$G$16-Model!$F$16)</f>
        <v>52.557464183802054</v>
      </c>
      <c r="E2487" s="33">
        <f>Model!$D$17</f>
        <v>800</v>
      </c>
      <c r="G2487" s="36">
        <f t="shared" ca="1" si="41"/>
        <v>1197.5451696049413</v>
      </c>
    </row>
    <row r="2488" spans="1:7" x14ac:dyDescent="0.2">
      <c r="A2488" s="6">
        <f ca="1">Model!$F$13+RAND()*(Model!$G$13-Model!$F$13)</f>
        <v>1399.6586190701928</v>
      </c>
      <c r="B2488" s="31">
        <f ca="1">Model!$F$14+RAND()*(Model!$G$14-Model!$F$14)</f>
        <v>0.60723945387074696</v>
      </c>
      <c r="C2488" s="32">
        <f ca="1">Model!$F$15+RAND()*(Model!$G$15-Model!$F$15)</f>
        <v>4.7284077243090999E-2</v>
      </c>
      <c r="D2488" s="33">
        <f ca="1">Model!$F$16+RAND()*(Model!$G$16-Model!$F$16)</f>
        <v>52.230496393148655</v>
      </c>
      <c r="E2488" s="33">
        <f>Model!$D$17</f>
        <v>800</v>
      </c>
      <c r="G2488" s="36">
        <f t="shared" ca="1" si="41"/>
        <v>1806.768122285547</v>
      </c>
    </row>
    <row r="2489" spans="1:7" x14ac:dyDescent="0.2">
      <c r="A2489" s="6">
        <f ca="1">Model!$F$13+RAND()*(Model!$G$13-Model!$F$13)</f>
        <v>1746.3077130878628</v>
      </c>
      <c r="B2489" s="31">
        <f ca="1">Model!$F$14+RAND()*(Model!$G$14-Model!$F$14)</f>
        <v>0.54221106014052323</v>
      </c>
      <c r="C2489" s="32">
        <f ca="1">Model!$F$15+RAND()*(Model!$G$15-Model!$F$15)</f>
        <v>3.4393164217561542E-2</v>
      </c>
      <c r="D2489" s="33">
        <f ca="1">Model!$F$16+RAND()*(Model!$G$16-Model!$F$16)</f>
        <v>48.665090743878224</v>
      </c>
      <c r="E2489" s="33">
        <f>Model!$D$17</f>
        <v>800</v>
      </c>
      <c r="G2489" s="36">
        <f t="shared" ca="1" si="41"/>
        <v>1176.0089922446541</v>
      </c>
    </row>
    <row r="2490" spans="1:7" x14ac:dyDescent="0.2">
      <c r="A2490" s="6">
        <f ca="1">Model!$F$13+RAND()*(Model!$G$13-Model!$F$13)</f>
        <v>1688.5771921660871</v>
      </c>
      <c r="B2490" s="31">
        <f ca="1">Model!$F$14+RAND()*(Model!$G$14-Model!$F$14)</f>
        <v>0.61455453319800957</v>
      </c>
      <c r="C2490" s="32">
        <f ca="1">Model!$F$15+RAND()*(Model!$G$15-Model!$F$15)</f>
        <v>4.218925605094663E-2</v>
      </c>
      <c r="D2490" s="33">
        <f ca="1">Model!$F$16+RAND()*(Model!$G$16-Model!$F$16)</f>
        <v>48.860050534519161</v>
      </c>
      <c r="E2490" s="33">
        <f>Model!$D$17</f>
        <v>800</v>
      </c>
      <c r="G2490" s="36">
        <f t="shared" ca="1" si="41"/>
        <v>1643.0582183783897</v>
      </c>
    </row>
    <row r="2491" spans="1:7" x14ac:dyDescent="0.2">
      <c r="A2491" s="6">
        <f ca="1">Model!$F$13+RAND()*(Model!$G$13-Model!$F$13)</f>
        <v>1310.936278189678</v>
      </c>
      <c r="B2491" s="31">
        <f ca="1">Model!$F$14+RAND()*(Model!$G$14-Model!$F$14)</f>
        <v>0.23712656350279254</v>
      </c>
      <c r="C2491" s="32">
        <f ca="1">Model!$F$15+RAND()*(Model!$G$15-Model!$F$15)</f>
        <v>2.7420730708442045E-2</v>
      </c>
      <c r="D2491" s="33">
        <f ca="1">Model!$F$16+RAND()*(Model!$G$16-Model!$F$16)</f>
        <v>48.236476941260243</v>
      </c>
      <c r="E2491" s="33">
        <f>Model!$D$17</f>
        <v>800</v>
      </c>
      <c r="G2491" s="36">
        <f t="shared" ca="1" si="41"/>
        <v>623.09065363224522</v>
      </c>
    </row>
    <row r="2492" spans="1:7" x14ac:dyDescent="0.2">
      <c r="A2492" s="6">
        <f ca="1">Model!$F$13+RAND()*(Model!$G$13-Model!$F$13)</f>
        <v>1671.9423454565531</v>
      </c>
      <c r="B2492" s="31">
        <f ca="1">Model!$F$14+RAND()*(Model!$G$14-Model!$F$14)</f>
        <v>0.48205380932818598</v>
      </c>
      <c r="C2492" s="32">
        <f ca="1">Model!$F$15+RAND()*(Model!$G$15-Model!$F$15)</f>
        <v>4.2351464625303911E-2</v>
      </c>
      <c r="D2492" s="33">
        <f ca="1">Model!$F$16+RAND()*(Model!$G$16-Model!$F$16)</f>
        <v>48.469916484827429</v>
      </c>
      <c r="E2492" s="33">
        <f>Model!$D$17</f>
        <v>800</v>
      </c>
      <c r="G2492" s="36">
        <f t="shared" ca="1" si="41"/>
        <v>1826.150177848258</v>
      </c>
    </row>
    <row r="2493" spans="1:7" x14ac:dyDescent="0.2">
      <c r="A2493" s="6">
        <f ca="1">Model!$F$13+RAND()*(Model!$G$13-Model!$F$13)</f>
        <v>1389.6553469141991</v>
      </c>
      <c r="B2493" s="31">
        <f ca="1">Model!$F$14+RAND()*(Model!$G$14-Model!$F$14)</f>
        <v>0.4185808393621045</v>
      </c>
      <c r="C2493" s="32">
        <f ca="1">Model!$F$15+RAND()*(Model!$G$15-Model!$F$15)</f>
        <v>2.742667620955147E-2</v>
      </c>
      <c r="D2493" s="33">
        <f ca="1">Model!$F$16+RAND()*(Model!$G$16-Model!$F$16)</f>
        <v>52.120376712185418</v>
      </c>
      <c r="E2493" s="33">
        <f>Model!$D$17</f>
        <v>800</v>
      </c>
      <c r="G2493" s="36">
        <f t="shared" ca="1" si="41"/>
        <v>604.81350822131162</v>
      </c>
    </row>
    <row r="2494" spans="1:7" x14ac:dyDescent="0.2">
      <c r="A2494" s="6">
        <f ca="1">Model!$F$13+RAND()*(Model!$G$13-Model!$F$13)</f>
        <v>1643.8844527517235</v>
      </c>
      <c r="B2494" s="31">
        <f ca="1">Model!$F$14+RAND()*(Model!$G$14-Model!$F$14)</f>
        <v>0.39733939417614439</v>
      </c>
      <c r="C2494" s="32">
        <f ca="1">Model!$F$15+RAND()*(Model!$G$15-Model!$F$15)</f>
        <v>2.2132915634804608E-2</v>
      </c>
      <c r="D2494" s="33">
        <f ca="1">Model!$F$16+RAND()*(Model!$G$16-Model!$F$16)</f>
        <v>52.960338693111645</v>
      </c>
      <c r="E2494" s="33">
        <f>Model!$D$17</f>
        <v>800</v>
      </c>
      <c r="G2494" s="36">
        <f t="shared" ca="1" si="41"/>
        <v>473.72657523144699</v>
      </c>
    </row>
    <row r="2495" spans="1:7" x14ac:dyDescent="0.2">
      <c r="A2495" s="6">
        <f ca="1">Model!$F$13+RAND()*(Model!$G$13-Model!$F$13)</f>
        <v>1555.4632495269798</v>
      </c>
      <c r="B2495" s="31">
        <f ca="1">Model!$F$14+RAND()*(Model!$G$14-Model!$F$14)</f>
        <v>0.31142273947326915</v>
      </c>
      <c r="C2495" s="32">
        <f ca="1">Model!$F$15+RAND()*(Model!$G$15-Model!$F$15)</f>
        <v>3.2291735203779121E-2</v>
      </c>
      <c r="D2495" s="33">
        <f ca="1">Model!$F$16+RAND()*(Model!$G$16-Model!$F$16)</f>
        <v>52.710813739918706</v>
      </c>
      <c r="E2495" s="33">
        <f>Model!$D$17</f>
        <v>800</v>
      </c>
      <c r="G2495" s="36">
        <f t="shared" ca="1" si="41"/>
        <v>1363.1841413326008</v>
      </c>
    </row>
    <row r="2496" spans="1:7" x14ac:dyDescent="0.2">
      <c r="A2496" s="6">
        <f ca="1">Model!$F$13+RAND()*(Model!$G$13-Model!$F$13)</f>
        <v>1382.6961072947599</v>
      </c>
      <c r="B2496" s="31">
        <f ca="1">Model!$F$14+RAND()*(Model!$G$14-Model!$F$14)</f>
        <v>0.60431258868997728</v>
      </c>
      <c r="C2496" s="32">
        <f ca="1">Model!$F$15+RAND()*(Model!$G$15-Model!$F$15)</f>
        <v>3.9611581440215676E-2</v>
      </c>
      <c r="D2496" s="33">
        <f ca="1">Model!$F$16+RAND()*(Model!$G$16-Model!$F$16)</f>
        <v>48.446499074952257</v>
      </c>
      <c r="E2496" s="33">
        <f>Model!$D$17</f>
        <v>800</v>
      </c>
      <c r="G2496" s="36">
        <f t="shared" ca="1" si="41"/>
        <v>1017.8718525294059</v>
      </c>
    </row>
    <row r="2497" spans="1:7" x14ac:dyDescent="0.2">
      <c r="A2497" s="6">
        <f ca="1">Model!$F$13+RAND()*(Model!$G$13-Model!$F$13)</f>
        <v>1632.9110433079873</v>
      </c>
      <c r="B2497" s="31">
        <f ca="1">Model!$F$14+RAND()*(Model!$G$14-Model!$F$14)</f>
        <v>0.56513552351769991</v>
      </c>
      <c r="C2497" s="32">
        <f ca="1">Model!$F$15+RAND()*(Model!$G$15-Model!$F$15)</f>
        <v>2.4601656646584581E-2</v>
      </c>
      <c r="D2497" s="33">
        <f ca="1">Model!$F$16+RAND()*(Model!$G$16-Model!$F$16)</f>
        <v>48.687734817973421</v>
      </c>
      <c r="E2497" s="33">
        <f>Model!$D$17</f>
        <v>800</v>
      </c>
      <c r="G2497" s="36">
        <f t="shared" ca="1" si="41"/>
        <v>233.08307112957959</v>
      </c>
    </row>
    <row r="2498" spans="1:7" x14ac:dyDescent="0.2">
      <c r="A2498" s="6">
        <f ca="1">Model!$F$13+RAND()*(Model!$G$13-Model!$F$13)</f>
        <v>1555.5900547418612</v>
      </c>
      <c r="B2498" s="31">
        <f ca="1">Model!$F$14+RAND()*(Model!$G$14-Model!$F$14)</f>
        <v>0.47974685559611929</v>
      </c>
      <c r="C2498" s="32">
        <f ca="1">Model!$F$15+RAND()*(Model!$G$15-Model!$F$15)</f>
        <v>1.4706266717285619E-2</v>
      </c>
      <c r="D2498" s="33">
        <f ca="1">Model!$F$16+RAND()*(Model!$G$16-Model!$F$16)</f>
        <v>48.184790243434549</v>
      </c>
      <c r="E2498" s="33">
        <f>Model!$D$17</f>
        <v>800</v>
      </c>
      <c r="G2498" s="36">
        <f t="shared" ca="1" si="41"/>
        <v>-443.96973743384456</v>
      </c>
    </row>
    <row r="2499" spans="1:7" x14ac:dyDescent="0.2">
      <c r="A2499" s="6">
        <f ca="1">Model!$F$13+RAND()*(Model!$G$13-Model!$F$13)</f>
        <v>1799.8643750503197</v>
      </c>
      <c r="B2499" s="31">
        <f ca="1">Model!$F$14+RAND()*(Model!$G$14-Model!$F$14)</f>
        <v>0.29384834534537002</v>
      </c>
      <c r="C2499" s="32">
        <f ca="1">Model!$F$15+RAND()*(Model!$G$15-Model!$F$15)</f>
        <v>3.5066020415184952E-2</v>
      </c>
      <c r="D2499" s="33">
        <f ca="1">Model!$F$16+RAND()*(Model!$G$16-Model!$F$16)</f>
        <v>51.492578283622393</v>
      </c>
      <c r="E2499" s="33">
        <f>Model!$D$17</f>
        <v>800</v>
      </c>
      <c r="G2499" s="36">
        <f t="shared" ca="1" si="41"/>
        <v>1921.0195841214115</v>
      </c>
    </row>
    <row r="2500" spans="1:7" x14ac:dyDescent="0.2">
      <c r="A2500" s="6">
        <f ca="1">Model!$F$13+RAND()*(Model!$G$13-Model!$F$13)</f>
        <v>1577.5626744023621</v>
      </c>
      <c r="B2500" s="31">
        <f ca="1">Model!$F$14+RAND()*(Model!$G$14-Model!$F$14)</f>
        <v>0.21406374648750723</v>
      </c>
      <c r="C2500" s="32">
        <f ca="1">Model!$F$15+RAND()*(Model!$G$15-Model!$F$15)</f>
        <v>2.9813403381012814E-2</v>
      </c>
      <c r="D2500" s="33">
        <f ca="1">Model!$F$16+RAND()*(Model!$G$16-Model!$F$16)</f>
        <v>52.271573321238513</v>
      </c>
      <c r="E2500" s="33">
        <f>Model!$D$17</f>
        <v>800</v>
      </c>
      <c r="G2500" s="36">
        <f t="shared" ca="1" si="41"/>
        <v>1320.7644424702289</v>
      </c>
    </row>
    <row r="2501" spans="1:7" x14ac:dyDescent="0.2">
      <c r="A2501" s="6">
        <f ca="1">Model!$F$13+RAND()*(Model!$G$13-Model!$F$13)</f>
        <v>1302.9451274516009</v>
      </c>
      <c r="B2501" s="31">
        <f ca="1">Model!$F$14+RAND()*(Model!$G$14-Model!$F$14)</f>
        <v>0.44236104595257203</v>
      </c>
      <c r="C2501" s="32">
        <f ca="1">Model!$F$15+RAND()*(Model!$G$15-Model!$F$15)</f>
        <v>1.700294375272585E-2</v>
      </c>
      <c r="D2501" s="33">
        <f ca="1">Model!$F$16+RAND()*(Model!$G$16-Model!$F$16)</f>
        <v>49.211405169327776</v>
      </c>
      <c r="E2501" s="33">
        <f>Model!$D$17</f>
        <v>800</v>
      </c>
      <c r="G2501" s="36">
        <f t="shared" ca="1" si="41"/>
        <v>-286.14748681113156</v>
      </c>
    </row>
    <row r="2502" spans="1:7" x14ac:dyDescent="0.2">
      <c r="A2502" s="6">
        <f ca="1">Model!$F$13+RAND()*(Model!$G$13-Model!$F$13)</f>
        <v>1200.1737417599859</v>
      </c>
      <c r="B2502" s="31">
        <f ca="1">Model!$F$14+RAND()*(Model!$G$14-Model!$F$14)</f>
        <v>0.31993883639174497</v>
      </c>
      <c r="C2502" s="32">
        <f ca="1">Model!$F$15+RAND()*(Model!$G$15-Model!$F$15)</f>
        <v>1.9192124044822151E-2</v>
      </c>
      <c r="D2502" s="33">
        <f ca="1">Model!$F$16+RAND()*(Model!$G$16-Model!$F$16)</f>
        <v>48.649014439869887</v>
      </c>
      <c r="E2502" s="33">
        <f>Model!$D$17</f>
        <v>800</v>
      </c>
      <c r="G2502" s="36">
        <f t="shared" ca="1" si="41"/>
        <v>-63.406467815580527</v>
      </c>
    </row>
    <row r="2503" spans="1:7" x14ac:dyDescent="0.2">
      <c r="A2503" s="6">
        <f ca="1">Model!$F$13+RAND()*(Model!$G$13-Model!$F$13)</f>
        <v>1721.5728909860327</v>
      </c>
      <c r="B2503" s="31">
        <f ca="1">Model!$F$14+RAND()*(Model!$G$14-Model!$F$14)</f>
        <v>0.25714515505331204</v>
      </c>
      <c r="C2503" s="32">
        <f ca="1">Model!$F$15+RAND()*(Model!$G$15-Model!$F$15)</f>
        <v>3.1896785716144065E-2</v>
      </c>
      <c r="D2503" s="33">
        <f ca="1">Model!$F$16+RAND()*(Model!$G$16-Model!$F$16)</f>
        <v>49.370842749631876</v>
      </c>
      <c r="E2503" s="33">
        <f>Model!$D$17</f>
        <v>800</v>
      </c>
      <c r="G2503" s="36">
        <f t="shared" ca="1" si="41"/>
        <v>1468.3892653384592</v>
      </c>
    </row>
    <row r="2504" spans="1:7" x14ac:dyDescent="0.2">
      <c r="A2504" s="6">
        <f ca="1">Model!$F$13+RAND()*(Model!$G$13-Model!$F$13)</f>
        <v>1795.2096259087025</v>
      </c>
      <c r="B2504" s="31">
        <f ca="1">Model!$F$14+RAND()*(Model!$G$14-Model!$F$14)</f>
        <v>0.75649730498706469</v>
      </c>
      <c r="C2504" s="32">
        <f ca="1">Model!$F$15+RAND()*(Model!$G$15-Model!$F$15)</f>
        <v>2.4450228610052506E-2</v>
      </c>
      <c r="D2504" s="33">
        <f ca="1">Model!$F$16+RAND()*(Model!$G$16-Model!$F$16)</f>
        <v>49.087158329812631</v>
      </c>
      <c r="E2504" s="33">
        <f>Model!$D$17</f>
        <v>800</v>
      </c>
      <c r="G2504" s="36">
        <f t="shared" ca="1" si="41"/>
        <v>-3.4745763449545848</v>
      </c>
    </row>
    <row r="2505" spans="1:7" x14ac:dyDescent="0.2">
      <c r="A2505" s="6">
        <f ca="1">Model!$F$13+RAND()*(Model!$G$13-Model!$F$13)</f>
        <v>1615.9679148847349</v>
      </c>
      <c r="B2505" s="31">
        <f ca="1">Model!$F$14+RAND()*(Model!$G$14-Model!$F$14)</f>
        <v>0.56047825329996992</v>
      </c>
      <c r="C2505" s="32">
        <f ca="1">Model!$F$15+RAND()*(Model!$G$15-Model!$F$15)</f>
        <v>4.7667326152867451E-2</v>
      </c>
      <c r="D2505" s="33">
        <f ca="1">Model!$F$16+RAND()*(Model!$G$16-Model!$F$16)</f>
        <v>47.312492509357227</v>
      </c>
      <c r="E2505" s="33">
        <f>Model!$D$17</f>
        <v>800</v>
      </c>
      <c r="G2505" s="36">
        <f t="shared" ca="1" si="41"/>
        <v>1938.7129440617709</v>
      </c>
    </row>
    <row r="2506" spans="1:7" x14ac:dyDescent="0.2">
      <c r="A2506" s="6">
        <f ca="1">Model!$F$13+RAND()*(Model!$G$13-Model!$F$13)</f>
        <v>1791.4322608898265</v>
      </c>
      <c r="B2506" s="31">
        <f ca="1">Model!$F$14+RAND()*(Model!$G$14-Model!$F$14)</f>
        <v>0.21402683773026698</v>
      </c>
      <c r="C2506" s="32">
        <f ca="1">Model!$F$15+RAND()*(Model!$G$15-Model!$F$15)</f>
        <v>3.5540156013282538E-2</v>
      </c>
      <c r="D2506" s="33">
        <f ca="1">Model!$F$16+RAND()*(Model!$G$16-Model!$F$16)</f>
        <v>48.989379885169335</v>
      </c>
      <c r="E2506" s="33">
        <f>Model!$D$17</f>
        <v>800</v>
      </c>
      <c r="G2506" s="36">
        <f t="shared" ca="1" si="41"/>
        <v>1935.6305789608402</v>
      </c>
    </row>
    <row r="2507" spans="1:7" x14ac:dyDescent="0.2">
      <c r="A2507" s="6">
        <f ca="1">Model!$F$13+RAND()*(Model!$G$13-Model!$F$13)</f>
        <v>1518.4060388777007</v>
      </c>
      <c r="B2507" s="31">
        <f ca="1">Model!$F$14+RAND()*(Model!$G$14-Model!$F$14)</f>
        <v>0.70761863190243357</v>
      </c>
      <c r="C2507" s="32">
        <f ca="1">Model!$F$15+RAND()*(Model!$G$15-Model!$F$15)</f>
        <v>3.6617732475778091E-2</v>
      </c>
      <c r="D2507" s="33">
        <f ca="1">Model!$F$16+RAND()*(Model!$G$16-Model!$F$16)</f>
        <v>50.584650710801895</v>
      </c>
      <c r="E2507" s="33">
        <f>Model!$D$17</f>
        <v>800</v>
      </c>
      <c r="G2507" s="36">
        <f t="shared" ca="1" si="41"/>
        <v>938.08382435522458</v>
      </c>
    </row>
    <row r="2508" spans="1:7" x14ac:dyDescent="0.2">
      <c r="A2508" s="6">
        <f ca="1">Model!$F$13+RAND()*(Model!$G$13-Model!$F$13)</f>
        <v>1579.1301685275662</v>
      </c>
      <c r="B2508" s="31">
        <f ca="1">Model!$F$14+RAND()*(Model!$G$14-Model!$F$14)</f>
        <v>0.76043597809780294</v>
      </c>
      <c r="C2508" s="32">
        <f ca="1">Model!$F$15+RAND()*(Model!$G$15-Model!$F$15)</f>
        <v>4.3459834005112753E-2</v>
      </c>
      <c r="D2508" s="33">
        <f ca="1">Model!$F$16+RAND()*(Model!$G$16-Model!$F$16)</f>
        <v>51.907313212024427</v>
      </c>
      <c r="E2508" s="33">
        <f>Model!$D$17</f>
        <v>800</v>
      </c>
      <c r="G2508" s="36">
        <f t="shared" ca="1" si="41"/>
        <v>1561.5058485693585</v>
      </c>
    </row>
    <row r="2509" spans="1:7" x14ac:dyDescent="0.2">
      <c r="A2509" s="6">
        <f ca="1">Model!$F$13+RAND()*(Model!$G$13-Model!$F$13)</f>
        <v>1472.5483511886748</v>
      </c>
      <c r="B2509" s="31">
        <f ca="1">Model!$F$14+RAND()*(Model!$G$14-Model!$F$14)</f>
        <v>0.52097495351441614</v>
      </c>
      <c r="C2509" s="32">
        <f ca="1">Model!$F$15+RAND()*(Model!$G$15-Model!$F$15)</f>
        <v>3.1326817622793698E-2</v>
      </c>
      <c r="D2509" s="33">
        <f ca="1">Model!$F$16+RAND()*(Model!$G$16-Model!$F$16)</f>
        <v>49.762724089108261</v>
      </c>
      <c r="E2509" s="33">
        <f>Model!$D$17</f>
        <v>800</v>
      </c>
      <c r="G2509" s="36">
        <f t="shared" ca="1" si="41"/>
        <v>728.40627516168297</v>
      </c>
    </row>
    <row r="2510" spans="1:7" x14ac:dyDescent="0.2">
      <c r="A2510" s="6">
        <f ca="1">Model!$F$13+RAND()*(Model!$G$13-Model!$F$13)</f>
        <v>1714.6762163329595</v>
      </c>
      <c r="B2510" s="31">
        <f ca="1">Model!$F$14+RAND()*(Model!$G$14-Model!$F$14)</f>
        <v>0.36872305916338688</v>
      </c>
      <c r="C2510" s="32">
        <f ca="1">Model!$F$15+RAND()*(Model!$G$15-Model!$F$15)</f>
        <v>1.250341647078268E-2</v>
      </c>
      <c r="D2510" s="33">
        <f ca="1">Model!$F$16+RAND()*(Model!$G$16-Model!$F$16)</f>
        <v>47.035090447229727</v>
      </c>
      <c r="E2510" s="33">
        <f>Model!$D$17</f>
        <v>800</v>
      </c>
      <c r="G2510" s="36">
        <f t="shared" ca="1" si="41"/>
        <v>-423.84073522335768</v>
      </c>
    </row>
    <row r="2511" spans="1:7" x14ac:dyDescent="0.2">
      <c r="A2511" s="6">
        <f ca="1">Model!$F$13+RAND()*(Model!$G$13-Model!$F$13)</f>
        <v>1730.4959186298358</v>
      </c>
      <c r="B2511" s="31">
        <f ca="1">Model!$F$14+RAND()*(Model!$G$14-Model!$F$14)</f>
        <v>0.58087625100410412</v>
      </c>
      <c r="C2511" s="32">
        <f ca="1">Model!$F$15+RAND()*(Model!$G$15-Model!$F$15)</f>
        <v>2.2549955218463303E-2</v>
      </c>
      <c r="D2511" s="33">
        <f ca="1">Model!$F$16+RAND()*(Model!$G$16-Model!$F$16)</f>
        <v>51.218811275534819</v>
      </c>
      <c r="E2511" s="33">
        <f>Model!$D$17</f>
        <v>800</v>
      </c>
      <c r="G2511" s="36">
        <f t="shared" ca="1" si="41"/>
        <v>193.48748349881521</v>
      </c>
    </row>
    <row r="2512" spans="1:7" x14ac:dyDescent="0.2">
      <c r="A2512" s="6">
        <f ca="1">Model!$F$13+RAND()*(Model!$G$13-Model!$F$13)</f>
        <v>1761.6900641354991</v>
      </c>
      <c r="B2512" s="31">
        <f ca="1">Model!$F$14+RAND()*(Model!$G$14-Model!$F$14)</f>
        <v>0.7679654433408436</v>
      </c>
      <c r="C2512" s="32">
        <f ca="1">Model!$F$15+RAND()*(Model!$G$15-Model!$F$15)</f>
        <v>1.3960827222642594E-2</v>
      </c>
      <c r="D2512" s="33">
        <f ca="1">Model!$F$16+RAND()*(Model!$G$16-Model!$F$16)</f>
        <v>47.30906745095178</v>
      </c>
      <c r="E2512" s="33">
        <f>Model!$D$17</f>
        <v>800</v>
      </c>
      <c r="G2512" s="36">
        <f t="shared" ca="1" si="41"/>
        <v>-989.36710671699871</v>
      </c>
    </row>
    <row r="2513" spans="1:7" x14ac:dyDescent="0.2">
      <c r="A2513" s="6">
        <f ca="1">Model!$F$13+RAND()*(Model!$G$13-Model!$F$13)</f>
        <v>1444.6814531752964</v>
      </c>
      <c r="B2513" s="31">
        <f ca="1">Model!$F$14+RAND()*(Model!$G$14-Model!$F$14)</f>
        <v>0.67784355927608253</v>
      </c>
      <c r="C2513" s="32">
        <f ca="1">Model!$F$15+RAND()*(Model!$G$15-Model!$F$15)</f>
        <v>3.4298799725237188E-2</v>
      </c>
      <c r="D2513" s="33">
        <f ca="1">Model!$F$16+RAND()*(Model!$G$16-Model!$F$16)</f>
        <v>50.881439401409764</v>
      </c>
      <c r="E2513" s="33">
        <f>Model!$D$17</f>
        <v>800</v>
      </c>
      <c r="G2513" s="36">
        <f t="shared" ca="1" si="41"/>
        <v>741.95003581914216</v>
      </c>
    </row>
    <row r="2514" spans="1:7" x14ac:dyDescent="0.2">
      <c r="A2514" s="6">
        <f ca="1">Model!$F$13+RAND()*(Model!$G$13-Model!$F$13)</f>
        <v>1723.1112312876421</v>
      </c>
      <c r="B2514" s="31">
        <f ca="1">Model!$F$14+RAND()*(Model!$G$14-Model!$F$14)</f>
        <v>0.7137448664999142</v>
      </c>
      <c r="C2514" s="32">
        <f ca="1">Model!$F$15+RAND()*(Model!$G$15-Model!$F$15)</f>
        <v>4.6827150116342087E-2</v>
      </c>
      <c r="D2514" s="33">
        <f ca="1">Model!$F$16+RAND()*(Model!$G$16-Model!$F$16)</f>
        <v>47.812704324622203</v>
      </c>
      <c r="E2514" s="33">
        <f>Model!$D$17</f>
        <v>800</v>
      </c>
      <c r="G2514" s="36">
        <f t="shared" ca="1" si="41"/>
        <v>1828.0682562230552</v>
      </c>
    </row>
    <row r="2515" spans="1:7" x14ac:dyDescent="0.2">
      <c r="A2515" s="6">
        <f ca="1">Model!$F$13+RAND()*(Model!$G$13-Model!$F$13)</f>
        <v>1398.2419646782437</v>
      </c>
      <c r="B2515" s="31">
        <f ca="1">Model!$F$14+RAND()*(Model!$G$14-Model!$F$14)</f>
        <v>0.27580986950061259</v>
      </c>
      <c r="C2515" s="32">
        <f ca="1">Model!$F$15+RAND()*(Model!$G$15-Model!$F$15)</f>
        <v>4.254636548541077E-2</v>
      </c>
      <c r="D2515" s="33">
        <f ca="1">Model!$F$16+RAND()*(Model!$G$16-Model!$F$16)</f>
        <v>52.662295309380198</v>
      </c>
      <c r="E2515" s="33">
        <f>Model!$D$17</f>
        <v>800</v>
      </c>
      <c r="G2515" s="36">
        <f t="shared" ca="1" si="41"/>
        <v>1947.2370000719061</v>
      </c>
    </row>
    <row r="2516" spans="1:7" x14ac:dyDescent="0.2">
      <c r="A2516" s="6">
        <f ca="1">Model!$F$13+RAND()*(Model!$G$13-Model!$F$13)</f>
        <v>1784.4040669085634</v>
      </c>
      <c r="B2516" s="31">
        <f ca="1">Model!$F$14+RAND()*(Model!$G$14-Model!$F$14)</f>
        <v>0.56154715076574413</v>
      </c>
      <c r="C2516" s="32">
        <f ca="1">Model!$F$15+RAND()*(Model!$G$15-Model!$F$15)</f>
        <v>3.8249147767289833E-2</v>
      </c>
      <c r="D2516" s="33">
        <f ca="1">Model!$F$16+RAND()*(Model!$G$16-Model!$F$16)</f>
        <v>50.664056550043689</v>
      </c>
      <c r="E2516" s="33">
        <f>Model!$D$17</f>
        <v>800</v>
      </c>
      <c r="G2516" s="36">
        <f t="shared" ca="1" si="41"/>
        <v>1655.8928663777901</v>
      </c>
    </row>
    <row r="2517" spans="1:7" x14ac:dyDescent="0.2">
      <c r="A2517" s="6">
        <f ca="1">Model!$F$13+RAND()*(Model!$G$13-Model!$F$13)</f>
        <v>1456.9622211208298</v>
      </c>
      <c r="B2517" s="31">
        <f ca="1">Model!$F$14+RAND()*(Model!$G$14-Model!$F$14)</f>
        <v>0.78258386627180831</v>
      </c>
      <c r="C2517" s="32">
        <f ca="1">Model!$F$15+RAND()*(Model!$G$15-Model!$F$15)</f>
        <v>3.7489100284633502E-2</v>
      </c>
      <c r="D2517" s="33">
        <f ca="1">Model!$F$16+RAND()*(Model!$G$16-Model!$F$16)</f>
        <v>49.552918486890086</v>
      </c>
      <c r="E2517" s="33">
        <f>Model!$D$17</f>
        <v>800</v>
      </c>
      <c r="G2517" s="36">
        <f t="shared" ca="1" si="41"/>
        <v>766.39532998688287</v>
      </c>
    </row>
    <row r="2518" spans="1:7" x14ac:dyDescent="0.2">
      <c r="A2518" s="6">
        <f ca="1">Model!$F$13+RAND()*(Model!$G$13-Model!$F$13)</f>
        <v>1667.0973648934746</v>
      </c>
      <c r="B2518" s="31">
        <f ca="1">Model!$F$14+RAND()*(Model!$G$14-Model!$F$14)</f>
        <v>0.53196304098441249</v>
      </c>
      <c r="C2518" s="32">
        <f ca="1">Model!$F$15+RAND()*(Model!$G$15-Model!$F$15)</f>
        <v>4.3288325587473593E-2</v>
      </c>
      <c r="D2518" s="33">
        <f ca="1">Model!$F$16+RAND()*(Model!$G$16-Model!$F$16)</f>
        <v>48.143478782933336</v>
      </c>
      <c r="E2518" s="33">
        <f>Model!$D$17</f>
        <v>800</v>
      </c>
      <c r="G2518" s="36">
        <f t="shared" ca="1" si="41"/>
        <v>1787.4810538275501</v>
      </c>
    </row>
    <row r="2519" spans="1:7" x14ac:dyDescent="0.2">
      <c r="A2519" s="6">
        <f ca="1">Model!$F$13+RAND()*(Model!$G$13-Model!$F$13)</f>
        <v>1454.8060103249654</v>
      </c>
      <c r="B2519" s="31">
        <f ca="1">Model!$F$14+RAND()*(Model!$G$14-Model!$F$14)</f>
        <v>0.41781533259368081</v>
      </c>
      <c r="C2519" s="32">
        <f ca="1">Model!$F$15+RAND()*(Model!$G$15-Model!$F$15)</f>
        <v>3.6973169504151776E-2</v>
      </c>
      <c r="D2519" s="33">
        <f ca="1">Model!$F$16+RAND()*(Model!$G$16-Model!$F$16)</f>
        <v>51.493523540569804</v>
      </c>
      <c r="E2519" s="33">
        <f>Model!$D$17</f>
        <v>800</v>
      </c>
      <c r="G2519" s="36">
        <f t="shared" ca="1" si="41"/>
        <v>1361.9340266189276</v>
      </c>
    </row>
    <row r="2520" spans="1:7" x14ac:dyDescent="0.2">
      <c r="A2520" s="6">
        <f ca="1">Model!$F$13+RAND()*(Model!$G$13-Model!$F$13)</f>
        <v>1622.9879707679947</v>
      </c>
      <c r="B2520" s="31">
        <f ca="1">Model!$F$14+RAND()*(Model!$G$14-Model!$F$14)</f>
        <v>0.58463364865685219</v>
      </c>
      <c r="C2520" s="32">
        <f ca="1">Model!$F$15+RAND()*(Model!$G$15-Model!$F$15)</f>
        <v>2.7271956050611029E-2</v>
      </c>
      <c r="D2520" s="33">
        <f ca="1">Model!$F$16+RAND()*(Model!$G$16-Model!$F$16)</f>
        <v>51.662330163089365</v>
      </c>
      <c r="E2520" s="33">
        <f>Model!$D$17</f>
        <v>800</v>
      </c>
      <c r="G2520" s="36">
        <f t="shared" ca="1" si="41"/>
        <v>537.82760317874931</v>
      </c>
    </row>
    <row r="2521" spans="1:7" x14ac:dyDescent="0.2">
      <c r="A2521" s="6">
        <f ca="1">Model!$F$13+RAND()*(Model!$G$13-Model!$F$13)</f>
        <v>1419.8124813016259</v>
      </c>
      <c r="B2521" s="31">
        <f ca="1">Model!$F$14+RAND()*(Model!$G$14-Model!$F$14)</f>
        <v>0.50257573380017018</v>
      </c>
      <c r="C2521" s="32">
        <f ca="1">Model!$F$15+RAND()*(Model!$G$15-Model!$F$15)</f>
        <v>2.4235077112953467E-2</v>
      </c>
      <c r="D2521" s="33">
        <f ca="1">Model!$F$16+RAND()*(Model!$G$16-Model!$F$16)</f>
        <v>50.793422572660788</v>
      </c>
      <c r="E2521" s="33">
        <f>Model!$D$17</f>
        <v>800</v>
      </c>
      <c r="G2521" s="36">
        <f t="shared" ca="1" si="41"/>
        <v>234.20103640121556</v>
      </c>
    </row>
    <row r="2522" spans="1:7" x14ac:dyDescent="0.2">
      <c r="A2522" s="6">
        <f ca="1">Model!$F$13+RAND()*(Model!$G$13-Model!$F$13)</f>
        <v>1283.1426893655071</v>
      </c>
      <c r="B2522" s="31">
        <f ca="1">Model!$F$14+RAND()*(Model!$G$14-Model!$F$14)</f>
        <v>0.65703596989680024</v>
      </c>
      <c r="C2522" s="32">
        <f ca="1">Model!$F$15+RAND()*(Model!$G$15-Model!$F$15)</f>
        <v>2.202887011547628E-2</v>
      </c>
      <c r="D2522" s="33">
        <f ca="1">Model!$F$16+RAND()*(Model!$G$16-Model!$F$16)</f>
        <v>51.30668063318501</v>
      </c>
      <c r="E2522" s="33">
        <f>Model!$D$17</f>
        <v>800</v>
      </c>
      <c r="G2522" s="36">
        <f t="shared" ca="1" si="41"/>
        <v>-192.82684449925455</v>
      </c>
    </row>
    <row r="2523" spans="1:7" x14ac:dyDescent="0.2">
      <c r="A2523" s="6">
        <f ca="1">Model!$F$13+RAND()*(Model!$G$13-Model!$F$13)</f>
        <v>1383.1768635266933</v>
      </c>
      <c r="B2523" s="31">
        <f ca="1">Model!$F$14+RAND()*(Model!$G$14-Model!$F$14)</f>
        <v>0.54859654699189253</v>
      </c>
      <c r="C2523" s="32">
        <f ca="1">Model!$F$15+RAND()*(Model!$G$15-Model!$F$15)</f>
        <v>4.1742060727978536E-2</v>
      </c>
      <c r="D2523" s="33">
        <f ca="1">Model!$F$16+RAND()*(Model!$G$16-Model!$F$16)</f>
        <v>49.732657514154361</v>
      </c>
      <c r="E2523" s="33">
        <f>Model!$D$17</f>
        <v>800</v>
      </c>
      <c r="G2523" s="36">
        <f t="shared" ca="1" si="41"/>
        <v>1312.5911202936745</v>
      </c>
    </row>
    <row r="2524" spans="1:7" x14ac:dyDescent="0.2">
      <c r="A2524" s="6">
        <f ca="1">Model!$F$13+RAND()*(Model!$G$13-Model!$F$13)</f>
        <v>1541.5898170412097</v>
      </c>
      <c r="B2524" s="31">
        <f ca="1">Model!$F$14+RAND()*(Model!$G$14-Model!$F$14)</f>
        <v>0.73482097754353948</v>
      </c>
      <c r="C2524" s="32">
        <f ca="1">Model!$F$15+RAND()*(Model!$G$15-Model!$F$15)</f>
        <v>4.5224488190494447E-2</v>
      </c>
      <c r="D2524" s="33">
        <f ca="1">Model!$F$16+RAND()*(Model!$G$16-Model!$F$16)</f>
        <v>52.406463108019814</v>
      </c>
      <c r="E2524" s="33">
        <f>Model!$D$17</f>
        <v>800</v>
      </c>
      <c r="G2524" s="36">
        <f t="shared" ca="1" si="41"/>
        <v>1720.8608450272118</v>
      </c>
    </row>
    <row r="2525" spans="1:7" x14ac:dyDescent="0.2">
      <c r="A2525" s="6">
        <f ca="1">Model!$F$13+RAND()*(Model!$G$13-Model!$F$13)</f>
        <v>1486.6894581275819</v>
      </c>
      <c r="B2525" s="31">
        <f ca="1">Model!$F$14+RAND()*(Model!$G$14-Model!$F$14)</f>
        <v>0.26058363351694647</v>
      </c>
      <c r="C2525" s="32">
        <f ca="1">Model!$F$15+RAND()*(Model!$G$15-Model!$F$15)</f>
        <v>1.320790009741828E-2</v>
      </c>
      <c r="D2525" s="33">
        <f ca="1">Model!$F$16+RAND()*(Model!$G$16-Model!$F$16)</f>
        <v>50.489875530483666</v>
      </c>
      <c r="E2525" s="33">
        <f>Model!$D$17</f>
        <v>800</v>
      </c>
      <c r="G2525" s="36">
        <f t="shared" ca="1" si="41"/>
        <v>-195.98543059662427</v>
      </c>
    </row>
    <row r="2526" spans="1:7" x14ac:dyDescent="0.2">
      <c r="A2526" s="6">
        <f ca="1">Model!$F$13+RAND()*(Model!$G$13-Model!$F$13)</f>
        <v>1376.9705300893518</v>
      </c>
      <c r="B2526" s="31">
        <f ca="1">Model!$F$14+RAND()*(Model!$G$14-Model!$F$14)</f>
        <v>0.68210095064092835</v>
      </c>
      <c r="C2526" s="32">
        <f ca="1">Model!$F$15+RAND()*(Model!$G$15-Model!$F$15)</f>
        <v>2.7235600380680805E-2</v>
      </c>
      <c r="D2526" s="33">
        <f ca="1">Model!$F$16+RAND()*(Model!$G$16-Model!$F$16)</f>
        <v>47.461235077241142</v>
      </c>
      <c r="E2526" s="33">
        <f>Model!$D$17</f>
        <v>800</v>
      </c>
      <c r="G2526" s="36">
        <f t="shared" ca="1" si="41"/>
        <v>40.687713229766814</v>
      </c>
    </row>
    <row r="2527" spans="1:7" x14ac:dyDescent="0.2">
      <c r="A2527" s="6">
        <f ca="1">Model!$F$13+RAND()*(Model!$G$13-Model!$F$13)</f>
        <v>1205.7098302130846</v>
      </c>
      <c r="B2527" s="31">
        <f ca="1">Model!$F$14+RAND()*(Model!$G$14-Model!$F$14)</f>
        <v>0.40542313965076782</v>
      </c>
      <c r="C2527" s="32">
        <f ca="1">Model!$F$15+RAND()*(Model!$G$15-Model!$F$15)</f>
        <v>4.5516742846054781E-2</v>
      </c>
      <c r="D2527" s="33">
        <f ca="1">Model!$F$16+RAND()*(Model!$G$16-Model!$F$16)</f>
        <v>52.936557297382016</v>
      </c>
      <c r="E2527" s="33">
        <f>Model!$D$17</f>
        <v>800</v>
      </c>
      <c r="G2527" s="36">
        <f t="shared" ca="1" si="41"/>
        <v>1616.33476790908</v>
      </c>
    </row>
    <row r="2528" spans="1:7" x14ac:dyDescent="0.2">
      <c r="A2528" s="6">
        <f ca="1">Model!$F$13+RAND()*(Model!$G$13-Model!$F$13)</f>
        <v>1664.708904038026</v>
      </c>
      <c r="B2528" s="31">
        <f ca="1">Model!$F$14+RAND()*(Model!$G$14-Model!$F$14)</f>
        <v>0.31688585400078539</v>
      </c>
      <c r="C2528" s="32">
        <f ca="1">Model!$F$15+RAND()*(Model!$G$15-Model!$F$15)</f>
        <v>1.8111545984495929E-2</v>
      </c>
      <c r="D2528" s="33">
        <f ca="1">Model!$F$16+RAND()*(Model!$G$16-Model!$F$16)</f>
        <v>51.692339630612409</v>
      </c>
      <c r="E2528" s="33">
        <f>Model!$D$17</f>
        <v>800</v>
      </c>
      <c r="G2528" s="36">
        <f t="shared" ca="1" si="41"/>
        <v>231.02469516961037</v>
      </c>
    </row>
    <row r="2529" spans="1:7" x14ac:dyDescent="0.2">
      <c r="A2529" s="6">
        <f ca="1">Model!$F$13+RAND()*(Model!$G$13-Model!$F$13)</f>
        <v>1417.2304299528025</v>
      </c>
      <c r="B2529" s="31">
        <f ca="1">Model!$F$14+RAND()*(Model!$G$14-Model!$F$14)</f>
        <v>0.5753384816234115</v>
      </c>
      <c r="C2529" s="32">
        <f ca="1">Model!$F$15+RAND()*(Model!$G$15-Model!$F$15)</f>
        <v>3.3851720811192608E-2</v>
      </c>
      <c r="D2529" s="33">
        <f ca="1">Model!$F$16+RAND()*(Model!$G$16-Model!$F$16)</f>
        <v>50.132056633671567</v>
      </c>
      <c r="E2529" s="33">
        <f>Model!$D$17</f>
        <v>800</v>
      </c>
      <c r="G2529" s="36">
        <f t="shared" ca="1" si="41"/>
        <v>789.73274628116678</v>
      </c>
    </row>
    <row r="2530" spans="1:7" x14ac:dyDescent="0.2">
      <c r="A2530" s="6">
        <f ca="1">Model!$F$13+RAND()*(Model!$G$13-Model!$F$13)</f>
        <v>1262.9511406741017</v>
      </c>
      <c r="B2530" s="31">
        <f ca="1">Model!$F$14+RAND()*(Model!$G$14-Model!$F$14)</f>
        <v>0.66722371214905773</v>
      </c>
      <c r="C2530" s="32">
        <f ca="1">Model!$F$15+RAND()*(Model!$G$15-Model!$F$15)</f>
        <v>4.8555952726269197E-2</v>
      </c>
      <c r="D2530" s="33">
        <f ca="1">Model!$F$16+RAND()*(Model!$G$16-Model!$F$16)</f>
        <v>48.618944494626994</v>
      </c>
      <c r="E2530" s="33">
        <f>Model!$D$17</f>
        <v>800</v>
      </c>
      <c r="G2530" s="36">
        <f t="shared" ca="1" si="41"/>
        <v>1338.8272798510839</v>
      </c>
    </row>
    <row r="2531" spans="1:7" x14ac:dyDescent="0.2">
      <c r="A2531" s="6">
        <f ca="1">Model!$F$13+RAND()*(Model!$G$13-Model!$F$13)</f>
        <v>1713.3836894687443</v>
      </c>
      <c r="B2531" s="31">
        <f ca="1">Model!$F$14+RAND()*(Model!$G$14-Model!$F$14)</f>
        <v>0.47480360522127496</v>
      </c>
      <c r="C2531" s="32">
        <f ca="1">Model!$F$15+RAND()*(Model!$G$15-Model!$F$15)</f>
        <v>4.6792387059071308E-2</v>
      </c>
      <c r="D2531" s="33">
        <f ca="1">Model!$F$16+RAND()*(Model!$G$16-Model!$F$16)</f>
        <v>52.03661086081501</v>
      </c>
      <c r="E2531" s="33">
        <f>Model!$D$17</f>
        <v>800</v>
      </c>
      <c r="G2531" s="36">
        <f t="shared" ca="1" si="41"/>
        <v>2558.426725580814</v>
      </c>
    </row>
    <row r="2532" spans="1:7" x14ac:dyDescent="0.2">
      <c r="A2532" s="6">
        <f ca="1">Model!$F$13+RAND()*(Model!$G$13-Model!$F$13)</f>
        <v>1678.4106611558395</v>
      </c>
      <c r="B2532" s="31">
        <f ca="1">Model!$F$14+RAND()*(Model!$G$14-Model!$F$14)</f>
        <v>0.79472596693360176</v>
      </c>
      <c r="C2532" s="32">
        <f ca="1">Model!$F$15+RAND()*(Model!$G$15-Model!$F$15)</f>
        <v>4.9242218954850321E-2</v>
      </c>
      <c r="D2532" s="33">
        <f ca="1">Model!$F$16+RAND()*(Model!$G$16-Model!$F$16)</f>
        <v>48.461601497713275</v>
      </c>
      <c r="E2532" s="33">
        <f>Model!$D$17</f>
        <v>800</v>
      </c>
      <c r="G2532" s="36">
        <f t="shared" ca="1" si="41"/>
        <v>1871.4101451691477</v>
      </c>
    </row>
    <row r="2533" spans="1:7" x14ac:dyDescent="0.2">
      <c r="A2533" s="6">
        <f ca="1">Model!$F$13+RAND()*(Model!$G$13-Model!$F$13)</f>
        <v>1797.0346000592926</v>
      </c>
      <c r="B2533" s="31">
        <f ca="1">Model!$F$14+RAND()*(Model!$G$14-Model!$F$14)</f>
        <v>0.42321476045170547</v>
      </c>
      <c r="C2533" s="32">
        <f ca="1">Model!$F$15+RAND()*(Model!$G$15-Model!$F$15)</f>
        <v>2.8992979018678422E-2</v>
      </c>
      <c r="D2533" s="33">
        <f ca="1">Model!$F$16+RAND()*(Model!$G$16-Model!$F$16)</f>
        <v>47.147998126819076</v>
      </c>
      <c r="E2533" s="33">
        <f>Model!$D$17</f>
        <v>800</v>
      </c>
      <c r="G2533" s="36">
        <f t="shared" ca="1" si="41"/>
        <v>895.94450321438694</v>
      </c>
    </row>
    <row r="2534" spans="1:7" x14ac:dyDescent="0.2">
      <c r="A2534" s="6">
        <f ca="1">Model!$F$13+RAND()*(Model!$G$13-Model!$F$13)</f>
        <v>1605.3016817150092</v>
      </c>
      <c r="B2534" s="31">
        <f ca="1">Model!$F$14+RAND()*(Model!$G$14-Model!$F$14)</f>
        <v>0.30591139373505877</v>
      </c>
      <c r="C2534" s="32">
        <f ca="1">Model!$F$15+RAND()*(Model!$G$15-Model!$F$15)</f>
        <v>2.9175642304492613E-2</v>
      </c>
      <c r="D2534" s="33">
        <f ca="1">Model!$F$16+RAND()*(Model!$G$16-Model!$F$16)</f>
        <v>50.832498802195687</v>
      </c>
      <c r="E2534" s="33">
        <f>Model!$D$17</f>
        <v>800</v>
      </c>
      <c r="G2534" s="36">
        <f t="shared" ca="1" si="41"/>
        <v>1089.6959785312438</v>
      </c>
    </row>
    <row r="2535" spans="1:7" x14ac:dyDescent="0.2">
      <c r="A2535" s="6">
        <f ca="1">Model!$F$13+RAND()*(Model!$G$13-Model!$F$13)</f>
        <v>1732.6342519667451</v>
      </c>
      <c r="B2535" s="31">
        <f ca="1">Model!$F$14+RAND()*(Model!$G$14-Model!$F$14)</f>
        <v>0.28364025959209027</v>
      </c>
      <c r="C2535" s="32">
        <f ca="1">Model!$F$15+RAND()*(Model!$G$15-Model!$F$15)</f>
        <v>1.0045430135015345E-2</v>
      </c>
      <c r="D2535" s="33">
        <f ca="1">Model!$F$16+RAND()*(Model!$G$16-Model!$F$16)</f>
        <v>50.287175414997854</v>
      </c>
      <c r="E2535" s="33">
        <f>Model!$D$17</f>
        <v>800</v>
      </c>
      <c r="G2535" s="36">
        <f t="shared" ca="1" si="41"/>
        <v>-416.19370834871052</v>
      </c>
    </row>
    <row r="2536" spans="1:7" x14ac:dyDescent="0.2">
      <c r="A2536" s="6">
        <f ca="1">Model!$F$13+RAND()*(Model!$G$13-Model!$F$13)</f>
        <v>1737.4865791239713</v>
      </c>
      <c r="B2536" s="31">
        <f ca="1">Model!$F$14+RAND()*(Model!$G$14-Model!$F$14)</f>
        <v>0.66943704342540211</v>
      </c>
      <c r="C2536" s="32">
        <f ca="1">Model!$F$15+RAND()*(Model!$G$15-Model!$F$15)</f>
        <v>3.6718671943887018E-2</v>
      </c>
      <c r="D2536" s="33">
        <f ca="1">Model!$F$16+RAND()*(Model!$G$16-Model!$F$16)</f>
        <v>47.475957299137889</v>
      </c>
      <c r="E2536" s="33">
        <f>Model!$D$17</f>
        <v>800</v>
      </c>
      <c r="G2536" s="36">
        <f t="shared" ca="1" si="41"/>
        <v>1065.742726472447</v>
      </c>
    </row>
    <row r="2537" spans="1:7" x14ac:dyDescent="0.2">
      <c r="A2537" s="6">
        <f ca="1">Model!$F$13+RAND()*(Model!$G$13-Model!$F$13)</f>
        <v>1524.9983320456849</v>
      </c>
      <c r="B2537" s="31">
        <f ca="1">Model!$F$14+RAND()*(Model!$G$14-Model!$F$14)</f>
        <v>0.25553036855406691</v>
      </c>
      <c r="C2537" s="32">
        <f ca="1">Model!$F$15+RAND()*(Model!$G$15-Model!$F$15)</f>
        <v>4.3535136710120922E-2</v>
      </c>
      <c r="D2537" s="33">
        <f ca="1">Model!$F$16+RAND()*(Model!$G$16-Model!$F$16)</f>
        <v>52.641775657796224</v>
      </c>
      <c r="E2537" s="33">
        <f>Model!$D$17</f>
        <v>800</v>
      </c>
      <c r="G2537" s="36">
        <f t="shared" ref="G2537:G2600" ca="1" si="42">A2537*C2537*D2537-(E2537+A2537*B2537)</f>
        <v>2305.2573139921924</v>
      </c>
    </row>
    <row r="2538" spans="1:7" x14ac:dyDescent="0.2">
      <c r="A2538" s="6">
        <f ca="1">Model!$F$13+RAND()*(Model!$G$13-Model!$F$13)</f>
        <v>1583.0007657118888</v>
      </c>
      <c r="B2538" s="31">
        <f ca="1">Model!$F$14+RAND()*(Model!$G$14-Model!$F$14)</f>
        <v>0.22362109289146201</v>
      </c>
      <c r="C2538" s="32">
        <f ca="1">Model!$F$15+RAND()*(Model!$G$15-Model!$F$15)</f>
        <v>3.9865099175823794E-2</v>
      </c>
      <c r="D2538" s="33">
        <f ca="1">Model!$F$16+RAND()*(Model!$G$16-Model!$F$16)</f>
        <v>48.786686726904087</v>
      </c>
      <c r="E2538" s="33">
        <f>Model!$D$17</f>
        <v>800</v>
      </c>
      <c r="G2538" s="36">
        <f t="shared" ca="1" si="42"/>
        <v>1924.7638318884296</v>
      </c>
    </row>
    <row r="2539" spans="1:7" x14ac:dyDescent="0.2">
      <c r="A2539" s="6">
        <f ca="1">Model!$F$13+RAND()*(Model!$G$13-Model!$F$13)</f>
        <v>1226.4021509631327</v>
      </c>
      <c r="B2539" s="31">
        <f ca="1">Model!$F$14+RAND()*(Model!$G$14-Model!$F$14)</f>
        <v>0.38266838575997275</v>
      </c>
      <c r="C2539" s="32">
        <f ca="1">Model!$F$15+RAND()*(Model!$G$15-Model!$F$15)</f>
        <v>2.6689268711442893E-2</v>
      </c>
      <c r="D2539" s="33">
        <f ca="1">Model!$F$16+RAND()*(Model!$G$16-Model!$F$16)</f>
        <v>50.006273489018085</v>
      </c>
      <c r="E2539" s="33">
        <f>Model!$D$17</f>
        <v>800</v>
      </c>
      <c r="G2539" s="36">
        <f t="shared" ca="1" si="42"/>
        <v>367.4888388064719</v>
      </c>
    </row>
    <row r="2540" spans="1:7" x14ac:dyDescent="0.2">
      <c r="A2540" s="6">
        <f ca="1">Model!$F$13+RAND()*(Model!$G$13-Model!$F$13)</f>
        <v>1234.6463980151793</v>
      </c>
      <c r="B2540" s="31">
        <f ca="1">Model!$F$14+RAND()*(Model!$G$14-Model!$F$14)</f>
        <v>0.61686198469372733</v>
      </c>
      <c r="C2540" s="32">
        <f ca="1">Model!$F$15+RAND()*(Model!$G$15-Model!$F$15)</f>
        <v>1.9460865502635923E-2</v>
      </c>
      <c r="D2540" s="33">
        <f ca="1">Model!$F$16+RAND()*(Model!$G$16-Model!$F$16)</f>
        <v>49.962654023770618</v>
      </c>
      <c r="E2540" s="33">
        <f>Model!$D$17</f>
        <v>800</v>
      </c>
      <c r="G2540" s="36">
        <f t="shared" ca="1" si="42"/>
        <v>-361.13937522788774</v>
      </c>
    </row>
    <row r="2541" spans="1:7" x14ac:dyDescent="0.2">
      <c r="A2541" s="6">
        <f ca="1">Model!$F$13+RAND()*(Model!$G$13-Model!$F$13)</f>
        <v>1561.9566622235593</v>
      </c>
      <c r="B2541" s="31">
        <f ca="1">Model!$F$14+RAND()*(Model!$G$14-Model!$F$14)</f>
        <v>0.51985545866372695</v>
      </c>
      <c r="C2541" s="32">
        <f ca="1">Model!$F$15+RAND()*(Model!$G$15-Model!$F$15)</f>
        <v>2.8255292160761787E-2</v>
      </c>
      <c r="D2541" s="33">
        <f ca="1">Model!$F$16+RAND()*(Model!$G$16-Model!$F$16)</f>
        <v>49.016474174254149</v>
      </c>
      <c r="E2541" s="33">
        <f>Model!$D$17</f>
        <v>800</v>
      </c>
      <c r="G2541" s="36">
        <f t="shared" ca="1" si="42"/>
        <v>551.27891645070076</v>
      </c>
    </row>
    <row r="2542" spans="1:7" x14ac:dyDescent="0.2">
      <c r="A2542" s="6">
        <f ca="1">Model!$F$13+RAND()*(Model!$G$13-Model!$F$13)</f>
        <v>1266.1885378482286</v>
      </c>
      <c r="B2542" s="31">
        <f ca="1">Model!$F$14+RAND()*(Model!$G$14-Model!$F$14)</f>
        <v>0.2759255640623236</v>
      </c>
      <c r="C2542" s="32">
        <f ca="1">Model!$F$15+RAND()*(Model!$G$15-Model!$F$15)</f>
        <v>1.7668883755189078E-2</v>
      </c>
      <c r="D2542" s="33">
        <f ca="1">Model!$F$16+RAND()*(Model!$G$16-Model!$F$16)</f>
        <v>48.331682746988804</v>
      </c>
      <c r="E2542" s="33">
        <f>Model!$D$17</f>
        <v>800</v>
      </c>
      <c r="G2542" s="36">
        <f t="shared" ca="1" si="42"/>
        <v>-68.09070610330923</v>
      </c>
    </row>
    <row r="2543" spans="1:7" x14ac:dyDescent="0.2">
      <c r="A2543" s="6">
        <f ca="1">Model!$F$13+RAND()*(Model!$G$13-Model!$F$13)</f>
        <v>1247.1304581359386</v>
      </c>
      <c r="B2543" s="31">
        <f ca="1">Model!$F$14+RAND()*(Model!$G$14-Model!$F$14)</f>
        <v>0.37122347927824451</v>
      </c>
      <c r="C2543" s="32">
        <f ca="1">Model!$F$15+RAND()*(Model!$G$15-Model!$F$15)</f>
        <v>4.8561323627222874E-2</v>
      </c>
      <c r="D2543" s="33">
        <f ca="1">Model!$F$16+RAND()*(Model!$G$16-Model!$F$16)</f>
        <v>52.480303844617254</v>
      </c>
      <c r="E2543" s="33">
        <f>Model!$D$17</f>
        <v>800</v>
      </c>
      <c r="G2543" s="36">
        <f t="shared" ca="1" si="42"/>
        <v>1915.3641012344356</v>
      </c>
    </row>
    <row r="2544" spans="1:7" x14ac:dyDescent="0.2">
      <c r="A2544" s="6">
        <f ca="1">Model!$F$13+RAND()*(Model!$G$13-Model!$F$13)</f>
        <v>1378.4240375494296</v>
      </c>
      <c r="B2544" s="31">
        <f ca="1">Model!$F$14+RAND()*(Model!$G$14-Model!$F$14)</f>
        <v>0.57374141491603092</v>
      </c>
      <c r="C2544" s="32">
        <f ca="1">Model!$F$15+RAND()*(Model!$G$15-Model!$F$15)</f>
        <v>1.5123125375285413E-2</v>
      </c>
      <c r="D2544" s="33">
        <f ca="1">Model!$F$16+RAND()*(Model!$G$16-Model!$F$16)</f>
        <v>49.801831509770267</v>
      </c>
      <c r="E2544" s="33">
        <f>Model!$D$17</f>
        <v>800</v>
      </c>
      <c r="G2544" s="36">
        <f t="shared" ca="1" si="42"/>
        <v>-552.68601675920399</v>
      </c>
    </row>
    <row r="2545" spans="1:7" x14ac:dyDescent="0.2">
      <c r="A2545" s="6">
        <f ca="1">Model!$F$13+RAND()*(Model!$G$13-Model!$F$13)</f>
        <v>1455.3871474180887</v>
      </c>
      <c r="B2545" s="31">
        <f ca="1">Model!$F$14+RAND()*(Model!$G$14-Model!$F$14)</f>
        <v>0.29353555989455904</v>
      </c>
      <c r="C2545" s="32">
        <f ca="1">Model!$F$15+RAND()*(Model!$G$15-Model!$F$15)</f>
        <v>4.9289644035749217E-2</v>
      </c>
      <c r="D2545" s="33">
        <f ca="1">Model!$F$16+RAND()*(Model!$G$16-Model!$F$16)</f>
        <v>51.525219878060199</v>
      </c>
      <c r="E2545" s="33">
        <f>Model!$D$17</f>
        <v>800</v>
      </c>
      <c r="G2545" s="36">
        <f t="shared" ca="1" si="42"/>
        <v>2468.980272913574</v>
      </c>
    </row>
    <row r="2546" spans="1:7" x14ac:dyDescent="0.2">
      <c r="A2546" s="6">
        <f ca="1">Model!$F$13+RAND()*(Model!$G$13-Model!$F$13)</f>
        <v>1294.5848290324373</v>
      </c>
      <c r="B2546" s="31">
        <f ca="1">Model!$F$14+RAND()*(Model!$G$14-Model!$F$14)</f>
        <v>0.76046525677211796</v>
      </c>
      <c r="C2546" s="32">
        <f ca="1">Model!$F$15+RAND()*(Model!$G$15-Model!$F$15)</f>
        <v>1.7900031847900028E-2</v>
      </c>
      <c r="D2546" s="33">
        <f ca="1">Model!$F$16+RAND()*(Model!$G$16-Model!$F$16)</f>
        <v>47.436316666394298</v>
      </c>
      <c r="E2546" s="33">
        <f>Model!$D$17</f>
        <v>800</v>
      </c>
      <c r="G2546" s="36">
        <f t="shared" ca="1" si="42"/>
        <v>-685.23981599648459</v>
      </c>
    </row>
    <row r="2547" spans="1:7" x14ac:dyDescent="0.2">
      <c r="A2547" s="6">
        <f ca="1">Model!$F$13+RAND()*(Model!$G$13-Model!$F$13)</f>
        <v>1692.9556038140609</v>
      </c>
      <c r="B2547" s="31">
        <f ca="1">Model!$F$14+RAND()*(Model!$G$14-Model!$F$14)</f>
        <v>0.7397674097768947</v>
      </c>
      <c r="C2547" s="32">
        <f ca="1">Model!$F$15+RAND()*(Model!$G$15-Model!$F$15)</f>
        <v>2.2985262725518471E-2</v>
      </c>
      <c r="D2547" s="33">
        <f ca="1">Model!$F$16+RAND()*(Model!$G$16-Model!$F$16)</f>
        <v>50.927521284354476</v>
      </c>
      <c r="E2547" s="33">
        <f>Model!$D$17</f>
        <v>800</v>
      </c>
      <c r="G2547" s="36">
        <f t="shared" ca="1" si="42"/>
        <v>-70.649252137425947</v>
      </c>
    </row>
    <row r="2548" spans="1:7" x14ac:dyDescent="0.2">
      <c r="A2548" s="6">
        <f ca="1">Model!$F$13+RAND()*(Model!$G$13-Model!$F$13)</f>
        <v>1670.0810498529959</v>
      </c>
      <c r="B2548" s="31">
        <f ca="1">Model!$F$14+RAND()*(Model!$G$14-Model!$F$14)</f>
        <v>0.21176031860315098</v>
      </c>
      <c r="C2548" s="32">
        <f ca="1">Model!$F$15+RAND()*(Model!$G$15-Model!$F$15)</f>
        <v>4.9542269529492783E-2</v>
      </c>
      <c r="D2548" s="33">
        <f ca="1">Model!$F$16+RAND()*(Model!$G$16-Model!$F$16)</f>
        <v>51.205419253476506</v>
      </c>
      <c r="E2548" s="33">
        <f>Model!$D$17</f>
        <v>800</v>
      </c>
      <c r="G2548" s="36">
        <f t="shared" ca="1" si="42"/>
        <v>3083.0592936901066</v>
      </c>
    </row>
    <row r="2549" spans="1:7" x14ac:dyDescent="0.2">
      <c r="A2549" s="6">
        <f ca="1">Model!$F$13+RAND()*(Model!$G$13-Model!$F$13)</f>
        <v>1745.3097354744136</v>
      </c>
      <c r="B2549" s="31">
        <f ca="1">Model!$F$14+RAND()*(Model!$G$14-Model!$F$14)</f>
        <v>0.42216000193433018</v>
      </c>
      <c r="C2549" s="32">
        <f ca="1">Model!$F$15+RAND()*(Model!$G$15-Model!$F$15)</f>
        <v>1.4132457304864517E-2</v>
      </c>
      <c r="D2549" s="33">
        <f ca="1">Model!$F$16+RAND()*(Model!$G$16-Model!$F$16)</f>
        <v>49.852628895449214</v>
      </c>
      <c r="E2549" s="33">
        <f>Model!$D$17</f>
        <v>800</v>
      </c>
      <c r="G2549" s="36">
        <f t="shared" ca="1" si="42"/>
        <v>-307.15917952313225</v>
      </c>
    </row>
    <row r="2550" spans="1:7" x14ac:dyDescent="0.2">
      <c r="A2550" s="6">
        <f ca="1">Model!$F$13+RAND()*(Model!$G$13-Model!$F$13)</f>
        <v>1644.4208121196798</v>
      </c>
      <c r="B2550" s="31">
        <f ca="1">Model!$F$14+RAND()*(Model!$G$14-Model!$F$14)</f>
        <v>0.29951412571634017</v>
      </c>
      <c r="C2550" s="32">
        <f ca="1">Model!$F$15+RAND()*(Model!$G$15-Model!$F$15)</f>
        <v>1.5716118155975099E-2</v>
      </c>
      <c r="D2550" s="33">
        <f ca="1">Model!$F$16+RAND()*(Model!$G$16-Model!$F$16)</f>
        <v>52.785312272417478</v>
      </c>
      <c r="E2550" s="33">
        <f>Model!$D$17</f>
        <v>800</v>
      </c>
      <c r="G2550" s="36">
        <f t="shared" ca="1" si="42"/>
        <v>71.651691871147477</v>
      </c>
    </row>
    <row r="2551" spans="1:7" x14ac:dyDescent="0.2">
      <c r="A2551" s="6">
        <f ca="1">Model!$F$13+RAND()*(Model!$G$13-Model!$F$13)</f>
        <v>1560.465825521859</v>
      </c>
      <c r="B2551" s="31">
        <f ca="1">Model!$F$14+RAND()*(Model!$G$14-Model!$F$14)</f>
        <v>0.34246380824112171</v>
      </c>
      <c r="C2551" s="32">
        <f ca="1">Model!$F$15+RAND()*(Model!$G$15-Model!$F$15)</f>
        <v>3.283122576116447E-2</v>
      </c>
      <c r="D2551" s="33">
        <f ca="1">Model!$F$16+RAND()*(Model!$G$16-Model!$F$16)</f>
        <v>50.657472450132332</v>
      </c>
      <c r="E2551" s="33">
        <f>Model!$D$17</f>
        <v>800</v>
      </c>
      <c r="G2551" s="36">
        <f t="shared" ca="1" si="42"/>
        <v>1260.8808536614456</v>
      </c>
    </row>
    <row r="2552" spans="1:7" x14ac:dyDescent="0.2">
      <c r="A2552" s="6">
        <f ca="1">Model!$F$13+RAND()*(Model!$G$13-Model!$F$13)</f>
        <v>1589.359110612814</v>
      </c>
      <c r="B2552" s="31">
        <f ca="1">Model!$F$14+RAND()*(Model!$G$14-Model!$F$14)</f>
        <v>0.5271569461718264</v>
      </c>
      <c r="C2552" s="32">
        <f ca="1">Model!$F$15+RAND()*(Model!$G$15-Model!$F$15)</f>
        <v>4.9889881927780731E-2</v>
      </c>
      <c r="D2552" s="33">
        <f ca="1">Model!$F$16+RAND()*(Model!$G$16-Model!$F$16)</f>
        <v>52.655011055598216</v>
      </c>
      <c r="E2552" s="33">
        <f>Model!$D$17</f>
        <v>800</v>
      </c>
      <c r="G2552" s="36">
        <f t="shared" ca="1" si="42"/>
        <v>2537.3288513461748</v>
      </c>
    </row>
    <row r="2553" spans="1:7" x14ac:dyDescent="0.2">
      <c r="A2553" s="6">
        <f ca="1">Model!$F$13+RAND()*(Model!$G$13-Model!$F$13)</f>
        <v>1278.5849900355856</v>
      </c>
      <c r="B2553" s="31">
        <f ca="1">Model!$F$14+RAND()*(Model!$G$14-Model!$F$14)</f>
        <v>0.75186964153978453</v>
      </c>
      <c r="C2553" s="32">
        <f ca="1">Model!$F$15+RAND()*(Model!$G$15-Model!$F$15)</f>
        <v>4.6028596630352733E-2</v>
      </c>
      <c r="D2553" s="33">
        <f ca="1">Model!$F$16+RAND()*(Model!$G$16-Model!$F$16)</f>
        <v>47.284277177977479</v>
      </c>
      <c r="E2553" s="33">
        <f>Model!$D$17</f>
        <v>800</v>
      </c>
      <c r="G2553" s="36">
        <f t="shared" ca="1" si="42"/>
        <v>1021.420112367618</v>
      </c>
    </row>
    <row r="2554" spans="1:7" x14ac:dyDescent="0.2">
      <c r="A2554" s="6">
        <f ca="1">Model!$F$13+RAND()*(Model!$G$13-Model!$F$13)</f>
        <v>1742.4200655639456</v>
      </c>
      <c r="B2554" s="31">
        <f ca="1">Model!$F$14+RAND()*(Model!$G$14-Model!$F$14)</f>
        <v>0.60494870308322479</v>
      </c>
      <c r="C2554" s="32">
        <f ca="1">Model!$F$15+RAND()*(Model!$G$15-Model!$F$15)</f>
        <v>1.6985226723863288E-2</v>
      </c>
      <c r="D2554" s="33">
        <f ca="1">Model!$F$16+RAND()*(Model!$G$16-Model!$F$16)</f>
        <v>48.664990813434834</v>
      </c>
      <c r="E2554" s="33">
        <f>Model!$D$17</f>
        <v>800</v>
      </c>
      <c r="G2554" s="36">
        <f t="shared" ca="1" si="42"/>
        <v>-413.81489649406808</v>
      </c>
    </row>
    <row r="2555" spans="1:7" x14ac:dyDescent="0.2">
      <c r="A2555" s="6">
        <f ca="1">Model!$F$13+RAND()*(Model!$G$13-Model!$F$13)</f>
        <v>1505.8593144967761</v>
      </c>
      <c r="B2555" s="31">
        <f ca="1">Model!$F$14+RAND()*(Model!$G$14-Model!$F$14)</f>
        <v>0.640738518639971</v>
      </c>
      <c r="C2555" s="32">
        <f ca="1">Model!$F$15+RAND()*(Model!$G$15-Model!$F$15)</f>
        <v>1.4859170221621209E-2</v>
      </c>
      <c r="D2555" s="33">
        <f ca="1">Model!$F$16+RAND()*(Model!$G$16-Model!$F$16)</f>
        <v>47.511992780673943</v>
      </c>
      <c r="E2555" s="33">
        <f>Model!$D$17</f>
        <v>800</v>
      </c>
      <c r="G2555" s="36">
        <f t="shared" ca="1" si="42"/>
        <v>-701.74227366433138</v>
      </c>
    </row>
    <row r="2556" spans="1:7" x14ac:dyDescent="0.2">
      <c r="A2556" s="6">
        <f ca="1">Model!$F$13+RAND()*(Model!$G$13-Model!$F$13)</f>
        <v>1233.1988889653751</v>
      </c>
      <c r="B2556" s="31">
        <f ca="1">Model!$F$14+RAND()*(Model!$G$14-Model!$F$14)</f>
        <v>0.53148410767406618</v>
      </c>
      <c r="C2556" s="32">
        <f ca="1">Model!$F$15+RAND()*(Model!$G$15-Model!$F$15)</f>
        <v>4.2088826113340444E-2</v>
      </c>
      <c r="D2556" s="33">
        <f ca="1">Model!$F$16+RAND()*(Model!$G$16-Model!$F$16)</f>
        <v>50.05073329074262</v>
      </c>
      <c r="E2556" s="33">
        <f>Model!$D$17</f>
        <v>800</v>
      </c>
      <c r="G2556" s="36">
        <f t="shared" ca="1" si="42"/>
        <v>1142.402324279728</v>
      </c>
    </row>
    <row r="2557" spans="1:7" x14ac:dyDescent="0.2">
      <c r="A2557" s="6">
        <f ca="1">Model!$F$13+RAND()*(Model!$G$13-Model!$F$13)</f>
        <v>1680.8011072310253</v>
      </c>
      <c r="B2557" s="31">
        <f ca="1">Model!$F$14+RAND()*(Model!$G$14-Model!$F$14)</f>
        <v>0.48984276416965333</v>
      </c>
      <c r="C2557" s="32">
        <f ca="1">Model!$F$15+RAND()*(Model!$G$15-Model!$F$15)</f>
        <v>1.2951002280717022E-2</v>
      </c>
      <c r="D2557" s="33">
        <f ca="1">Model!$F$16+RAND()*(Model!$G$16-Model!$F$16)</f>
        <v>52.958569335123435</v>
      </c>
      <c r="E2557" s="33">
        <f>Model!$D$17</f>
        <v>800</v>
      </c>
      <c r="G2557" s="36">
        <f t="shared" ca="1" si="42"/>
        <v>-470.52299996321312</v>
      </c>
    </row>
    <row r="2558" spans="1:7" x14ac:dyDescent="0.2">
      <c r="A2558" s="6">
        <f ca="1">Model!$F$13+RAND()*(Model!$G$13-Model!$F$13)</f>
        <v>1310.3432227883886</v>
      </c>
      <c r="B2558" s="31">
        <f ca="1">Model!$F$14+RAND()*(Model!$G$14-Model!$F$14)</f>
        <v>0.70549147309367743</v>
      </c>
      <c r="C2558" s="32">
        <f ca="1">Model!$F$15+RAND()*(Model!$G$15-Model!$F$15)</f>
        <v>1.1036947359856742E-2</v>
      </c>
      <c r="D2558" s="33">
        <f ca="1">Model!$F$16+RAND()*(Model!$G$16-Model!$F$16)</f>
        <v>48.287164956197365</v>
      </c>
      <c r="E2558" s="33">
        <f>Model!$D$17</f>
        <v>800</v>
      </c>
      <c r="G2558" s="36">
        <f t="shared" ca="1" si="42"/>
        <v>-1026.0978562663367</v>
      </c>
    </row>
    <row r="2559" spans="1:7" x14ac:dyDescent="0.2">
      <c r="A2559" s="6">
        <f ca="1">Model!$F$13+RAND()*(Model!$G$13-Model!$F$13)</f>
        <v>1355.4140424457353</v>
      </c>
      <c r="B2559" s="31">
        <f ca="1">Model!$F$14+RAND()*(Model!$G$14-Model!$F$14)</f>
        <v>0.72991340824000717</v>
      </c>
      <c r="C2559" s="32">
        <f ca="1">Model!$F$15+RAND()*(Model!$G$15-Model!$F$15)</f>
        <v>2.4749819523206068E-2</v>
      </c>
      <c r="D2559" s="33">
        <f ca="1">Model!$F$16+RAND()*(Model!$G$16-Model!$F$16)</f>
        <v>47.310752078790671</v>
      </c>
      <c r="E2559" s="33">
        <f>Model!$D$17</f>
        <v>800</v>
      </c>
      <c r="G2559" s="36">
        <f t="shared" ca="1" si="42"/>
        <v>-202.23642776607176</v>
      </c>
    </row>
    <row r="2560" spans="1:7" x14ac:dyDescent="0.2">
      <c r="A2560" s="6">
        <f ca="1">Model!$F$13+RAND()*(Model!$G$13-Model!$F$13)</f>
        <v>1357.7650079853472</v>
      </c>
      <c r="B2560" s="31">
        <f ca="1">Model!$F$14+RAND()*(Model!$G$14-Model!$F$14)</f>
        <v>0.33095005151632295</v>
      </c>
      <c r="C2560" s="32">
        <f ca="1">Model!$F$15+RAND()*(Model!$G$15-Model!$F$15)</f>
        <v>2.9343379744323855E-2</v>
      </c>
      <c r="D2560" s="33">
        <f ca="1">Model!$F$16+RAND()*(Model!$G$16-Model!$F$16)</f>
        <v>50.169720335188124</v>
      </c>
      <c r="E2560" s="33">
        <f>Model!$D$17</f>
        <v>800</v>
      </c>
      <c r="G2560" s="36">
        <f t="shared" ca="1" si="42"/>
        <v>749.48021048160808</v>
      </c>
    </row>
    <row r="2561" spans="1:7" x14ac:dyDescent="0.2">
      <c r="A2561" s="6">
        <f ca="1">Model!$F$13+RAND()*(Model!$G$13-Model!$F$13)</f>
        <v>1535.2830078812892</v>
      </c>
      <c r="B2561" s="31">
        <f ca="1">Model!$F$14+RAND()*(Model!$G$14-Model!$F$14)</f>
        <v>0.37472426198334396</v>
      </c>
      <c r="C2561" s="32">
        <f ca="1">Model!$F$15+RAND()*(Model!$G$15-Model!$F$15)</f>
        <v>2.7373733105882155E-2</v>
      </c>
      <c r="D2561" s="33">
        <f ca="1">Model!$F$16+RAND()*(Model!$G$16-Model!$F$16)</f>
        <v>47.852158724854881</v>
      </c>
      <c r="E2561" s="33">
        <f>Model!$D$17</f>
        <v>800</v>
      </c>
      <c r="G2561" s="36">
        <f t="shared" ca="1" si="42"/>
        <v>635.74747772177079</v>
      </c>
    </row>
    <row r="2562" spans="1:7" x14ac:dyDescent="0.2">
      <c r="A2562" s="6">
        <f ca="1">Model!$F$13+RAND()*(Model!$G$13-Model!$F$13)</f>
        <v>1537.2959991825485</v>
      </c>
      <c r="B2562" s="31">
        <f ca="1">Model!$F$14+RAND()*(Model!$G$14-Model!$F$14)</f>
        <v>0.33664848208393466</v>
      </c>
      <c r="C2562" s="32">
        <f ca="1">Model!$F$15+RAND()*(Model!$G$15-Model!$F$15)</f>
        <v>2.124356435168755E-2</v>
      </c>
      <c r="D2562" s="33">
        <f ca="1">Model!$F$16+RAND()*(Model!$G$16-Model!$F$16)</f>
        <v>49.288846936365488</v>
      </c>
      <c r="E2562" s="33">
        <f>Model!$D$17</f>
        <v>800</v>
      </c>
      <c r="G2562" s="36">
        <f t="shared" ca="1" si="42"/>
        <v>292.12937432303056</v>
      </c>
    </row>
    <row r="2563" spans="1:7" x14ac:dyDescent="0.2">
      <c r="A2563" s="6">
        <f ca="1">Model!$F$13+RAND()*(Model!$G$13-Model!$F$13)</f>
        <v>1529.123920546622</v>
      </c>
      <c r="B2563" s="31">
        <f ca="1">Model!$F$14+RAND()*(Model!$G$14-Model!$F$14)</f>
        <v>0.42384258103565886</v>
      </c>
      <c r="C2563" s="32">
        <f ca="1">Model!$F$15+RAND()*(Model!$G$15-Model!$F$15)</f>
        <v>2.2925814295723664E-2</v>
      </c>
      <c r="D2563" s="33">
        <f ca="1">Model!$F$16+RAND()*(Model!$G$16-Model!$F$16)</f>
        <v>49.560416978531812</v>
      </c>
      <c r="E2563" s="33">
        <f>Model!$D$17</f>
        <v>800</v>
      </c>
      <c r="G2563" s="36">
        <f t="shared" ca="1" si="42"/>
        <v>289.30251958645272</v>
      </c>
    </row>
    <row r="2564" spans="1:7" x14ac:dyDescent="0.2">
      <c r="A2564" s="6">
        <f ca="1">Model!$F$13+RAND()*(Model!$G$13-Model!$F$13)</f>
        <v>1345.1086100481682</v>
      </c>
      <c r="B2564" s="31">
        <f ca="1">Model!$F$14+RAND()*(Model!$G$14-Model!$F$14)</f>
        <v>0.73233849657382155</v>
      </c>
      <c r="C2564" s="32">
        <f ca="1">Model!$F$15+RAND()*(Model!$G$15-Model!$F$15)</f>
        <v>4.8376983129229827E-2</v>
      </c>
      <c r="D2564" s="33">
        <f ca="1">Model!$F$16+RAND()*(Model!$G$16-Model!$F$16)</f>
        <v>50.820961167974332</v>
      </c>
      <c r="E2564" s="33">
        <f>Model!$D$17</f>
        <v>800</v>
      </c>
      <c r="G2564" s="36">
        <f t="shared" ca="1" si="42"/>
        <v>1521.9618381193002</v>
      </c>
    </row>
    <row r="2565" spans="1:7" x14ac:dyDescent="0.2">
      <c r="A2565" s="6">
        <f ca="1">Model!$F$13+RAND()*(Model!$G$13-Model!$F$13)</f>
        <v>1287.0980491116331</v>
      </c>
      <c r="B2565" s="31">
        <f ca="1">Model!$F$14+RAND()*(Model!$G$14-Model!$F$14)</f>
        <v>0.36462305075082535</v>
      </c>
      <c r="C2565" s="32">
        <f ca="1">Model!$F$15+RAND()*(Model!$G$15-Model!$F$15)</f>
        <v>2.2183315961923831E-2</v>
      </c>
      <c r="D2565" s="33">
        <f ca="1">Model!$F$16+RAND()*(Model!$G$16-Model!$F$16)</f>
        <v>50.745689352475644</v>
      </c>
      <c r="E2565" s="33">
        <f>Model!$D$17</f>
        <v>800</v>
      </c>
      <c r="G2565" s="36">
        <f t="shared" ca="1" si="42"/>
        <v>179.590516560693</v>
      </c>
    </row>
    <row r="2566" spans="1:7" x14ac:dyDescent="0.2">
      <c r="A2566" s="6">
        <f ca="1">Model!$F$13+RAND()*(Model!$G$13-Model!$F$13)</f>
        <v>1543.7611167142563</v>
      </c>
      <c r="B2566" s="31">
        <f ca="1">Model!$F$14+RAND()*(Model!$G$14-Model!$F$14)</f>
        <v>0.53791059956587217</v>
      </c>
      <c r="C2566" s="32">
        <f ca="1">Model!$F$15+RAND()*(Model!$G$15-Model!$F$15)</f>
        <v>4.2266310731223188E-2</v>
      </c>
      <c r="D2566" s="33">
        <f ca="1">Model!$F$16+RAND()*(Model!$G$16-Model!$F$16)</f>
        <v>50.48688363285931</v>
      </c>
      <c r="E2566" s="33">
        <f>Model!$D$17</f>
        <v>800</v>
      </c>
      <c r="G2566" s="36">
        <f t="shared" ca="1" si="42"/>
        <v>1663.8175973585171</v>
      </c>
    </row>
    <row r="2567" spans="1:7" x14ac:dyDescent="0.2">
      <c r="A2567" s="6">
        <f ca="1">Model!$F$13+RAND()*(Model!$G$13-Model!$F$13)</f>
        <v>1641.8549953191305</v>
      </c>
      <c r="B2567" s="31">
        <f ca="1">Model!$F$14+RAND()*(Model!$G$14-Model!$F$14)</f>
        <v>0.62761365118968526</v>
      </c>
      <c r="C2567" s="32">
        <f ca="1">Model!$F$15+RAND()*(Model!$G$15-Model!$F$15)</f>
        <v>2.9634345952552203E-2</v>
      </c>
      <c r="D2567" s="33">
        <f ca="1">Model!$F$16+RAND()*(Model!$G$16-Model!$F$16)</f>
        <v>49.413757885838983</v>
      </c>
      <c r="E2567" s="33">
        <f>Model!$D$17</f>
        <v>800</v>
      </c>
      <c r="G2567" s="36">
        <f t="shared" ca="1" si="42"/>
        <v>573.79055311147567</v>
      </c>
    </row>
    <row r="2568" spans="1:7" x14ac:dyDescent="0.2">
      <c r="A2568" s="6">
        <f ca="1">Model!$F$13+RAND()*(Model!$G$13-Model!$F$13)</f>
        <v>1345.6500588896404</v>
      </c>
      <c r="B2568" s="31">
        <f ca="1">Model!$F$14+RAND()*(Model!$G$14-Model!$F$14)</f>
        <v>0.21971960501464016</v>
      </c>
      <c r="C2568" s="32">
        <f ca="1">Model!$F$15+RAND()*(Model!$G$15-Model!$F$15)</f>
        <v>4.148840756451766E-2</v>
      </c>
      <c r="D2568" s="33">
        <f ca="1">Model!$F$16+RAND()*(Model!$G$16-Model!$F$16)</f>
        <v>47.07363604649224</v>
      </c>
      <c r="E2568" s="33">
        <f>Model!$D$17</f>
        <v>800</v>
      </c>
      <c r="G2568" s="36">
        <f t="shared" ca="1" si="42"/>
        <v>1532.402588309166</v>
      </c>
    </row>
    <row r="2569" spans="1:7" x14ac:dyDescent="0.2">
      <c r="A2569" s="6">
        <f ca="1">Model!$F$13+RAND()*(Model!$G$13-Model!$F$13)</f>
        <v>1608.837936184719</v>
      </c>
      <c r="B2569" s="31">
        <f ca="1">Model!$F$14+RAND()*(Model!$G$14-Model!$F$14)</f>
        <v>0.35060031497497279</v>
      </c>
      <c r="C2569" s="32">
        <f ca="1">Model!$F$15+RAND()*(Model!$G$15-Model!$F$15)</f>
        <v>1.0758003734277898E-2</v>
      </c>
      <c r="D2569" s="33">
        <f ca="1">Model!$F$16+RAND()*(Model!$G$16-Model!$F$16)</f>
        <v>52.82403570492928</v>
      </c>
      <c r="E2569" s="33">
        <f>Model!$D$17</f>
        <v>800</v>
      </c>
      <c r="G2569" s="36">
        <f t="shared" ca="1" si="42"/>
        <v>-449.78677702758444</v>
      </c>
    </row>
    <row r="2570" spans="1:7" x14ac:dyDescent="0.2">
      <c r="A2570" s="6">
        <f ca="1">Model!$F$13+RAND()*(Model!$G$13-Model!$F$13)</f>
        <v>1655.2857979962537</v>
      </c>
      <c r="B2570" s="31">
        <f ca="1">Model!$F$14+RAND()*(Model!$G$14-Model!$F$14)</f>
        <v>0.47837609615775428</v>
      </c>
      <c r="C2570" s="32">
        <f ca="1">Model!$F$15+RAND()*(Model!$G$15-Model!$F$15)</f>
        <v>4.1727570075546637E-2</v>
      </c>
      <c r="D2570" s="33">
        <f ca="1">Model!$F$16+RAND()*(Model!$G$16-Model!$F$16)</f>
        <v>52.519084074787727</v>
      </c>
      <c r="E2570" s="33">
        <f>Model!$D$17</f>
        <v>800</v>
      </c>
      <c r="G2570" s="36">
        <f t="shared" ca="1" si="42"/>
        <v>2035.6993409665361</v>
      </c>
    </row>
    <row r="2571" spans="1:7" x14ac:dyDescent="0.2">
      <c r="A2571" s="6">
        <f ca="1">Model!$F$13+RAND()*(Model!$G$13-Model!$F$13)</f>
        <v>1378.2552793917096</v>
      </c>
      <c r="B2571" s="31">
        <f ca="1">Model!$F$14+RAND()*(Model!$G$14-Model!$F$14)</f>
        <v>0.60593638788527093</v>
      </c>
      <c r="C2571" s="32">
        <f ca="1">Model!$F$15+RAND()*(Model!$G$15-Model!$F$15)</f>
        <v>4.8000395587926861E-2</v>
      </c>
      <c r="D2571" s="33">
        <f ca="1">Model!$F$16+RAND()*(Model!$G$16-Model!$F$16)</f>
        <v>52.142512388603336</v>
      </c>
      <c r="E2571" s="33">
        <f>Model!$D$17</f>
        <v>800</v>
      </c>
      <c r="G2571" s="36">
        <f t="shared" ca="1" si="42"/>
        <v>1814.4466666784092</v>
      </c>
    </row>
    <row r="2572" spans="1:7" x14ac:dyDescent="0.2">
      <c r="A2572" s="6">
        <f ca="1">Model!$F$13+RAND()*(Model!$G$13-Model!$F$13)</f>
        <v>1506.0086713178143</v>
      </c>
      <c r="B2572" s="31">
        <f ca="1">Model!$F$14+RAND()*(Model!$G$14-Model!$F$14)</f>
        <v>0.41977524270742889</v>
      </c>
      <c r="C2572" s="32">
        <f ca="1">Model!$F$15+RAND()*(Model!$G$15-Model!$F$15)</f>
        <v>3.8666886999809164E-2</v>
      </c>
      <c r="D2572" s="33">
        <f ca="1">Model!$F$16+RAND()*(Model!$G$16-Model!$F$16)</f>
        <v>47.126760983736162</v>
      </c>
      <c r="E2572" s="33">
        <f>Model!$D$17</f>
        <v>800</v>
      </c>
      <c r="G2572" s="36">
        <f t="shared" ca="1" si="42"/>
        <v>1312.131829032294</v>
      </c>
    </row>
    <row r="2573" spans="1:7" x14ac:dyDescent="0.2">
      <c r="A2573" s="6">
        <f ca="1">Model!$F$13+RAND()*(Model!$G$13-Model!$F$13)</f>
        <v>1571.7154656943555</v>
      </c>
      <c r="B2573" s="31">
        <f ca="1">Model!$F$14+RAND()*(Model!$G$14-Model!$F$14)</f>
        <v>0.59058060549093327</v>
      </c>
      <c r="C2573" s="32">
        <f ca="1">Model!$F$15+RAND()*(Model!$G$15-Model!$F$15)</f>
        <v>3.6883453559563406E-2</v>
      </c>
      <c r="D2573" s="33">
        <f ca="1">Model!$F$16+RAND()*(Model!$G$16-Model!$F$16)</f>
        <v>52.059196336912791</v>
      </c>
      <c r="E2573" s="33">
        <f>Model!$D$17</f>
        <v>800</v>
      </c>
      <c r="G2573" s="36">
        <f t="shared" ca="1" si="42"/>
        <v>1289.6622658531139</v>
      </c>
    </row>
    <row r="2574" spans="1:7" x14ac:dyDescent="0.2">
      <c r="A2574" s="6">
        <f ca="1">Model!$F$13+RAND()*(Model!$G$13-Model!$F$13)</f>
        <v>1582.4463863788633</v>
      </c>
      <c r="B2574" s="31">
        <f ca="1">Model!$F$14+RAND()*(Model!$G$14-Model!$F$14)</f>
        <v>0.23395514454377497</v>
      </c>
      <c r="C2574" s="32">
        <f ca="1">Model!$F$15+RAND()*(Model!$G$15-Model!$F$15)</f>
        <v>1.6594892659041592E-2</v>
      </c>
      <c r="D2574" s="33">
        <f ca="1">Model!$F$16+RAND()*(Model!$G$16-Model!$F$16)</f>
        <v>52.473344574741773</v>
      </c>
      <c r="E2574" s="33">
        <f>Model!$D$17</f>
        <v>800</v>
      </c>
      <c r="G2574" s="36">
        <f t="shared" ca="1" si="42"/>
        <v>207.75625723661688</v>
      </c>
    </row>
    <row r="2575" spans="1:7" x14ac:dyDescent="0.2">
      <c r="A2575" s="6">
        <f ca="1">Model!$F$13+RAND()*(Model!$G$13-Model!$F$13)</f>
        <v>1793.7520296854616</v>
      </c>
      <c r="B2575" s="31">
        <f ca="1">Model!$F$14+RAND()*(Model!$G$14-Model!$F$14)</f>
        <v>0.64964168167540692</v>
      </c>
      <c r="C2575" s="32">
        <f ca="1">Model!$F$15+RAND()*(Model!$G$15-Model!$F$15)</f>
        <v>2.1577036782159123E-2</v>
      </c>
      <c r="D2575" s="33">
        <f ca="1">Model!$F$16+RAND()*(Model!$G$16-Model!$F$16)</f>
        <v>49.689829945128096</v>
      </c>
      <c r="E2575" s="33">
        <f>Model!$D$17</f>
        <v>800</v>
      </c>
      <c r="G2575" s="36">
        <f t="shared" ca="1" si="42"/>
        <v>-42.108185314605862</v>
      </c>
    </row>
    <row r="2576" spans="1:7" x14ac:dyDescent="0.2">
      <c r="A2576" s="6">
        <f ca="1">Model!$F$13+RAND()*(Model!$G$13-Model!$F$13)</f>
        <v>1239.7964786307878</v>
      </c>
      <c r="B2576" s="31">
        <f ca="1">Model!$F$14+RAND()*(Model!$G$14-Model!$F$14)</f>
        <v>0.36921083025065837</v>
      </c>
      <c r="C2576" s="32">
        <f ca="1">Model!$F$15+RAND()*(Model!$G$15-Model!$F$15)</f>
        <v>4.5130859538762454E-2</v>
      </c>
      <c r="D2576" s="33">
        <f ca="1">Model!$F$16+RAND()*(Model!$G$16-Model!$F$16)</f>
        <v>50.789574868925968</v>
      </c>
      <c r="E2576" s="33">
        <f>Model!$D$17</f>
        <v>800</v>
      </c>
      <c r="G2576" s="36">
        <f t="shared" ca="1" si="42"/>
        <v>1584.0868958561491</v>
      </c>
    </row>
    <row r="2577" spans="1:7" x14ac:dyDescent="0.2">
      <c r="A2577" s="6">
        <f ca="1">Model!$F$13+RAND()*(Model!$G$13-Model!$F$13)</f>
        <v>1500.7845987423684</v>
      </c>
      <c r="B2577" s="31">
        <f ca="1">Model!$F$14+RAND()*(Model!$G$14-Model!$F$14)</f>
        <v>0.53329669645268807</v>
      </c>
      <c r="C2577" s="32">
        <f ca="1">Model!$F$15+RAND()*(Model!$G$15-Model!$F$15)</f>
        <v>3.3907692717657492E-2</v>
      </c>
      <c r="D2577" s="33">
        <f ca="1">Model!$F$16+RAND()*(Model!$G$16-Model!$F$16)</f>
        <v>47.838513943771552</v>
      </c>
      <c r="E2577" s="33">
        <f>Model!$D$17</f>
        <v>800</v>
      </c>
      <c r="G2577" s="36">
        <f t="shared" ca="1" si="42"/>
        <v>834.04967033857884</v>
      </c>
    </row>
    <row r="2578" spans="1:7" x14ac:dyDescent="0.2">
      <c r="A2578" s="6">
        <f ca="1">Model!$F$13+RAND()*(Model!$G$13-Model!$F$13)</f>
        <v>1424.8847904121981</v>
      </c>
      <c r="B2578" s="31">
        <f ca="1">Model!$F$14+RAND()*(Model!$G$14-Model!$F$14)</f>
        <v>0.40340633338811438</v>
      </c>
      <c r="C2578" s="32">
        <f ca="1">Model!$F$15+RAND()*(Model!$G$15-Model!$F$15)</f>
        <v>4.4344178234561639E-2</v>
      </c>
      <c r="D2578" s="33">
        <f ca="1">Model!$F$16+RAND()*(Model!$G$16-Model!$F$16)</f>
        <v>52.667732681272774</v>
      </c>
      <c r="E2578" s="33">
        <f>Model!$D$17</f>
        <v>800</v>
      </c>
      <c r="G2578" s="36">
        <f t="shared" ca="1" si="42"/>
        <v>1953.0213168138403</v>
      </c>
    </row>
    <row r="2579" spans="1:7" x14ac:dyDescent="0.2">
      <c r="A2579" s="6">
        <f ca="1">Model!$F$13+RAND()*(Model!$G$13-Model!$F$13)</f>
        <v>1718.4199007230122</v>
      </c>
      <c r="B2579" s="31">
        <f ca="1">Model!$F$14+RAND()*(Model!$G$14-Model!$F$14)</f>
        <v>0.59663596205083125</v>
      </c>
      <c r="C2579" s="32">
        <f ca="1">Model!$F$15+RAND()*(Model!$G$15-Model!$F$15)</f>
        <v>1.9313542118738182E-2</v>
      </c>
      <c r="D2579" s="33">
        <f ca="1">Model!$F$16+RAND()*(Model!$G$16-Model!$F$16)</f>
        <v>50.841004137415403</v>
      </c>
      <c r="E2579" s="33">
        <f>Model!$D$17</f>
        <v>800</v>
      </c>
      <c r="G2579" s="36">
        <f t="shared" ca="1" si="42"/>
        <v>-137.92045696025434</v>
      </c>
    </row>
    <row r="2580" spans="1:7" x14ac:dyDescent="0.2">
      <c r="A2580" s="6">
        <f ca="1">Model!$F$13+RAND()*(Model!$G$13-Model!$F$13)</f>
        <v>1560.4515506570071</v>
      </c>
      <c r="B2580" s="31">
        <f ca="1">Model!$F$14+RAND()*(Model!$G$14-Model!$F$14)</f>
        <v>0.41518451036116516</v>
      </c>
      <c r="C2580" s="32">
        <f ca="1">Model!$F$15+RAND()*(Model!$G$15-Model!$F$15)</f>
        <v>1.2927997884535919E-2</v>
      </c>
      <c r="D2580" s="33">
        <f ca="1">Model!$F$16+RAND()*(Model!$G$16-Model!$F$16)</f>
        <v>52.955577256648397</v>
      </c>
      <c r="E2580" s="33">
        <f>Model!$D$17</f>
        <v>800</v>
      </c>
      <c r="G2580" s="36">
        <f t="shared" ca="1" si="42"/>
        <v>-379.57521552396156</v>
      </c>
    </row>
    <row r="2581" spans="1:7" x14ac:dyDescent="0.2">
      <c r="A2581" s="6">
        <f ca="1">Model!$F$13+RAND()*(Model!$G$13-Model!$F$13)</f>
        <v>1598.5739947366537</v>
      </c>
      <c r="B2581" s="31">
        <f ca="1">Model!$F$14+RAND()*(Model!$G$14-Model!$F$14)</f>
        <v>0.55626835229374916</v>
      </c>
      <c r="C2581" s="32">
        <f ca="1">Model!$F$15+RAND()*(Model!$G$15-Model!$F$15)</f>
        <v>1.2503918753374487E-2</v>
      </c>
      <c r="D2581" s="33">
        <f ca="1">Model!$F$16+RAND()*(Model!$G$16-Model!$F$16)</f>
        <v>50.970800964189763</v>
      </c>
      <c r="E2581" s="33">
        <f>Model!$D$17</f>
        <v>800</v>
      </c>
      <c r="G2581" s="36">
        <f t="shared" ca="1" si="42"/>
        <v>-670.40935830454339</v>
      </c>
    </row>
    <row r="2582" spans="1:7" x14ac:dyDescent="0.2">
      <c r="A2582" s="6">
        <f ca="1">Model!$F$13+RAND()*(Model!$G$13-Model!$F$13)</f>
        <v>1355.8952675359958</v>
      </c>
      <c r="B2582" s="31">
        <f ca="1">Model!$F$14+RAND()*(Model!$G$14-Model!$F$14)</f>
        <v>0.69138640951592389</v>
      </c>
      <c r="C2582" s="32">
        <f ca="1">Model!$F$15+RAND()*(Model!$G$15-Model!$F$15)</f>
        <v>3.8997610943257002E-2</v>
      </c>
      <c r="D2582" s="33">
        <f ca="1">Model!$F$16+RAND()*(Model!$G$16-Model!$F$16)</f>
        <v>49.444953578924498</v>
      </c>
      <c r="E2582" s="33">
        <f>Model!$D$17</f>
        <v>800</v>
      </c>
      <c r="G2582" s="36">
        <f t="shared" ca="1" si="42"/>
        <v>877.03723561672632</v>
      </c>
    </row>
    <row r="2583" spans="1:7" x14ac:dyDescent="0.2">
      <c r="A2583" s="6">
        <f ca="1">Model!$F$13+RAND()*(Model!$G$13-Model!$F$13)</f>
        <v>1493.705478034557</v>
      </c>
      <c r="B2583" s="31">
        <f ca="1">Model!$F$14+RAND()*(Model!$G$14-Model!$F$14)</f>
        <v>0.26196106934339847</v>
      </c>
      <c r="C2583" s="32">
        <f ca="1">Model!$F$15+RAND()*(Model!$G$15-Model!$F$15)</f>
        <v>2.6166532230003023E-2</v>
      </c>
      <c r="D2583" s="33">
        <f ca="1">Model!$F$16+RAND()*(Model!$G$16-Model!$F$16)</f>
        <v>50.503412325427995</v>
      </c>
      <c r="E2583" s="33">
        <f>Model!$D$17</f>
        <v>800</v>
      </c>
      <c r="G2583" s="36">
        <f t="shared" ca="1" si="42"/>
        <v>782.6378596678087</v>
      </c>
    </row>
    <row r="2584" spans="1:7" x14ac:dyDescent="0.2">
      <c r="A2584" s="6">
        <f ca="1">Model!$F$13+RAND()*(Model!$G$13-Model!$F$13)</f>
        <v>1393.8297334407757</v>
      </c>
      <c r="B2584" s="31">
        <f ca="1">Model!$F$14+RAND()*(Model!$G$14-Model!$F$14)</f>
        <v>0.71484291231095387</v>
      </c>
      <c r="C2584" s="32">
        <f ca="1">Model!$F$15+RAND()*(Model!$G$15-Model!$F$15)</f>
        <v>2.9453134200713257E-2</v>
      </c>
      <c r="D2584" s="33">
        <f ca="1">Model!$F$16+RAND()*(Model!$G$16-Model!$F$16)</f>
        <v>47.000416112292406</v>
      </c>
      <c r="E2584" s="33">
        <f>Model!$D$17</f>
        <v>800</v>
      </c>
      <c r="G2584" s="36">
        <f t="shared" ca="1" si="42"/>
        <v>133.12252361849164</v>
      </c>
    </row>
    <row r="2585" spans="1:7" x14ac:dyDescent="0.2">
      <c r="A2585" s="6">
        <f ca="1">Model!$F$13+RAND()*(Model!$G$13-Model!$F$13)</f>
        <v>1621.1855182955298</v>
      </c>
      <c r="B2585" s="31">
        <f ca="1">Model!$F$14+RAND()*(Model!$G$14-Model!$F$14)</f>
        <v>0.44102506123110918</v>
      </c>
      <c r="C2585" s="32">
        <f ca="1">Model!$F$15+RAND()*(Model!$G$15-Model!$F$15)</f>
        <v>1.1594165426555692E-2</v>
      </c>
      <c r="D2585" s="33">
        <f ca="1">Model!$F$16+RAND()*(Model!$G$16-Model!$F$16)</f>
        <v>49.375344717714313</v>
      </c>
      <c r="E2585" s="33">
        <f>Model!$D$17</f>
        <v>800</v>
      </c>
      <c r="G2585" s="36">
        <f t="shared" ca="1" si="42"/>
        <v>-586.90999192425238</v>
      </c>
    </row>
    <row r="2586" spans="1:7" x14ac:dyDescent="0.2">
      <c r="A2586" s="6">
        <f ca="1">Model!$F$13+RAND()*(Model!$G$13-Model!$F$13)</f>
        <v>1395.3432851043087</v>
      </c>
      <c r="B2586" s="31">
        <f ca="1">Model!$F$14+RAND()*(Model!$G$14-Model!$F$14)</f>
        <v>0.5007310320020294</v>
      </c>
      <c r="C2586" s="32">
        <f ca="1">Model!$F$15+RAND()*(Model!$G$15-Model!$F$15)</f>
        <v>2.4112092941468984E-2</v>
      </c>
      <c r="D2586" s="33">
        <f ca="1">Model!$F$16+RAND()*(Model!$G$16-Model!$F$16)</f>
        <v>48.102813998531204</v>
      </c>
      <c r="E2586" s="33">
        <f>Model!$D$17</f>
        <v>800</v>
      </c>
      <c r="G2586" s="36">
        <f t="shared" ca="1" si="42"/>
        <v>119.71051237046663</v>
      </c>
    </row>
    <row r="2587" spans="1:7" x14ac:dyDescent="0.2">
      <c r="A2587" s="6">
        <f ca="1">Model!$F$13+RAND()*(Model!$G$13-Model!$F$13)</f>
        <v>1475.2699897898576</v>
      </c>
      <c r="B2587" s="31">
        <f ca="1">Model!$F$14+RAND()*(Model!$G$14-Model!$F$14)</f>
        <v>0.44004491871691287</v>
      </c>
      <c r="C2587" s="32">
        <f ca="1">Model!$F$15+RAND()*(Model!$G$15-Model!$F$15)</f>
        <v>1.6575291143132578E-2</v>
      </c>
      <c r="D2587" s="33">
        <f ca="1">Model!$F$16+RAND()*(Model!$G$16-Model!$F$16)</f>
        <v>47.657510375347385</v>
      </c>
      <c r="E2587" s="33">
        <f>Model!$D$17</f>
        <v>800</v>
      </c>
      <c r="G2587" s="36">
        <f t="shared" ca="1" si="42"/>
        <v>-283.81455108668888</v>
      </c>
    </row>
    <row r="2588" spans="1:7" x14ac:dyDescent="0.2">
      <c r="A2588" s="6">
        <f ca="1">Model!$F$13+RAND()*(Model!$G$13-Model!$F$13)</f>
        <v>1561.3740316117628</v>
      </c>
      <c r="B2588" s="31">
        <f ca="1">Model!$F$14+RAND()*(Model!$G$14-Model!$F$14)</f>
        <v>0.27786369043222819</v>
      </c>
      <c r="C2588" s="32">
        <f ca="1">Model!$F$15+RAND()*(Model!$G$15-Model!$F$15)</f>
        <v>3.0208516448499097E-2</v>
      </c>
      <c r="D2588" s="33">
        <f ca="1">Model!$F$16+RAND()*(Model!$G$16-Model!$F$16)</f>
        <v>48.75846305597377</v>
      </c>
      <c r="E2588" s="33">
        <f>Model!$D$17</f>
        <v>800</v>
      </c>
      <c r="G2588" s="36">
        <f t="shared" ca="1" si="42"/>
        <v>1065.9311890564652</v>
      </c>
    </row>
    <row r="2589" spans="1:7" x14ac:dyDescent="0.2">
      <c r="A2589" s="6">
        <f ca="1">Model!$F$13+RAND()*(Model!$G$13-Model!$F$13)</f>
        <v>1273.9615431319655</v>
      </c>
      <c r="B2589" s="31">
        <f ca="1">Model!$F$14+RAND()*(Model!$G$14-Model!$F$14)</f>
        <v>0.32986980001109695</v>
      </c>
      <c r="C2589" s="32">
        <f ca="1">Model!$F$15+RAND()*(Model!$G$15-Model!$F$15)</f>
        <v>4.3278626327869454E-2</v>
      </c>
      <c r="D2589" s="33">
        <f ca="1">Model!$F$16+RAND()*(Model!$G$16-Model!$F$16)</f>
        <v>49.522010034620074</v>
      </c>
      <c r="E2589" s="33">
        <f>Model!$D$17</f>
        <v>800</v>
      </c>
      <c r="G2589" s="36">
        <f t="shared" ca="1" si="42"/>
        <v>1510.1697168034343</v>
      </c>
    </row>
    <row r="2590" spans="1:7" x14ac:dyDescent="0.2">
      <c r="A2590" s="6">
        <f ca="1">Model!$F$13+RAND()*(Model!$G$13-Model!$F$13)</f>
        <v>1392.141629729284</v>
      </c>
      <c r="B2590" s="31">
        <f ca="1">Model!$F$14+RAND()*(Model!$G$14-Model!$F$14)</f>
        <v>0.41422033711430206</v>
      </c>
      <c r="C2590" s="32">
        <f ca="1">Model!$F$15+RAND()*(Model!$G$15-Model!$F$15)</f>
        <v>2.8555971545227814E-2</v>
      </c>
      <c r="D2590" s="33">
        <f ca="1">Model!$F$16+RAND()*(Model!$G$16-Model!$F$16)</f>
        <v>49.369400197742799</v>
      </c>
      <c r="E2590" s="33">
        <f>Model!$D$17</f>
        <v>800</v>
      </c>
      <c r="G2590" s="36">
        <f t="shared" ca="1" si="42"/>
        <v>585.9756258212567</v>
      </c>
    </row>
    <row r="2591" spans="1:7" x14ac:dyDescent="0.2">
      <c r="A2591" s="6">
        <f ca="1">Model!$F$13+RAND()*(Model!$G$13-Model!$F$13)</f>
        <v>1755.0082784575716</v>
      </c>
      <c r="B2591" s="31">
        <f ca="1">Model!$F$14+RAND()*(Model!$G$14-Model!$F$14)</f>
        <v>0.40061505936995201</v>
      </c>
      <c r="C2591" s="32">
        <f ca="1">Model!$F$15+RAND()*(Model!$G$15-Model!$F$15)</f>
        <v>3.8637688464499907E-2</v>
      </c>
      <c r="D2591" s="33">
        <f ca="1">Model!$F$16+RAND()*(Model!$G$16-Model!$F$16)</f>
        <v>47.382028712211273</v>
      </c>
      <c r="E2591" s="33">
        <f>Model!$D$17</f>
        <v>800</v>
      </c>
      <c r="G2591" s="36">
        <f t="shared" ca="1" si="42"/>
        <v>1709.8671826368891</v>
      </c>
    </row>
    <row r="2592" spans="1:7" x14ac:dyDescent="0.2">
      <c r="A2592" s="6">
        <f ca="1">Model!$F$13+RAND()*(Model!$G$13-Model!$F$13)</f>
        <v>1501.5132220539613</v>
      </c>
      <c r="B2592" s="31">
        <f ca="1">Model!$F$14+RAND()*(Model!$G$14-Model!$F$14)</f>
        <v>0.71115690525162245</v>
      </c>
      <c r="C2592" s="32">
        <f ca="1">Model!$F$15+RAND()*(Model!$G$15-Model!$F$15)</f>
        <v>4.0292234527829984E-2</v>
      </c>
      <c r="D2592" s="33">
        <f ca="1">Model!$F$16+RAND()*(Model!$G$16-Model!$F$16)</f>
        <v>51.792429488099579</v>
      </c>
      <c r="E2592" s="33">
        <f>Model!$D$17</f>
        <v>800</v>
      </c>
      <c r="G2592" s="36">
        <f t="shared" ca="1" si="42"/>
        <v>1265.5954186489473</v>
      </c>
    </row>
    <row r="2593" spans="1:7" x14ac:dyDescent="0.2">
      <c r="A2593" s="6">
        <f ca="1">Model!$F$13+RAND()*(Model!$G$13-Model!$F$13)</f>
        <v>1351.05008713184</v>
      </c>
      <c r="B2593" s="31">
        <f ca="1">Model!$F$14+RAND()*(Model!$G$14-Model!$F$14)</f>
        <v>0.75299476595132453</v>
      </c>
      <c r="C2593" s="32">
        <f ca="1">Model!$F$15+RAND()*(Model!$G$15-Model!$F$15)</f>
        <v>1.8218255884494591E-2</v>
      </c>
      <c r="D2593" s="33">
        <f ca="1">Model!$F$16+RAND()*(Model!$G$16-Model!$F$16)</f>
        <v>50.530555026647676</v>
      </c>
      <c r="E2593" s="33">
        <f>Model!$D$17</f>
        <v>800</v>
      </c>
      <c r="G2593" s="36">
        <f t="shared" ca="1" si="42"/>
        <v>-573.58587145376464</v>
      </c>
    </row>
    <row r="2594" spans="1:7" x14ac:dyDescent="0.2">
      <c r="A2594" s="6">
        <f ca="1">Model!$F$13+RAND()*(Model!$G$13-Model!$F$13)</f>
        <v>1683.8869089339312</v>
      </c>
      <c r="B2594" s="31">
        <f ca="1">Model!$F$14+RAND()*(Model!$G$14-Model!$F$14)</f>
        <v>0.62174928072008506</v>
      </c>
      <c r="C2594" s="32">
        <f ca="1">Model!$F$15+RAND()*(Model!$G$15-Model!$F$15)</f>
        <v>1.6107523014245007E-2</v>
      </c>
      <c r="D2594" s="33">
        <f ca="1">Model!$F$16+RAND()*(Model!$G$16-Model!$F$16)</f>
        <v>51.047919299813891</v>
      </c>
      <c r="E2594" s="33">
        <f>Model!$D$17</f>
        <v>800</v>
      </c>
      <c r="G2594" s="36">
        <f t="shared" ca="1" si="42"/>
        <v>-462.37014334105879</v>
      </c>
    </row>
    <row r="2595" spans="1:7" x14ac:dyDescent="0.2">
      <c r="A2595" s="6">
        <f ca="1">Model!$F$13+RAND()*(Model!$G$13-Model!$F$13)</f>
        <v>1320.1366982404261</v>
      </c>
      <c r="B2595" s="31">
        <f ca="1">Model!$F$14+RAND()*(Model!$G$14-Model!$F$14)</f>
        <v>0.66255288770987097</v>
      </c>
      <c r="C2595" s="32">
        <f ca="1">Model!$F$15+RAND()*(Model!$G$15-Model!$F$15)</f>
        <v>3.1609757973783174E-2</v>
      </c>
      <c r="D2595" s="33">
        <f ca="1">Model!$F$16+RAND()*(Model!$G$16-Model!$F$16)</f>
        <v>47.084020615426979</v>
      </c>
      <c r="E2595" s="33">
        <f>Model!$D$17</f>
        <v>800</v>
      </c>
      <c r="G2595" s="36">
        <f t="shared" ca="1" si="42"/>
        <v>290.11820321571554</v>
      </c>
    </row>
    <row r="2596" spans="1:7" x14ac:dyDescent="0.2">
      <c r="A2596" s="6">
        <f ca="1">Model!$F$13+RAND()*(Model!$G$13-Model!$F$13)</f>
        <v>1456.4190058796025</v>
      </c>
      <c r="B2596" s="31">
        <f ca="1">Model!$F$14+RAND()*(Model!$G$14-Model!$F$14)</f>
        <v>0.38570815245153811</v>
      </c>
      <c r="C2596" s="32">
        <f ca="1">Model!$F$15+RAND()*(Model!$G$15-Model!$F$15)</f>
        <v>1.0030392133121837E-2</v>
      </c>
      <c r="D2596" s="33">
        <f ca="1">Model!$F$16+RAND()*(Model!$G$16-Model!$F$16)</f>
        <v>52.610398061567707</v>
      </c>
      <c r="E2596" s="33">
        <f>Model!$D$17</f>
        <v>800</v>
      </c>
      <c r="G2596" s="36">
        <f t="shared" ca="1" si="42"/>
        <v>-593.19611767487447</v>
      </c>
    </row>
    <row r="2597" spans="1:7" x14ac:dyDescent="0.2">
      <c r="A2597" s="6">
        <f ca="1">Model!$F$13+RAND()*(Model!$G$13-Model!$F$13)</f>
        <v>1569.1513590320387</v>
      </c>
      <c r="B2597" s="31">
        <f ca="1">Model!$F$14+RAND()*(Model!$G$14-Model!$F$14)</f>
        <v>0.4953610538331763</v>
      </c>
      <c r="C2597" s="32">
        <f ca="1">Model!$F$15+RAND()*(Model!$G$15-Model!$F$15)</f>
        <v>4.3632247795345989E-2</v>
      </c>
      <c r="D2597" s="33">
        <f ca="1">Model!$F$16+RAND()*(Model!$G$16-Model!$F$16)</f>
        <v>52.81654285451431</v>
      </c>
      <c r="E2597" s="33">
        <f>Model!$D$17</f>
        <v>800</v>
      </c>
      <c r="G2597" s="36">
        <f t="shared" ca="1" si="42"/>
        <v>2038.8198745179006</v>
      </c>
    </row>
    <row r="2598" spans="1:7" x14ac:dyDescent="0.2">
      <c r="A2598" s="6">
        <f ca="1">Model!$F$13+RAND()*(Model!$G$13-Model!$F$13)</f>
        <v>1289.7773881085654</v>
      </c>
      <c r="B2598" s="31">
        <f ca="1">Model!$F$14+RAND()*(Model!$G$14-Model!$F$14)</f>
        <v>0.36145207465499996</v>
      </c>
      <c r="C2598" s="32">
        <f ca="1">Model!$F$15+RAND()*(Model!$G$15-Model!$F$15)</f>
        <v>3.2244666468215978E-2</v>
      </c>
      <c r="D2598" s="33">
        <f ca="1">Model!$F$16+RAND()*(Model!$G$16-Model!$F$16)</f>
        <v>49.024029749750262</v>
      </c>
      <c r="E2598" s="33">
        <f>Model!$D$17</f>
        <v>800</v>
      </c>
      <c r="G2598" s="36">
        <f t="shared" ca="1" si="42"/>
        <v>772.64029026411845</v>
      </c>
    </row>
    <row r="2599" spans="1:7" x14ac:dyDescent="0.2">
      <c r="A2599" s="6">
        <f ca="1">Model!$F$13+RAND()*(Model!$G$13-Model!$F$13)</f>
        <v>1619.6387612995761</v>
      </c>
      <c r="B2599" s="31">
        <f ca="1">Model!$F$14+RAND()*(Model!$G$14-Model!$F$14)</f>
        <v>0.51894022461699918</v>
      </c>
      <c r="C2599" s="32">
        <f ca="1">Model!$F$15+RAND()*(Model!$G$15-Model!$F$15)</f>
        <v>1.5037612746566911E-2</v>
      </c>
      <c r="D2599" s="33">
        <f ca="1">Model!$F$16+RAND()*(Model!$G$16-Model!$F$16)</f>
        <v>51.712174807426983</v>
      </c>
      <c r="E2599" s="33">
        <f>Model!$D$17</f>
        <v>800</v>
      </c>
      <c r="G2599" s="36">
        <f t="shared" ca="1" si="42"/>
        <v>-381.01980415245089</v>
      </c>
    </row>
    <row r="2600" spans="1:7" x14ac:dyDescent="0.2">
      <c r="A2600" s="6">
        <f ca="1">Model!$F$13+RAND()*(Model!$G$13-Model!$F$13)</f>
        <v>1307.2948457633477</v>
      </c>
      <c r="B2600" s="31">
        <f ca="1">Model!$F$14+RAND()*(Model!$G$14-Model!$F$14)</f>
        <v>0.44697653247150992</v>
      </c>
      <c r="C2600" s="32">
        <f ca="1">Model!$F$15+RAND()*(Model!$G$15-Model!$F$15)</f>
        <v>1.1598833175931276E-2</v>
      </c>
      <c r="D2600" s="33">
        <f ca="1">Model!$F$16+RAND()*(Model!$G$16-Model!$F$16)</f>
        <v>47.77687436575993</v>
      </c>
      <c r="E2600" s="33">
        <f>Model!$D$17</f>
        <v>800</v>
      </c>
      <c r="G2600" s="36">
        <f t="shared" ca="1" si="42"/>
        <v>-659.88484049499959</v>
      </c>
    </row>
    <row r="2601" spans="1:7" x14ac:dyDescent="0.2">
      <c r="A2601" s="6">
        <f ca="1">Model!$F$13+RAND()*(Model!$G$13-Model!$F$13)</f>
        <v>1478.702459437799</v>
      </c>
      <c r="B2601" s="31">
        <f ca="1">Model!$F$14+RAND()*(Model!$G$14-Model!$F$14)</f>
        <v>0.4265273331762775</v>
      </c>
      <c r="C2601" s="32">
        <f ca="1">Model!$F$15+RAND()*(Model!$G$15-Model!$F$15)</f>
        <v>3.5575781654898393E-2</v>
      </c>
      <c r="D2601" s="33">
        <f ca="1">Model!$F$16+RAND()*(Model!$G$16-Model!$F$16)</f>
        <v>50.352369032454142</v>
      </c>
      <c r="E2601" s="33">
        <f>Model!$D$17</f>
        <v>800</v>
      </c>
      <c r="G2601" s="36">
        <f t="shared" ref="G2601:G2664" ca="1" si="43">A2601*C2601*D2601-(E2601+A2601*B2601)</f>
        <v>1218.1294987425472</v>
      </c>
    </row>
    <row r="2602" spans="1:7" x14ac:dyDescent="0.2">
      <c r="A2602" s="6">
        <f ca="1">Model!$F$13+RAND()*(Model!$G$13-Model!$F$13)</f>
        <v>1670.985718775702</v>
      </c>
      <c r="B2602" s="31">
        <f ca="1">Model!$F$14+RAND()*(Model!$G$14-Model!$F$14)</f>
        <v>0.61523927770103481</v>
      </c>
      <c r="C2602" s="32">
        <f ca="1">Model!$F$15+RAND()*(Model!$G$15-Model!$F$15)</f>
        <v>4.0629978996742422E-2</v>
      </c>
      <c r="D2602" s="33">
        <f ca="1">Model!$F$16+RAND()*(Model!$G$16-Model!$F$16)</f>
        <v>51.010890383968444</v>
      </c>
      <c r="E2602" s="33">
        <f>Model!$D$17</f>
        <v>800</v>
      </c>
      <c r="G2602" s="36">
        <f t="shared" ca="1" si="43"/>
        <v>1635.1811720721234</v>
      </c>
    </row>
    <row r="2603" spans="1:7" x14ac:dyDescent="0.2">
      <c r="A2603" s="6">
        <f ca="1">Model!$F$13+RAND()*(Model!$G$13-Model!$F$13)</f>
        <v>1645.4753453889361</v>
      </c>
      <c r="B2603" s="31">
        <f ca="1">Model!$F$14+RAND()*(Model!$G$14-Model!$F$14)</f>
        <v>0.50701166524367736</v>
      </c>
      <c r="C2603" s="32">
        <f ca="1">Model!$F$15+RAND()*(Model!$G$15-Model!$F$15)</f>
        <v>1.3989185668951371E-2</v>
      </c>
      <c r="D2603" s="33">
        <f ca="1">Model!$F$16+RAND()*(Model!$G$16-Model!$F$16)</f>
        <v>48.340360019874282</v>
      </c>
      <c r="E2603" s="33">
        <f>Model!$D$17</f>
        <v>800</v>
      </c>
      <c r="G2603" s="36">
        <f t="shared" ca="1" si="43"/>
        <v>-521.53520951929136</v>
      </c>
    </row>
    <row r="2604" spans="1:7" x14ac:dyDescent="0.2">
      <c r="A2604" s="6">
        <f ca="1">Model!$F$13+RAND()*(Model!$G$13-Model!$F$13)</f>
        <v>1228.2535279184601</v>
      </c>
      <c r="B2604" s="31">
        <f ca="1">Model!$F$14+RAND()*(Model!$G$14-Model!$F$14)</f>
        <v>0.24926861933129077</v>
      </c>
      <c r="C2604" s="32">
        <f ca="1">Model!$F$15+RAND()*(Model!$G$15-Model!$F$15)</f>
        <v>2.7713094569010055E-2</v>
      </c>
      <c r="D2604" s="33">
        <f ca="1">Model!$F$16+RAND()*(Model!$G$16-Model!$F$16)</f>
        <v>49.958606574295558</v>
      </c>
      <c r="E2604" s="33">
        <f>Model!$D$17</f>
        <v>800</v>
      </c>
      <c r="G2604" s="36">
        <f t="shared" ca="1" si="43"/>
        <v>594.36126894811878</v>
      </c>
    </row>
    <row r="2605" spans="1:7" x14ac:dyDescent="0.2">
      <c r="A2605" s="6">
        <f ca="1">Model!$F$13+RAND()*(Model!$G$13-Model!$F$13)</f>
        <v>1708.2480106886815</v>
      </c>
      <c r="B2605" s="31">
        <f ca="1">Model!$F$14+RAND()*(Model!$G$14-Model!$F$14)</f>
        <v>0.57043676462122317</v>
      </c>
      <c r="C2605" s="32">
        <f ca="1">Model!$F$15+RAND()*(Model!$G$15-Model!$F$15)</f>
        <v>1.6160030842458904E-2</v>
      </c>
      <c r="D2605" s="33">
        <f ca="1">Model!$F$16+RAND()*(Model!$G$16-Model!$F$16)</f>
        <v>48.376933184543908</v>
      </c>
      <c r="E2605" s="33">
        <f>Model!$D$17</f>
        <v>800</v>
      </c>
      <c r="G2605" s="36">
        <f t="shared" ca="1" si="43"/>
        <v>-438.98575358168387</v>
      </c>
    </row>
    <row r="2606" spans="1:7" x14ac:dyDescent="0.2">
      <c r="A2606" s="6">
        <f ca="1">Model!$F$13+RAND()*(Model!$G$13-Model!$F$13)</f>
        <v>1464.7368801555385</v>
      </c>
      <c r="B2606" s="31">
        <f ca="1">Model!$F$14+RAND()*(Model!$G$14-Model!$F$14)</f>
        <v>0.76400660621019334</v>
      </c>
      <c r="C2606" s="32">
        <f ca="1">Model!$F$15+RAND()*(Model!$G$15-Model!$F$15)</f>
        <v>3.5692162444529829E-2</v>
      </c>
      <c r="D2606" s="33">
        <f ca="1">Model!$F$16+RAND()*(Model!$G$16-Model!$F$16)</f>
        <v>47.703255537214766</v>
      </c>
      <c r="E2606" s="33">
        <f>Model!$D$17</f>
        <v>800</v>
      </c>
      <c r="G2606" s="36">
        <f t="shared" ca="1" si="43"/>
        <v>574.83973739239514</v>
      </c>
    </row>
    <row r="2607" spans="1:7" x14ac:dyDescent="0.2">
      <c r="A2607" s="6">
        <f ca="1">Model!$F$13+RAND()*(Model!$G$13-Model!$F$13)</f>
        <v>1528.3272586577507</v>
      </c>
      <c r="B2607" s="31">
        <f ca="1">Model!$F$14+RAND()*(Model!$G$14-Model!$F$14)</f>
        <v>0.68629563965661067</v>
      </c>
      <c r="C2607" s="32">
        <f ca="1">Model!$F$15+RAND()*(Model!$G$15-Model!$F$15)</f>
        <v>4.2830449189884025E-2</v>
      </c>
      <c r="D2607" s="33">
        <f ca="1">Model!$F$16+RAND()*(Model!$G$16-Model!$F$16)</f>
        <v>48.826913821070171</v>
      </c>
      <c r="E2607" s="33">
        <f>Model!$D$17</f>
        <v>800</v>
      </c>
      <c r="G2607" s="36">
        <f t="shared" ca="1" si="43"/>
        <v>1347.2738349699512</v>
      </c>
    </row>
    <row r="2608" spans="1:7" x14ac:dyDescent="0.2">
      <c r="A2608" s="6">
        <f ca="1">Model!$F$13+RAND()*(Model!$G$13-Model!$F$13)</f>
        <v>1560.4189732658369</v>
      </c>
      <c r="B2608" s="31">
        <f ca="1">Model!$F$14+RAND()*(Model!$G$14-Model!$F$14)</f>
        <v>0.24788628059252707</v>
      </c>
      <c r="C2608" s="32">
        <f ca="1">Model!$F$15+RAND()*(Model!$G$15-Model!$F$15)</f>
        <v>2.8814432737622742E-2</v>
      </c>
      <c r="D2608" s="33">
        <f ca="1">Model!$F$16+RAND()*(Model!$G$16-Model!$F$16)</f>
        <v>50.635711201558294</v>
      </c>
      <c r="E2608" s="33">
        <f>Model!$D$17</f>
        <v>800</v>
      </c>
      <c r="G2608" s="36">
        <f t="shared" ca="1" si="43"/>
        <v>1089.9061424901665</v>
      </c>
    </row>
    <row r="2609" spans="1:7" x14ac:dyDescent="0.2">
      <c r="A2609" s="6">
        <f ca="1">Model!$F$13+RAND()*(Model!$G$13-Model!$F$13)</f>
        <v>1335.9156774687838</v>
      </c>
      <c r="B2609" s="31">
        <f ca="1">Model!$F$14+RAND()*(Model!$G$14-Model!$F$14)</f>
        <v>0.32078438161534539</v>
      </c>
      <c r="C2609" s="32">
        <f ca="1">Model!$F$15+RAND()*(Model!$G$15-Model!$F$15)</f>
        <v>2.7798753876584474E-2</v>
      </c>
      <c r="D2609" s="33">
        <f ca="1">Model!$F$16+RAND()*(Model!$G$16-Model!$F$16)</f>
        <v>48.65339582006856</v>
      </c>
      <c r="E2609" s="33">
        <f>Model!$D$17</f>
        <v>800</v>
      </c>
      <c r="G2609" s="36">
        <f t="shared" ca="1" si="43"/>
        <v>578.29011325569286</v>
      </c>
    </row>
    <row r="2610" spans="1:7" x14ac:dyDescent="0.2">
      <c r="A2610" s="6">
        <f ca="1">Model!$F$13+RAND()*(Model!$G$13-Model!$F$13)</f>
        <v>1498.3918719154076</v>
      </c>
      <c r="B2610" s="31">
        <f ca="1">Model!$F$14+RAND()*(Model!$G$14-Model!$F$14)</f>
        <v>0.71548228996661067</v>
      </c>
      <c r="C2610" s="32">
        <f ca="1">Model!$F$15+RAND()*(Model!$G$15-Model!$F$15)</f>
        <v>4.6404206868401202E-2</v>
      </c>
      <c r="D2610" s="33">
        <f ca="1">Model!$F$16+RAND()*(Model!$G$16-Model!$F$16)</f>
        <v>48.211258052253299</v>
      </c>
      <c r="E2610" s="33">
        <f>Model!$D$17</f>
        <v>800</v>
      </c>
      <c r="G2610" s="36">
        <f t="shared" ca="1" si="43"/>
        <v>1480.1372277782407</v>
      </c>
    </row>
    <row r="2611" spans="1:7" x14ac:dyDescent="0.2">
      <c r="A2611" s="6">
        <f ca="1">Model!$F$13+RAND()*(Model!$G$13-Model!$F$13)</f>
        <v>1428.7629064900864</v>
      </c>
      <c r="B2611" s="31">
        <f ca="1">Model!$F$14+RAND()*(Model!$G$14-Model!$F$14)</f>
        <v>0.45081121022191162</v>
      </c>
      <c r="C2611" s="32">
        <f ca="1">Model!$F$15+RAND()*(Model!$G$15-Model!$F$15)</f>
        <v>1.5935514570064757E-2</v>
      </c>
      <c r="D2611" s="33">
        <f ca="1">Model!$F$16+RAND()*(Model!$G$16-Model!$F$16)</f>
        <v>51.84440151445574</v>
      </c>
      <c r="E2611" s="33">
        <f>Model!$D$17</f>
        <v>800</v>
      </c>
      <c r="G2611" s="36">
        <f t="shared" ca="1" si="43"/>
        <v>-263.70526263047759</v>
      </c>
    </row>
    <row r="2612" spans="1:7" x14ac:dyDescent="0.2">
      <c r="A2612" s="6">
        <f ca="1">Model!$F$13+RAND()*(Model!$G$13-Model!$F$13)</f>
        <v>1206.4295933678927</v>
      </c>
      <c r="B2612" s="31">
        <f ca="1">Model!$F$14+RAND()*(Model!$G$14-Model!$F$14)</f>
        <v>0.21895216314696467</v>
      </c>
      <c r="C2612" s="32">
        <f ca="1">Model!$F$15+RAND()*(Model!$G$15-Model!$F$15)</f>
        <v>1.5433152437990639E-2</v>
      </c>
      <c r="D2612" s="33">
        <f ca="1">Model!$F$16+RAND()*(Model!$G$16-Model!$F$16)</f>
        <v>48.020761804645282</v>
      </c>
      <c r="E2612" s="33">
        <f>Model!$D$17</f>
        <v>800</v>
      </c>
      <c r="G2612" s="36">
        <f t="shared" ca="1" si="43"/>
        <v>-170.05123749912707</v>
      </c>
    </row>
    <row r="2613" spans="1:7" x14ac:dyDescent="0.2">
      <c r="A2613" s="6">
        <f ca="1">Model!$F$13+RAND()*(Model!$G$13-Model!$F$13)</f>
        <v>1463.9385187092455</v>
      </c>
      <c r="B2613" s="31">
        <f ca="1">Model!$F$14+RAND()*(Model!$G$14-Model!$F$14)</f>
        <v>0.72552684985235749</v>
      </c>
      <c r="C2613" s="32">
        <f ca="1">Model!$F$15+RAND()*(Model!$G$15-Model!$F$15)</f>
        <v>3.9945720974556294E-2</v>
      </c>
      <c r="D2613" s="33">
        <f ca="1">Model!$F$16+RAND()*(Model!$G$16-Model!$F$16)</f>
        <v>49.894435085400389</v>
      </c>
      <c r="E2613" s="33">
        <f>Model!$D$17</f>
        <v>800</v>
      </c>
      <c r="G2613" s="36">
        <f t="shared" ca="1" si="43"/>
        <v>1055.6040442784865</v>
      </c>
    </row>
    <row r="2614" spans="1:7" x14ac:dyDescent="0.2">
      <c r="A2614" s="6">
        <f ca="1">Model!$F$13+RAND()*(Model!$G$13-Model!$F$13)</f>
        <v>1424.7587795303436</v>
      </c>
      <c r="B2614" s="31">
        <f ca="1">Model!$F$14+RAND()*(Model!$G$14-Model!$F$14)</f>
        <v>0.41923076908147894</v>
      </c>
      <c r="C2614" s="32">
        <f ca="1">Model!$F$15+RAND()*(Model!$G$15-Model!$F$15)</f>
        <v>2.1682572959705073E-2</v>
      </c>
      <c r="D2614" s="33">
        <f ca="1">Model!$F$16+RAND()*(Model!$G$16-Model!$F$16)</f>
        <v>49.242270012316887</v>
      </c>
      <c r="E2614" s="33">
        <f>Model!$D$17</f>
        <v>800</v>
      </c>
      <c r="G2614" s="36">
        <f t="shared" ca="1" si="43"/>
        <v>123.91096516766788</v>
      </c>
    </row>
    <row r="2615" spans="1:7" x14ac:dyDescent="0.2">
      <c r="A2615" s="6">
        <f ca="1">Model!$F$13+RAND()*(Model!$G$13-Model!$F$13)</f>
        <v>1307.1613596895677</v>
      </c>
      <c r="B2615" s="31">
        <f ca="1">Model!$F$14+RAND()*(Model!$G$14-Model!$F$14)</f>
        <v>0.58863301011595559</v>
      </c>
      <c r="C2615" s="32">
        <f ca="1">Model!$F$15+RAND()*(Model!$G$15-Model!$F$15)</f>
        <v>1.8163331859953794E-2</v>
      </c>
      <c r="D2615" s="33">
        <f ca="1">Model!$F$16+RAND()*(Model!$G$16-Model!$F$16)</f>
        <v>51.487734704228622</v>
      </c>
      <c r="E2615" s="33">
        <f>Model!$D$17</f>
        <v>800</v>
      </c>
      <c r="G2615" s="36">
        <f t="shared" ca="1" si="43"/>
        <v>-346.99564660465512</v>
      </c>
    </row>
    <row r="2616" spans="1:7" x14ac:dyDescent="0.2">
      <c r="A2616" s="6">
        <f ca="1">Model!$F$13+RAND()*(Model!$G$13-Model!$F$13)</f>
        <v>1770.5156718171811</v>
      </c>
      <c r="B2616" s="31">
        <f ca="1">Model!$F$14+RAND()*(Model!$G$14-Model!$F$14)</f>
        <v>0.62088333501632886</v>
      </c>
      <c r="C2616" s="32">
        <f ca="1">Model!$F$15+RAND()*(Model!$G$15-Model!$F$15)</f>
        <v>2.9409665340000057E-2</v>
      </c>
      <c r="D2616" s="33">
        <f ca="1">Model!$F$16+RAND()*(Model!$G$16-Model!$F$16)</f>
        <v>49.661835178890705</v>
      </c>
      <c r="E2616" s="33">
        <f>Model!$D$17</f>
        <v>800</v>
      </c>
      <c r="G2616" s="36">
        <f t="shared" ca="1" si="43"/>
        <v>686.62165966675411</v>
      </c>
    </row>
    <row r="2617" spans="1:7" x14ac:dyDescent="0.2">
      <c r="A2617" s="6">
        <f ca="1">Model!$F$13+RAND()*(Model!$G$13-Model!$F$13)</f>
        <v>1223.6217688010461</v>
      </c>
      <c r="B2617" s="31">
        <f ca="1">Model!$F$14+RAND()*(Model!$G$14-Model!$F$14)</f>
        <v>0.46822248953479179</v>
      </c>
      <c r="C2617" s="32">
        <f ca="1">Model!$F$15+RAND()*(Model!$G$15-Model!$F$15)</f>
        <v>1.4348797866827275E-2</v>
      </c>
      <c r="D2617" s="33">
        <f ca="1">Model!$F$16+RAND()*(Model!$G$16-Model!$F$16)</f>
        <v>49.802726527400154</v>
      </c>
      <c r="E2617" s="33">
        <f>Model!$D$17</f>
        <v>800</v>
      </c>
      <c r="G2617" s="36">
        <f t="shared" ca="1" si="43"/>
        <v>-498.51578881467674</v>
      </c>
    </row>
    <row r="2618" spans="1:7" x14ac:dyDescent="0.2">
      <c r="A2618" s="6">
        <f ca="1">Model!$F$13+RAND()*(Model!$G$13-Model!$F$13)</f>
        <v>1522.3727220731466</v>
      </c>
      <c r="B2618" s="31">
        <f ca="1">Model!$F$14+RAND()*(Model!$G$14-Model!$F$14)</f>
        <v>0.78540947274446493</v>
      </c>
      <c r="C2618" s="32">
        <f ca="1">Model!$F$15+RAND()*(Model!$G$15-Model!$F$15)</f>
        <v>2.8009759634376866E-2</v>
      </c>
      <c r="D2618" s="33">
        <f ca="1">Model!$F$16+RAND()*(Model!$G$16-Model!$F$16)</f>
        <v>52.923077533057011</v>
      </c>
      <c r="E2618" s="33">
        <f>Model!$D$17</f>
        <v>800</v>
      </c>
      <c r="G2618" s="36">
        <f t="shared" ca="1" si="43"/>
        <v>261.02255252402119</v>
      </c>
    </row>
    <row r="2619" spans="1:7" x14ac:dyDescent="0.2">
      <c r="A2619" s="6">
        <f ca="1">Model!$F$13+RAND()*(Model!$G$13-Model!$F$13)</f>
        <v>1476.051048347251</v>
      </c>
      <c r="B2619" s="31">
        <f ca="1">Model!$F$14+RAND()*(Model!$G$14-Model!$F$14)</f>
        <v>0.77989870622007196</v>
      </c>
      <c r="C2619" s="32">
        <f ca="1">Model!$F$15+RAND()*(Model!$G$15-Model!$F$15)</f>
        <v>4.9133643754065606E-2</v>
      </c>
      <c r="D2619" s="33">
        <f ca="1">Model!$F$16+RAND()*(Model!$G$16-Model!$F$16)</f>
        <v>49.9826865436684</v>
      </c>
      <c r="E2619" s="33">
        <f>Model!$D$17</f>
        <v>800</v>
      </c>
      <c r="G2619" s="36">
        <f t="shared" ca="1" si="43"/>
        <v>1673.762378632553</v>
      </c>
    </row>
    <row r="2620" spans="1:7" x14ac:dyDescent="0.2">
      <c r="A2620" s="6">
        <f ca="1">Model!$F$13+RAND()*(Model!$G$13-Model!$F$13)</f>
        <v>1312.7973842405786</v>
      </c>
      <c r="B2620" s="31">
        <f ca="1">Model!$F$14+RAND()*(Model!$G$14-Model!$F$14)</f>
        <v>0.69914067730646645</v>
      </c>
      <c r="C2620" s="32">
        <f ca="1">Model!$F$15+RAND()*(Model!$G$15-Model!$F$15)</f>
        <v>4.9727648835864405E-2</v>
      </c>
      <c r="D2620" s="33">
        <f ca="1">Model!$F$16+RAND()*(Model!$G$16-Model!$F$16)</f>
        <v>52.134207952279723</v>
      </c>
      <c r="E2620" s="33">
        <f>Model!$D$17</f>
        <v>800</v>
      </c>
      <c r="G2620" s="36">
        <f t="shared" ca="1" si="43"/>
        <v>1685.6123755251963</v>
      </c>
    </row>
    <row r="2621" spans="1:7" x14ac:dyDescent="0.2">
      <c r="A2621" s="6">
        <f ca="1">Model!$F$13+RAND()*(Model!$G$13-Model!$F$13)</f>
        <v>1320.6957621906058</v>
      </c>
      <c r="B2621" s="31">
        <f ca="1">Model!$F$14+RAND()*(Model!$G$14-Model!$F$14)</f>
        <v>0.2981877996661485</v>
      </c>
      <c r="C2621" s="32">
        <f ca="1">Model!$F$15+RAND()*(Model!$G$15-Model!$F$15)</f>
        <v>3.3308911931625752E-2</v>
      </c>
      <c r="D2621" s="33">
        <f ca="1">Model!$F$16+RAND()*(Model!$G$16-Model!$F$16)</f>
        <v>48.005088438106974</v>
      </c>
      <c r="E2621" s="33">
        <f>Model!$D$17</f>
        <v>800</v>
      </c>
      <c r="G2621" s="36">
        <f t="shared" ca="1" si="43"/>
        <v>917.9735457148422</v>
      </c>
    </row>
    <row r="2622" spans="1:7" x14ac:dyDescent="0.2">
      <c r="A2622" s="6">
        <f ca="1">Model!$F$13+RAND()*(Model!$G$13-Model!$F$13)</f>
        <v>1625.3593609594409</v>
      </c>
      <c r="B2622" s="31">
        <f ca="1">Model!$F$14+RAND()*(Model!$G$14-Model!$F$14)</f>
        <v>0.47011446423493919</v>
      </c>
      <c r="C2622" s="32">
        <f ca="1">Model!$F$15+RAND()*(Model!$G$15-Model!$F$15)</f>
        <v>3.5049299919601887E-2</v>
      </c>
      <c r="D2622" s="33">
        <f ca="1">Model!$F$16+RAND()*(Model!$G$16-Model!$F$16)</f>
        <v>47.333468093423683</v>
      </c>
      <c r="E2622" s="33">
        <f>Model!$D$17</f>
        <v>800</v>
      </c>
      <c r="G2622" s="36">
        <f t="shared" ca="1" si="43"/>
        <v>1132.3742305250109</v>
      </c>
    </row>
    <row r="2623" spans="1:7" x14ac:dyDescent="0.2">
      <c r="A2623" s="6">
        <f ca="1">Model!$F$13+RAND()*(Model!$G$13-Model!$F$13)</f>
        <v>1659.6781915207953</v>
      </c>
      <c r="B2623" s="31">
        <f ca="1">Model!$F$14+RAND()*(Model!$G$14-Model!$F$14)</f>
        <v>0.3812179758051043</v>
      </c>
      <c r="C2623" s="32">
        <f ca="1">Model!$F$15+RAND()*(Model!$G$15-Model!$F$15)</f>
        <v>2.5143239598325325E-2</v>
      </c>
      <c r="D2623" s="33">
        <f ca="1">Model!$F$16+RAND()*(Model!$G$16-Model!$F$16)</f>
        <v>52.171776416572712</v>
      </c>
      <c r="E2623" s="33">
        <f>Model!$D$17</f>
        <v>800</v>
      </c>
      <c r="G2623" s="36">
        <f t="shared" ca="1" si="43"/>
        <v>744.41270946662189</v>
      </c>
    </row>
    <row r="2624" spans="1:7" x14ac:dyDescent="0.2">
      <c r="A2624" s="6">
        <f ca="1">Model!$F$13+RAND()*(Model!$G$13-Model!$F$13)</f>
        <v>1320.9325638265268</v>
      </c>
      <c r="B2624" s="31">
        <f ca="1">Model!$F$14+RAND()*(Model!$G$14-Model!$F$14)</f>
        <v>0.5612484307609158</v>
      </c>
      <c r="C2624" s="32">
        <f ca="1">Model!$F$15+RAND()*(Model!$G$15-Model!$F$15)</f>
        <v>4.5277167808245734E-2</v>
      </c>
      <c r="D2624" s="33">
        <f ca="1">Model!$F$16+RAND()*(Model!$G$16-Model!$F$16)</f>
        <v>49.495192205025084</v>
      </c>
      <c r="E2624" s="33">
        <f>Model!$D$17</f>
        <v>800</v>
      </c>
      <c r="G2624" s="36">
        <f t="shared" ca="1" si="43"/>
        <v>1418.8413515087568</v>
      </c>
    </row>
    <row r="2625" spans="1:7" x14ac:dyDescent="0.2">
      <c r="A2625" s="6">
        <f ca="1">Model!$F$13+RAND()*(Model!$G$13-Model!$F$13)</f>
        <v>1685.7274165111633</v>
      </c>
      <c r="B2625" s="31">
        <f ca="1">Model!$F$14+RAND()*(Model!$G$14-Model!$F$14)</f>
        <v>0.7580246916888711</v>
      </c>
      <c r="C2625" s="32">
        <f ca="1">Model!$F$15+RAND()*(Model!$G$15-Model!$F$15)</f>
        <v>2.917610620468418E-2</v>
      </c>
      <c r="D2625" s="33">
        <f ca="1">Model!$F$16+RAND()*(Model!$G$16-Model!$F$16)</f>
        <v>51.403716622355056</v>
      </c>
      <c r="E2625" s="33">
        <f>Model!$D$17</f>
        <v>800</v>
      </c>
      <c r="G2625" s="36">
        <f t="shared" ca="1" si="43"/>
        <v>450.36404312887953</v>
      </c>
    </row>
    <row r="2626" spans="1:7" x14ac:dyDescent="0.2">
      <c r="A2626" s="6">
        <f ca="1">Model!$F$13+RAND()*(Model!$G$13-Model!$F$13)</f>
        <v>1755.9704022864637</v>
      </c>
      <c r="B2626" s="31">
        <f ca="1">Model!$F$14+RAND()*(Model!$G$14-Model!$F$14)</f>
        <v>0.5304509917586806</v>
      </c>
      <c r="C2626" s="32">
        <f ca="1">Model!$F$15+RAND()*(Model!$G$15-Model!$F$15)</f>
        <v>1.6156208320841373E-2</v>
      </c>
      <c r="D2626" s="33">
        <f ca="1">Model!$F$16+RAND()*(Model!$G$16-Model!$F$16)</f>
        <v>50.265872819940952</v>
      </c>
      <c r="E2626" s="33">
        <f>Model!$D$17</f>
        <v>800</v>
      </c>
      <c r="G2626" s="36">
        <f t="shared" ca="1" si="43"/>
        <v>-305.42229515486474</v>
      </c>
    </row>
    <row r="2627" spans="1:7" x14ac:dyDescent="0.2">
      <c r="A2627" s="6">
        <f ca="1">Model!$F$13+RAND()*(Model!$G$13-Model!$F$13)</f>
        <v>1673.0827880666147</v>
      </c>
      <c r="B2627" s="31">
        <f ca="1">Model!$F$14+RAND()*(Model!$G$14-Model!$F$14)</f>
        <v>0.64420736992624972</v>
      </c>
      <c r="C2627" s="32">
        <f ca="1">Model!$F$15+RAND()*(Model!$G$15-Model!$F$15)</f>
        <v>3.6223763206358915E-2</v>
      </c>
      <c r="D2627" s="33">
        <f ca="1">Model!$F$16+RAND()*(Model!$G$16-Model!$F$16)</f>
        <v>47.092097957857504</v>
      </c>
      <c r="E2627" s="33">
        <f>Model!$D$17</f>
        <v>800</v>
      </c>
      <c r="G2627" s="36">
        <f t="shared" ca="1" si="43"/>
        <v>976.22103959678407</v>
      </c>
    </row>
    <row r="2628" spans="1:7" x14ac:dyDescent="0.2">
      <c r="A2628" s="6">
        <f ca="1">Model!$F$13+RAND()*(Model!$G$13-Model!$F$13)</f>
        <v>1266.8407722032523</v>
      </c>
      <c r="B2628" s="31">
        <f ca="1">Model!$F$14+RAND()*(Model!$G$14-Model!$F$14)</f>
        <v>0.68847332993557131</v>
      </c>
      <c r="C2628" s="32">
        <f ca="1">Model!$F$15+RAND()*(Model!$G$15-Model!$F$15)</f>
        <v>4.518673925458546E-2</v>
      </c>
      <c r="D2628" s="33">
        <f ca="1">Model!$F$16+RAND()*(Model!$G$16-Model!$F$16)</f>
        <v>47.199603000922139</v>
      </c>
      <c r="E2628" s="33">
        <f>Model!$D$17</f>
        <v>800</v>
      </c>
      <c r="G2628" s="36">
        <f t="shared" ca="1" si="43"/>
        <v>1029.7270413971642</v>
      </c>
    </row>
    <row r="2629" spans="1:7" x14ac:dyDescent="0.2">
      <c r="A2629" s="6">
        <f ca="1">Model!$F$13+RAND()*(Model!$G$13-Model!$F$13)</f>
        <v>1420.0582479223149</v>
      </c>
      <c r="B2629" s="31">
        <f ca="1">Model!$F$14+RAND()*(Model!$G$14-Model!$F$14)</f>
        <v>0.44990150350129909</v>
      </c>
      <c r="C2629" s="32">
        <f ca="1">Model!$F$15+RAND()*(Model!$G$15-Model!$F$15)</f>
        <v>3.8228685848073811E-2</v>
      </c>
      <c r="D2629" s="33">
        <f ca="1">Model!$F$16+RAND()*(Model!$G$16-Model!$F$16)</f>
        <v>49.733063759438416</v>
      </c>
      <c r="E2629" s="33">
        <f>Model!$D$17</f>
        <v>800</v>
      </c>
      <c r="G2629" s="36">
        <f t="shared" ca="1" si="43"/>
        <v>1260.9705343034429</v>
      </c>
    </row>
    <row r="2630" spans="1:7" x14ac:dyDescent="0.2">
      <c r="A2630" s="6">
        <f ca="1">Model!$F$13+RAND()*(Model!$G$13-Model!$F$13)</f>
        <v>1432.1851750374078</v>
      </c>
      <c r="B2630" s="31">
        <f ca="1">Model!$F$14+RAND()*(Model!$G$14-Model!$F$14)</f>
        <v>0.20038555439934258</v>
      </c>
      <c r="C2630" s="32">
        <f ca="1">Model!$F$15+RAND()*(Model!$G$15-Model!$F$15)</f>
        <v>4.1560765527993607E-2</v>
      </c>
      <c r="D2630" s="33">
        <f ca="1">Model!$F$16+RAND()*(Model!$G$16-Model!$F$16)</f>
        <v>51.437397521063396</v>
      </c>
      <c r="E2630" s="33">
        <f>Model!$D$17</f>
        <v>800</v>
      </c>
      <c r="G2630" s="36">
        <f t="shared" ca="1" si="43"/>
        <v>1974.7041913560856</v>
      </c>
    </row>
    <row r="2631" spans="1:7" x14ac:dyDescent="0.2">
      <c r="A2631" s="6">
        <f ca="1">Model!$F$13+RAND()*(Model!$G$13-Model!$F$13)</f>
        <v>1377.4862225973807</v>
      </c>
      <c r="B2631" s="31">
        <f ca="1">Model!$F$14+RAND()*(Model!$G$14-Model!$F$14)</f>
        <v>0.55603279623949753</v>
      </c>
      <c r="C2631" s="32">
        <f ca="1">Model!$F$15+RAND()*(Model!$G$15-Model!$F$15)</f>
        <v>4.2117011928791456E-2</v>
      </c>
      <c r="D2631" s="33">
        <f ca="1">Model!$F$16+RAND()*(Model!$G$16-Model!$F$16)</f>
        <v>49.920165108929467</v>
      </c>
      <c r="E2631" s="33">
        <f>Model!$D$17</f>
        <v>800</v>
      </c>
      <c r="G2631" s="36">
        <f t="shared" ca="1" si="43"/>
        <v>1330.2209979124877</v>
      </c>
    </row>
    <row r="2632" spans="1:7" x14ac:dyDescent="0.2">
      <c r="A2632" s="6">
        <f ca="1">Model!$F$13+RAND()*(Model!$G$13-Model!$F$13)</f>
        <v>1568.355331702267</v>
      </c>
      <c r="B2632" s="31">
        <f ca="1">Model!$F$14+RAND()*(Model!$G$14-Model!$F$14)</f>
        <v>0.69887484303105518</v>
      </c>
      <c r="C2632" s="32">
        <f ca="1">Model!$F$15+RAND()*(Model!$G$15-Model!$F$15)</f>
        <v>4.5645370560733138E-2</v>
      </c>
      <c r="D2632" s="33">
        <f ca="1">Model!$F$16+RAND()*(Model!$G$16-Model!$F$16)</f>
        <v>52.938020408116103</v>
      </c>
      <c r="E2632" s="33">
        <f>Model!$D$17</f>
        <v>800</v>
      </c>
      <c r="G2632" s="36">
        <f t="shared" ca="1" si="43"/>
        <v>1893.6514039633162</v>
      </c>
    </row>
    <row r="2633" spans="1:7" x14ac:dyDescent="0.2">
      <c r="A2633" s="6">
        <f ca="1">Model!$F$13+RAND()*(Model!$G$13-Model!$F$13)</f>
        <v>1507.14719000177</v>
      </c>
      <c r="B2633" s="31">
        <f ca="1">Model!$F$14+RAND()*(Model!$G$14-Model!$F$14)</f>
        <v>0.58066119150190532</v>
      </c>
      <c r="C2633" s="32">
        <f ca="1">Model!$F$15+RAND()*(Model!$G$15-Model!$F$15)</f>
        <v>1.8471460997068007E-2</v>
      </c>
      <c r="D2633" s="33">
        <f ca="1">Model!$F$16+RAND()*(Model!$G$16-Model!$F$16)</f>
        <v>51.871909037238808</v>
      </c>
      <c r="E2633" s="33">
        <f>Model!$D$17</f>
        <v>800</v>
      </c>
      <c r="G2633" s="36">
        <f t="shared" ca="1" si="43"/>
        <v>-231.06888647353321</v>
      </c>
    </row>
    <row r="2634" spans="1:7" x14ac:dyDescent="0.2">
      <c r="A2634" s="6">
        <f ca="1">Model!$F$13+RAND()*(Model!$G$13-Model!$F$13)</f>
        <v>1543.7110762876639</v>
      </c>
      <c r="B2634" s="31">
        <f ca="1">Model!$F$14+RAND()*(Model!$G$14-Model!$F$14)</f>
        <v>0.52826467298923985</v>
      </c>
      <c r="C2634" s="32">
        <f ca="1">Model!$F$15+RAND()*(Model!$G$15-Model!$F$15)</f>
        <v>2.3707247820532247E-2</v>
      </c>
      <c r="D2634" s="33">
        <f ca="1">Model!$F$16+RAND()*(Model!$G$16-Model!$F$16)</f>
        <v>51.934954808638523</v>
      </c>
      <c r="E2634" s="33">
        <f>Model!$D$17</f>
        <v>800</v>
      </c>
      <c r="G2634" s="36">
        <f t="shared" ca="1" si="43"/>
        <v>285.18283959253881</v>
      </c>
    </row>
    <row r="2635" spans="1:7" x14ac:dyDescent="0.2">
      <c r="A2635" s="6">
        <f ca="1">Model!$F$13+RAND()*(Model!$G$13-Model!$F$13)</f>
        <v>1277.3282643285265</v>
      </c>
      <c r="B2635" s="31">
        <f ca="1">Model!$F$14+RAND()*(Model!$G$14-Model!$F$14)</f>
        <v>0.26998650831592602</v>
      </c>
      <c r="C2635" s="32">
        <f ca="1">Model!$F$15+RAND()*(Model!$G$15-Model!$F$15)</f>
        <v>3.4110520168527697E-2</v>
      </c>
      <c r="D2635" s="33">
        <f ca="1">Model!$F$16+RAND()*(Model!$G$16-Model!$F$16)</f>
        <v>48.756415448378029</v>
      </c>
      <c r="E2635" s="33">
        <f>Model!$D$17</f>
        <v>800</v>
      </c>
      <c r="G2635" s="36">
        <f t="shared" ca="1" si="43"/>
        <v>979.47178686106668</v>
      </c>
    </row>
    <row r="2636" spans="1:7" x14ac:dyDescent="0.2">
      <c r="A2636" s="6">
        <f ca="1">Model!$F$13+RAND()*(Model!$G$13-Model!$F$13)</f>
        <v>1457.9636004994322</v>
      </c>
      <c r="B2636" s="31">
        <f ca="1">Model!$F$14+RAND()*(Model!$G$14-Model!$F$14)</f>
        <v>0.24691267569426234</v>
      </c>
      <c r="C2636" s="32">
        <f ca="1">Model!$F$15+RAND()*(Model!$G$15-Model!$F$15)</f>
        <v>1.6724896654929051E-2</v>
      </c>
      <c r="D2636" s="33">
        <f ca="1">Model!$F$16+RAND()*(Model!$G$16-Model!$F$16)</f>
        <v>52.928406098602004</v>
      </c>
      <c r="E2636" s="33">
        <f>Model!$D$17</f>
        <v>800</v>
      </c>
      <c r="G2636" s="36">
        <f t="shared" ca="1" si="43"/>
        <v>130.63193872797319</v>
      </c>
    </row>
    <row r="2637" spans="1:7" x14ac:dyDescent="0.2">
      <c r="A2637" s="6">
        <f ca="1">Model!$F$13+RAND()*(Model!$G$13-Model!$F$13)</f>
        <v>1706.4611760974549</v>
      </c>
      <c r="B2637" s="31">
        <f ca="1">Model!$F$14+RAND()*(Model!$G$14-Model!$F$14)</f>
        <v>0.79836311253391701</v>
      </c>
      <c r="C2637" s="32">
        <f ca="1">Model!$F$15+RAND()*(Model!$G$15-Model!$F$15)</f>
        <v>2.9678208516710144E-2</v>
      </c>
      <c r="D2637" s="33">
        <f ca="1">Model!$F$16+RAND()*(Model!$G$16-Model!$F$16)</f>
        <v>48.563170170470116</v>
      </c>
      <c r="E2637" s="33">
        <f>Model!$D$17</f>
        <v>800</v>
      </c>
      <c r="G2637" s="36">
        <f t="shared" ca="1" si="43"/>
        <v>297.09204361488219</v>
      </c>
    </row>
    <row r="2638" spans="1:7" x14ac:dyDescent="0.2">
      <c r="A2638" s="6">
        <f ca="1">Model!$F$13+RAND()*(Model!$G$13-Model!$F$13)</f>
        <v>1743.9683342381345</v>
      </c>
      <c r="B2638" s="31">
        <f ca="1">Model!$F$14+RAND()*(Model!$G$14-Model!$F$14)</f>
        <v>0.60407796497312838</v>
      </c>
      <c r="C2638" s="32">
        <f ca="1">Model!$F$15+RAND()*(Model!$G$15-Model!$F$15)</f>
        <v>4.464045576135061E-2</v>
      </c>
      <c r="D2638" s="33">
        <f ca="1">Model!$F$16+RAND()*(Model!$G$16-Model!$F$16)</f>
        <v>47.157345515644188</v>
      </c>
      <c r="E2638" s="33">
        <f>Model!$D$17</f>
        <v>800</v>
      </c>
      <c r="G2638" s="36">
        <f t="shared" ca="1" si="43"/>
        <v>1817.7791884476912</v>
      </c>
    </row>
    <row r="2639" spans="1:7" x14ac:dyDescent="0.2">
      <c r="A2639" s="6">
        <f ca="1">Model!$F$13+RAND()*(Model!$G$13-Model!$F$13)</f>
        <v>1703.1096771765394</v>
      </c>
      <c r="B2639" s="31">
        <f ca="1">Model!$F$14+RAND()*(Model!$G$14-Model!$F$14)</f>
        <v>0.4677999427445067</v>
      </c>
      <c r="C2639" s="32">
        <f ca="1">Model!$F$15+RAND()*(Model!$G$15-Model!$F$15)</f>
        <v>2.4653900734384206E-2</v>
      </c>
      <c r="D2639" s="33">
        <f ca="1">Model!$F$16+RAND()*(Model!$G$16-Model!$F$16)</f>
        <v>47.285541539197659</v>
      </c>
      <c r="E2639" s="33">
        <f>Model!$D$17</f>
        <v>800</v>
      </c>
      <c r="G2639" s="36">
        <f t="shared" ca="1" si="43"/>
        <v>388.72474874161389</v>
      </c>
    </row>
    <row r="2640" spans="1:7" x14ac:dyDescent="0.2">
      <c r="A2640" s="6">
        <f ca="1">Model!$F$13+RAND()*(Model!$G$13-Model!$F$13)</f>
        <v>1502.8304204040544</v>
      </c>
      <c r="B2640" s="31">
        <f ca="1">Model!$F$14+RAND()*(Model!$G$14-Model!$F$14)</f>
        <v>0.68054542812007002</v>
      </c>
      <c r="C2640" s="32">
        <f ca="1">Model!$F$15+RAND()*(Model!$G$15-Model!$F$15)</f>
        <v>2.8088090277524E-2</v>
      </c>
      <c r="D2640" s="33">
        <f ca="1">Model!$F$16+RAND()*(Model!$G$16-Model!$F$16)</f>
        <v>49.954613593266025</v>
      </c>
      <c r="E2640" s="33">
        <f>Model!$D$17</f>
        <v>800</v>
      </c>
      <c r="G2640" s="36">
        <f t="shared" ca="1" si="43"/>
        <v>285.92161965617015</v>
      </c>
    </row>
    <row r="2641" spans="1:7" x14ac:dyDescent="0.2">
      <c r="A2641" s="6">
        <f ca="1">Model!$F$13+RAND()*(Model!$G$13-Model!$F$13)</f>
        <v>1556.4507662831732</v>
      </c>
      <c r="B2641" s="31">
        <f ca="1">Model!$F$14+RAND()*(Model!$G$14-Model!$F$14)</f>
        <v>0.54213567768546922</v>
      </c>
      <c r="C2641" s="32">
        <f ca="1">Model!$F$15+RAND()*(Model!$G$15-Model!$F$15)</f>
        <v>1.9559703931771526E-2</v>
      </c>
      <c r="D2641" s="33">
        <f ca="1">Model!$F$16+RAND()*(Model!$G$16-Model!$F$16)</f>
        <v>49.095658029153256</v>
      </c>
      <c r="E2641" s="33">
        <f>Model!$D$17</f>
        <v>800</v>
      </c>
      <c r="G2641" s="36">
        <f t="shared" ca="1" si="43"/>
        <v>-149.15321260278574</v>
      </c>
    </row>
    <row r="2642" spans="1:7" x14ac:dyDescent="0.2">
      <c r="A2642" s="6">
        <f ca="1">Model!$F$13+RAND()*(Model!$G$13-Model!$F$13)</f>
        <v>1270.221124131863</v>
      </c>
      <c r="B2642" s="31">
        <f ca="1">Model!$F$14+RAND()*(Model!$G$14-Model!$F$14)</f>
        <v>0.41577530725489431</v>
      </c>
      <c r="C2642" s="32">
        <f ca="1">Model!$F$15+RAND()*(Model!$G$15-Model!$F$15)</f>
        <v>3.8302059564317266E-2</v>
      </c>
      <c r="D2642" s="33">
        <f ca="1">Model!$F$16+RAND()*(Model!$G$16-Model!$F$16)</f>
        <v>49.126728158500889</v>
      </c>
      <c r="E2642" s="33">
        <f>Model!$D$17</f>
        <v>800</v>
      </c>
      <c r="G2642" s="36">
        <f t="shared" ca="1" si="43"/>
        <v>1061.9911836527908</v>
      </c>
    </row>
    <row r="2643" spans="1:7" x14ac:dyDescent="0.2">
      <c r="A2643" s="6">
        <f ca="1">Model!$F$13+RAND()*(Model!$G$13-Model!$F$13)</f>
        <v>1704.0682994077479</v>
      </c>
      <c r="B2643" s="31">
        <f ca="1">Model!$F$14+RAND()*(Model!$G$14-Model!$F$14)</f>
        <v>0.31106970544773127</v>
      </c>
      <c r="C2643" s="32">
        <f ca="1">Model!$F$15+RAND()*(Model!$G$15-Model!$F$15)</f>
        <v>3.926736630951505E-2</v>
      </c>
      <c r="D2643" s="33">
        <f ca="1">Model!$F$16+RAND()*(Model!$G$16-Model!$F$16)</f>
        <v>47.339795682127367</v>
      </c>
      <c r="E2643" s="33">
        <f>Model!$D$17</f>
        <v>800</v>
      </c>
      <c r="G2643" s="36">
        <f t="shared" ca="1" si="43"/>
        <v>1837.6240415382217</v>
      </c>
    </row>
    <row r="2644" spans="1:7" x14ac:dyDescent="0.2">
      <c r="A2644" s="6">
        <f ca="1">Model!$F$13+RAND()*(Model!$G$13-Model!$F$13)</f>
        <v>1237.3690460380201</v>
      </c>
      <c r="B2644" s="31">
        <f ca="1">Model!$F$14+RAND()*(Model!$G$14-Model!$F$14)</f>
        <v>0.37228754748729709</v>
      </c>
      <c r="C2644" s="32">
        <f ca="1">Model!$F$15+RAND()*(Model!$G$15-Model!$F$15)</f>
        <v>3.2082255299061106E-2</v>
      </c>
      <c r="D2644" s="33">
        <f ca="1">Model!$F$16+RAND()*(Model!$G$16-Model!$F$16)</f>
        <v>50.411638730544951</v>
      </c>
      <c r="E2644" s="33">
        <f>Model!$D$17</f>
        <v>800</v>
      </c>
      <c r="G2644" s="36">
        <f t="shared" ca="1" si="43"/>
        <v>740.56345962387672</v>
      </c>
    </row>
    <row r="2645" spans="1:7" x14ac:dyDescent="0.2">
      <c r="A2645" s="6">
        <f ca="1">Model!$F$13+RAND()*(Model!$G$13-Model!$F$13)</f>
        <v>1486.441642511913</v>
      </c>
      <c r="B2645" s="31">
        <f ca="1">Model!$F$14+RAND()*(Model!$G$14-Model!$F$14)</f>
        <v>0.47103705822034297</v>
      </c>
      <c r="C2645" s="32">
        <f ca="1">Model!$F$15+RAND()*(Model!$G$15-Model!$F$15)</f>
        <v>1.6399810141891041E-2</v>
      </c>
      <c r="D2645" s="33">
        <f ca="1">Model!$F$16+RAND()*(Model!$G$16-Model!$F$16)</f>
        <v>48.503509603918907</v>
      </c>
      <c r="E2645" s="33">
        <f>Model!$D$17</f>
        <v>800</v>
      </c>
      <c r="G2645" s="36">
        <f t="shared" ca="1" si="43"/>
        <v>-317.78154850078772</v>
      </c>
    </row>
    <row r="2646" spans="1:7" x14ac:dyDescent="0.2">
      <c r="A2646" s="6">
        <f ca="1">Model!$F$13+RAND()*(Model!$G$13-Model!$F$13)</f>
        <v>1654.6245020517822</v>
      </c>
      <c r="B2646" s="31">
        <f ca="1">Model!$F$14+RAND()*(Model!$G$14-Model!$F$14)</f>
        <v>0.59234721752032393</v>
      </c>
      <c r="C2646" s="32">
        <f ca="1">Model!$F$15+RAND()*(Model!$G$15-Model!$F$15)</f>
        <v>3.6019133128887312E-2</v>
      </c>
      <c r="D2646" s="33">
        <f ca="1">Model!$F$16+RAND()*(Model!$G$16-Model!$F$16)</f>
        <v>50.807057074927563</v>
      </c>
      <c r="E2646" s="33">
        <f>Model!$D$17</f>
        <v>800</v>
      </c>
      <c r="G2646" s="36">
        <f t="shared" ca="1" si="43"/>
        <v>1247.8938917700139</v>
      </c>
    </row>
    <row r="2647" spans="1:7" x14ac:dyDescent="0.2">
      <c r="A2647" s="6">
        <f ca="1">Model!$F$13+RAND()*(Model!$G$13-Model!$F$13)</f>
        <v>1508.7614537247052</v>
      </c>
      <c r="B2647" s="31">
        <f ca="1">Model!$F$14+RAND()*(Model!$G$14-Model!$F$14)</f>
        <v>0.20669505933248022</v>
      </c>
      <c r="C2647" s="32">
        <f ca="1">Model!$F$15+RAND()*(Model!$G$15-Model!$F$15)</f>
        <v>2.4106987502732404E-2</v>
      </c>
      <c r="D2647" s="33">
        <f ca="1">Model!$F$16+RAND()*(Model!$G$16-Model!$F$16)</f>
        <v>50.414268684383764</v>
      </c>
      <c r="E2647" s="33">
        <f>Model!$D$17</f>
        <v>800</v>
      </c>
      <c r="G2647" s="36">
        <f t="shared" ca="1" si="43"/>
        <v>721.79879090011423</v>
      </c>
    </row>
    <row r="2648" spans="1:7" x14ac:dyDescent="0.2">
      <c r="A2648" s="6">
        <f ca="1">Model!$F$13+RAND()*(Model!$G$13-Model!$F$13)</f>
        <v>1275.2341548764689</v>
      </c>
      <c r="B2648" s="31">
        <f ca="1">Model!$F$14+RAND()*(Model!$G$14-Model!$F$14)</f>
        <v>0.78313413477528937</v>
      </c>
      <c r="C2648" s="32">
        <f ca="1">Model!$F$15+RAND()*(Model!$G$15-Model!$F$15)</f>
        <v>2.3488759313151399E-2</v>
      </c>
      <c r="D2648" s="33">
        <f ca="1">Model!$F$16+RAND()*(Model!$G$16-Model!$F$16)</f>
        <v>48.038569049979692</v>
      </c>
      <c r="E2648" s="33">
        <f>Model!$D$17</f>
        <v>800</v>
      </c>
      <c r="G2648" s="36">
        <f t="shared" ca="1" si="43"/>
        <v>-359.74804166526656</v>
      </c>
    </row>
    <row r="2649" spans="1:7" x14ac:dyDescent="0.2">
      <c r="A2649" s="6">
        <f ca="1">Model!$F$13+RAND()*(Model!$G$13-Model!$F$13)</f>
        <v>1369.8499122882465</v>
      </c>
      <c r="B2649" s="31">
        <f ca="1">Model!$F$14+RAND()*(Model!$G$14-Model!$F$14)</f>
        <v>0.34011030929890601</v>
      </c>
      <c r="C2649" s="32">
        <f ca="1">Model!$F$15+RAND()*(Model!$G$15-Model!$F$15)</f>
        <v>1.6585936126009591E-2</v>
      </c>
      <c r="D2649" s="33">
        <f ca="1">Model!$F$16+RAND()*(Model!$G$16-Model!$F$16)</f>
        <v>50.700070522937636</v>
      </c>
      <c r="E2649" s="33">
        <f>Model!$D$17</f>
        <v>800</v>
      </c>
      <c r="G2649" s="36">
        <f t="shared" ca="1" si="43"/>
        <v>-113.98214748830651</v>
      </c>
    </row>
    <row r="2650" spans="1:7" x14ac:dyDescent="0.2">
      <c r="A2650" s="6">
        <f ca="1">Model!$F$13+RAND()*(Model!$G$13-Model!$F$13)</f>
        <v>1762.3884202550576</v>
      </c>
      <c r="B2650" s="31">
        <f ca="1">Model!$F$14+RAND()*(Model!$G$14-Model!$F$14)</f>
        <v>0.6296857293787389</v>
      </c>
      <c r="C2650" s="32">
        <f ca="1">Model!$F$15+RAND()*(Model!$G$15-Model!$F$15)</f>
        <v>1.2241045668063007E-2</v>
      </c>
      <c r="D2650" s="33">
        <f ca="1">Model!$F$16+RAND()*(Model!$G$16-Model!$F$16)</f>
        <v>49.574214017024644</v>
      </c>
      <c r="E2650" s="33">
        <f>Model!$D$17</f>
        <v>800</v>
      </c>
      <c r="G2650" s="36">
        <f t="shared" ca="1" si="43"/>
        <v>-840.2626651656326</v>
      </c>
    </row>
    <row r="2651" spans="1:7" x14ac:dyDescent="0.2">
      <c r="A2651" s="6">
        <f ca="1">Model!$F$13+RAND()*(Model!$G$13-Model!$F$13)</f>
        <v>1500.5807530550896</v>
      </c>
      <c r="B2651" s="31">
        <f ca="1">Model!$F$14+RAND()*(Model!$G$14-Model!$F$14)</f>
        <v>0.31687767386967125</v>
      </c>
      <c r="C2651" s="32">
        <f ca="1">Model!$F$15+RAND()*(Model!$G$15-Model!$F$15)</f>
        <v>1.2701585060295124E-2</v>
      </c>
      <c r="D2651" s="33">
        <f ca="1">Model!$F$16+RAND()*(Model!$G$16-Model!$F$16)</f>
        <v>51.441119510357638</v>
      </c>
      <c r="E2651" s="33">
        <f>Model!$D$17</f>
        <v>800</v>
      </c>
      <c r="G2651" s="36">
        <f t="shared" ca="1" si="43"/>
        <v>-295.04545128337884</v>
      </c>
    </row>
    <row r="2652" spans="1:7" x14ac:dyDescent="0.2">
      <c r="A2652" s="6">
        <f ca="1">Model!$F$13+RAND()*(Model!$G$13-Model!$F$13)</f>
        <v>1517.0250186361868</v>
      </c>
      <c r="B2652" s="31">
        <f ca="1">Model!$F$14+RAND()*(Model!$G$14-Model!$F$14)</f>
        <v>0.53324740800901249</v>
      </c>
      <c r="C2652" s="32">
        <f ca="1">Model!$F$15+RAND()*(Model!$G$15-Model!$F$15)</f>
        <v>2.1406110319478582E-2</v>
      </c>
      <c r="D2652" s="33">
        <f ca="1">Model!$F$16+RAND()*(Model!$G$16-Model!$F$16)</f>
        <v>50.712804882177167</v>
      </c>
      <c r="E2652" s="33">
        <f>Model!$D$17</f>
        <v>800</v>
      </c>
      <c r="G2652" s="36">
        <f t="shared" ca="1" si="43"/>
        <v>37.877930363321184</v>
      </c>
    </row>
    <row r="2653" spans="1:7" x14ac:dyDescent="0.2">
      <c r="A2653" s="6">
        <f ca="1">Model!$F$13+RAND()*(Model!$G$13-Model!$F$13)</f>
        <v>1239.7056141168518</v>
      </c>
      <c r="B2653" s="31">
        <f ca="1">Model!$F$14+RAND()*(Model!$G$14-Model!$F$14)</f>
        <v>0.43032366783657261</v>
      </c>
      <c r="C2653" s="32">
        <f ca="1">Model!$F$15+RAND()*(Model!$G$15-Model!$F$15)</f>
        <v>1.572968858414963E-2</v>
      </c>
      <c r="D2653" s="33">
        <f ca="1">Model!$F$16+RAND()*(Model!$G$16-Model!$F$16)</f>
        <v>51.681693818879616</v>
      </c>
      <c r="E2653" s="33">
        <f>Model!$D$17</f>
        <v>800</v>
      </c>
      <c r="G2653" s="36">
        <f t="shared" ca="1" si="43"/>
        <v>-325.67216696839898</v>
      </c>
    </row>
    <row r="2654" spans="1:7" x14ac:dyDescent="0.2">
      <c r="A2654" s="6">
        <f ca="1">Model!$F$13+RAND()*(Model!$G$13-Model!$F$13)</f>
        <v>1584.4336399082983</v>
      </c>
      <c r="B2654" s="31">
        <f ca="1">Model!$F$14+RAND()*(Model!$G$14-Model!$F$14)</f>
        <v>0.66778295987714009</v>
      </c>
      <c r="C2654" s="32">
        <f ca="1">Model!$F$15+RAND()*(Model!$G$15-Model!$F$15)</f>
        <v>1.8516724834588161E-2</v>
      </c>
      <c r="D2654" s="33">
        <f ca="1">Model!$F$16+RAND()*(Model!$G$16-Model!$F$16)</f>
        <v>47.976876677412292</v>
      </c>
      <c r="E2654" s="33">
        <f>Model!$D$17</f>
        <v>800</v>
      </c>
      <c r="G2654" s="36">
        <f t="shared" ca="1" si="43"/>
        <v>-450.48714690440556</v>
      </c>
    </row>
    <row r="2655" spans="1:7" x14ac:dyDescent="0.2">
      <c r="A2655" s="6">
        <f ca="1">Model!$F$13+RAND()*(Model!$G$13-Model!$F$13)</f>
        <v>1269.5199681408569</v>
      </c>
      <c r="B2655" s="31">
        <f ca="1">Model!$F$14+RAND()*(Model!$G$14-Model!$F$14)</f>
        <v>0.59569881129861935</v>
      </c>
      <c r="C2655" s="32">
        <f ca="1">Model!$F$15+RAND()*(Model!$G$15-Model!$F$15)</f>
        <v>1.9514647727318674E-2</v>
      </c>
      <c r="D2655" s="33">
        <f ca="1">Model!$F$16+RAND()*(Model!$G$16-Model!$F$16)</f>
        <v>52.59646829177948</v>
      </c>
      <c r="E2655" s="33">
        <f>Model!$D$17</f>
        <v>800</v>
      </c>
      <c r="G2655" s="36">
        <f t="shared" ca="1" si="43"/>
        <v>-253.21427235858573</v>
      </c>
    </row>
    <row r="2656" spans="1:7" x14ac:dyDescent="0.2">
      <c r="A2656" s="6">
        <f ca="1">Model!$F$13+RAND()*(Model!$G$13-Model!$F$13)</f>
        <v>1745.1710641104855</v>
      </c>
      <c r="B2656" s="31">
        <f ca="1">Model!$F$14+RAND()*(Model!$G$14-Model!$F$14)</f>
        <v>0.55489519006975652</v>
      </c>
      <c r="C2656" s="32">
        <f ca="1">Model!$F$15+RAND()*(Model!$G$15-Model!$F$15)</f>
        <v>2.1968226708342531E-2</v>
      </c>
      <c r="D2656" s="33">
        <f ca="1">Model!$F$16+RAND()*(Model!$G$16-Model!$F$16)</f>
        <v>49.280917573814961</v>
      </c>
      <c r="E2656" s="33">
        <f>Model!$D$17</f>
        <v>800</v>
      </c>
      <c r="G2656" s="36">
        <f t="shared" ca="1" si="43"/>
        <v>120.96024219127366</v>
      </c>
    </row>
    <row r="2657" spans="1:7" x14ac:dyDescent="0.2">
      <c r="A2657" s="6">
        <f ca="1">Model!$F$13+RAND()*(Model!$G$13-Model!$F$13)</f>
        <v>1386.3198881707956</v>
      </c>
      <c r="B2657" s="31">
        <f ca="1">Model!$F$14+RAND()*(Model!$G$14-Model!$F$14)</f>
        <v>0.20604206174649342</v>
      </c>
      <c r="C2657" s="32">
        <f ca="1">Model!$F$15+RAND()*(Model!$G$15-Model!$F$15)</f>
        <v>1.7743105237777494E-2</v>
      </c>
      <c r="D2657" s="33">
        <f ca="1">Model!$F$16+RAND()*(Model!$G$16-Model!$F$16)</f>
        <v>47.922859888846745</v>
      </c>
      <c r="E2657" s="33">
        <f>Model!$D$17</f>
        <v>800</v>
      </c>
      <c r="G2657" s="36">
        <f t="shared" ca="1" si="43"/>
        <v>93.14807299958693</v>
      </c>
    </row>
    <row r="2658" spans="1:7" x14ac:dyDescent="0.2">
      <c r="A2658" s="6">
        <f ca="1">Model!$F$13+RAND()*(Model!$G$13-Model!$F$13)</f>
        <v>1454.6838831654632</v>
      </c>
      <c r="B2658" s="31">
        <f ca="1">Model!$F$14+RAND()*(Model!$G$14-Model!$F$14)</f>
        <v>0.65956027165206188</v>
      </c>
      <c r="C2658" s="32">
        <f ca="1">Model!$F$15+RAND()*(Model!$G$15-Model!$F$15)</f>
        <v>4.5549374820600362E-2</v>
      </c>
      <c r="D2658" s="33">
        <f ca="1">Model!$F$16+RAND()*(Model!$G$16-Model!$F$16)</f>
        <v>51.637511498197028</v>
      </c>
      <c r="E2658" s="33">
        <f>Model!$D$17</f>
        <v>800</v>
      </c>
      <c r="G2658" s="36">
        <f t="shared" ca="1" si="43"/>
        <v>1662.0467908185346</v>
      </c>
    </row>
    <row r="2659" spans="1:7" x14ac:dyDescent="0.2">
      <c r="A2659" s="6">
        <f ca="1">Model!$F$13+RAND()*(Model!$G$13-Model!$F$13)</f>
        <v>1414.8026051793463</v>
      </c>
      <c r="B2659" s="31">
        <f ca="1">Model!$F$14+RAND()*(Model!$G$14-Model!$F$14)</f>
        <v>0.6711166255444172</v>
      </c>
      <c r="C2659" s="32">
        <f ca="1">Model!$F$15+RAND()*(Model!$G$15-Model!$F$15)</f>
        <v>3.3923725801299515E-2</v>
      </c>
      <c r="D2659" s="33">
        <f ca="1">Model!$F$16+RAND()*(Model!$G$16-Model!$F$16)</f>
        <v>49.514606777420923</v>
      </c>
      <c r="E2659" s="33">
        <f>Model!$D$17</f>
        <v>800</v>
      </c>
      <c r="G2659" s="36">
        <f t="shared" ca="1" si="43"/>
        <v>626.97460180269354</v>
      </c>
    </row>
    <row r="2660" spans="1:7" x14ac:dyDescent="0.2">
      <c r="A2660" s="6">
        <f ca="1">Model!$F$13+RAND()*(Model!$G$13-Model!$F$13)</f>
        <v>1646.1898937812805</v>
      </c>
      <c r="B2660" s="31">
        <f ca="1">Model!$F$14+RAND()*(Model!$G$14-Model!$F$14)</f>
        <v>0.62015519819191955</v>
      </c>
      <c r="C2660" s="32">
        <f ca="1">Model!$F$15+RAND()*(Model!$G$15-Model!$F$15)</f>
        <v>4.4412467834613778E-2</v>
      </c>
      <c r="D2660" s="33">
        <f ca="1">Model!$F$16+RAND()*(Model!$G$16-Model!$F$16)</f>
        <v>49.54327344525263</v>
      </c>
      <c r="E2660" s="33">
        <f>Model!$D$17</f>
        <v>800</v>
      </c>
      <c r="G2660" s="36">
        <f t="shared" ca="1" si="43"/>
        <v>1801.2826679168329</v>
      </c>
    </row>
    <row r="2661" spans="1:7" x14ac:dyDescent="0.2">
      <c r="A2661" s="6">
        <f ca="1">Model!$F$13+RAND()*(Model!$G$13-Model!$F$13)</f>
        <v>1482.9083238078661</v>
      </c>
      <c r="B2661" s="31">
        <f ca="1">Model!$F$14+RAND()*(Model!$G$14-Model!$F$14)</f>
        <v>0.26863337721065017</v>
      </c>
      <c r="C2661" s="32">
        <f ca="1">Model!$F$15+RAND()*(Model!$G$15-Model!$F$15)</f>
        <v>2.4468803816376644E-2</v>
      </c>
      <c r="D2661" s="33">
        <f ca="1">Model!$F$16+RAND()*(Model!$G$16-Model!$F$16)</f>
        <v>48.008147600052268</v>
      </c>
      <c r="E2661" s="33">
        <f>Model!$D$17</f>
        <v>800</v>
      </c>
      <c r="G2661" s="36">
        <f t="shared" ca="1" si="43"/>
        <v>543.61662143185072</v>
      </c>
    </row>
    <row r="2662" spans="1:7" x14ac:dyDescent="0.2">
      <c r="A2662" s="6">
        <f ca="1">Model!$F$13+RAND()*(Model!$G$13-Model!$F$13)</f>
        <v>1316.7525135195051</v>
      </c>
      <c r="B2662" s="31">
        <f ca="1">Model!$F$14+RAND()*(Model!$G$14-Model!$F$14)</f>
        <v>0.36062174609759678</v>
      </c>
      <c r="C2662" s="32">
        <f ca="1">Model!$F$15+RAND()*(Model!$G$15-Model!$F$15)</f>
        <v>2.531698664168551E-2</v>
      </c>
      <c r="D2662" s="33">
        <f ca="1">Model!$F$16+RAND()*(Model!$G$16-Model!$F$16)</f>
        <v>48.851984164624341</v>
      </c>
      <c r="E2662" s="33">
        <f>Model!$D$17</f>
        <v>800</v>
      </c>
      <c r="G2662" s="36">
        <f t="shared" ca="1" si="43"/>
        <v>353.69020701094587</v>
      </c>
    </row>
    <row r="2663" spans="1:7" x14ac:dyDescent="0.2">
      <c r="A2663" s="6">
        <f ca="1">Model!$F$13+RAND()*(Model!$G$13-Model!$F$13)</f>
        <v>1473.1077917276268</v>
      </c>
      <c r="B2663" s="31">
        <f ca="1">Model!$F$14+RAND()*(Model!$G$14-Model!$F$14)</f>
        <v>0.32088745574056132</v>
      </c>
      <c r="C2663" s="32">
        <f ca="1">Model!$F$15+RAND()*(Model!$G$15-Model!$F$15)</f>
        <v>3.2575187644524863E-2</v>
      </c>
      <c r="D2663" s="33">
        <f ca="1">Model!$F$16+RAND()*(Model!$G$16-Model!$F$16)</f>
        <v>51.702412516491158</v>
      </c>
      <c r="E2663" s="33">
        <f>Model!$D$17</f>
        <v>800</v>
      </c>
      <c r="G2663" s="36">
        <f t="shared" ca="1" si="43"/>
        <v>1208.3295909957747</v>
      </c>
    </row>
    <row r="2664" spans="1:7" x14ac:dyDescent="0.2">
      <c r="A2664" s="6">
        <f ca="1">Model!$F$13+RAND()*(Model!$G$13-Model!$F$13)</f>
        <v>1567.9027323352595</v>
      </c>
      <c r="B2664" s="31">
        <f ca="1">Model!$F$14+RAND()*(Model!$G$14-Model!$F$14)</f>
        <v>0.22410172376330825</v>
      </c>
      <c r="C2664" s="32">
        <f ca="1">Model!$F$15+RAND()*(Model!$G$15-Model!$F$15)</f>
        <v>3.5435841819472527E-2</v>
      </c>
      <c r="D2664" s="33">
        <f ca="1">Model!$F$16+RAND()*(Model!$G$16-Model!$F$16)</f>
        <v>51.957707313995506</v>
      </c>
      <c r="E2664" s="33">
        <f>Model!$D$17</f>
        <v>800</v>
      </c>
      <c r="G2664" s="36">
        <f t="shared" ca="1" si="43"/>
        <v>1735.3980823251291</v>
      </c>
    </row>
    <row r="2665" spans="1:7" x14ac:dyDescent="0.2">
      <c r="A2665" s="6">
        <f ca="1">Model!$F$13+RAND()*(Model!$G$13-Model!$F$13)</f>
        <v>1510.0391022010608</v>
      </c>
      <c r="B2665" s="31">
        <f ca="1">Model!$F$14+RAND()*(Model!$G$14-Model!$F$14)</f>
        <v>0.28545065460125096</v>
      </c>
      <c r="C2665" s="32">
        <f ca="1">Model!$F$15+RAND()*(Model!$G$15-Model!$F$15)</f>
        <v>1.5232229789896589E-2</v>
      </c>
      <c r="D2665" s="33">
        <f ca="1">Model!$F$16+RAND()*(Model!$G$16-Model!$F$16)</f>
        <v>51.957402937835916</v>
      </c>
      <c r="E2665" s="33">
        <f>Model!$D$17</f>
        <v>800</v>
      </c>
      <c r="G2665" s="36">
        <f t="shared" ref="G2665:G2728" ca="1" si="44">A2665*C2665*D2665-(E2665+A2665*B2665)</f>
        <v>-35.955781393755387</v>
      </c>
    </row>
    <row r="2666" spans="1:7" x14ac:dyDescent="0.2">
      <c r="A2666" s="6">
        <f ca="1">Model!$F$13+RAND()*(Model!$G$13-Model!$F$13)</f>
        <v>1406.6013622586461</v>
      </c>
      <c r="B2666" s="31">
        <f ca="1">Model!$F$14+RAND()*(Model!$G$14-Model!$F$14)</f>
        <v>0.76689732509815078</v>
      </c>
      <c r="C2666" s="32">
        <f ca="1">Model!$F$15+RAND()*(Model!$G$15-Model!$F$15)</f>
        <v>1.24059220098835E-2</v>
      </c>
      <c r="D2666" s="33">
        <f ca="1">Model!$F$16+RAND()*(Model!$G$16-Model!$F$16)</f>
        <v>52.768951015252419</v>
      </c>
      <c r="E2666" s="33">
        <f>Model!$D$17</f>
        <v>800</v>
      </c>
      <c r="G2666" s="36">
        <f t="shared" ca="1" si="44"/>
        <v>-957.89076978281355</v>
      </c>
    </row>
    <row r="2667" spans="1:7" x14ac:dyDescent="0.2">
      <c r="A2667" s="6">
        <f ca="1">Model!$F$13+RAND()*(Model!$G$13-Model!$F$13)</f>
        <v>1318.3658095344817</v>
      </c>
      <c r="B2667" s="31">
        <f ca="1">Model!$F$14+RAND()*(Model!$G$14-Model!$F$14)</f>
        <v>0.28777960208196063</v>
      </c>
      <c r="C2667" s="32">
        <f ca="1">Model!$F$15+RAND()*(Model!$G$15-Model!$F$15)</f>
        <v>1.5176708898320838E-2</v>
      </c>
      <c r="D2667" s="33">
        <f ca="1">Model!$F$16+RAND()*(Model!$G$16-Model!$F$16)</f>
        <v>52.598510237979966</v>
      </c>
      <c r="E2667" s="33">
        <f>Model!$D$17</f>
        <v>800</v>
      </c>
      <c r="G2667" s="36">
        <f t="shared" ca="1" si="44"/>
        <v>-126.98390956782555</v>
      </c>
    </row>
    <row r="2668" spans="1:7" x14ac:dyDescent="0.2">
      <c r="A2668" s="6">
        <f ca="1">Model!$F$13+RAND()*(Model!$G$13-Model!$F$13)</f>
        <v>1463.8297603833068</v>
      </c>
      <c r="B2668" s="31">
        <f ca="1">Model!$F$14+RAND()*(Model!$G$14-Model!$F$14)</f>
        <v>0.52079834180425189</v>
      </c>
      <c r="C2668" s="32">
        <f ca="1">Model!$F$15+RAND()*(Model!$G$15-Model!$F$15)</f>
        <v>1.7150055839635373E-2</v>
      </c>
      <c r="D2668" s="33">
        <f ca="1">Model!$F$16+RAND()*(Model!$G$16-Model!$F$16)</f>
        <v>50.904634820610568</v>
      </c>
      <c r="E2668" s="33">
        <f>Model!$D$17</f>
        <v>800</v>
      </c>
      <c r="G2668" s="36">
        <f t="shared" ca="1" si="44"/>
        <v>-284.41136339044328</v>
      </c>
    </row>
    <row r="2669" spans="1:7" x14ac:dyDescent="0.2">
      <c r="A2669" s="6">
        <f ca="1">Model!$F$13+RAND()*(Model!$G$13-Model!$F$13)</f>
        <v>1680.3956710640389</v>
      </c>
      <c r="B2669" s="31">
        <f ca="1">Model!$F$14+RAND()*(Model!$G$14-Model!$F$14)</f>
        <v>0.63844510733490556</v>
      </c>
      <c r="C2669" s="32">
        <f ca="1">Model!$F$15+RAND()*(Model!$G$15-Model!$F$15)</f>
        <v>1.9707737902136965E-2</v>
      </c>
      <c r="D2669" s="33">
        <f ca="1">Model!$F$16+RAND()*(Model!$G$16-Model!$F$16)</f>
        <v>52.560005108537155</v>
      </c>
      <c r="E2669" s="33">
        <f>Model!$D$17</f>
        <v>800</v>
      </c>
      <c r="G2669" s="36">
        <f t="shared" ca="1" si="44"/>
        <v>-132.22135104794688</v>
      </c>
    </row>
    <row r="2670" spans="1:7" x14ac:dyDescent="0.2">
      <c r="A2670" s="6">
        <f ca="1">Model!$F$13+RAND()*(Model!$G$13-Model!$F$13)</f>
        <v>1677.4214607797542</v>
      </c>
      <c r="B2670" s="31">
        <f ca="1">Model!$F$14+RAND()*(Model!$G$14-Model!$F$14)</f>
        <v>0.21076837818100758</v>
      </c>
      <c r="C2670" s="32">
        <f ca="1">Model!$F$15+RAND()*(Model!$G$15-Model!$F$15)</f>
        <v>2.0741154350588934E-2</v>
      </c>
      <c r="D2670" s="33">
        <f ca="1">Model!$F$16+RAND()*(Model!$G$16-Model!$F$16)</f>
        <v>48.289981089670469</v>
      </c>
      <c r="E2670" s="33">
        <f>Model!$D$17</f>
        <v>800</v>
      </c>
      <c r="G2670" s="36">
        <f t="shared" ca="1" si="44"/>
        <v>526.54107851126014</v>
      </c>
    </row>
    <row r="2671" spans="1:7" x14ac:dyDescent="0.2">
      <c r="A2671" s="6">
        <f ca="1">Model!$F$13+RAND()*(Model!$G$13-Model!$F$13)</f>
        <v>1418.9584152509988</v>
      </c>
      <c r="B2671" s="31">
        <f ca="1">Model!$F$14+RAND()*(Model!$G$14-Model!$F$14)</f>
        <v>0.29164609013528214</v>
      </c>
      <c r="C2671" s="32">
        <f ca="1">Model!$F$15+RAND()*(Model!$G$15-Model!$F$15)</f>
        <v>4.3467665111429785E-2</v>
      </c>
      <c r="D2671" s="33">
        <f ca="1">Model!$F$16+RAND()*(Model!$G$16-Model!$F$16)</f>
        <v>52.169642355192579</v>
      </c>
      <c r="E2671" s="33">
        <f>Model!$D$17</f>
        <v>800</v>
      </c>
      <c r="G2671" s="36">
        <f t="shared" ca="1" si="44"/>
        <v>2003.927743046979</v>
      </c>
    </row>
    <row r="2672" spans="1:7" x14ac:dyDescent="0.2">
      <c r="A2672" s="6">
        <f ca="1">Model!$F$13+RAND()*(Model!$G$13-Model!$F$13)</f>
        <v>1333.4931318735669</v>
      </c>
      <c r="B2672" s="31">
        <f ca="1">Model!$F$14+RAND()*(Model!$G$14-Model!$F$14)</f>
        <v>0.71339380856433676</v>
      </c>
      <c r="C2672" s="32">
        <f ca="1">Model!$F$15+RAND()*(Model!$G$15-Model!$F$15)</f>
        <v>1.90972094159884E-2</v>
      </c>
      <c r="D2672" s="33">
        <f ca="1">Model!$F$16+RAND()*(Model!$G$16-Model!$F$16)</f>
        <v>49.354887641800353</v>
      </c>
      <c r="E2672" s="33">
        <f>Model!$D$17</f>
        <v>800</v>
      </c>
      <c r="G2672" s="36">
        <f t="shared" ca="1" si="44"/>
        <v>-494.4342940949648</v>
      </c>
    </row>
    <row r="2673" spans="1:7" x14ac:dyDescent="0.2">
      <c r="A2673" s="6">
        <f ca="1">Model!$F$13+RAND()*(Model!$G$13-Model!$F$13)</f>
        <v>1427.8259716764783</v>
      </c>
      <c r="B2673" s="31">
        <f ca="1">Model!$F$14+RAND()*(Model!$G$14-Model!$F$14)</f>
        <v>0.21708995517349255</v>
      </c>
      <c r="C2673" s="32">
        <f ca="1">Model!$F$15+RAND()*(Model!$G$15-Model!$F$15)</f>
        <v>4.5439241444064006E-2</v>
      </c>
      <c r="D2673" s="33">
        <f ca="1">Model!$F$16+RAND()*(Model!$G$16-Model!$F$16)</f>
        <v>50.35045976175703</v>
      </c>
      <c r="E2673" s="33">
        <f>Model!$D$17</f>
        <v>800</v>
      </c>
      <c r="G2673" s="36">
        <f t="shared" ca="1" si="44"/>
        <v>2156.7373713766606</v>
      </c>
    </row>
    <row r="2674" spans="1:7" x14ac:dyDescent="0.2">
      <c r="A2674" s="6">
        <f ca="1">Model!$F$13+RAND()*(Model!$G$13-Model!$F$13)</f>
        <v>1231.6002380816687</v>
      </c>
      <c r="B2674" s="31">
        <f ca="1">Model!$F$14+RAND()*(Model!$G$14-Model!$F$14)</f>
        <v>0.6270258234515188</v>
      </c>
      <c r="C2674" s="32">
        <f ca="1">Model!$F$15+RAND()*(Model!$G$15-Model!$F$15)</f>
        <v>4.4097903982229986E-2</v>
      </c>
      <c r="D2674" s="33">
        <f ca="1">Model!$F$16+RAND()*(Model!$G$16-Model!$F$16)</f>
        <v>48.207659871572972</v>
      </c>
      <c r="E2674" s="33">
        <f>Model!$D$17</f>
        <v>800</v>
      </c>
      <c r="G2674" s="36">
        <f t="shared" ca="1" si="44"/>
        <v>1045.9605336475292</v>
      </c>
    </row>
    <row r="2675" spans="1:7" x14ac:dyDescent="0.2">
      <c r="A2675" s="6">
        <f ca="1">Model!$F$13+RAND()*(Model!$G$13-Model!$F$13)</f>
        <v>1557.79208707468</v>
      </c>
      <c r="B2675" s="31">
        <f ca="1">Model!$F$14+RAND()*(Model!$G$14-Model!$F$14)</f>
        <v>0.32244006568459144</v>
      </c>
      <c r="C2675" s="32">
        <f ca="1">Model!$F$15+RAND()*(Model!$G$15-Model!$F$15)</f>
        <v>1.2258430881725188E-2</v>
      </c>
      <c r="D2675" s="33">
        <f ca="1">Model!$F$16+RAND()*(Model!$G$16-Model!$F$16)</f>
        <v>52.104997101965168</v>
      </c>
      <c r="E2675" s="33">
        <f>Model!$D$17</f>
        <v>800</v>
      </c>
      <c r="G2675" s="36">
        <f t="shared" ca="1" si="44"/>
        <v>-307.29304449435688</v>
      </c>
    </row>
    <row r="2676" spans="1:7" x14ac:dyDescent="0.2">
      <c r="A2676" s="6">
        <f ca="1">Model!$F$13+RAND()*(Model!$G$13-Model!$F$13)</f>
        <v>1473.4197501169633</v>
      </c>
      <c r="B2676" s="31">
        <f ca="1">Model!$F$14+RAND()*(Model!$G$14-Model!$F$14)</f>
        <v>0.27875498990411163</v>
      </c>
      <c r="C2676" s="32">
        <f ca="1">Model!$F$15+RAND()*(Model!$G$15-Model!$F$15)</f>
        <v>1.7111076151833968E-2</v>
      </c>
      <c r="D2676" s="33">
        <f ca="1">Model!$F$16+RAND()*(Model!$G$16-Model!$F$16)</f>
        <v>47.19093423793673</v>
      </c>
      <c r="E2676" s="33">
        <f>Model!$D$17</f>
        <v>800</v>
      </c>
      <c r="G2676" s="36">
        <f t="shared" ca="1" si="44"/>
        <v>-20.954827466781353</v>
      </c>
    </row>
    <row r="2677" spans="1:7" x14ac:dyDescent="0.2">
      <c r="A2677" s="6">
        <f ca="1">Model!$F$13+RAND()*(Model!$G$13-Model!$F$13)</f>
        <v>1768.0275766684294</v>
      </c>
      <c r="B2677" s="31">
        <f ca="1">Model!$F$14+RAND()*(Model!$G$14-Model!$F$14)</f>
        <v>0.46753330159962309</v>
      </c>
      <c r="C2677" s="32">
        <f ca="1">Model!$F$15+RAND()*(Model!$G$15-Model!$F$15)</f>
        <v>3.9381639523423488E-2</v>
      </c>
      <c r="D2677" s="33">
        <f ca="1">Model!$F$16+RAND()*(Model!$G$16-Model!$F$16)</f>
        <v>50.091429447940222</v>
      </c>
      <c r="E2677" s="33">
        <f>Model!$D$17</f>
        <v>800</v>
      </c>
      <c r="G2677" s="36">
        <f t="shared" ca="1" si="44"/>
        <v>1861.1454979252844</v>
      </c>
    </row>
    <row r="2678" spans="1:7" x14ac:dyDescent="0.2">
      <c r="A2678" s="6">
        <f ca="1">Model!$F$13+RAND()*(Model!$G$13-Model!$F$13)</f>
        <v>1613.7470364996746</v>
      </c>
      <c r="B2678" s="31">
        <f ca="1">Model!$F$14+RAND()*(Model!$G$14-Model!$F$14)</f>
        <v>0.52183466960839608</v>
      </c>
      <c r="C2678" s="32">
        <f ca="1">Model!$F$15+RAND()*(Model!$G$15-Model!$F$15)</f>
        <v>1.9301862101109419E-2</v>
      </c>
      <c r="D2678" s="33">
        <f ca="1">Model!$F$16+RAND()*(Model!$G$16-Model!$F$16)</f>
        <v>51.616513962419859</v>
      </c>
      <c r="E2678" s="33">
        <f>Model!$D$17</f>
        <v>800</v>
      </c>
      <c r="G2678" s="36">
        <f t="shared" ca="1" si="44"/>
        <v>-34.341314738879419</v>
      </c>
    </row>
    <row r="2679" spans="1:7" x14ac:dyDescent="0.2">
      <c r="A2679" s="6">
        <f ca="1">Model!$F$13+RAND()*(Model!$G$13-Model!$F$13)</f>
        <v>1645.1968570212287</v>
      </c>
      <c r="B2679" s="31">
        <f ca="1">Model!$F$14+RAND()*(Model!$G$14-Model!$F$14)</f>
        <v>0.79030511227699241</v>
      </c>
      <c r="C2679" s="32">
        <f ca="1">Model!$F$15+RAND()*(Model!$G$15-Model!$F$15)</f>
        <v>4.6162023234797157E-2</v>
      </c>
      <c r="D2679" s="33">
        <f ca="1">Model!$F$16+RAND()*(Model!$G$16-Model!$F$16)</f>
        <v>50.864663934663689</v>
      </c>
      <c r="E2679" s="33">
        <f>Model!$D$17</f>
        <v>800</v>
      </c>
      <c r="G2679" s="36">
        <f t="shared" ca="1" si="44"/>
        <v>1762.7407249284952</v>
      </c>
    </row>
    <row r="2680" spans="1:7" x14ac:dyDescent="0.2">
      <c r="A2680" s="6">
        <f ca="1">Model!$F$13+RAND()*(Model!$G$13-Model!$F$13)</f>
        <v>1403.9456884982424</v>
      </c>
      <c r="B2680" s="31">
        <f ca="1">Model!$F$14+RAND()*(Model!$G$14-Model!$F$14)</f>
        <v>0.3483058715633941</v>
      </c>
      <c r="C2680" s="32">
        <f ca="1">Model!$F$15+RAND()*(Model!$G$15-Model!$F$15)</f>
        <v>3.0270303154000387E-2</v>
      </c>
      <c r="D2680" s="33">
        <f ca="1">Model!$F$16+RAND()*(Model!$G$16-Model!$F$16)</f>
        <v>50.509602307375729</v>
      </c>
      <c r="E2680" s="33">
        <f>Model!$D$17</f>
        <v>800</v>
      </c>
      <c r="G2680" s="36">
        <f t="shared" ca="1" si="44"/>
        <v>857.54756180084587</v>
      </c>
    </row>
    <row r="2681" spans="1:7" x14ac:dyDescent="0.2">
      <c r="A2681" s="6">
        <f ca="1">Model!$F$13+RAND()*(Model!$G$13-Model!$F$13)</f>
        <v>1628.1527171033679</v>
      </c>
      <c r="B2681" s="31">
        <f ca="1">Model!$F$14+RAND()*(Model!$G$14-Model!$F$14)</f>
        <v>0.29203127101596482</v>
      </c>
      <c r="C2681" s="32">
        <f ca="1">Model!$F$15+RAND()*(Model!$G$15-Model!$F$15)</f>
        <v>2.1771009089464638E-2</v>
      </c>
      <c r="D2681" s="33">
        <f ca="1">Model!$F$16+RAND()*(Model!$G$16-Model!$F$16)</f>
        <v>47.800931537089923</v>
      </c>
      <c r="E2681" s="33">
        <f>Model!$D$17</f>
        <v>800</v>
      </c>
      <c r="G2681" s="36">
        <f t="shared" ca="1" si="44"/>
        <v>418.90553179926997</v>
      </c>
    </row>
    <row r="2682" spans="1:7" x14ac:dyDescent="0.2">
      <c r="A2682" s="6">
        <f ca="1">Model!$F$13+RAND()*(Model!$G$13-Model!$F$13)</f>
        <v>1297.9009225968655</v>
      </c>
      <c r="B2682" s="31">
        <f ca="1">Model!$F$14+RAND()*(Model!$G$14-Model!$F$14)</f>
        <v>0.70923978412912869</v>
      </c>
      <c r="C2682" s="32">
        <f ca="1">Model!$F$15+RAND()*(Model!$G$15-Model!$F$15)</f>
        <v>2.4220448619803429E-2</v>
      </c>
      <c r="D2682" s="33">
        <f ca="1">Model!$F$16+RAND()*(Model!$G$16-Model!$F$16)</f>
        <v>49.386416108726472</v>
      </c>
      <c r="E2682" s="33">
        <f>Model!$D$17</f>
        <v>800</v>
      </c>
      <c r="G2682" s="36">
        <f t="shared" ca="1" si="44"/>
        <v>-168.02430497127534</v>
      </c>
    </row>
    <row r="2683" spans="1:7" x14ac:dyDescent="0.2">
      <c r="A2683" s="6">
        <f ca="1">Model!$F$13+RAND()*(Model!$G$13-Model!$F$13)</f>
        <v>1648.7168810924204</v>
      </c>
      <c r="B2683" s="31">
        <f ca="1">Model!$F$14+RAND()*(Model!$G$14-Model!$F$14)</f>
        <v>0.57035552967263259</v>
      </c>
      <c r="C2683" s="32">
        <f ca="1">Model!$F$15+RAND()*(Model!$G$15-Model!$F$15)</f>
        <v>4.0807824761161918E-2</v>
      </c>
      <c r="D2683" s="33">
        <f ca="1">Model!$F$16+RAND()*(Model!$G$16-Model!$F$16)</f>
        <v>50.031234625773642</v>
      </c>
      <c r="E2683" s="33">
        <f>Model!$D$17</f>
        <v>800</v>
      </c>
      <c r="G2683" s="36">
        <f t="shared" ca="1" si="44"/>
        <v>1625.7741710112564</v>
      </c>
    </row>
    <row r="2684" spans="1:7" x14ac:dyDescent="0.2">
      <c r="A2684" s="6">
        <f ca="1">Model!$F$13+RAND()*(Model!$G$13-Model!$F$13)</f>
        <v>1261.666008674832</v>
      </c>
      <c r="B2684" s="31">
        <f ca="1">Model!$F$14+RAND()*(Model!$G$14-Model!$F$14)</f>
        <v>0.20235387567020191</v>
      </c>
      <c r="C2684" s="32">
        <f ca="1">Model!$F$15+RAND()*(Model!$G$15-Model!$F$15)</f>
        <v>2.4755010180168416E-2</v>
      </c>
      <c r="D2684" s="33">
        <f ca="1">Model!$F$16+RAND()*(Model!$G$16-Model!$F$16)</f>
        <v>51.296296383777126</v>
      </c>
      <c r="E2684" s="33">
        <f>Model!$D$17</f>
        <v>800</v>
      </c>
      <c r="G2684" s="36">
        <f t="shared" ca="1" si="44"/>
        <v>546.8113857375547</v>
      </c>
    </row>
    <row r="2685" spans="1:7" x14ac:dyDescent="0.2">
      <c r="A2685" s="6">
        <f ca="1">Model!$F$13+RAND()*(Model!$G$13-Model!$F$13)</f>
        <v>1333.3245642563145</v>
      </c>
      <c r="B2685" s="31">
        <f ca="1">Model!$F$14+RAND()*(Model!$G$14-Model!$F$14)</f>
        <v>0.63856343509759483</v>
      </c>
      <c r="C2685" s="32">
        <f ca="1">Model!$F$15+RAND()*(Model!$G$15-Model!$F$15)</f>
        <v>1.3652241724898246E-2</v>
      </c>
      <c r="D2685" s="33">
        <f ca="1">Model!$F$16+RAND()*(Model!$G$16-Model!$F$16)</f>
        <v>49.805797198853725</v>
      </c>
      <c r="E2685" s="33">
        <f>Model!$D$17</f>
        <v>800</v>
      </c>
      <c r="G2685" s="36">
        <f t="shared" ca="1" si="44"/>
        <v>-744.80389959997433</v>
      </c>
    </row>
    <row r="2686" spans="1:7" x14ac:dyDescent="0.2">
      <c r="A2686" s="6">
        <f ca="1">Model!$F$13+RAND()*(Model!$G$13-Model!$F$13)</f>
        <v>1540.0094985063524</v>
      </c>
      <c r="B2686" s="31">
        <f ca="1">Model!$F$14+RAND()*(Model!$G$14-Model!$F$14)</f>
        <v>0.67307105659120825</v>
      </c>
      <c r="C2686" s="32">
        <f ca="1">Model!$F$15+RAND()*(Model!$G$15-Model!$F$15)</f>
        <v>4.2177298498026088E-2</v>
      </c>
      <c r="D2686" s="33">
        <f ca="1">Model!$F$16+RAND()*(Model!$G$16-Model!$F$16)</f>
        <v>51.767779999836449</v>
      </c>
      <c r="E2686" s="33">
        <f>Model!$D$17</f>
        <v>800</v>
      </c>
      <c r="G2686" s="36">
        <f t="shared" ca="1" si="44"/>
        <v>1525.9595877923064</v>
      </c>
    </row>
    <row r="2687" spans="1:7" x14ac:dyDescent="0.2">
      <c r="A2687" s="6">
        <f ca="1">Model!$F$13+RAND()*(Model!$G$13-Model!$F$13)</f>
        <v>1727.7152022695582</v>
      </c>
      <c r="B2687" s="31">
        <f ca="1">Model!$F$14+RAND()*(Model!$G$14-Model!$F$14)</f>
        <v>0.5324133216640361</v>
      </c>
      <c r="C2687" s="32">
        <f ca="1">Model!$F$15+RAND()*(Model!$G$15-Model!$F$15)</f>
        <v>2.8184205768758235E-2</v>
      </c>
      <c r="D2687" s="33">
        <f ca="1">Model!$F$16+RAND()*(Model!$G$16-Model!$F$16)</f>
        <v>48.844820699410896</v>
      </c>
      <c r="E2687" s="33">
        <f>Model!$D$17</f>
        <v>800</v>
      </c>
      <c r="G2687" s="36">
        <f t="shared" ca="1" si="44"/>
        <v>658.60482359581692</v>
      </c>
    </row>
    <row r="2688" spans="1:7" x14ac:dyDescent="0.2">
      <c r="A2688" s="6">
        <f ca="1">Model!$F$13+RAND()*(Model!$G$13-Model!$F$13)</f>
        <v>1496.5443540556817</v>
      </c>
      <c r="B2688" s="31">
        <f ca="1">Model!$F$14+RAND()*(Model!$G$14-Model!$F$14)</f>
        <v>0.64556394342735612</v>
      </c>
      <c r="C2688" s="32">
        <f ca="1">Model!$F$15+RAND()*(Model!$G$15-Model!$F$15)</f>
        <v>4.9614833499409206E-2</v>
      </c>
      <c r="D2688" s="33">
        <f ca="1">Model!$F$16+RAND()*(Model!$G$16-Model!$F$16)</f>
        <v>47.635574608277487</v>
      </c>
      <c r="E2688" s="33">
        <f>Model!$D$17</f>
        <v>800</v>
      </c>
      <c r="G2688" s="36">
        <f t="shared" ca="1" si="44"/>
        <v>1770.8643984342275</v>
      </c>
    </row>
    <row r="2689" spans="1:7" x14ac:dyDescent="0.2">
      <c r="A2689" s="6">
        <f ca="1">Model!$F$13+RAND()*(Model!$G$13-Model!$F$13)</f>
        <v>1728.301660377052</v>
      </c>
      <c r="B2689" s="31">
        <f ca="1">Model!$F$14+RAND()*(Model!$G$14-Model!$F$14)</f>
        <v>0.5409500115808128</v>
      </c>
      <c r="C2689" s="32">
        <f ca="1">Model!$F$15+RAND()*(Model!$G$15-Model!$F$15)</f>
        <v>1.1532608502457881E-2</v>
      </c>
      <c r="D2689" s="33">
        <f ca="1">Model!$F$16+RAND()*(Model!$G$16-Model!$F$16)</f>
        <v>50.232893519331277</v>
      </c>
      <c r="E2689" s="33">
        <f>Model!$D$17</f>
        <v>800</v>
      </c>
      <c r="G2689" s="36">
        <f t="shared" ca="1" si="44"/>
        <v>-733.69148882986417</v>
      </c>
    </row>
    <row r="2690" spans="1:7" x14ac:dyDescent="0.2">
      <c r="A2690" s="6">
        <f ca="1">Model!$F$13+RAND()*(Model!$G$13-Model!$F$13)</f>
        <v>1204.9522549951118</v>
      </c>
      <c r="B2690" s="31">
        <f ca="1">Model!$F$14+RAND()*(Model!$G$14-Model!$F$14)</f>
        <v>0.63081094464157517</v>
      </c>
      <c r="C2690" s="32">
        <f ca="1">Model!$F$15+RAND()*(Model!$G$15-Model!$F$15)</f>
        <v>1.5746726131756841E-2</v>
      </c>
      <c r="D2690" s="33">
        <f ca="1">Model!$F$16+RAND()*(Model!$G$16-Model!$F$16)</f>
        <v>52.982450889075288</v>
      </c>
      <c r="E2690" s="33">
        <f>Model!$D$17</f>
        <v>800</v>
      </c>
      <c r="G2690" s="36">
        <f t="shared" ca="1" si="44"/>
        <v>-554.8052304387852</v>
      </c>
    </row>
    <row r="2691" spans="1:7" x14ac:dyDescent="0.2">
      <c r="A2691" s="6">
        <f ca="1">Model!$F$13+RAND()*(Model!$G$13-Model!$F$13)</f>
        <v>1550.6675619751013</v>
      </c>
      <c r="B2691" s="31">
        <f ca="1">Model!$F$14+RAND()*(Model!$G$14-Model!$F$14)</f>
        <v>0.21753587031152463</v>
      </c>
      <c r="C2691" s="32">
        <f ca="1">Model!$F$15+RAND()*(Model!$G$15-Model!$F$15)</f>
        <v>3.1125089622468328E-2</v>
      </c>
      <c r="D2691" s="33">
        <f ca="1">Model!$F$16+RAND()*(Model!$G$16-Model!$F$16)</f>
        <v>47.723510523357398</v>
      </c>
      <c r="E2691" s="33">
        <f>Model!$D$17</f>
        <v>800</v>
      </c>
      <c r="G2691" s="36">
        <f t="shared" ca="1" si="44"/>
        <v>1166.0335182408783</v>
      </c>
    </row>
    <row r="2692" spans="1:7" x14ac:dyDescent="0.2">
      <c r="A2692" s="6">
        <f ca="1">Model!$F$13+RAND()*(Model!$G$13-Model!$F$13)</f>
        <v>1552.6840243940246</v>
      </c>
      <c r="B2692" s="31">
        <f ca="1">Model!$F$14+RAND()*(Model!$G$14-Model!$F$14)</f>
        <v>0.63353011534804016</v>
      </c>
      <c r="C2692" s="32">
        <f ca="1">Model!$F$15+RAND()*(Model!$G$15-Model!$F$15)</f>
        <v>2.1267527160806692E-2</v>
      </c>
      <c r="D2692" s="33">
        <f ca="1">Model!$F$16+RAND()*(Model!$G$16-Model!$F$16)</f>
        <v>51.473877732353102</v>
      </c>
      <c r="E2692" s="33">
        <f>Model!$D$17</f>
        <v>800</v>
      </c>
      <c r="G2692" s="36">
        <f t="shared" ca="1" si="44"/>
        <v>-83.91458451726362</v>
      </c>
    </row>
    <row r="2693" spans="1:7" x14ac:dyDescent="0.2">
      <c r="A2693" s="6">
        <f ca="1">Model!$F$13+RAND()*(Model!$G$13-Model!$F$13)</f>
        <v>1786.8934488385316</v>
      </c>
      <c r="B2693" s="31">
        <f ca="1">Model!$F$14+RAND()*(Model!$G$14-Model!$F$14)</f>
        <v>0.71370810900907311</v>
      </c>
      <c r="C2693" s="32">
        <f ca="1">Model!$F$15+RAND()*(Model!$G$15-Model!$F$15)</f>
        <v>4.0551866943538351E-2</v>
      </c>
      <c r="D2693" s="33">
        <f ca="1">Model!$F$16+RAND()*(Model!$G$16-Model!$F$16)</f>
        <v>51.973298508441538</v>
      </c>
      <c r="E2693" s="33">
        <f>Model!$D$17</f>
        <v>800</v>
      </c>
      <c r="G2693" s="36">
        <f t="shared" ca="1" si="44"/>
        <v>1690.761815480193</v>
      </c>
    </row>
    <row r="2694" spans="1:7" x14ac:dyDescent="0.2">
      <c r="A2694" s="6">
        <f ca="1">Model!$F$13+RAND()*(Model!$G$13-Model!$F$13)</f>
        <v>1604.9261593975284</v>
      </c>
      <c r="B2694" s="31">
        <f ca="1">Model!$F$14+RAND()*(Model!$G$14-Model!$F$14)</f>
        <v>0.27892638156837019</v>
      </c>
      <c r="C2694" s="32">
        <f ca="1">Model!$F$15+RAND()*(Model!$G$15-Model!$F$15)</f>
        <v>2.8661231234171289E-2</v>
      </c>
      <c r="D2694" s="33">
        <f ca="1">Model!$F$16+RAND()*(Model!$G$16-Model!$F$16)</f>
        <v>51.711894122566349</v>
      </c>
      <c r="E2694" s="33">
        <f>Model!$D$17</f>
        <v>800</v>
      </c>
      <c r="G2694" s="36">
        <f t="shared" ca="1" si="44"/>
        <v>1131.0474333382567</v>
      </c>
    </row>
    <row r="2695" spans="1:7" x14ac:dyDescent="0.2">
      <c r="A2695" s="6">
        <f ca="1">Model!$F$13+RAND()*(Model!$G$13-Model!$F$13)</f>
        <v>1333.2607072552175</v>
      </c>
      <c r="B2695" s="31">
        <f ca="1">Model!$F$14+RAND()*(Model!$G$14-Model!$F$14)</f>
        <v>0.39931383772446755</v>
      </c>
      <c r="C2695" s="32">
        <f ca="1">Model!$F$15+RAND()*(Model!$G$15-Model!$F$15)</f>
        <v>4.3697919882760658E-2</v>
      </c>
      <c r="D2695" s="33">
        <f ca="1">Model!$F$16+RAND()*(Model!$G$16-Model!$F$16)</f>
        <v>48.903100706312181</v>
      </c>
      <c r="E2695" s="33">
        <f>Model!$D$17</f>
        <v>800</v>
      </c>
      <c r="G2695" s="36">
        <f t="shared" ca="1" si="44"/>
        <v>1516.7403865778465</v>
      </c>
    </row>
    <row r="2696" spans="1:7" x14ac:dyDescent="0.2">
      <c r="A2696" s="6">
        <f ca="1">Model!$F$13+RAND()*(Model!$G$13-Model!$F$13)</f>
        <v>1499.2774885736983</v>
      </c>
      <c r="B2696" s="31">
        <f ca="1">Model!$F$14+RAND()*(Model!$G$14-Model!$F$14)</f>
        <v>0.24962904216974252</v>
      </c>
      <c r="C2696" s="32">
        <f ca="1">Model!$F$15+RAND()*(Model!$G$15-Model!$F$15)</f>
        <v>4.8870747508916665E-2</v>
      </c>
      <c r="D2696" s="33">
        <f ca="1">Model!$F$16+RAND()*(Model!$G$16-Model!$F$16)</f>
        <v>47.624068778071297</v>
      </c>
      <c r="E2696" s="33">
        <f>Model!$D$17</f>
        <v>800</v>
      </c>
      <c r="G2696" s="36">
        <f t="shared" ca="1" si="44"/>
        <v>2315.1909671626154</v>
      </c>
    </row>
    <row r="2697" spans="1:7" x14ac:dyDescent="0.2">
      <c r="A2697" s="6">
        <f ca="1">Model!$F$13+RAND()*(Model!$G$13-Model!$F$13)</f>
        <v>1381.5027329308905</v>
      </c>
      <c r="B2697" s="31">
        <f ca="1">Model!$F$14+RAND()*(Model!$G$14-Model!$F$14)</f>
        <v>0.24236181059809209</v>
      </c>
      <c r="C2697" s="32">
        <f ca="1">Model!$F$15+RAND()*(Model!$G$15-Model!$F$15)</f>
        <v>4.8558711182716964E-2</v>
      </c>
      <c r="D2697" s="33">
        <f ca="1">Model!$F$16+RAND()*(Model!$G$16-Model!$F$16)</f>
        <v>47.17216746213343</v>
      </c>
      <c r="E2697" s="33">
        <f>Model!$D$17</f>
        <v>800</v>
      </c>
      <c r="G2697" s="36">
        <f t="shared" ca="1" si="44"/>
        <v>2029.6738106953214</v>
      </c>
    </row>
    <row r="2698" spans="1:7" x14ac:dyDescent="0.2">
      <c r="A2698" s="6">
        <f ca="1">Model!$F$13+RAND()*(Model!$G$13-Model!$F$13)</f>
        <v>1407.7256979856743</v>
      </c>
      <c r="B2698" s="31">
        <f ca="1">Model!$F$14+RAND()*(Model!$G$14-Model!$F$14)</f>
        <v>0.22747259956610263</v>
      </c>
      <c r="C2698" s="32">
        <f ca="1">Model!$F$15+RAND()*(Model!$G$15-Model!$F$15)</f>
        <v>4.5424708390037712E-2</v>
      </c>
      <c r="D2698" s="33">
        <f ca="1">Model!$F$16+RAND()*(Model!$G$16-Model!$F$16)</f>
        <v>52.97563881642548</v>
      </c>
      <c r="E2698" s="33">
        <f>Model!$D$17</f>
        <v>800</v>
      </c>
      <c r="G2698" s="36">
        <f t="shared" ca="1" si="44"/>
        <v>2267.3362414051189</v>
      </c>
    </row>
    <row r="2699" spans="1:7" x14ac:dyDescent="0.2">
      <c r="A2699" s="6">
        <f ca="1">Model!$F$13+RAND()*(Model!$G$13-Model!$F$13)</f>
        <v>1788.869506077785</v>
      </c>
      <c r="B2699" s="31">
        <f ca="1">Model!$F$14+RAND()*(Model!$G$14-Model!$F$14)</f>
        <v>0.71130756758309666</v>
      </c>
      <c r="C2699" s="32">
        <f ca="1">Model!$F$15+RAND()*(Model!$G$15-Model!$F$15)</f>
        <v>4.9455643717784936E-2</v>
      </c>
      <c r="D2699" s="33">
        <f ca="1">Model!$F$16+RAND()*(Model!$G$16-Model!$F$16)</f>
        <v>49.87742202250876</v>
      </c>
      <c r="E2699" s="33">
        <f>Model!$D$17</f>
        <v>800</v>
      </c>
      <c r="G2699" s="36">
        <f t="shared" ca="1" si="44"/>
        <v>2340.2037943867722</v>
      </c>
    </row>
    <row r="2700" spans="1:7" x14ac:dyDescent="0.2">
      <c r="A2700" s="6">
        <f ca="1">Model!$F$13+RAND()*(Model!$G$13-Model!$F$13)</f>
        <v>1220.7628593136367</v>
      </c>
      <c r="B2700" s="31">
        <f ca="1">Model!$F$14+RAND()*(Model!$G$14-Model!$F$14)</f>
        <v>0.41876034929798389</v>
      </c>
      <c r="C2700" s="32">
        <f ca="1">Model!$F$15+RAND()*(Model!$G$15-Model!$F$15)</f>
        <v>2.1741750602376455E-2</v>
      </c>
      <c r="D2700" s="33">
        <f ca="1">Model!$F$16+RAND()*(Model!$G$16-Model!$F$16)</f>
        <v>52.751710587435042</v>
      </c>
      <c r="E2700" s="33">
        <f>Model!$D$17</f>
        <v>800</v>
      </c>
      <c r="G2700" s="36">
        <f t="shared" ca="1" si="44"/>
        <v>88.903586296842377</v>
      </c>
    </row>
    <row r="2701" spans="1:7" x14ac:dyDescent="0.2">
      <c r="A2701" s="6">
        <f ca="1">Model!$F$13+RAND()*(Model!$G$13-Model!$F$13)</f>
        <v>1301.4443840802005</v>
      </c>
      <c r="B2701" s="31">
        <f ca="1">Model!$F$14+RAND()*(Model!$G$14-Model!$F$14)</f>
        <v>0.72567992475821952</v>
      </c>
      <c r="C2701" s="32">
        <f ca="1">Model!$F$15+RAND()*(Model!$G$15-Model!$F$15)</f>
        <v>1.2303070744819582E-2</v>
      </c>
      <c r="D2701" s="33">
        <f ca="1">Model!$F$16+RAND()*(Model!$G$16-Model!$F$16)</f>
        <v>48.014740597361872</v>
      </c>
      <c r="E2701" s="33">
        <f>Model!$D$17</f>
        <v>800</v>
      </c>
      <c r="G2701" s="36">
        <f t="shared" ca="1" si="44"/>
        <v>-975.63144804103035</v>
      </c>
    </row>
    <row r="2702" spans="1:7" x14ac:dyDescent="0.2">
      <c r="A2702" s="6">
        <f ca="1">Model!$F$13+RAND()*(Model!$G$13-Model!$F$13)</f>
        <v>1250.3938636023379</v>
      </c>
      <c r="B2702" s="31">
        <f ca="1">Model!$F$14+RAND()*(Model!$G$14-Model!$F$14)</f>
        <v>0.47411853255306508</v>
      </c>
      <c r="C2702" s="32">
        <f ca="1">Model!$F$15+RAND()*(Model!$G$15-Model!$F$15)</f>
        <v>3.2339976943365649E-2</v>
      </c>
      <c r="D2702" s="33">
        <f ca="1">Model!$F$16+RAND()*(Model!$G$16-Model!$F$16)</f>
        <v>47.566303259133605</v>
      </c>
      <c r="E2702" s="33">
        <f>Model!$D$17</f>
        <v>800</v>
      </c>
      <c r="G2702" s="36">
        <f t="shared" ca="1" si="44"/>
        <v>530.63741230918004</v>
      </c>
    </row>
    <row r="2703" spans="1:7" x14ac:dyDescent="0.2">
      <c r="A2703" s="6">
        <f ca="1">Model!$F$13+RAND()*(Model!$G$13-Model!$F$13)</f>
        <v>1676.1346551187305</v>
      </c>
      <c r="B2703" s="31">
        <f ca="1">Model!$F$14+RAND()*(Model!$G$14-Model!$F$14)</f>
        <v>0.35564840046172408</v>
      </c>
      <c r="C2703" s="32">
        <f ca="1">Model!$F$15+RAND()*(Model!$G$15-Model!$F$15)</f>
        <v>1.6787708222259355E-2</v>
      </c>
      <c r="D2703" s="33">
        <f ca="1">Model!$F$16+RAND()*(Model!$G$16-Model!$F$16)</f>
        <v>51.584503429802574</v>
      </c>
      <c r="E2703" s="33">
        <f>Model!$D$17</f>
        <v>800</v>
      </c>
      <c r="G2703" s="36">
        <f t="shared" ca="1" si="44"/>
        <v>55.393853152873817</v>
      </c>
    </row>
    <row r="2704" spans="1:7" x14ac:dyDescent="0.2">
      <c r="A2704" s="6">
        <f ca="1">Model!$F$13+RAND()*(Model!$G$13-Model!$F$13)</f>
        <v>1293.6134063126074</v>
      </c>
      <c r="B2704" s="31">
        <f ca="1">Model!$F$14+RAND()*(Model!$G$14-Model!$F$14)</f>
        <v>0.70191121723514249</v>
      </c>
      <c r="C2704" s="32">
        <f ca="1">Model!$F$15+RAND()*(Model!$G$15-Model!$F$15)</f>
        <v>4.4738543298488358E-2</v>
      </c>
      <c r="D2704" s="33">
        <f ca="1">Model!$F$16+RAND()*(Model!$G$16-Model!$F$16)</f>
        <v>52.416390566767504</v>
      </c>
      <c r="E2704" s="33">
        <f>Model!$D$17</f>
        <v>800</v>
      </c>
      <c r="G2704" s="36">
        <f t="shared" ca="1" si="44"/>
        <v>1325.5643132495875</v>
      </c>
    </row>
    <row r="2705" spans="1:7" x14ac:dyDescent="0.2">
      <c r="A2705" s="6">
        <f ca="1">Model!$F$13+RAND()*(Model!$G$13-Model!$F$13)</f>
        <v>1432.7753226968496</v>
      </c>
      <c r="B2705" s="31">
        <f ca="1">Model!$F$14+RAND()*(Model!$G$14-Model!$F$14)</f>
        <v>0.35777541250438016</v>
      </c>
      <c r="C2705" s="32">
        <f ca="1">Model!$F$15+RAND()*(Model!$G$15-Model!$F$15)</f>
        <v>3.6083505237657951E-2</v>
      </c>
      <c r="D2705" s="33">
        <f ca="1">Model!$F$16+RAND()*(Model!$G$16-Model!$F$16)</f>
        <v>49.383646538273737</v>
      </c>
      <c r="E2705" s="33">
        <f>Model!$D$17</f>
        <v>800</v>
      </c>
      <c r="G2705" s="36">
        <f t="shared" ca="1" si="44"/>
        <v>1240.5008107173924</v>
      </c>
    </row>
    <row r="2706" spans="1:7" x14ac:dyDescent="0.2">
      <c r="A2706" s="6">
        <f ca="1">Model!$F$13+RAND()*(Model!$G$13-Model!$F$13)</f>
        <v>1749.5787637487019</v>
      </c>
      <c r="B2706" s="31">
        <f ca="1">Model!$F$14+RAND()*(Model!$G$14-Model!$F$14)</f>
        <v>0.23674593969603192</v>
      </c>
      <c r="C2706" s="32">
        <f ca="1">Model!$F$15+RAND()*(Model!$G$15-Model!$F$15)</f>
        <v>1.6576939466427972E-2</v>
      </c>
      <c r="D2706" s="33">
        <f ca="1">Model!$F$16+RAND()*(Model!$G$16-Model!$F$16)</f>
        <v>52.192007157036663</v>
      </c>
      <c r="E2706" s="33">
        <f>Model!$D$17</f>
        <v>800</v>
      </c>
      <c r="G2706" s="36">
        <f t="shared" ca="1" si="44"/>
        <v>299.50143547614266</v>
      </c>
    </row>
    <row r="2707" spans="1:7" x14ac:dyDescent="0.2">
      <c r="A2707" s="6">
        <f ca="1">Model!$F$13+RAND()*(Model!$G$13-Model!$F$13)</f>
        <v>1418.1767619650857</v>
      </c>
      <c r="B2707" s="31">
        <f ca="1">Model!$F$14+RAND()*(Model!$G$14-Model!$F$14)</f>
        <v>0.3782720845996359</v>
      </c>
      <c r="C2707" s="32">
        <f ca="1">Model!$F$15+RAND()*(Model!$G$15-Model!$F$15)</f>
        <v>1.3206447725562263E-2</v>
      </c>
      <c r="D2707" s="33">
        <f ca="1">Model!$F$16+RAND()*(Model!$G$16-Model!$F$16)</f>
        <v>52.005814551462507</v>
      </c>
      <c r="E2707" s="33">
        <f>Model!$D$17</f>
        <v>800</v>
      </c>
      <c r="G2707" s="36">
        <f t="shared" ca="1" si="44"/>
        <v>-362.43576072569715</v>
      </c>
    </row>
    <row r="2708" spans="1:7" x14ac:dyDescent="0.2">
      <c r="A2708" s="6">
        <f ca="1">Model!$F$13+RAND()*(Model!$G$13-Model!$F$13)</f>
        <v>1442.9218005593902</v>
      </c>
      <c r="B2708" s="31">
        <f ca="1">Model!$F$14+RAND()*(Model!$G$14-Model!$F$14)</f>
        <v>0.79431296769262949</v>
      </c>
      <c r="C2708" s="32">
        <f ca="1">Model!$F$15+RAND()*(Model!$G$15-Model!$F$15)</f>
        <v>2.0596891425224001E-2</v>
      </c>
      <c r="D2708" s="33">
        <f ca="1">Model!$F$16+RAND()*(Model!$G$16-Model!$F$16)</f>
        <v>51.247732633240261</v>
      </c>
      <c r="E2708" s="33">
        <f>Model!$D$17</f>
        <v>800</v>
      </c>
      <c r="G2708" s="36">
        <f t="shared" ca="1" si="44"/>
        <v>-423.06407038187513</v>
      </c>
    </row>
    <row r="2709" spans="1:7" x14ac:dyDescent="0.2">
      <c r="A2709" s="6">
        <f ca="1">Model!$F$13+RAND()*(Model!$G$13-Model!$F$13)</f>
        <v>1535.6030085636885</v>
      </c>
      <c r="B2709" s="31">
        <f ca="1">Model!$F$14+RAND()*(Model!$G$14-Model!$F$14)</f>
        <v>0.38348116945784627</v>
      </c>
      <c r="C2709" s="32">
        <f ca="1">Model!$F$15+RAND()*(Model!$G$15-Model!$F$15)</f>
        <v>2.9245958977182962E-2</v>
      </c>
      <c r="D2709" s="33">
        <f ca="1">Model!$F$16+RAND()*(Model!$G$16-Model!$F$16)</f>
        <v>49.845729083543596</v>
      </c>
      <c r="E2709" s="33">
        <f>Model!$D$17</f>
        <v>800</v>
      </c>
      <c r="G2709" s="36">
        <f t="shared" ca="1" si="44"/>
        <v>849.70595711067472</v>
      </c>
    </row>
    <row r="2710" spans="1:7" x14ac:dyDescent="0.2">
      <c r="A2710" s="6">
        <f ca="1">Model!$F$13+RAND()*(Model!$G$13-Model!$F$13)</f>
        <v>1237.6964278749867</v>
      </c>
      <c r="B2710" s="31">
        <f ca="1">Model!$F$14+RAND()*(Model!$G$14-Model!$F$14)</f>
        <v>0.77077939504973458</v>
      </c>
      <c r="C2710" s="32">
        <f ca="1">Model!$F$15+RAND()*(Model!$G$15-Model!$F$15)</f>
        <v>2.7660766763521527E-2</v>
      </c>
      <c r="D2710" s="33">
        <f ca="1">Model!$F$16+RAND()*(Model!$G$16-Model!$F$16)</f>
        <v>47.044128888970405</v>
      </c>
      <c r="E2710" s="33">
        <f>Model!$D$17</f>
        <v>800</v>
      </c>
      <c r="G2710" s="36">
        <f t="shared" ca="1" si="44"/>
        <v>-143.40540939162452</v>
      </c>
    </row>
    <row r="2711" spans="1:7" x14ac:dyDescent="0.2">
      <c r="A2711" s="6">
        <f ca="1">Model!$F$13+RAND()*(Model!$G$13-Model!$F$13)</f>
        <v>1281.3093745832336</v>
      </c>
      <c r="B2711" s="31">
        <f ca="1">Model!$F$14+RAND()*(Model!$G$14-Model!$F$14)</f>
        <v>0.6002255182037326</v>
      </c>
      <c r="C2711" s="32">
        <f ca="1">Model!$F$15+RAND()*(Model!$G$15-Model!$F$15)</f>
        <v>2.1419745738772991E-2</v>
      </c>
      <c r="D2711" s="33">
        <f ca="1">Model!$F$16+RAND()*(Model!$G$16-Model!$F$16)</f>
        <v>52.338574868388854</v>
      </c>
      <c r="E2711" s="33">
        <f>Model!$D$17</f>
        <v>800</v>
      </c>
      <c r="G2711" s="36">
        <f t="shared" ca="1" si="44"/>
        <v>-132.62559454103189</v>
      </c>
    </row>
    <row r="2712" spans="1:7" x14ac:dyDescent="0.2">
      <c r="A2712" s="6">
        <f ca="1">Model!$F$13+RAND()*(Model!$G$13-Model!$F$13)</f>
        <v>1205.8053856699546</v>
      </c>
      <c r="B2712" s="31">
        <f ca="1">Model!$F$14+RAND()*(Model!$G$14-Model!$F$14)</f>
        <v>0.22755353779990367</v>
      </c>
      <c r="C2712" s="32">
        <f ca="1">Model!$F$15+RAND()*(Model!$G$15-Model!$F$15)</f>
        <v>1.5608162886972247E-2</v>
      </c>
      <c r="D2712" s="33">
        <f ca="1">Model!$F$16+RAND()*(Model!$G$16-Model!$F$16)</f>
        <v>51.056851886302049</v>
      </c>
      <c r="E2712" s="33">
        <f>Model!$D$17</f>
        <v>800</v>
      </c>
      <c r="G2712" s="36">
        <f t="shared" ca="1" si="44"/>
        <v>-113.47455543009369</v>
      </c>
    </row>
    <row r="2713" spans="1:7" x14ac:dyDescent="0.2">
      <c r="A2713" s="6">
        <f ca="1">Model!$F$13+RAND()*(Model!$G$13-Model!$F$13)</f>
        <v>1296.7041026303866</v>
      </c>
      <c r="B2713" s="31">
        <f ca="1">Model!$F$14+RAND()*(Model!$G$14-Model!$F$14)</f>
        <v>0.62273919178166515</v>
      </c>
      <c r="C2713" s="32">
        <f ca="1">Model!$F$15+RAND()*(Model!$G$15-Model!$F$15)</f>
        <v>2.2328384081543591E-2</v>
      </c>
      <c r="D2713" s="33">
        <f ca="1">Model!$F$16+RAND()*(Model!$G$16-Model!$F$16)</f>
        <v>48.648204691433918</v>
      </c>
      <c r="E2713" s="33">
        <f>Model!$D$17</f>
        <v>800</v>
      </c>
      <c r="G2713" s="36">
        <f t="shared" ca="1" si="44"/>
        <v>-198.98204756921791</v>
      </c>
    </row>
    <row r="2714" spans="1:7" x14ac:dyDescent="0.2">
      <c r="A2714" s="6">
        <f ca="1">Model!$F$13+RAND()*(Model!$G$13-Model!$F$13)</f>
        <v>1542.8064874824813</v>
      </c>
      <c r="B2714" s="31">
        <f ca="1">Model!$F$14+RAND()*(Model!$G$14-Model!$F$14)</f>
        <v>0.68331935059160154</v>
      </c>
      <c r="C2714" s="32">
        <f ca="1">Model!$F$15+RAND()*(Model!$G$15-Model!$F$15)</f>
        <v>4.1590048589822202E-2</v>
      </c>
      <c r="D2714" s="33">
        <f ca="1">Model!$F$16+RAND()*(Model!$G$16-Model!$F$16)</f>
        <v>52.874213208806218</v>
      </c>
      <c r="E2714" s="33">
        <f>Model!$D$17</f>
        <v>800</v>
      </c>
      <c r="G2714" s="36">
        <f t="shared" ca="1" si="44"/>
        <v>1538.4653428101776</v>
      </c>
    </row>
    <row r="2715" spans="1:7" x14ac:dyDescent="0.2">
      <c r="A2715" s="6">
        <f ca="1">Model!$F$13+RAND()*(Model!$G$13-Model!$F$13)</f>
        <v>1514.927297270448</v>
      </c>
      <c r="B2715" s="31">
        <f ca="1">Model!$F$14+RAND()*(Model!$G$14-Model!$F$14)</f>
        <v>0.62136051500423983</v>
      </c>
      <c r="C2715" s="32">
        <f ca="1">Model!$F$15+RAND()*(Model!$G$15-Model!$F$15)</f>
        <v>1.621489494887212E-2</v>
      </c>
      <c r="D2715" s="33">
        <f ca="1">Model!$F$16+RAND()*(Model!$G$16-Model!$F$16)</f>
        <v>49.77178281602616</v>
      </c>
      <c r="E2715" s="33">
        <f>Model!$D$17</f>
        <v>800</v>
      </c>
      <c r="G2715" s="36">
        <f t="shared" ca="1" si="44"/>
        <v>-518.70267182770749</v>
      </c>
    </row>
    <row r="2716" spans="1:7" x14ac:dyDescent="0.2">
      <c r="A2716" s="6">
        <f ca="1">Model!$F$13+RAND()*(Model!$G$13-Model!$F$13)</f>
        <v>1622.8753991783415</v>
      </c>
      <c r="B2716" s="31">
        <f ca="1">Model!$F$14+RAND()*(Model!$G$14-Model!$F$14)</f>
        <v>0.4456522962317328</v>
      </c>
      <c r="C2716" s="32">
        <f ca="1">Model!$F$15+RAND()*(Model!$G$15-Model!$F$15)</f>
        <v>1.1352254693239141E-2</v>
      </c>
      <c r="D2716" s="33">
        <f ca="1">Model!$F$16+RAND()*(Model!$G$16-Model!$F$16)</f>
        <v>47.862428197018382</v>
      </c>
      <c r="E2716" s="33">
        <f>Model!$D$17</f>
        <v>800</v>
      </c>
      <c r="G2716" s="36">
        <f t="shared" ca="1" si="44"/>
        <v>-641.4545204240103</v>
      </c>
    </row>
    <row r="2717" spans="1:7" x14ac:dyDescent="0.2">
      <c r="A2717" s="6">
        <f ca="1">Model!$F$13+RAND()*(Model!$G$13-Model!$F$13)</f>
        <v>1247.3568075515916</v>
      </c>
      <c r="B2717" s="31">
        <f ca="1">Model!$F$14+RAND()*(Model!$G$14-Model!$F$14)</f>
        <v>0.44287014840345901</v>
      </c>
      <c r="C2717" s="32">
        <f ca="1">Model!$F$15+RAND()*(Model!$G$15-Model!$F$15)</f>
        <v>3.0966466537717542E-2</v>
      </c>
      <c r="D2717" s="33">
        <f ca="1">Model!$F$16+RAND()*(Model!$G$16-Model!$F$16)</f>
        <v>47.72984576451703</v>
      </c>
      <c r="E2717" s="33">
        <f>Model!$D$17</f>
        <v>800</v>
      </c>
      <c r="G2717" s="36">
        <f t="shared" ca="1" si="44"/>
        <v>491.20704152338726</v>
      </c>
    </row>
    <row r="2718" spans="1:7" x14ac:dyDescent="0.2">
      <c r="A2718" s="6">
        <f ca="1">Model!$F$13+RAND()*(Model!$G$13-Model!$F$13)</f>
        <v>1211.8346763535426</v>
      </c>
      <c r="B2718" s="31">
        <f ca="1">Model!$F$14+RAND()*(Model!$G$14-Model!$F$14)</f>
        <v>0.32745102067699139</v>
      </c>
      <c r="C2718" s="32">
        <f ca="1">Model!$F$15+RAND()*(Model!$G$15-Model!$F$15)</f>
        <v>2.8135366599702304E-2</v>
      </c>
      <c r="D2718" s="33">
        <f ca="1">Model!$F$16+RAND()*(Model!$G$16-Model!$F$16)</f>
        <v>48.803735856616974</v>
      </c>
      <c r="E2718" s="33">
        <f>Model!$D$17</f>
        <v>800</v>
      </c>
      <c r="G2718" s="36">
        <f t="shared" ca="1" si="44"/>
        <v>467.16702232906709</v>
      </c>
    </row>
    <row r="2719" spans="1:7" x14ac:dyDescent="0.2">
      <c r="A2719" s="6">
        <f ca="1">Model!$F$13+RAND()*(Model!$G$13-Model!$F$13)</f>
        <v>1442.9165129797557</v>
      </c>
      <c r="B2719" s="31">
        <f ca="1">Model!$F$14+RAND()*(Model!$G$14-Model!$F$14)</f>
        <v>0.25908017791927401</v>
      </c>
      <c r="C2719" s="32">
        <f ca="1">Model!$F$15+RAND()*(Model!$G$15-Model!$F$15)</f>
        <v>2.2285890677545193E-2</v>
      </c>
      <c r="D2719" s="33">
        <f ca="1">Model!$F$16+RAND()*(Model!$G$16-Model!$F$16)</f>
        <v>52.144277659569454</v>
      </c>
      <c r="E2719" s="33">
        <f>Model!$D$17</f>
        <v>800</v>
      </c>
      <c r="G2719" s="36">
        <f t="shared" ca="1" si="44"/>
        <v>502.95576616091125</v>
      </c>
    </row>
    <row r="2720" spans="1:7" x14ac:dyDescent="0.2">
      <c r="A2720" s="6">
        <f ca="1">Model!$F$13+RAND()*(Model!$G$13-Model!$F$13)</f>
        <v>1375.5892022828293</v>
      </c>
      <c r="B2720" s="31">
        <f ca="1">Model!$F$14+RAND()*(Model!$G$14-Model!$F$14)</f>
        <v>0.60159463748299169</v>
      </c>
      <c r="C2720" s="32">
        <f ca="1">Model!$F$15+RAND()*(Model!$G$15-Model!$F$15)</f>
        <v>2.9069129901819833E-2</v>
      </c>
      <c r="D2720" s="33">
        <f ca="1">Model!$F$16+RAND()*(Model!$G$16-Model!$F$16)</f>
        <v>47.883252373848684</v>
      </c>
      <c r="E2720" s="33">
        <f>Model!$D$17</f>
        <v>800</v>
      </c>
      <c r="G2720" s="36">
        <f t="shared" ca="1" si="44"/>
        <v>287.16920225369199</v>
      </c>
    </row>
    <row r="2721" spans="1:7" x14ac:dyDescent="0.2">
      <c r="A2721" s="6">
        <f ca="1">Model!$F$13+RAND()*(Model!$G$13-Model!$F$13)</f>
        <v>1788.3531247825053</v>
      </c>
      <c r="B2721" s="31">
        <f ca="1">Model!$F$14+RAND()*(Model!$G$14-Model!$F$14)</f>
        <v>0.22019075016781658</v>
      </c>
      <c r="C2721" s="32">
        <f ca="1">Model!$F$15+RAND()*(Model!$G$15-Model!$F$15)</f>
        <v>2.0145354836611614E-2</v>
      </c>
      <c r="D2721" s="33">
        <f ca="1">Model!$F$16+RAND()*(Model!$G$16-Model!$F$16)</f>
        <v>49.572571308277226</v>
      </c>
      <c r="E2721" s="33">
        <f>Model!$D$17</f>
        <v>800</v>
      </c>
      <c r="G2721" s="36">
        <f t="shared" ca="1" si="44"/>
        <v>592.1726204721715</v>
      </c>
    </row>
    <row r="2722" spans="1:7" x14ac:dyDescent="0.2">
      <c r="A2722" s="6">
        <f ca="1">Model!$F$13+RAND()*(Model!$G$13-Model!$F$13)</f>
        <v>1340.5676786014387</v>
      </c>
      <c r="B2722" s="31">
        <f ca="1">Model!$F$14+RAND()*(Model!$G$14-Model!$F$14)</f>
        <v>0.32269772639505279</v>
      </c>
      <c r="C2722" s="32">
        <f ca="1">Model!$F$15+RAND()*(Model!$G$15-Model!$F$15)</f>
        <v>1.9834976509088147E-2</v>
      </c>
      <c r="D2722" s="33">
        <f ca="1">Model!$F$16+RAND()*(Model!$G$16-Model!$F$16)</f>
        <v>48.874668843684375</v>
      </c>
      <c r="E2722" s="33">
        <f>Model!$D$17</f>
        <v>800</v>
      </c>
      <c r="G2722" s="36">
        <f t="shared" ca="1" si="44"/>
        <v>66.985578777142564</v>
      </c>
    </row>
    <row r="2723" spans="1:7" x14ac:dyDescent="0.2">
      <c r="A2723" s="6">
        <f ca="1">Model!$F$13+RAND()*(Model!$G$13-Model!$F$13)</f>
        <v>1645.6710429835348</v>
      </c>
      <c r="B2723" s="31">
        <f ca="1">Model!$F$14+RAND()*(Model!$G$14-Model!$F$14)</f>
        <v>0.46797702043339673</v>
      </c>
      <c r="C2723" s="32">
        <f ca="1">Model!$F$15+RAND()*(Model!$G$15-Model!$F$15)</f>
        <v>3.8399688904050856E-2</v>
      </c>
      <c r="D2723" s="33">
        <f ca="1">Model!$F$16+RAND()*(Model!$G$16-Model!$F$16)</f>
        <v>48.136009497855255</v>
      </c>
      <c r="E2723" s="33">
        <f>Model!$D$17</f>
        <v>800</v>
      </c>
      <c r="G2723" s="36">
        <f t="shared" ca="1" si="44"/>
        <v>1471.7349439902314</v>
      </c>
    </row>
    <row r="2724" spans="1:7" x14ac:dyDescent="0.2">
      <c r="A2724" s="6">
        <f ca="1">Model!$F$13+RAND()*(Model!$G$13-Model!$F$13)</f>
        <v>1542.2152433340036</v>
      </c>
      <c r="B2724" s="31">
        <f ca="1">Model!$F$14+RAND()*(Model!$G$14-Model!$F$14)</f>
        <v>0.31005970018809592</v>
      </c>
      <c r="C2724" s="32">
        <f ca="1">Model!$F$15+RAND()*(Model!$G$15-Model!$F$15)</f>
        <v>4.5925052497752437E-2</v>
      </c>
      <c r="D2724" s="33">
        <f ca="1">Model!$F$16+RAND()*(Model!$G$16-Model!$F$16)</f>
        <v>51.645756024837979</v>
      </c>
      <c r="E2724" s="33">
        <f>Model!$D$17</f>
        <v>800</v>
      </c>
      <c r="G2724" s="36">
        <f t="shared" ca="1" si="44"/>
        <v>2379.6998409691441</v>
      </c>
    </row>
    <row r="2725" spans="1:7" x14ac:dyDescent="0.2">
      <c r="A2725" s="6">
        <f ca="1">Model!$F$13+RAND()*(Model!$G$13-Model!$F$13)</f>
        <v>1374.2348027267583</v>
      </c>
      <c r="B2725" s="31">
        <f ca="1">Model!$F$14+RAND()*(Model!$G$14-Model!$F$14)</f>
        <v>0.65429973292145482</v>
      </c>
      <c r="C2725" s="32">
        <f ca="1">Model!$F$15+RAND()*(Model!$G$15-Model!$F$15)</f>
        <v>3.2036771706840925E-2</v>
      </c>
      <c r="D2725" s="33">
        <f ca="1">Model!$F$16+RAND()*(Model!$G$16-Model!$F$16)</f>
        <v>52.198381389506572</v>
      </c>
      <c r="E2725" s="33">
        <f>Model!$D$17</f>
        <v>800</v>
      </c>
      <c r="G2725" s="36">
        <f t="shared" ca="1" si="44"/>
        <v>598.92690953348006</v>
      </c>
    </row>
    <row r="2726" spans="1:7" x14ac:dyDescent="0.2">
      <c r="A2726" s="6">
        <f ca="1">Model!$F$13+RAND()*(Model!$G$13-Model!$F$13)</f>
        <v>1682.4369197999054</v>
      </c>
      <c r="B2726" s="31">
        <f ca="1">Model!$F$14+RAND()*(Model!$G$14-Model!$F$14)</f>
        <v>0.69135253211779402</v>
      </c>
      <c r="C2726" s="32">
        <f ca="1">Model!$F$15+RAND()*(Model!$G$15-Model!$F$15)</f>
        <v>1.0526423019339006E-2</v>
      </c>
      <c r="D2726" s="33">
        <f ca="1">Model!$F$16+RAND()*(Model!$G$16-Model!$F$16)</f>
        <v>48.786536723236431</v>
      </c>
      <c r="E2726" s="33">
        <f>Model!$D$17</f>
        <v>800</v>
      </c>
      <c r="G2726" s="36">
        <f t="shared" ca="1" si="44"/>
        <v>-1099.1453750458004</v>
      </c>
    </row>
    <row r="2727" spans="1:7" x14ac:dyDescent="0.2">
      <c r="A2727" s="6">
        <f ca="1">Model!$F$13+RAND()*(Model!$G$13-Model!$F$13)</f>
        <v>1552.4217202369525</v>
      </c>
      <c r="B2727" s="31">
        <f ca="1">Model!$F$14+RAND()*(Model!$G$14-Model!$F$14)</f>
        <v>0.33629930804760222</v>
      </c>
      <c r="C2727" s="32">
        <f ca="1">Model!$F$15+RAND()*(Model!$G$15-Model!$F$15)</f>
        <v>2.7684267762464007E-2</v>
      </c>
      <c r="D2727" s="33">
        <f ca="1">Model!$F$16+RAND()*(Model!$G$16-Model!$F$16)</f>
        <v>52.713890210956947</v>
      </c>
      <c r="E2727" s="33">
        <f>Model!$D$17</f>
        <v>800</v>
      </c>
      <c r="G2727" s="36">
        <f t="shared" ca="1" si="44"/>
        <v>943.44122577056442</v>
      </c>
    </row>
    <row r="2728" spans="1:7" x14ac:dyDescent="0.2">
      <c r="A2728" s="6">
        <f ca="1">Model!$F$13+RAND()*(Model!$G$13-Model!$F$13)</f>
        <v>1484.9380328496659</v>
      </c>
      <c r="B2728" s="31">
        <f ca="1">Model!$F$14+RAND()*(Model!$G$14-Model!$F$14)</f>
        <v>0.23176976816980441</v>
      </c>
      <c r="C2728" s="32">
        <f ca="1">Model!$F$15+RAND()*(Model!$G$15-Model!$F$15)</f>
        <v>4.1423016259618313E-2</v>
      </c>
      <c r="D2728" s="33">
        <f ca="1">Model!$F$16+RAND()*(Model!$G$16-Model!$F$16)</f>
        <v>48.77539660481704</v>
      </c>
      <c r="E2728" s="33">
        <f>Model!$D$17</f>
        <v>800</v>
      </c>
      <c r="G2728" s="36">
        <f t="shared" ca="1" si="44"/>
        <v>1856.0407657058138</v>
      </c>
    </row>
    <row r="2729" spans="1:7" x14ac:dyDescent="0.2">
      <c r="A2729" s="6">
        <f ca="1">Model!$F$13+RAND()*(Model!$G$13-Model!$F$13)</f>
        <v>1598.8448127173406</v>
      </c>
      <c r="B2729" s="31">
        <f ca="1">Model!$F$14+RAND()*(Model!$G$14-Model!$F$14)</f>
        <v>0.42505690043066913</v>
      </c>
      <c r="C2729" s="32">
        <f ca="1">Model!$F$15+RAND()*(Model!$G$15-Model!$F$15)</f>
        <v>1.3199181133713092E-2</v>
      </c>
      <c r="D2729" s="33">
        <f ca="1">Model!$F$16+RAND()*(Model!$G$16-Model!$F$16)</f>
        <v>50.917299595970768</v>
      </c>
      <c r="E2729" s="33">
        <f>Model!$D$17</f>
        <v>800</v>
      </c>
      <c r="G2729" s="36">
        <f t="shared" ref="G2729:G2792" ca="1" si="45">A2729*C2729*D2729-(E2729+A2729*B2729)</f>
        <v>-405.06972689144959</v>
      </c>
    </row>
    <row r="2730" spans="1:7" x14ac:dyDescent="0.2">
      <c r="A2730" s="6">
        <f ca="1">Model!$F$13+RAND()*(Model!$G$13-Model!$F$13)</f>
        <v>1518.2548339492253</v>
      </c>
      <c r="B2730" s="31">
        <f ca="1">Model!$F$14+RAND()*(Model!$G$14-Model!$F$14)</f>
        <v>0.47805735601109961</v>
      </c>
      <c r="C2730" s="32">
        <f ca="1">Model!$F$15+RAND()*(Model!$G$15-Model!$F$15)</f>
        <v>1.939674430128864E-2</v>
      </c>
      <c r="D2730" s="33">
        <f ca="1">Model!$F$16+RAND()*(Model!$G$16-Model!$F$16)</f>
        <v>48.463117370700516</v>
      </c>
      <c r="E2730" s="33">
        <f>Model!$D$17</f>
        <v>800</v>
      </c>
      <c r="G2730" s="36">
        <f t="shared" ca="1" si="45"/>
        <v>-98.612816907082333</v>
      </c>
    </row>
    <row r="2731" spans="1:7" x14ac:dyDescent="0.2">
      <c r="A2731" s="6">
        <f ca="1">Model!$F$13+RAND()*(Model!$G$13-Model!$F$13)</f>
        <v>1265.4372695579113</v>
      </c>
      <c r="B2731" s="31">
        <f ca="1">Model!$F$14+RAND()*(Model!$G$14-Model!$F$14)</f>
        <v>0.54591983645335063</v>
      </c>
      <c r="C2731" s="32">
        <f ca="1">Model!$F$15+RAND()*(Model!$G$15-Model!$F$15)</f>
        <v>1.7477152579729305E-2</v>
      </c>
      <c r="D2731" s="33">
        <f ca="1">Model!$F$16+RAND()*(Model!$G$16-Model!$F$16)</f>
        <v>47.533690181051796</v>
      </c>
      <c r="E2731" s="33">
        <f>Model!$D$17</f>
        <v>800</v>
      </c>
      <c r="G2731" s="36">
        <f t="shared" ca="1" si="45"/>
        <v>-439.56079569452027</v>
      </c>
    </row>
    <row r="2732" spans="1:7" x14ac:dyDescent="0.2">
      <c r="A2732" s="6">
        <f ca="1">Model!$F$13+RAND()*(Model!$G$13-Model!$F$13)</f>
        <v>1306.0009825263701</v>
      </c>
      <c r="B2732" s="31">
        <f ca="1">Model!$F$14+RAND()*(Model!$G$14-Model!$F$14)</f>
        <v>0.30606710380138286</v>
      </c>
      <c r="C2732" s="32">
        <f ca="1">Model!$F$15+RAND()*(Model!$G$15-Model!$F$15)</f>
        <v>3.1711993024261573E-2</v>
      </c>
      <c r="D2732" s="33">
        <f ca="1">Model!$F$16+RAND()*(Model!$G$16-Model!$F$16)</f>
        <v>52.101000122823258</v>
      </c>
      <c r="E2732" s="33">
        <f>Model!$D$17</f>
        <v>800</v>
      </c>
      <c r="G2732" s="36">
        <f t="shared" ca="1" si="45"/>
        <v>958.08556257489181</v>
      </c>
    </row>
    <row r="2733" spans="1:7" x14ac:dyDescent="0.2">
      <c r="A2733" s="6">
        <f ca="1">Model!$F$13+RAND()*(Model!$G$13-Model!$F$13)</f>
        <v>1268.1413215275322</v>
      </c>
      <c r="B2733" s="31">
        <f ca="1">Model!$F$14+RAND()*(Model!$G$14-Model!$F$14)</f>
        <v>0.57164595043543198</v>
      </c>
      <c r="C2733" s="32">
        <f ca="1">Model!$F$15+RAND()*(Model!$G$15-Model!$F$15)</f>
        <v>1.667436269156581E-2</v>
      </c>
      <c r="D2733" s="33">
        <f ca="1">Model!$F$16+RAND()*(Model!$G$16-Model!$F$16)</f>
        <v>49.559611056757831</v>
      </c>
      <c r="E2733" s="33">
        <f>Model!$D$17</f>
        <v>800</v>
      </c>
      <c r="G2733" s="36">
        <f t="shared" ca="1" si="45"/>
        <v>-476.9676557140001</v>
      </c>
    </row>
    <row r="2734" spans="1:7" x14ac:dyDescent="0.2">
      <c r="A2734" s="6">
        <f ca="1">Model!$F$13+RAND()*(Model!$G$13-Model!$F$13)</f>
        <v>1436.8035880677596</v>
      </c>
      <c r="B2734" s="31">
        <f ca="1">Model!$F$14+RAND()*(Model!$G$14-Model!$F$14)</f>
        <v>0.38838684629682463</v>
      </c>
      <c r="C2734" s="32">
        <f ca="1">Model!$F$15+RAND()*(Model!$G$15-Model!$F$15)</f>
        <v>1.2267047729740823E-2</v>
      </c>
      <c r="D2734" s="33">
        <f ca="1">Model!$F$16+RAND()*(Model!$G$16-Model!$F$16)</f>
        <v>52.461961719359806</v>
      </c>
      <c r="E2734" s="33">
        <f>Model!$D$17</f>
        <v>800</v>
      </c>
      <c r="G2734" s="36">
        <f t="shared" ca="1" si="45"/>
        <v>-433.37579674093695</v>
      </c>
    </row>
    <row r="2735" spans="1:7" x14ac:dyDescent="0.2">
      <c r="A2735" s="6">
        <f ca="1">Model!$F$13+RAND()*(Model!$G$13-Model!$F$13)</f>
        <v>1785.2544037367447</v>
      </c>
      <c r="B2735" s="31">
        <f ca="1">Model!$F$14+RAND()*(Model!$G$14-Model!$F$14)</f>
        <v>0.42485350838617908</v>
      </c>
      <c r="C2735" s="32">
        <f ca="1">Model!$F$15+RAND()*(Model!$G$15-Model!$F$15)</f>
        <v>3.4541050751489367E-2</v>
      </c>
      <c r="D2735" s="33">
        <f ca="1">Model!$F$16+RAND()*(Model!$G$16-Model!$F$16)</f>
        <v>50.019170704014996</v>
      </c>
      <c r="E2735" s="33">
        <f>Model!$D$17</f>
        <v>800</v>
      </c>
      <c r="G2735" s="36">
        <f t="shared" ca="1" si="45"/>
        <v>1525.9387044849</v>
      </c>
    </row>
    <row r="2736" spans="1:7" x14ac:dyDescent="0.2">
      <c r="A2736" s="6">
        <f ca="1">Model!$F$13+RAND()*(Model!$G$13-Model!$F$13)</f>
        <v>1502.2693098561299</v>
      </c>
      <c r="B2736" s="31">
        <f ca="1">Model!$F$14+RAND()*(Model!$G$14-Model!$F$14)</f>
        <v>0.20385162396639908</v>
      </c>
      <c r="C2736" s="32">
        <f ca="1">Model!$F$15+RAND()*(Model!$G$15-Model!$F$15)</f>
        <v>4.1964651597258824E-2</v>
      </c>
      <c r="D2736" s="33">
        <f ca="1">Model!$F$16+RAND()*(Model!$G$16-Model!$F$16)</f>
        <v>48.924686492504989</v>
      </c>
      <c r="E2736" s="33">
        <f>Model!$D$17</f>
        <v>800</v>
      </c>
      <c r="G2736" s="36">
        <f t="shared" ca="1" si="45"/>
        <v>1978.0802332066539</v>
      </c>
    </row>
    <row r="2737" spans="1:7" x14ac:dyDescent="0.2">
      <c r="A2737" s="6">
        <f ca="1">Model!$F$13+RAND()*(Model!$G$13-Model!$F$13)</f>
        <v>1560.0091792256046</v>
      </c>
      <c r="B2737" s="31">
        <f ca="1">Model!$F$14+RAND()*(Model!$G$14-Model!$F$14)</f>
        <v>0.32970016745503861</v>
      </c>
      <c r="C2737" s="32">
        <f ca="1">Model!$F$15+RAND()*(Model!$G$15-Model!$F$15)</f>
        <v>1.723897806263585E-2</v>
      </c>
      <c r="D2737" s="33">
        <f ca="1">Model!$F$16+RAND()*(Model!$G$16-Model!$F$16)</f>
        <v>52.717132990744169</v>
      </c>
      <c r="E2737" s="33">
        <f>Model!$D$17</f>
        <v>800</v>
      </c>
      <c r="G2737" s="36">
        <f t="shared" ca="1" si="45"/>
        <v>103.38467303965331</v>
      </c>
    </row>
    <row r="2738" spans="1:7" x14ac:dyDescent="0.2">
      <c r="A2738" s="6">
        <f ca="1">Model!$F$13+RAND()*(Model!$G$13-Model!$F$13)</f>
        <v>1315.2286321281995</v>
      </c>
      <c r="B2738" s="31">
        <f ca="1">Model!$F$14+RAND()*(Model!$G$14-Model!$F$14)</f>
        <v>0.53387580605158336</v>
      </c>
      <c r="C2738" s="32">
        <f ca="1">Model!$F$15+RAND()*(Model!$G$15-Model!$F$15)</f>
        <v>3.4232371902700946E-2</v>
      </c>
      <c r="D2738" s="33">
        <f ca="1">Model!$F$16+RAND()*(Model!$G$16-Model!$F$16)</f>
        <v>51.10016899805423</v>
      </c>
      <c r="E2738" s="33">
        <f>Model!$D$17</f>
        <v>800</v>
      </c>
      <c r="G2738" s="36">
        <f t="shared" ca="1" si="45"/>
        <v>798.53438159066081</v>
      </c>
    </row>
    <row r="2739" spans="1:7" x14ac:dyDescent="0.2">
      <c r="A2739" s="6">
        <f ca="1">Model!$F$13+RAND()*(Model!$G$13-Model!$F$13)</f>
        <v>1606.0807594204318</v>
      </c>
      <c r="B2739" s="31">
        <f ca="1">Model!$F$14+RAND()*(Model!$G$14-Model!$F$14)</f>
        <v>0.53225362987106295</v>
      </c>
      <c r="C2739" s="32">
        <f ca="1">Model!$F$15+RAND()*(Model!$G$15-Model!$F$15)</f>
        <v>3.407341384254188E-2</v>
      </c>
      <c r="D2739" s="33">
        <f ca="1">Model!$F$16+RAND()*(Model!$G$16-Model!$F$16)</f>
        <v>48.561774456460462</v>
      </c>
      <c r="E2739" s="33">
        <f>Model!$D$17</f>
        <v>800</v>
      </c>
      <c r="G2739" s="36">
        <f t="shared" ca="1" si="45"/>
        <v>1002.6840091551317</v>
      </c>
    </row>
    <row r="2740" spans="1:7" x14ac:dyDescent="0.2">
      <c r="A2740" s="6">
        <f ca="1">Model!$F$13+RAND()*(Model!$G$13-Model!$F$13)</f>
        <v>1527.6057318726812</v>
      </c>
      <c r="B2740" s="31">
        <f ca="1">Model!$F$14+RAND()*(Model!$G$14-Model!$F$14)</f>
        <v>0.34502647606927389</v>
      </c>
      <c r="C2740" s="32">
        <f ca="1">Model!$F$15+RAND()*(Model!$G$15-Model!$F$15)</f>
        <v>2.3578166436564615E-2</v>
      </c>
      <c r="D2740" s="33">
        <f ca="1">Model!$F$16+RAND()*(Model!$G$16-Model!$F$16)</f>
        <v>51.789052660753953</v>
      </c>
      <c r="E2740" s="33">
        <f>Model!$D$17</f>
        <v>800</v>
      </c>
      <c r="G2740" s="36">
        <f t="shared" ca="1" si="45"/>
        <v>538.28104041630627</v>
      </c>
    </row>
    <row r="2741" spans="1:7" x14ac:dyDescent="0.2">
      <c r="A2741" s="6">
        <f ca="1">Model!$F$13+RAND()*(Model!$G$13-Model!$F$13)</f>
        <v>1479.5333543629936</v>
      </c>
      <c r="B2741" s="31">
        <f ca="1">Model!$F$14+RAND()*(Model!$G$14-Model!$F$14)</f>
        <v>0.70894968540016645</v>
      </c>
      <c r="C2741" s="32">
        <f ca="1">Model!$F$15+RAND()*(Model!$G$15-Model!$F$15)</f>
        <v>1.5523754946620337E-2</v>
      </c>
      <c r="D2741" s="33">
        <f ca="1">Model!$F$16+RAND()*(Model!$G$16-Model!$F$16)</f>
        <v>52.372639809285488</v>
      </c>
      <c r="E2741" s="33">
        <f>Model!$D$17</f>
        <v>800</v>
      </c>
      <c r="G2741" s="36">
        <f t="shared" ca="1" si="45"/>
        <v>-646.02445942847021</v>
      </c>
    </row>
    <row r="2742" spans="1:7" x14ac:dyDescent="0.2">
      <c r="A2742" s="6">
        <f ca="1">Model!$F$13+RAND()*(Model!$G$13-Model!$F$13)</f>
        <v>1652.402829587835</v>
      </c>
      <c r="B2742" s="31">
        <f ca="1">Model!$F$14+RAND()*(Model!$G$14-Model!$F$14)</f>
        <v>0.30083986332579621</v>
      </c>
      <c r="C2742" s="32">
        <f ca="1">Model!$F$15+RAND()*(Model!$G$15-Model!$F$15)</f>
        <v>3.563576542670728E-2</v>
      </c>
      <c r="D2742" s="33">
        <f ca="1">Model!$F$16+RAND()*(Model!$G$16-Model!$F$16)</f>
        <v>50.915273909017635</v>
      </c>
      <c r="E2742" s="33">
        <f>Model!$D$17</f>
        <v>800</v>
      </c>
      <c r="G2742" s="36">
        <f t="shared" ca="1" si="45"/>
        <v>1701.0189141598451</v>
      </c>
    </row>
    <row r="2743" spans="1:7" x14ac:dyDescent="0.2">
      <c r="A2743" s="6">
        <f ca="1">Model!$F$13+RAND()*(Model!$G$13-Model!$F$13)</f>
        <v>1730.7635399830922</v>
      </c>
      <c r="B2743" s="31">
        <f ca="1">Model!$F$14+RAND()*(Model!$G$14-Model!$F$14)</f>
        <v>0.62595363638174384</v>
      </c>
      <c r="C2743" s="32">
        <f ca="1">Model!$F$15+RAND()*(Model!$G$15-Model!$F$15)</f>
        <v>3.1166542842873318E-2</v>
      </c>
      <c r="D2743" s="33">
        <f ca="1">Model!$F$16+RAND()*(Model!$G$16-Model!$F$16)</f>
        <v>47.63729007363947</v>
      </c>
      <c r="E2743" s="33">
        <f>Model!$D$17</f>
        <v>800</v>
      </c>
      <c r="G2743" s="36">
        <f t="shared" ca="1" si="45"/>
        <v>686.26896899214285</v>
      </c>
    </row>
    <row r="2744" spans="1:7" x14ac:dyDescent="0.2">
      <c r="A2744" s="6">
        <f ca="1">Model!$F$13+RAND()*(Model!$G$13-Model!$F$13)</f>
        <v>1273.3114413626718</v>
      </c>
      <c r="B2744" s="31">
        <f ca="1">Model!$F$14+RAND()*(Model!$G$14-Model!$F$14)</f>
        <v>0.42068172842842089</v>
      </c>
      <c r="C2744" s="32">
        <f ca="1">Model!$F$15+RAND()*(Model!$G$15-Model!$F$15)</f>
        <v>2.656615256956895E-2</v>
      </c>
      <c r="D2744" s="33">
        <f ca="1">Model!$F$16+RAND()*(Model!$G$16-Model!$F$16)</f>
        <v>50.481021626527181</v>
      </c>
      <c r="E2744" s="33">
        <f>Model!$D$17</f>
        <v>800</v>
      </c>
      <c r="G2744" s="36">
        <f t="shared" ca="1" si="45"/>
        <v>371.96195484655664</v>
      </c>
    </row>
    <row r="2745" spans="1:7" x14ac:dyDescent="0.2">
      <c r="A2745" s="6">
        <f ca="1">Model!$F$13+RAND()*(Model!$G$13-Model!$F$13)</f>
        <v>1494.1171115121847</v>
      </c>
      <c r="B2745" s="31">
        <f ca="1">Model!$F$14+RAND()*(Model!$G$14-Model!$F$14)</f>
        <v>0.29946691966128408</v>
      </c>
      <c r="C2745" s="32">
        <f ca="1">Model!$F$15+RAND()*(Model!$G$15-Model!$F$15)</f>
        <v>1.1655470408858917E-2</v>
      </c>
      <c r="D2745" s="33">
        <f ca="1">Model!$F$16+RAND()*(Model!$G$16-Model!$F$16)</f>
        <v>47.715592453449808</v>
      </c>
      <c r="E2745" s="33">
        <f>Model!$D$17</f>
        <v>800</v>
      </c>
      <c r="G2745" s="36">
        <f t="shared" ca="1" si="45"/>
        <v>-416.4888899342086</v>
      </c>
    </row>
    <row r="2746" spans="1:7" x14ac:dyDescent="0.2">
      <c r="A2746" s="6">
        <f ca="1">Model!$F$13+RAND()*(Model!$G$13-Model!$F$13)</f>
        <v>1643.2118310232486</v>
      </c>
      <c r="B2746" s="31">
        <f ca="1">Model!$F$14+RAND()*(Model!$G$14-Model!$F$14)</f>
        <v>0.73773629982486089</v>
      </c>
      <c r="C2746" s="32">
        <f ca="1">Model!$F$15+RAND()*(Model!$G$15-Model!$F$15)</f>
        <v>4.6250216866527624E-2</v>
      </c>
      <c r="D2746" s="33">
        <f ca="1">Model!$F$16+RAND()*(Model!$G$16-Model!$F$16)</f>
        <v>51.055628463346032</v>
      </c>
      <c r="E2746" s="33">
        <f>Model!$D$17</f>
        <v>800</v>
      </c>
      <c r="G2746" s="36">
        <f t="shared" ca="1" si="45"/>
        <v>1867.9147668384537</v>
      </c>
    </row>
    <row r="2747" spans="1:7" x14ac:dyDescent="0.2">
      <c r="A2747" s="6">
        <f ca="1">Model!$F$13+RAND()*(Model!$G$13-Model!$F$13)</f>
        <v>1649.102670747686</v>
      </c>
      <c r="B2747" s="31">
        <f ca="1">Model!$F$14+RAND()*(Model!$G$14-Model!$F$14)</f>
        <v>0.21401785902888959</v>
      </c>
      <c r="C2747" s="32">
        <f ca="1">Model!$F$15+RAND()*(Model!$G$15-Model!$F$15)</f>
        <v>3.7291828200029804E-2</v>
      </c>
      <c r="D2747" s="33">
        <f ca="1">Model!$F$16+RAND()*(Model!$G$16-Model!$F$16)</f>
        <v>48.614406282689806</v>
      </c>
      <c r="E2747" s="33">
        <f>Model!$D$17</f>
        <v>800</v>
      </c>
      <c r="G2747" s="36">
        <f t="shared" ca="1" si="45"/>
        <v>1836.7539346433118</v>
      </c>
    </row>
    <row r="2748" spans="1:7" x14ac:dyDescent="0.2">
      <c r="A2748" s="6">
        <f ca="1">Model!$F$13+RAND()*(Model!$G$13-Model!$F$13)</f>
        <v>1333.2171346314433</v>
      </c>
      <c r="B2748" s="31">
        <f ca="1">Model!$F$14+RAND()*(Model!$G$14-Model!$F$14)</f>
        <v>0.54005023604826974</v>
      </c>
      <c r="C2748" s="32">
        <f ca="1">Model!$F$15+RAND()*(Model!$G$15-Model!$F$15)</f>
        <v>2.1458723567530261E-2</v>
      </c>
      <c r="D2748" s="33">
        <f ca="1">Model!$F$16+RAND()*(Model!$G$16-Model!$F$16)</f>
        <v>51.722901441942383</v>
      </c>
      <c r="E2748" s="33">
        <f>Model!$D$17</f>
        <v>800</v>
      </c>
      <c r="G2748" s="36">
        <f t="shared" ca="1" si="45"/>
        <v>-40.256605861198977</v>
      </c>
    </row>
    <row r="2749" spans="1:7" x14ac:dyDescent="0.2">
      <c r="A2749" s="6">
        <f ca="1">Model!$F$13+RAND()*(Model!$G$13-Model!$F$13)</f>
        <v>1790.0912155911581</v>
      </c>
      <c r="B2749" s="31">
        <f ca="1">Model!$F$14+RAND()*(Model!$G$14-Model!$F$14)</f>
        <v>0.41683867893463455</v>
      </c>
      <c r="C2749" s="32">
        <f ca="1">Model!$F$15+RAND()*(Model!$G$15-Model!$F$15)</f>
        <v>2.5367119511305304E-2</v>
      </c>
      <c r="D2749" s="33">
        <f ca="1">Model!$F$16+RAND()*(Model!$G$16-Model!$F$16)</f>
        <v>49.563865320707734</v>
      </c>
      <c r="E2749" s="33">
        <f>Model!$D$17</f>
        <v>800</v>
      </c>
      <c r="G2749" s="36">
        <f t="shared" ca="1" si="45"/>
        <v>704.48899330709469</v>
      </c>
    </row>
    <row r="2750" spans="1:7" x14ac:dyDescent="0.2">
      <c r="A2750" s="6">
        <f ca="1">Model!$F$13+RAND()*(Model!$G$13-Model!$F$13)</f>
        <v>1606.5649382607908</v>
      </c>
      <c r="B2750" s="31">
        <f ca="1">Model!$F$14+RAND()*(Model!$G$14-Model!$F$14)</f>
        <v>0.70098143200211327</v>
      </c>
      <c r="C2750" s="32">
        <f ca="1">Model!$F$15+RAND()*(Model!$G$15-Model!$F$15)</f>
        <v>3.7789918183250781E-2</v>
      </c>
      <c r="D2750" s="33">
        <f ca="1">Model!$F$16+RAND()*(Model!$G$16-Model!$F$16)</f>
        <v>49.287220222661254</v>
      </c>
      <c r="E2750" s="33">
        <f>Model!$D$17</f>
        <v>800</v>
      </c>
      <c r="G2750" s="36">
        <f t="shared" ca="1" si="45"/>
        <v>1066.1514320206454</v>
      </c>
    </row>
    <row r="2751" spans="1:7" x14ac:dyDescent="0.2">
      <c r="A2751" s="6">
        <f ca="1">Model!$F$13+RAND()*(Model!$G$13-Model!$F$13)</f>
        <v>1688.8184124402974</v>
      </c>
      <c r="B2751" s="31">
        <f ca="1">Model!$F$14+RAND()*(Model!$G$14-Model!$F$14)</f>
        <v>0.57519508219793747</v>
      </c>
      <c r="C2751" s="32">
        <f ca="1">Model!$F$15+RAND()*(Model!$G$15-Model!$F$15)</f>
        <v>1.8443491516526044E-2</v>
      </c>
      <c r="D2751" s="33">
        <f ca="1">Model!$F$16+RAND()*(Model!$G$16-Model!$F$16)</f>
        <v>48.709942839339483</v>
      </c>
      <c r="E2751" s="33">
        <f>Model!$D$17</f>
        <v>800</v>
      </c>
      <c r="G2751" s="36">
        <f t="shared" ca="1" si="45"/>
        <v>-254.19696624577955</v>
      </c>
    </row>
    <row r="2752" spans="1:7" x14ac:dyDescent="0.2">
      <c r="A2752" s="6">
        <f ca="1">Model!$F$13+RAND()*(Model!$G$13-Model!$F$13)</f>
        <v>1356.6998580047955</v>
      </c>
      <c r="B2752" s="31">
        <f ca="1">Model!$F$14+RAND()*(Model!$G$14-Model!$F$14)</f>
        <v>0.22263930888145053</v>
      </c>
      <c r="C2752" s="32">
        <f ca="1">Model!$F$15+RAND()*(Model!$G$15-Model!$F$15)</f>
        <v>4.6004260833083351E-2</v>
      </c>
      <c r="D2752" s="33">
        <f ca="1">Model!$F$16+RAND()*(Model!$G$16-Model!$F$16)</f>
        <v>48.514113867381596</v>
      </c>
      <c r="E2752" s="33">
        <f>Model!$D$17</f>
        <v>800</v>
      </c>
      <c r="G2752" s="36">
        <f t="shared" ca="1" si="45"/>
        <v>1925.9039295912164</v>
      </c>
    </row>
    <row r="2753" spans="1:7" x14ac:dyDescent="0.2">
      <c r="A2753" s="6">
        <f ca="1">Model!$F$13+RAND()*(Model!$G$13-Model!$F$13)</f>
        <v>1550.5039184993643</v>
      </c>
      <c r="B2753" s="31">
        <f ca="1">Model!$F$14+RAND()*(Model!$G$14-Model!$F$14)</f>
        <v>0.62380693400290221</v>
      </c>
      <c r="C2753" s="32">
        <f ca="1">Model!$F$15+RAND()*(Model!$G$15-Model!$F$15)</f>
        <v>1.5600615668736224E-2</v>
      </c>
      <c r="D2753" s="33">
        <f ca="1">Model!$F$16+RAND()*(Model!$G$16-Model!$F$16)</f>
        <v>48.624889449267208</v>
      </c>
      <c r="E2753" s="33">
        <f>Model!$D$17</f>
        <v>800</v>
      </c>
      <c r="G2753" s="36">
        <f t="shared" ca="1" si="45"/>
        <v>-591.03660500336832</v>
      </c>
    </row>
    <row r="2754" spans="1:7" x14ac:dyDescent="0.2">
      <c r="A2754" s="6">
        <f ca="1">Model!$F$13+RAND()*(Model!$G$13-Model!$F$13)</f>
        <v>1370.0667542511439</v>
      </c>
      <c r="B2754" s="31">
        <f ca="1">Model!$F$14+RAND()*(Model!$G$14-Model!$F$14)</f>
        <v>0.55346522671592246</v>
      </c>
      <c r="C2754" s="32">
        <f ca="1">Model!$F$15+RAND()*(Model!$G$15-Model!$F$15)</f>
        <v>3.8760068296177647E-2</v>
      </c>
      <c r="D2754" s="33">
        <f ca="1">Model!$F$16+RAND()*(Model!$G$16-Model!$F$16)</f>
        <v>51.23314471499954</v>
      </c>
      <c r="E2754" s="33">
        <f>Model!$D$17</f>
        <v>800</v>
      </c>
      <c r="G2754" s="36">
        <f t="shared" ca="1" si="45"/>
        <v>1162.3945116553555</v>
      </c>
    </row>
    <row r="2755" spans="1:7" x14ac:dyDescent="0.2">
      <c r="A2755" s="6">
        <f ca="1">Model!$F$13+RAND()*(Model!$G$13-Model!$F$13)</f>
        <v>1501.7412493708341</v>
      </c>
      <c r="B2755" s="31">
        <f ca="1">Model!$F$14+RAND()*(Model!$G$14-Model!$F$14)</f>
        <v>0.61755932055789531</v>
      </c>
      <c r="C2755" s="32">
        <f ca="1">Model!$F$15+RAND()*(Model!$G$15-Model!$F$15)</f>
        <v>3.2879377025559577E-2</v>
      </c>
      <c r="D2755" s="33">
        <f ca="1">Model!$F$16+RAND()*(Model!$G$16-Model!$F$16)</f>
        <v>49.582745159997039</v>
      </c>
      <c r="E2755" s="33">
        <f>Model!$D$17</f>
        <v>800</v>
      </c>
      <c r="G2755" s="36">
        <f t="shared" ca="1" si="45"/>
        <v>720.79902389138897</v>
      </c>
    </row>
    <row r="2756" spans="1:7" x14ac:dyDescent="0.2">
      <c r="A2756" s="6">
        <f ca="1">Model!$F$13+RAND()*(Model!$G$13-Model!$F$13)</f>
        <v>1223.7527391391404</v>
      </c>
      <c r="B2756" s="31">
        <f ca="1">Model!$F$14+RAND()*(Model!$G$14-Model!$F$14)</f>
        <v>0.62317464634253383</v>
      </c>
      <c r="C2756" s="32">
        <f ca="1">Model!$F$15+RAND()*(Model!$G$15-Model!$F$15)</f>
        <v>3.5094834278425961E-2</v>
      </c>
      <c r="D2756" s="33">
        <f ca="1">Model!$F$16+RAND()*(Model!$G$16-Model!$F$16)</f>
        <v>47.614038524722559</v>
      </c>
      <c r="E2756" s="33">
        <f>Model!$D$17</f>
        <v>800</v>
      </c>
      <c r="G2756" s="36">
        <f t="shared" ca="1" si="45"/>
        <v>482.28745761304208</v>
      </c>
    </row>
    <row r="2757" spans="1:7" x14ac:dyDescent="0.2">
      <c r="A2757" s="6">
        <f ca="1">Model!$F$13+RAND()*(Model!$G$13-Model!$F$13)</f>
        <v>1326.7556755275477</v>
      </c>
      <c r="B2757" s="31">
        <f ca="1">Model!$F$14+RAND()*(Model!$G$14-Model!$F$14)</f>
        <v>0.35427248275884726</v>
      </c>
      <c r="C2757" s="32">
        <f ca="1">Model!$F$15+RAND()*(Model!$G$15-Model!$F$15)</f>
        <v>4.8792266320324261E-2</v>
      </c>
      <c r="D2757" s="33">
        <f ca="1">Model!$F$16+RAND()*(Model!$G$16-Model!$F$16)</f>
        <v>51.756397484385047</v>
      </c>
      <c r="E2757" s="33">
        <f>Model!$D$17</f>
        <v>800</v>
      </c>
      <c r="G2757" s="36">
        <f t="shared" ca="1" si="45"/>
        <v>2080.4389082073517</v>
      </c>
    </row>
    <row r="2758" spans="1:7" x14ac:dyDescent="0.2">
      <c r="A2758" s="6">
        <f ca="1">Model!$F$13+RAND()*(Model!$G$13-Model!$F$13)</f>
        <v>1673.1978580324335</v>
      </c>
      <c r="B2758" s="31">
        <f ca="1">Model!$F$14+RAND()*(Model!$G$14-Model!$F$14)</f>
        <v>0.37956626252486259</v>
      </c>
      <c r="C2758" s="32">
        <f ca="1">Model!$F$15+RAND()*(Model!$G$15-Model!$F$15)</f>
        <v>3.7425197007087588E-2</v>
      </c>
      <c r="D2758" s="33">
        <f ca="1">Model!$F$16+RAND()*(Model!$G$16-Model!$F$16)</f>
        <v>48.368210629903871</v>
      </c>
      <c r="E2758" s="33">
        <f>Model!$D$17</f>
        <v>800</v>
      </c>
      <c r="G2758" s="36">
        <f t="shared" ca="1" si="45"/>
        <v>1593.7162581380608</v>
      </c>
    </row>
    <row r="2759" spans="1:7" x14ac:dyDescent="0.2">
      <c r="A2759" s="6">
        <f ca="1">Model!$F$13+RAND()*(Model!$G$13-Model!$F$13)</f>
        <v>1403.1569962328524</v>
      </c>
      <c r="B2759" s="31">
        <f ca="1">Model!$F$14+RAND()*(Model!$G$14-Model!$F$14)</f>
        <v>0.20313468555810399</v>
      </c>
      <c r="C2759" s="32">
        <f ca="1">Model!$F$15+RAND()*(Model!$G$15-Model!$F$15)</f>
        <v>3.4621992723816691E-2</v>
      </c>
      <c r="D2759" s="33">
        <f ca="1">Model!$F$16+RAND()*(Model!$G$16-Model!$F$16)</f>
        <v>51.814469630101733</v>
      </c>
      <c r="E2759" s="33">
        <f>Model!$D$17</f>
        <v>800</v>
      </c>
      <c r="G2759" s="36">
        <f t="shared" ca="1" si="45"/>
        <v>1432.1218107956254</v>
      </c>
    </row>
    <row r="2760" spans="1:7" x14ac:dyDescent="0.2">
      <c r="A2760" s="6">
        <f ca="1">Model!$F$13+RAND()*(Model!$G$13-Model!$F$13)</f>
        <v>1702.6639179037761</v>
      </c>
      <c r="B2760" s="31">
        <f ca="1">Model!$F$14+RAND()*(Model!$G$14-Model!$F$14)</f>
        <v>0.68536265644274463</v>
      </c>
      <c r="C2760" s="32">
        <f ca="1">Model!$F$15+RAND()*(Model!$G$15-Model!$F$15)</f>
        <v>4.7556117051893505E-2</v>
      </c>
      <c r="D2760" s="33">
        <f ca="1">Model!$F$16+RAND()*(Model!$G$16-Model!$F$16)</f>
        <v>50.735369006077313</v>
      </c>
      <c r="E2760" s="33">
        <f>Model!$D$17</f>
        <v>800</v>
      </c>
      <c r="G2760" s="36">
        <f t="shared" ca="1" si="45"/>
        <v>2141.2063245471404</v>
      </c>
    </row>
    <row r="2761" spans="1:7" x14ac:dyDescent="0.2">
      <c r="A2761" s="6">
        <f ca="1">Model!$F$13+RAND()*(Model!$G$13-Model!$F$13)</f>
        <v>1214.288413113617</v>
      </c>
      <c r="B2761" s="31">
        <f ca="1">Model!$F$14+RAND()*(Model!$G$14-Model!$F$14)</f>
        <v>0.61269357280793546</v>
      </c>
      <c r="C2761" s="32">
        <f ca="1">Model!$F$15+RAND()*(Model!$G$15-Model!$F$15)</f>
        <v>3.9176633982419065E-2</v>
      </c>
      <c r="D2761" s="33">
        <f ca="1">Model!$F$16+RAND()*(Model!$G$16-Model!$F$16)</f>
        <v>47.261129795016537</v>
      </c>
      <c r="E2761" s="33">
        <f>Model!$D$17</f>
        <v>800</v>
      </c>
      <c r="G2761" s="36">
        <f t="shared" ca="1" si="45"/>
        <v>704.30712791448923</v>
      </c>
    </row>
    <row r="2762" spans="1:7" x14ac:dyDescent="0.2">
      <c r="A2762" s="6">
        <f ca="1">Model!$F$13+RAND()*(Model!$G$13-Model!$F$13)</f>
        <v>1763.1002018456977</v>
      </c>
      <c r="B2762" s="31">
        <f ca="1">Model!$F$14+RAND()*(Model!$G$14-Model!$F$14)</f>
        <v>0.57623026168785452</v>
      </c>
      <c r="C2762" s="32">
        <f ca="1">Model!$F$15+RAND()*(Model!$G$15-Model!$F$15)</f>
        <v>4.7197546994405003E-2</v>
      </c>
      <c r="D2762" s="33">
        <f ca="1">Model!$F$16+RAND()*(Model!$G$16-Model!$F$16)</f>
        <v>51.668319726577508</v>
      </c>
      <c r="E2762" s="33">
        <f>Model!$D$17</f>
        <v>800</v>
      </c>
      <c r="G2762" s="36">
        <f t="shared" ca="1" si="45"/>
        <v>2483.5761063872483</v>
      </c>
    </row>
    <row r="2763" spans="1:7" x14ac:dyDescent="0.2">
      <c r="A2763" s="6">
        <f ca="1">Model!$F$13+RAND()*(Model!$G$13-Model!$F$13)</f>
        <v>1426.6445181274487</v>
      </c>
      <c r="B2763" s="31">
        <f ca="1">Model!$F$14+RAND()*(Model!$G$14-Model!$F$14)</f>
        <v>0.36324049890924548</v>
      </c>
      <c r="C2763" s="32">
        <f ca="1">Model!$F$15+RAND()*(Model!$G$15-Model!$F$15)</f>
        <v>4.3706621981284832E-2</v>
      </c>
      <c r="D2763" s="33">
        <f ca="1">Model!$F$16+RAND()*(Model!$G$16-Model!$F$16)</f>
        <v>51.69908636451855</v>
      </c>
      <c r="E2763" s="33">
        <f>Model!$D$17</f>
        <v>800</v>
      </c>
      <c r="G2763" s="36">
        <f t="shared" ca="1" si="45"/>
        <v>1905.4200791013295</v>
      </c>
    </row>
    <row r="2764" spans="1:7" x14ac:dyDescent="0.2">
      <c r="A2764" s="6">
        <f ca="1">Model!$F$13+RAND()*(Model!$G$13-Model!$F$13)</f>
        <v>1470.6576273196354</v>
      </c>
      <c r="B2764" s="31">
        <f ca="1">Model!$F$14+RAND()*(Model!$G$14-Model!$F$14)</f>
        <v>0.63285005497450086</v>
      </c>
      <c r="C2764" s="32">
        <f ca="1">Model!$F$15+RAND()*(Model!$G$15-Model!$F$15)</f>
        <v>4.5865427664213511E-2</v>
      </c>
      <c r="D2764" s="33">
        <f ca="1">Model!$F$16+RAND()*(Model!$G$16-Model!$F$16)</f>
        <v>50.585998606750088</v>
      </c>
      <c r="E2764" s="33">
        <f>Model!$D$17</f>
        <v>800</v>
      </c>
      <c r="G2764" s="36">
        <f t="shared" ca="1" si="45"/>
        <v>1681.4382687972084</v>
      </c>
    </row>
    <row r="2765" spans="1:7" x14ac:dyDescent="0.2">
      <c r="A2765" s="6">
        <f ca="1">Model!$F$13+RAND()*(Model!$G$13-Model!$F$13)</f>
        <v>1696.7267254505355</v>
      </c>
      <c r="B2765" s="31">
        <f ca="1">Model!$F$14+RAND()*(Model!$G$14-Model!$F$14)</f>
        <v>0.46713169446413788</v>
      </c>
      <c r="C2765" s="32">
        <f ca="1">Model!$F$15+RAND()*(Model!$G$15-Model!$F$15)</f>
        <v>4.3497917044882754E-2</v>
      </c>
      <c r="D2765" s="33">
        <f ca="1">Model!$F$16+RAND()*(Model!$G$16-Model!$F$16)</f>
        <v>52.852116117070302</v>
      </c>
      <c r="E2765" s="33">
        <f>Model!$D$17</f>
        <v>800</v>
      </c>
      <c r="G2765" s="36">
        <f t="shared" ca="1" si="45"/>
        <v>2308.1068886436342</v>
      </c>
    </row>
    <row r="2766" spans="1:7" x14ac:dyDescent="0.2">
      <c r="A2766" s="6">
        <f ca="1">Model!$F$13+RAND()*(Model!$G$13-Model!$F$13)</f>
        <v>1577.4441875500986</v>
      </c>
      <c r="B2766" s="31">
        <f ca="1">Model!$F$14+RAND()*(Model!$G$14-Model!$F$14)</f>
        <v>0.59053857408738009</v>
      </c>
      <c r="C2766" s="32">
        <f ca="1">Model!$F$15+RAND()*(Model!$G$15-Model!$F$15)</f>
        <v>1.7534870014136499E-2</v>
      </c>
      <c r="D2766" s="33">
        <f ca="1">Model!$F$16+RAND()*(Model!$G$16-Model!$F$16)</f>
        <v>49.41817184725867</v>
      </c>
      <c r="E2766" s="33">
        <f>Model!$D$17</f>
        <v>800</v>
      </c>
      <c r="G2766" s="36">
        <f t="shared" ca="1" si="45"/>
        <v>-364.62123096472055</v>
      </c>
    </row>
    <row r="2767" spans="1:7" x14ac:dyDescent="0.2">
      <c r="A2767" s="6">
        <f ca="1">Model!$F$13+RAND()*(Model!$G$13-Model!$F$13)</f>
        <v>1293.1784337898684</v>
      </c>
      <c r="B2767" s="31">
        <f ca="1">Model!$F$14+RAND()*(Model!$G$14-Model!$F$14)</f>
        <v>0.38924495436331341</v>
      </c>
      <c r="C2767" s="32">
        <f ca="1">Model!$F$15+RAND()*(Model!$G$15-Model!$F$15)</f>
        <v>3.4457160484251549E-2</v>
      </c>
      <c r="D2767" s="33">
        <f ca="1">Model!$F$16+RAND()*(Model!$G$16-Model!$F$16)</f>
        <v>47.993514087166247</v>
      </c>
      <c r="E2767" s="33">
        <f>Model!$D$17</f>
        <v>800</v>
      </c>
      <c r="G2767" s="36">
        <f t="shared" ca="1" si="45"/>
        <v>835.19213983790632</v>
      </c>
    </row>
    <row r="2768" spans="1:7" x14ac:dyDescent="0.2">
      <c r="A2768" s="6">
        <f ca="1">Model!$F$13+RAND()*(Model!$G$13-Model!$F$13)</f>
        <v>1235.2947838725261</v>
      </c>
      <c r="B2768" s="31">
        <f ca="1">Model!$F$14+RAND()*(Model!$G$14-Model!$F$14)</f>
        <v>0.61652766706237849</v>
      </c>
      <c r="C2768" s="32">
        <f ca="1">Model!$F$15+RAND()*(Model!$G$15-Model!$F$15)</f>
        <v>2.2524864297231072E-2</v>
      </c>
      <c r="D2768" s="33">
        <f ca="1">Model!$F$16+RAND()*(Model!$G$16-Model!$F$16)</f>
        <v>50.283493913891959</v>
      </c>
      <c r="E2768" s="33">
        <f>Model!$D$17</f>
        <v>800</v>
      </c>
      <c r="G2768" s="36">
        <f t="shared" ca="1" si="45"/>
        <v>-162.46286765950504</v>
      </c>
    </row>
    <row r="2769" spans="1:7" x14ac:dyDescent="0.2">
      <c r="A2769" s="6">
        <f ca="1">Model!$F$13+RAND()*(Model!$G$13-Model!$F$13)</f>
        <v>1325.5542425899332</v>
      </c>
      <c r="B2769" s="31">
        <f ca="1">Model!$F$14+RAND()*(Model!$G$14-Model!$F$14)</f>
        <v>0.42334238110624722</v>
      </c>
      <c r="C2769" s="32">
        <f ca="1">Model!$F$15+RAND()*(Model!$G$15-Model!$F$15)</f>
        <v>1.359018396003143E-2</v>
      </c>
      <c r="D2769" s="33">
        <f ca="1">Model!$F$16+RAND()*(Model!$G$16-Model!$F$16)</f>
        <v>49.350936879979187</v>
      </c>
      <c r="E2769" s="33">
        <f>Model!$D$17</f>
        <v>800</v>
      </c>
      <c r="G2769" s="36">
        <f t="shared" ca="1" si="45"/>
        <v>-472.12955350866309</v>
      </c>
    </row>
    <row r="2770" spans="1:7" x14ac:dyDescent="0.2">
      <c r="A2770" s="6">
        <f ca="1">Model!$F$13+RAND()*(Model!$G$13-Model!$F$13)</f>
        <v>1697.7717967464532</v>
      </c>
      <c r="B2770" s="31">
        <f ca="1">Model!$F$14+RAND()*(Model!$G$14-Model!$F$14)</f>
        <v>0.41053994611728256</v>
      </c>
      <c r="C2770" s="32">
        <f ca="1">Model!$F$15+RAND()*(Model!$G$15-Model!$F$15)</f>
        <v>4.6355344875078162E-2</v>
      </c>
      <c r="D2770" s="33">
        <f ca="1">Model!$F$16+RAND()*(Model!$G$16-Model!$F$16)</f>
        <v>48.390156680783484</v>
      </c>
      <c r="E2770" s="33">
        <f>Model!$D$17</f>
        <v>800</v>
      </c>
      <c r="G2770" s="36">
        <f t="shared" ca="1" si="45"/>
        <v>2311.3407633916213</v>
      </c>
    </row>
    <row r="2771" spans="1:7" x14ac:dyDescent="0.2">
      <c r="A2771" s="6">
        <f ca="1">Model!$F$13+RAND()*(Model!$G$13-Model!$F$13)</f>
        <v>1609.0900613314529</v>
      </c>
      <c r="B2771" s="31">
        <f ca="1">Model!$F$14+RAND()*(Model!$G$14-Model!$F$14)</f>
        <v>0.57756710365509278</v>
      </c>
      <c r="C2771" s="32">
        <f ca="1">Model!$F$15+RAND()*(Model!$G$15-Model!$F$15)</f>
        <v>4.0378186790843644E-2</v>
      </c>
      <c r="D2771" s="33">
        <f ca="1">Model!$F$16+RAND()*(Model!$G$16-Model!$F$16)</f>
        <v>48.752059392370519</v>
      </c>
      <c r="E2771" s="33">
        <f>Model!$D$17</f>
        <v>800</v>
      </c>
      <c r="G2771" s="36">
        <f t="shared" ca="1" si="45"/>
        <v>1438.1680960459817</v>
      </c>
    </row>
    <row r="2772" spans="1:7" x14ac:dyDescent="0.2">
      <c r="A2772" s="6">
        <f ca="1">Model!$F$13+RAND()*(Model!$G$13-Model!$F$13)</f>
        <v>1307.6539181564842</v>
      </c>
      <c r="B2772" s="31">
        <f ca="1">Model!$F$14+RAND()*(Model!$G$14-Model!$F$14)</f>
        <v>0.6532086655415974</v>
      </c>
      <c r="C2772" s="32">
        <f ca="1">Model!$F$15+RAND()*(Model!$G$15-Model!$F$15)</f>
        <v>1.1876234902753295E-2</v>
      </c>
      <c r="D2772" s="33">
        <f ca="1">Model!$F$16+RAND()*(Model!$G$16-Model!$F$16)</f>
        <v>47.155058284890671</v>
      </c>
      <c r="E2772" s="33">
        <f>Model!$D$17</f>
        <v>800</v>
      </c>
      <c r="G2772" s="36">
        <f t="shared" ca="1" si="45"/>
        <v>-921.85257504753054</v>
      </c>
    </row>
    <row r="2773" spans="1:7" x14ac:dyDescent="0.2">
      <c r="A2773" s="6">
        <f ca="1">Model!$F$13+RAND()*(Model!$G$13-Model!$F$13)</f>
        <v>1295.8329002548253</v>
      </c>
      <c r="B2773" s="31">
        <f ca="1">Model!$F$14+RAND()*(Model!$G$14-Model!$F$14)</f>
        <v>0.4547262975929437</v>
      </c>
      <c r="C2773" s="32">
        <f ca="1">Model!$F$15+RAND()*(Model!$G$15-Model!$F$15)</f>
        <v>1.3385377240826961E-2</v>
      </c>
      <c r="D2773" s="33">
        <f ca="1">Model!$F$16+RAND()*(Model!$G$16-Model!$F$16)</f>
        <v>51.691369584888548</v>
      </c>
      <c r="E2773" s="33">
        <f>Model!$D$17</f>
        <v>800</v>
      </c>
      <c r="G2773" s="36">
        <f t="shared" ca="1" si="45"/>
        <v>-492.6515221056178</v>
      </c>
    </row>
    <row r="2774" spans="1:7" x14ac:dyDescent="0.2">
      <c r="A2774" s="6">
        <f ca="1">Model!$F$13+RAND()*(Model!$G$13-Model!$F$13)</f>
        <v>1331.2607816905288</v>
      </c>
      <c r="B2774" s="31">
        <f ca="1">Model!$F$14+RAND()*(Model!$G$14-Model!$F$14)</f>
        <v>0.38120183795354667</v>
      </c>
      <c r="C2774" s="32">
        <f ca="1">Model!$F$15+RAND()*(Model!$G$15-Model!$F$15)</f>
        <v>4.5905196958810741E-2</v>
      </c>
      <c r="D2774" s="33">
        <f ca="1">Model!$F$16+RAND()*(Model!$G$16-Model!$F$16)</f>
        <v>47.719915339199446</v>
      </c>
      <c r="E2774" s="33">
        <f>Model!$D$17</f>
        <v>800</v>
      </c>
      <c r="G2774" s="36">
        <f t="shared" ca="1" si="45"/>
        <v>1608.7703112809102</v>
      </c>
    </row>
    <row r="2775" spans="1:7" x14ac:dyDescent="0.2">
      <c r="A2775" s="6">
        <f ca="1">Model!$F$13+RAND()*(Model!$G$13-Model!$F$13)</f>
        <v>1292.6915704824139</v>
      </c>
      <c r="B2775" s="31">
        <f ca="1">Model!$F$14+RAND()*(Model!$G$14-Model!$F$14)</f>
        <v>0.46436674683191931</v>
      </c>
      <c r="C2775" s="32">
        <f ca="1">Model!$F$15+RAND()*(Model!$G$15-Model!$F$15)</f>
        <v>4.2863168224732275E-2</v>
      </c>
      <c r="D2775" s="33">
        <f ca="1">Model!$F$16+RAND()*(Model!$G$16-Model!$F$16)</f>
        <v>50.643786790737167</v>
      </c>
      <c r="E2775" s="33">
        <f>Model!$D$17</f>
        <v>800</v>
      </c>
      <c r="G2775" s="36">
        <f t="shared" ca="1" si="45"/>
        <v>1405.8313229145879</v>
      </c>
    </row>
    <row r="2776" spans="1:7" x14ac:dyDescent="0.2">
      <c r="A2776" s="6">
        <f ca="1">Model!$F$13+RAND()*(Model!$G$13-Model!$F$13)</f>
        <v>1733.4328688216638</v>
      </c>
      <c r="B2776" s="31">
        <f ca="1">Model!$F$14+RAND()*(Model!$G$14-Model!$F$14)</f>
        <v>0.71925948307157417</v>
      </c>
      <c r="C2776" s="32">
        <f ca="1">Model!$F$15+RAND()*(Model!$G$15-Model!$F$15)</f>
        <v>2.3383704111677853E-2</v>
      </c>
      <c r="D2776" s="33">
        <f ca="1">Model!$F$16+RAND()*(Model!$G$16-Model!$F$16)</f>
        <v>52.648523689303325</v>
      </c>
      <c r="E2776" s="33">
        <f>Model!$D$17</f>
        <v>800</v>
      </c>
      <c r="G2776" s="36">
        <f t="shared" ca="1" si="45"/>
        <v>87.271510483636121</v>
      </c>
    </row>
    <row r="2777" spans="1:7" x14ac:dyDescent="0.2">
      <c r="A2777" s="6">
        <f ca="1">Model!$F$13+RAND()*(Model!$G$13-Model!$F$13)</f>
        <v>1369.7775847879914</v>
      </c>
      <c r="B2777" s="31">
        <f ca="1">Model!$F$14+RAND()*(Model!$G$14-Model!$F$14)</f>
        <v>0.30069768291555055</v>
      </c>
      <c r="C2777" s="32">
        <f ca="1">Model!$F$15+RAND()*(Model!$G$15-Model!$F$15)</f>
        <v>1.8029964374117601E-2</v>
      </c>
      <c r="D2777" s="33">
        <f ca="1">Model!$F$16+RAND()*(Model!$G$16-Model!$F$16)</f>
        <v>51.625637204915115</v>
      </c>
      <c r="E2777" s="33">
        <f>Model!$D$17</f>
        <v>800</v>
      </c>
      <c r="G2777" s="36">
        <f t="shared" ca="1" si="45"/>
        <v>63.111535643219895</v>
      </c>
    </row>
    <row r="2778" spans="1:7" x14ac:dyDescent="0.2">
      <c r="A2778" s="6">
        <f ca="1">Model!$F$13+RAND()*(Model!$G$13-Model!$F$13)</f>
        <v>1595.2198672545251</v>
      </c>
      <c r="B2778" s="31">
        <f ca="1">Model!$F$14+RAND()*(Model!$G$14-Model!$F$14)</f>
        <v>0.48555898324131286</v>
      </c>
      <c r="C2778" s="32">
        <f ca="1">Model!$F$15+RAND()*(Model!$G$15-Model!$F$15)</f>
        <v>2.3497232210132918E-2</v>
      </c>
      <c r="D2778" s="33">
        <f ca="1">Model!$F$16+RAND()*(Model!$G$16-Model!$F$16)</f>
        <v>47.391171917916232</v>
      </c>
      <c r="E2778" s="33">
        <f>Model!$D$17</f>
        <v>800</v>
      </c>
      <c r="G2778" s="36">
        <f t="shared" ca="1" si="45"/>
        <v>201.80188605964076</v>
      </c>
    </row>
    <row r="2779" spans="1:7" x14ac:dyDescent="0.2">
      <c r="A2779" s="6">
        <f ca="1">Model!$F$13+RAND()*(Model!$G$13-Model!$F$13)</f>
        <v>1496.1983408682852</v>
      </c>
      <c r="B2779" s="31">
        <f ca="1">Model!$F$14+RAND()*(Model!$G$14-Model!$F$14)</f>
        <v>0.45057071294200191</v>
      </c>
      <c r="C2779" s="32">
        <f ca="1">Model!$F$15+RAND()*(Model!$G$15-Model!$F$15)</f>
        <v>1.5919900679538725E-2</v>
      </c>
      <c r="D2779" s="33">
        <f ca="1">Model!$F$16+RAND()*(Model!$G$16-Model!$F$16)</f>
        <v>48.019097109631211</v>
      </c>
      <c r="E2779" s="33">
        <f>Model!$D$17</f>
        <v>800</v>
      </c>
      <c r="G2779" s="36">
        <f t="shared" ca="1" si="45"/>
        <v>-330.36048160206497</v>
      </c>
    </row>
    <row r="2780" spans="1:7" x14ac:dyDescent="0.2">
      <c r="A2780" s="6">
        <f ca="1">Model!$F$13+RAND()*(Model!$G$13-Model!$F$13)</f>
        <v>1541.6029610473897</v>
      </c>
      <c r="B2780" s="31">
        <f ca="1">Model!$F$14+RAND()*(Model!$G$14-Model!$F$14)</f>
        <v>0.57758469590511319</v>
      </c>
      <c r="C2780" s="32">
        <f ca="1">Model!$F$15+RAND()*(Model!$G$15-Model!$F$15)</f>
        <v>4.7073420483044956E-2</v>
      </c>
      <c r="D2780" s="33">
        <f ca="1">Model!$F$16+RAND()*(Model!$G$16-Model!$F$16)</f>
        <v>50.42476667625985</v>
      </c>
      <c r="E2780" s="33">
        <f>Model!$D$17</f>
        <v>800</v>
      </c>
      <c r="G2780" s="36">
        <f t="shared" ca="1" si="45"/>
        <v>1968.8446336134366</v>
      </c>
    </row>
    <row r="2781" spans="1:7" x14ac:dyDescent="0.2">
      <c r="A2781" s="6">
        <f ca="1">Model!$F$13+RAND()*(Model!$G$13-Model!$F$13)</f>
        <v>1638.2999261713435</v>
      </c>
      <c r="B2781" s="31">
        <f ca="1">Model!$F$14+RAND()*(Model!$G$14-Model!$F$14)</f>
        <v>0.54225926914574862</v>
      </c>
      <c r="C2781" s="32">
        <f ca="1">Model!$F$15+RAND()*(Model!$G$15-Model!$F$15)</f>
        <v>4.4847376587091418E-2</v>
      </c>
      <c r="D2781" s="33">
        <f ca="1">Model!$F$16+RAND()*(Model!$G$16-Model!$F$16)</f>
        <v>50.054820904416545</v>
      </c>
      <c r="E2781" s="33">
        <f>Model!$D$17</f>
        <v>800</v>
      </c>
      <c r="G2781" s="36">
        <f t="shared" ca="1" si="45"/>
        <v>1989.3172481585789</v>
      </c>
    </row>
    <row r="2782" spans="1:7" x14ac:dyDescent="0.2">
      <c r="A2782" s="6">
        <f ca="1">Model!$F$13+RAND()*(Model!$G$13-Model!$F$13)</f>
        <v>1222.1557543966151</v>
      </c>
      <c r="B2782" s="31">
        <f ca="1">Model!$F$14+RAND()*(Model!$G$14-Model!$F$14)</f>
        <v>0.43730899068863388</v>
      </c>
      <c r="C2782" s="32">
        <f ca="1">Model!$F$15+RAND()*(Model!$G$15-Model!$F$15)</f>
        <v>1.7886258012618346E-2</v>
      </c>
      <c r="D2782" s="33">
        <f ca="1">Model!$F$16+RAND()*(Model!$G$16-Model!$F$16)</f>
        <v>50.729791612032386</v>
      </c>
      <c r="E2782" s="33">
        <f>Model!$D$17</f>
        <v>800</v>
      </c>
      <c r="G2782" s="36">
        <f t="shared" ca="1" si="45"/>
        <v>-225.51694799719075</v>
      </c>
    </row>
    <row r="2783" spans="1:7" x14ac:dyDescent="0.2">
      <c r="A2783" s="6">
        <f ca="1">Model!$F$13+RAND()*(Model!$G$13-Model!$F$13)</f>
        <v>1718.859785691448</v>
      </c>
      <c r="B2783" s="31">
        <f ca="1">Model!$F$14+RAND()*(Model!$G$14-Model!$F$14)</f>
        <v>0.65663373587734464</v>
      </c>
      <c r="C2783" s="32">
        <f ca="1">Model!$F$15+RAND()*(Model!$G$15-Model!$F$15)</f>
        <v>4.6823019040196263E-2</v>
      </c>
      <c r="D2783" s="33">
        <f ca="1">Model!$F$16+RAND()*(Model!$G$16-Model!$F$16)</f>
        <v>49.560754804022473</v>
      </c>
      <c r="E2783" s="33">
        <f>Model!$D$17</f>
        <v>800</v>
      </c>
      <c r="G2783" s="36">
        <f t="shared" ca="1" si="45"/>
        <v>2060.0974794386257</v>
      </c>
    </row>
    <row r="2784" spans="1:7" x14ac:dyDescent="0.2">
      <c r="A2784" s="6">
        <f ca="1">Model!$F$13+RAND()*(Model!$G$13-Model!$F$13)</f>
        <v>1755.3842441358554</v>
      </c>
      <c r="B2784" s="31">
        <f ca="1">Model!$F$14+RAND()*(Model!$G$14-Model!$F$14)</f>
        <v>0.2087967023720243</v>
      </c>
      <c r="C2784" s="32">
        <f ca="1">Model!$F$15+RAND()*(Model!$G$15-Model!$F$15)</f>
        <v>4.5245838826246547E-2</v>
      </c>
      <c r="D2784" s="33">
        <f ca="1">Model!$F$16+RAND()*(Model!$G$16-Model!$F$16)</f>
        <v>52.514281925689389</v>
      </c>
      <c r="E2784" s="33">
        <f>Model!$D$17</f>
        <v>800</v>
      </c>
      <c r="G2784" s="36">
        <f t="shared" ca="1" si="45"/>
        <v>3004.3670945895537</v>
      </c>
    </row>
    <row r="2785" spans="1:7" x14ac:dyDescent="0.2">
      <c r="A2785" s="6">
        <f ca="1">Model!$F$13+RAND()*(Model!$G$13-Model!$F$13)</f>
        <v>1305.6906444104736</v>
      </c>
      <c r="B2785" s="31">
        <f ca="1">Model!$F$14+RAND()*(Model!$G$14-Model!$F$14)</f>
        <v>0.63716832410769775</v>
      </c>
      <c r="C2785" s="32">
        <f ca="1">Model!$F$15+RAND()*(Model!$G$15-Model!$F$15)</f>
        <v>2.9421468879622693E-2</v>
      </c>
      <c r="D2785" s="33">
        <f ca="1">Model!$F$16+RAND()*(Model!$G$16-Model!$F$16)</f>
        <v>48.591049897066789</v>
      </c>
      <c r="E2785" s="33">
        <f>Model!$D$17</f>
        <v>800</v>
      </c>
      <c r="G2785" s="36">
        <f t="shared" ca="1" si="45"/>
        <v>234.69682080209964</v>
      </c>
    </row>
    <row r="2786" spans="1:7" x14ac:dyDescent="0.2">
      <c r="A2786" s="6">
        <f ca="1">Model!$F$13+RAND()*(Model!$G$13-Model!$F$13)</f>
        <v>1523.2793775987</v>
      </c>
      <c r="B2786" s="31">
        <f ca="1">Model!$F$14+RAND()*(Model!$G$14-Model!$F$14)</f>
        <v>0.58837724340823394</v>
      </c>
      <c r="C2786" s="32">
        <f ca="1">Model!$F$15+RAND()*(Model!$G$15-Model!$F$15)</f>
        <v>3.0733670744214826E-2</v>
      </c>
      <c r="D2786" s="33">
        <f ca="1">Model!$F$16+RAND()*(Model!$G$16-Model!$F$16)</f>
        <v>49.588918561046803</v>
      </c>
      <c r="E2786" s="33">
        <f>Model!$D$17</f>
        <v>800</v>
      </c>
      <c r="G2786" s="36">
        <f t="shared" ca="1" si="45"/>
        <v>625.29024598078399</v>
      </c>
    </row>
    <row r="2787" spans="1:7" x14ac:dyDescent="0.2">
      <c r="A2787" s="6">
        <f ca="1">Model!$F$13+RAND()*(Model!$G$13-Model!$F$13)</f>
        <v>1270.6362368549226</v>
      </c>
      <c r="B2787" s="31">
        <f ca="1">Model!$F$14+RAND()*(Model!$G$14-Model!$F$14)</f>
        <v>0.65843099326759713</v>
      </c>
      <c r="C2787" s="32">
        <f ca="1">Model!$F$15+RAND()*(Model!$G$15-Model!$F$15)</f>
        <v>4.5092567904639599E-2</v>
      </c>
      <c r="D2787" s="33">
        <f ca="1">Model!$F$16+RAND()*(Model!$G$16-Model!$F$16)</f>
        <v>49.367263366400493</v>
      </c>
      <c r="E2787" s="33">
        <f>Model!$D$17</f>
        <v>800</v>
      </c>
      <c r="G2787" s="36">
        <f t="shared" ca="1" si="45"/>
        <v>1191.9328232653233</v>
      </c>
    </row>
    <row r="2788" spans="1:7" x14ac:dyDescent="0.2">
      <c r="A2788" s="6">
        <f ca="1">Model!$F$13+RAND()*(Model!$G$13-Model!$F$13)</f>
        <v>1579.447030369651</v>
      </c>
      <c r="B2788" s="31">
        <f ca="1">Model!$F$14+RAND()*(Model!$G$14-Model!$F$14)</f>
        <v>0.43318486582215709</v>
      </c>
      <c r="C2788" s="32">
        <f ca="1">Model!$F$15+RAND()*(Model!$G$15-Model!$F$15)</f>
        <v>4.1015308569187552E-2</v>
      </c>
      <c r="D2788" s="33">
        <f ca="1">Model!$F$16+RAND()*(Model!$G$16-Model!$F$16)</f>
        <v>48.980612382080587</v>
      </c>
      <c r="E2788" s="33">
        <f>Model!$D$17</f>
        <v>800</v>
      </c>
      <c r="G2788" s="36">
        <f t="shared" ca="1" si="45"/>
        <v>1688.8453496095781</v>
      </c>
    </row>
    <row r="2789" spans="1:7" x14ac:dyDescent="0.2">
      <c r="A2789" s="6">
        <f ca="1">Model!$F$13+RAND()*(Model!$G$13-Model!$F$13)</f>
        <v>1313.5833365738388</v>
      </c>
      <c r="B2789" s="31">
        <f ca="1">Model!$F$14+RAND()*(Model!$G$14-Model!$F$14)</f>
        <v>0.36309200386391005</v>
      </c>
      <c r="C2789" s="32">
        <f ca="1">Model!$F$15+RAND()*(Model!$G$15-Model!$F$15)</f>
        <v>3.6856757953193722E-2</v>
      </c>
      <c r="D2789" s="33">
        <f ca="1">Model!$F$16+RAND()*(Model!$G$16-Model!$F$16)</f>
        <v>49.904611236201553</v>
      </c>
      <c r="E2789" s="33">
        <f>Model!$D$17</f>
        <v>800</v>
      </c>
      <c r="G2789" s="36">
        <f t="shared" ca="1" si="45"/>
        <v>1139.151356485366</v>
      </c>
    </row>
    <row r="2790" spans="1:7" x14ac:dyDescent="0.2">
      <c r="A2790" s="6">
        <f ca="1">Model!$F$13+RAND()*(Model!$G$13-Model!$F$13)</f>
        <v>1550.4784132787815</v>
      </c>
      <c r="B2790" s="31">
        <f ca="1">Model!$F$14+RAND()*(Model!$G$14-Model!$F$14)</f>
        <v>0.57222282221883047</v>
      </c>
      <c r="C2790" s="32">
        <f ca="1">Model!$F$15+RAND()*(Model!$G$15-Model!$F$15)</f>
        <v>3.7325617373775682E-2</v>
      </c>
      <c r="D2790" s="33">
        <f ca="1">Model!$F$16+RAND()*(Model!$G$16-Model!$F$16)</f>
        <v>49.582309550032654</v>
      </c>
      <c r="E2790" s="33">
        <f>Model!$D$17</f>
        <v>800</v>
      </c>
      <c r="G2790" s="36">
        <f t="shared" ca="1" si="45"/>
        <v>1182.2362492833063</v>
      </c>
    </row>
    <row r="2791" spans="1:7" x14ac:dyDescent="0.2">
      <c r="A2791" s="6">
        <f ca="1">Model!$F$13+RAND()*(Model!$G$13-Model!$F$13)</f>
        <v>1273.4147460679192</v>
      </c>
      <c r="B2791" s="31">
        <f ca="1">Model!$F$14+RAND()*(Model!$G$14-Model!$F$14)</f>
        <v>0.63894561294355179</v>
      </c>
      <c r="C2791" s="32">
        <f ca="1">Model!$F$15+RAND()*(Model!$G$15-Model!$F$15)</f>
        <v>3.3893642382786235E-2</v>
      </c>
      <c r="D2791" s="33">
        <f ca="1">Model!$F$16+RAND()*(Model!$G$16-Model!$F$16)</f>
        <v>52.829761864971843</v>
      </c>
      <c r="E2791" s="33">
        <f>Model!$D$17</f>
        <v>800</v>
      </c>
      <c r="G2791" s="36">
        <f t="shared" ca="1" si="45"/>
        <v>666.52483602915231</v>
      </c>
    </row>
    <row r="2792" spans="1:7" x14ac:dyDescent="0.2">
      <c r="A2792" s="6">
        <f ca="1">Model!$F$13+RAND()*(Model!$G$13-Model!$F$13)</f>
        <v>1574.5649488060458</v>
      </c>
      <c r="B2792" s="31">
        <f ca="1">Model!$F$14+RAND()*(Model!$G$14-Model!$F$14)</f>
        <v>0.62690644704923848</v>
      </c>
      <c r="C2792" s="32">
        <f ca="1">Model!$F$15+RAND()*(Model!$G$15-Model!$F$15)</f>
        <v>3.5086623192023325E-2</v>
      </c>
      <c r="D2792" s="33">
        <f ca="1">Model!$F$16+RAND()*(Model!$G$16-Model!$F$16)</f>
        <v>50.595012114536274</v>
      </c>
      <c r="E2792" s="33">
        <f>Model!$D$17</f>
        <v>800</v>
      </c>
      <c r="G2792" s="36">
        <f t="shared" ca="1" si="45"/>
        <v>1008.0755734785162</v>
      </c>
    </row>
    <row r="2793" spans="1:7" x14ac:dyDescent="0.2">
      <c r="A2793" s="6">
        <f ca="1">Model!$F$13+RAND()*(Model!$G$13-Model!$F$13)</f>
        <v>1431.2051335911979</v>
      </c>
      <c r="B2793" s="31">
        <f ca="1">Model!$F$14+RAND()*(Model!$G$14-Model!$F$14)</f>
        <v>0.21252138099209583</v>
      </c>
      <c r="C2793" s="32">
        <f ca="1">Model!$F$15+RAND()*(Model!$G$15-Model!$F$15)</f>
        <v>2.7596553781107293E-2</v>
      </c>
      <c r="D2793" s="33">
        <f ca="1">Model!$F$16+RAND()*(Model!$G$16-Model!$F$16)</f>
        <v>50.000073311857875</v>
      </c>
      <c r="E2793" s="33">
        <f>Model!$D$17</f>
        <v>800</v>
      </c>
      <c r="G2793" s="36">
        <f t="shared" ref="G2793:G2856" ca="1" si="46">A2793*C2793*D2793-(E2793+A2793*B2793)</f>
        <v>870.65767612282934</v>
      </c>
    </row>
    <row r="2794" spans="1:7" x14ac:dyDescent="0.2">
      <c r="A2794" s="6">
        <f ca="1">Model!$F$13+RAND()*(Model!$G$13-Model!$F$13)</f>
        <v>1729.0387952687975</v>
      </c>
      <c r="B2794" s="31">
        <f ca="1">Model!$F$14+RAND()*(Model!$G$14-Model!$F$14)</f>
        <v>0.42386824484561719</v>
      </c>
      <c r="C2794" s="32">
        <f ca="1">Model!$F$15+RAND()*(Model!$G$15-Model!$F$15)</f>
        <v>4.3434667780078866E-2</v>
      </c>
      <c r="D2794" s="33">
        <f ca="1">Model!$F$16+RAND()*(Model!$G$16-Model!$F$16)</f>
        <v>48.830100473442045</v>
      </c>
      <c r="E2794" s="33">
        <f>Model!$D$17</f>
        <v>800</v>
      </c>
      <c r="G2794" s="36">
        <f t="shared" ca="1" si="46"/>
        <v>2134.2669247139042</v>
      </c>
    </row>
    <row r="2795" spans="1:7" x14ac:dyDescent="0.2">
      <c r="A2795" s="6">
        <f ca="1">Model!$F$13+RAND()*(Model!$G$13-Model!$F$13)</f>
        <v>1738.6780003829883</v>
      </c>
      <c r="B2795" s="31">
        <f ca="1">Model!$F$14+RAND()*(Model!$G$14-Model!$F$14)</f>
        <v>0.44883201862994515</v>
      </c>
      <c r="C2795" s="32">
        <f ca="1">Model!$F$15+RAND()*(Model!$G$15-Model!$F$15)</f>
        <v>1.2822150026957715E-2</v>
      </c>
      <c r="D2795" s="33">
        <f ca="1">Model!$F$16+RAND()*(Model!$G$16-Model!$F$16)</f>
        <v>48.813002670099685</v>
      </c>
      <c r="E2795" s="33">
        <f>Model!$D$17</f>
        <v>800</v>
      </c>
      <c r="G2795" s="36">
        <f t="shared" ca="1" si="46"/>
        <v>-492.15728019036374</v>
      </c>
    </row>
    <row r="2796" spans="1:7" x14ac:dyDescent="0.2">
      <c r="A2796" s="6">
        <f ca="1">Model!$F$13+RAND()*(Model!$G$13-Model!$F$13)</f>
        <v>1229.441500562903</v>
      </c>
      <c r="B2796" s="31">
        <f ca="1">Model!$F$14+RAND()*(Model!$G$14-Model!$F$14)</f>
        <v>0.38860663238266102</v>
      </c>
      <c r="C2796" s="32">
        <f ca="1">Model!$F$15+RAND()*(Model!$G$15-Model!$F$15)</f>
        <v>1.1072544547318439E-2</v>
      </c>
      <c r="D2796" s="33">
        <f ca="1">Model!$F$16+RAND()*(Model!$G$16-Model!$F$16)</f>
        <v>49.720994131832846</v>
      </c>
      <c r="E2796" s="33">
        <f>Model!$D$17</f>
        <v>800</v>
      </c>
      <c r="G2796" s="36">
        <f t="shared" ca="1" si="46"/>
        <v>-600.91495173716658</v>
      </c>
    </row>
    <row r="2797" spans="1:7" x14ac:dyDescent="0.2">
      <c r="A2797" s="6">
        <f ca="1">Model!$F$13+RAND()*(Model!$G$13-Model!$F$13)</f>
        <v>1306.9533563036953</v>
      </c>
      <c r="B2797" s="31">
        <f ca="1">Model!$F$14+RAND()*(Model!$G$14-Model!$F$14)</f>
        <v>0.59512172899754834</v>
      </c>
      <c r="C2797" s="32">
        <f ca="1">Model!$F$15+RAND()*(Model!$G$15-Model!$F$15)</f>
        <v>2.8387717331179632E-2</v>
      </c>
      <c r="D2797" s="33">
        <f ca="1">Model!$F$16+RAND()*(Model!$G$16-Model!$F$16)</f>
        <v>49.029047115877454</v>
      </c>
      <c r="E2797" s="33">
        <f>Model!$D$17</f>
        <v>800</v>
      </c>
      <c r="G2797" s="36">
        <f t="shared" ca="1" si="46"/>
        <v>241.25104793984337</v>
      </c>
    </row>
    <row r="2798" spans="1:7" x14ac:dyDescent="0.2">
      <c r="A2798" s="6">
        <f ca="1">Model!$F$13+RAND()*(Model!$G$13-Model!$F$13)</f>
        <v>1753.2763730278994</v>
      </c>
      <c r="B2798" s="31">
        <f ca="1">Model!$F$14+RAND()*(Model!$G$14-Model!$F$14)</f>
        <v>0.5263479404788719</v>
      </c>
      <c r="C2798" s="32">
        <f ca="1">Model!$F$15+RAND()*(Model!$G$15-Model!$F$15)</f>
        <v>2.8020047230882895E-2</v>
      </c>
      <c r="D2798" s="33">
        <f ca="1">Model!$F$16+RAND()*(Model!$G$16-Model!$F$16)</f>
        <v>48.557254458953224</v>
      </c>
      <c r="E2798" s="33">
        <f>Model!$D$17</f>
        <v>800</v>
      </c>
      <c r="G2798" s="36">
        <f t="shared" ca="1" si="46"/>
        <v>662.6333341692939</v>
      </c>
    </row>
    <row r="2799" spans="1:7" x14ac:dyDescent="0.2">
      <c r="A2799" s="6">
        <f ca="1">Model!$F$13+RAND()*(Model!$G$13-Model!$F$13)</f>
        <v>1755.7723057230946</v>
      </c>
      <c r="B2799" s="31">
        <f ca="1">Model!$F$14+RAND()*(Model!$G$14-Model!$F$14)</f>
        <v>0.56151217462166381</v>
      </c>
      <c r="C2799" s="32">
        <f ca="1">Model!$F$15+RAND()*(Model!$G$15-Model!$F$15)</f>
        <v>4.9160876422453086E-2</v>
      </c>
      <c r="D2799" s="33">
        <f ca="1">Model!$F$16+RAND()*(Model!$G$16-Model!$F$16)</f>
        <v>51.693513818588428</v>
      </c>
      <c r="E2799" s="33">
        <f>Model!$D$17</f>
        <v>800</v>
      </c>
      <c r="G2799" s="36">
        <f t="shared" ca="1" si="46"/>
        <v>2676.0539042157325</v>
      </c>
    </row>
    <row r="2800" spans="1:7" x14ac:dyDescent="0.2">
      <c r="A2800" s="6">
        <f ca="1">Model!$F$13+RAND()*(Model!$G$13-Model!$F$13)</f>
        <v>1463.7253093022546</v>
      </c>
      <c r="B2800" s="31">
        <f ca="1">Model!$F$14+RAND()*(Model!$G$14-Model!$F$14)</f>
        <v>0.61626735244060504</v>
      </c>
      <c r="C2800" s="32">
        <f ca="1">Model!$F$15+RAND()*(Model!$G$15-Model!$F$15)</f>
        <v>1.7293887265045899E-2</v>
      </c>
      <c r="D2800" s="33">
        <f ca="1">Model!$F$16+RAND()*(Model!$G$16-Model!$F$16)</f>
        <v>49.417229957539732</v>
      </c>
      <c r="E2800" s="33">
        <f>Model!$D$17</f>
        <v>800</v>
      </c>
      <c r="G2800" s="36">
        <f t="shared" ca="1" si="46"/>
        <v>-451.123046513708</v>
      </c>
    </row>
    <row r="2801" spans="1:7" x14ac:dyDescent="0.2">
      <c r="A2801" s="6">
        <f ca="1">Model!$F$13+RAND()*(Model!$G$13-Model!$F$13)</f>
        <v>1799.5418044239727</v>
      </c>
      <c r="B2801" s="31">
        <f ca="1">Model!$F$14+RAND()*(Model!$G$14-Model!$F$14)</f>
        <v>0.60607112583541622</v>
      </c>
      <c r="C2801" s="32">
        <f ca="1">Model!$F$15+RAND()*(Model!$G$15-Model!$F$15)</f>
        <v>3.8477333768617651E-2</v>
      </c>
      <c r="D2801" s="33">
        <f ca="1">Model!$F$16+RAND()*(Model!$G$16-Model!$F$16)</f>
        <v>47.010689292487854</v>
      </c>
      <c r="E2801" s="33">
        <f>Model!$D$17</f>
        <v>800</v>
      </c>
      <c r="G2801" s="36">
        <f t="shared" ca="1" si="46"/>
        <v>1364.4436360576283</v>
      </c>
    </row>
    <row r="2802" spans="1:7" x14ac:dyDescent="0.2">
      <c r="A2802" s="6">
        <f ca="1">Model!$F$13+RAND()*(Model!$G$13-Model!$F$13)</f>
        <v>1213.6175278993687</v>
      </c>
      <c r="B2802" s="31">
        <f ca="1">Model!$F$14+RAND()*(Model!$G$14-Model!$F$14)</f>
        <v>0.79733952356382498</v>
      </c>
      <c r="C2802" s="32">
        <f ca="1">Model!$F$15+RAND()*(Model!$G$15-Model!$F$15)</f>
        <v>3.2442345546695311E-2</v>
      </c>
      <c r="D2802" s="33">
        <f ca="1">Model!$F$16+RAND()*(Model!$G$16-Model!$F$16)</f>
        <v>52.102641217405335</v>
      </c>
      <c r="E2802" s="33">
        <f>Model!$D$17</f>
        <v>800</v>
      </c>
      <c r="G2802" s="36">
        <f t="shared" ca="1" si="46"/>
        <v>283.75118851562638</v>
      </c>
    </row>
    <row r="2803" spans="1:7" x14ac:dyDescent="0.2">
      <c r="A2803" s="6">
        <f ca="1">Model!$F$13+RAND()*(Model!$G$13-Model!$F$13)</f>
        <v>1580.4555082620948</v>
      </c>
      <c r="B2803" s="31">
        <f ca="1">Model!$F$14+RAND()*(Model!$G$14-Model!$F$14)</f>
        <v>0.70092888107110296</v>
      </c>
      <c r="C2803" s="32">
        <f ca="1">Model!$F$15+RAND()*(Model!$G$15-Model!$F$15)</f>
        <v>4.788517959460805E-2</v>
      </c>
      <c r="D2803" s="33">
        <f ca="1">Model!$F$16+RAND()*(Model!$G$16-Model!$F$16)</f>
        <v>47.804851766525388</v>
      </c>
      <c r="E2803" s="33">
        <f>Model!$D$17</f>
        <v>800</v>
      </c>
      <c r="G2803" s="36">
        <f t="shared" ca="1" si="46"/>
        <v>1710.1031944636013</v>
      </c>
    </row>
    <row r="2804" spans="1:7" x14ac:dyDescent="0.2">
      <c r="A2804" s="6">
        <f ca="1">Model!$F$13+RAND()*(Model!$G$13-Model!$F$13)</f>
        <v>1393.3092691522706</v>
      </c>
      <c r="B2804" s="31">
        <f ca="1">Model!$F$14+RAND()*(Model!$G$14-Model!$F$14)</f>
        <v>0.72554093995721392</v>
      </c>
      <c r="C2804" s="32">
        <f ca="1">Model!$F$15+RAND()*(Model!$G$15-Model!$F$15)</f>
        <v>1.0407626521110007E-2</v>
      </c>
      <c r="D2804" s="33">
        <f ca="1">Model!$F$16+RAND()*(Model!$G$16-Model!$F$16)</f>
        <v>52.72542476692832</v>
      </c>
      <c r="E2804" s="33">
        <f>Model!$D$17</f>
        <v>800</v>
      </c>
      <c r="G2804" s="36">
        <f t="shared" ca="1" si="46"/>
        <v>-1046.3292913244427</v>
      </c>
    </row>
    <row r="2805" spans="1:7" x14ac:dyDescent="0.2">
      <c r="A2805" s="6">
        <f ca="1">Model!$F$13+RAND()*(Model!$G$13-Model!$F$13)</f>
        <v>1298.8280837652196</v>
      </c>
      <c r="B2805" s="31">
        <f ca="1">Model!$F$14+RAND()*(Model!$G$14-Model!$F$14)</f>
        <v>0.44069268981444765</v>
      </c>
      <c r="C2805" s="32">
        <f ca="1">Model!$F$15+RAND()*(Model!$G$15-Model!$F$15)</f>
        <v>3.2210268656440062E-2</v>
      </c>
      <c r="D2805" s="33">
        <f ca="1">Model!$F$16+RAND()*(Model!$G$16-Model!$F$16)</f>
        <v>51.452273954085122</v>
      </c>
      <c r="E2805" s="33">
        <f>Model!$D$17</f>
        <v>800</v>
      </c>
      <c r="G2805" s="36">
        <f t="shared" ca="1" si="46"/>
        <v>780.15278842536122</v>
      </c>
    </row>
    <row r="2806" spans="1:7" x14ac:dyDescent="0.2">
      <c r="A2806" s="6">
        <f ca="1">Model!$F$13+RAND()*(Model!$G$13-Model!$F$13)</f>
        <v>1286.6811948891791</v>
      </c>
      <c r="B2806" s="31">
        <f ca="1">Model!$F$14+RAND()*(Model!$G$14-Model!$F$14)</f>
        <v>0.5526858680802047</v>
      </c>
      <c r="C2806" s="32">
        <f ca="1">Model!$F$15+RAND()*(Model!$G$15-Model!$F$15)</f>
        <v>1.7854885275731855E-2</v>
      </c>
      <c r="D2806" s="33">
        <f ca="1">Model!$F$16+RAND()*(Model!$G$16-Model!$F$16)</f>
        <v>50.651219213736375</v>
      </c>
      <c r="E2806" s="33">
        <f>Model!$D$17</f>
        <v>800</v>
      </c>
      <c r="G2806" s="36">
        <f t="shared" ca="1" si="46"/>
        <v>-347.49244308985021</v>
      </c>
    </row>
    <row r="2807" spans="1:7" x14ac:dyDescent="0.2">
      <c r="A2807" s="6">
        <f ca="1">Model!$F$13+RAND()*(Model!$G$13-Model!$F$13)</f>
        <v>1587.0363811173809</v>
      </c>
      <c r="B2807" s="31">
        <f ca="1">Model!$F$14+RAND()*(Model!$G$14-Model!$F$14)</f>
        <v>0.29453607960084821</v>
      </c>
      <c r="C2807" s="32">
        <f ca="1">Model!$F$15+RAND()*(Model!$G$15-Model!$F$15)</f>
        <v>4.6846299556312795E-2</v>
      </c>
      <c r="D2807" s="33">
        <f ca="1">Model!$F$16+RAND()*(Model!$G$16-Model!$F$16)</f>
        <v>47.328166775453909</v>
      </c>
      <c r="E2807" s="33">
        <f>Model!$D$17</f>
        <v>800</v>
      </c>
      <c r="G2807" s="36">
        <f t="shared" ca="1" si="46"/>
        <v>2251.2574104228752</v>
      </c>
    </row>
    <row r="2808" spans="1:7" x14ac:dyDescent="0.2">
      <c r="A2808" s="6">
        <f ca="1">Model!$F$13+RAND()*(Model!$G$13-Model!$F$13)</f>
        <v>1678.0517491433759</v>
      </c>
      <c r="B2808" s="31">
        <f ca="1">Model!$F$14+RAND()*(Model!$G$14-Model!$F$14)</f>
        <v>0.6000140149639458</v>
      </c>
      <c r="C2808" s="32">
        <f ca="1">Model!$F$15+RAND()*(Model!$G$15-Model!$F$15)</f>
        <v>3.9307949538731721E-2</v>
      </c>
      <c r="D2808" s="33">
        <f ca="1">Model!$F$16+RAND()*(Model!$G$16-Model!$F$16)</f>
        <v>51.150649555986071</v>
      </c>
      <c r="E2808" s="33">
        <f>Model!$D$17</f>
        <v>800</v>
      </c>
      <c r="G2808" s="36">
        <f t="shared" ca="1" si="46"/>
        <v>1567.0818413304005</v>
      </c>
    </row>
    <row r="2809" spans="1:7" x14ac:dyDescent="0.2">
      <c r="A2809" s="6">
        <f ca="1">Model!$F$13+RAND()*(Model!$G$13-Model!$F$13)</f>
        <v>1722.2824697943038</v>
      </c>
      <c r="B2809" s="31">
        <f ca="1">Model!$F$14+RAND()*(Model!$G$14-Model!$F$14)</f>
        <v>0.6864555152660996</v>
      </c>
      <c r="C2809" s="32">
        <f ca="1">Model!$F$15+RAND()*(Model!$G$15-Model!$F$15)</f>
        <v>3.8791249122306047E-2</v>
      </c>
      <c r="D2809" s="33">
        <f ca="1">Model!$F$16+RAND()*(Model!$G$16-Model!$F$16)</f>
        <v>50.963261857558173</v>
      </c>
      <c r="E2809" s="33">
        <f>Model!$D$17</f>
        <v>800</v>
      </c>
      <c r="G2809" s="36">
        <f t="shared" ca="1" si="46"/>
        <v>1422.559148847645</v>
      </c>
    </row>
    <row r="2810" spans="1:7" x14ac:dyDescent="0.2">
      <c r="A2810" s="6">
        <f ca="1">Model!$F$13+RAND()*(Model!$G$13-Model!$F$13)</f>
        <v>1347.0728960123965</v>
      </c>
      <c r="B2810" s="31">
        <f ca="1">Model!$F$14+RAND()*(Model!$G$14-Model!$F$14)</f>
        <v>0.28368090164405013</v>
      </c>
      <c r="C2810" s="32">
        <f ca="1">Model!$F$15+RAND()*(Model!$G$15-Model!$F$15)</f>
        <v>4.2225623672631982E-2</v>
      </c>
      <c r="D2810" s="33">
        <f ca="1">Model!$F$16+RAND()*(Model!$G$16-Model!$F$16)</f>
        <v>50.023866458273829</v>
      </c>
      <c r="E2810" s="33">
        <f>Model!$D$17</f>
        <v>800</v>
      </c>
      <c r="G2810" s="36">
        <f t="shared" ca="1" si="46"/>
        <v>1663.268352460025</v>
      </c>
    </row>
    <row r="2811" spans="1:7" x14ac:dyDescent="0.2">
      <c r="A2811" s="6">
        <f ca="1">Model!$F$13+RAND()*(Model!$G$13-Model!$F$13)</f>
        <v>1593.6255351441991</v>
      </c>
      <c r="B2811" s="31">
        <f ca="1">Model!$F$14+RAND()*(Model!$G$14-Model!$F$14)</f>
        <v>0.38219322116862375</v>
      </c>
      <c r="C2811" s="32">
        <f ca="1">Model!$F$15+RAND()*(Model!$G$15-Model!$F$15)</f>
        <v>3.6083528612813803E-2</v>
      </c>
      <c r="D2811" s="33">
        <f ca="1">Model!$F$16+RAND()*(Model!$G$16-Model!$F$16)</f>
        <v>51.861629930893571</v>
      </c>
      <c r="E2811" s="33">
        <f>Model!$D$17</f>
        <v>800</v>
      </c>
      <c r="G2811" s="36">
        <f t="shared" ca="1" si="46"/>
        <v>1573.1592367358526</v>
      </c>
    </row>
    <row r="2812" spans="1:7" x14ac:dyDescent="0.2">
      <c r="A2812" s="6">
        <f ca="1">Model!$F$13+RAND()*(Model!$G$13-Model!$F$13)</f>
        <v>1208.1761825322428</v>
      </c>
      <c r="B2812" s="31">
        <f ca="1">Model!$F$14+RAND()*(Model!$G$14-Model!$F$14)</f>
        <v>0.51034805083706125</v>
      </c>
      <c r="C2812" s="32">
        <f ca="1">Model!$F$15+RAND()*(Model!$G$15-Model!$F$15)</f>
        <v>2.6983962650869782E-2</v>
      </c>
      <c r="D2812" s="33">
        <f ca="1">Model!$F$16+RAND()*(Model!$G$16-Model!$F$16)</f>
        <v>50.031900877516811</v>
      </c>
      <c r="E2812" s="33">
        <f>Model!$D$17</f>
        <v>800</v>
      </c>
      <c r="G2812" s="36">
        <f t="shared" ca="1" si="46"/>
        <v>214.51870209461708</v>
      </c>
    </row>
    <row r="2813" spans="1:7" x14ac:dyDescent="0.2">
      <c r="A2813" s="6">
        <f ca="1">Model!$F$13+RAND()*(Model!$G$13-Model!$F$13)</f>
        <v>1581.1726847691143</v>
      </c>
      <c r="B2813" s="31">
        <f ca="1">Model!$F$14+RAND()*(Model!$G$14-Model!$F$14)</f>
        <v>0.5458766769705945</v>
      </c>
      <c r="C2813" s="32">
        <f ca="1">Model!$F$15+RAND()*(Model!$G$15-Model!$F$15)</f>
        <v>1.2310508525792923E-2</v>
      </c>
      <c r="D2813" s="33">
        <f ca="1">Model!$F$16+RAND()*(Model!$G$16-Model!$F$16)</f>
        <v>49.780961924513946</v>
      </c>
      <c r="E2813" s="33">
        <f>Model!$D$17</f>
        <v>800</v>
      </c>
      <c r="G2813" s="36">
        <f t="shared" ca="1" si="46"/>
        <v>-694.1368849090718</v>
      </c>
    </row>
    <row r="2814" spans="1:7" x14ac:dyDescent="0.2">
      <c r="A2814" s="6">
        <f ca="1">Model!$F$13+RAND()*(Model!$G$13-Model!$F$13)</f>
        <v>1759.3891350244767</v>
      </c>
      <c r="B2814" s="31">
        <f ca="1">Model!$F$14+RAND()*(Model!$G$14-Model!$F$14)</f>
        <v>0.25473095903434728</v>
      </c>
      <c r="C2814" s="32">
        <f ca="1">Model!$F$15+RAND()*(Model!$G$15-Model!$F$15)</f>
        <v>2.2165399677904981E-2</v>
      </c>
      <c r="D2814" s="33">
        <f ca="1">Model!$F$16+RAND()*(Model!$G$16-Model!$F$16)</f>
        <v>50.490662198605065</v>
      </c>
      <c r="E2814" s="33">
        <f>Model!$D$17</f>
        <v>800</v>
      </c>
      <c r="G2814" s="36">
        <f t="shared" ca="1" si="46"/>
        <v>720.8419168414423</v>
      </c>
    </row>
    <row r="2815" spans="1:7" x14ac:dyDescent="0.2">
      <c r="A2815" s="6">
        <f ca="1">Model!$F$13+RAND()*(Model!$G$13-Model!$F$13)</f>
        <v>1329.6092930208554</v>
      </c>
      <c r="B2815" s="31">
        <f ca="1">Model!$F$14+RAND()*(Model!$G$14-Model!$F$14)</f>
        <v>0.3465584855021675</v>
      </c>
      <c r="C2815" s="32">
        <f ca="1">Model!$F$15+RAND()*(Model!$G$15-Model!$F$15)</f>
        <v>4.3304124982642515E-2</v>
      </c>
      <c r="D2815" s="33">
        <f ca="1">Model!$F$16+RAND()*(Model!$G$16-Model!$F$16)</f>
        <v>52.703484155497065</v>
      </c>
      <c r="E2815" s="33">
        <f>Model!$D$17</f>
        <v>800</v>
      </c>
      <c r="G2815" s="36">
        <f t="shared" ca="1" si="46"/>
        <v>1773.7510073588267</v>
      </c>
    </row>
    <row r="2816" spans="1:7" x14ac:dyDescent="0.2">
      <c r="A2816" s="6">
        <f ca="1">Model!$F$13+RAND()*(Model!$G$13-Model!$F$13)</f>
        <v>1746.6811829832502</v>
      </c>
      <c r="B2816" s="31">
        <f ca="1">Model!$F$14+RAND()*(Model!$G$14-Model!$F$14)</f>
        <v>0.7177621709328883</v>
      </c>
      <c r="C2816" s="32">
        <f ca="1">Model!$F$15+RAND()*(Model!$G$15-Model!$F$15)</f>
        <v>3.4253241791916487E-2</v>
      </c>
      <c r="D2816" s="33">
        <f ca="1">Model!$F$16+RAND()*(Model!$G$16-Model!$F$16)</f>
        <v>47.460093294346507</v>
      </c>
      <c r="E2816" s="33">
        <f>Model!$D$17</f>
        <v>800</v>
      </c>
      <c r="G2816" s="36">
        <f t="shared" ca="1" si="46"/>
        <v>785.81163668250338</v>
      </c>
    </row>
    <row r="2817" spans="1:7" x14ac:dyDescent="0.2">
      <c r="A2817" s="6">
        <f ca="1">Model!$F$13+RAND()*(Model!$G$13-Model!$F$13)</f>
        <v>1798.2972430455306</v>
      </c>
      <c r="B2817" s="31">
        <f ca="1">Model!$F$14+RAND()*(Model!$G$14-Model!$F$14)</f>
        <v>0.75086680055123023</v>
      </c>
      <c r="C2817" s="32">
        <f ca="1">Model!$F$15+RAND()*(Model!$G$15-Model!$F$15)</f>
        <v>3.3296293389099715E-2</v>
      </c>
      <c r="D2817" s="33">
        <f ca="1">Model!$F$16+RAND()*(Model!$G$16-Model!$F$16)</f>
        <v>48.970386410138815</v>
      </c>
      <c r="E2817" s="33">
        <f>Model!$D$17</f>
        <v>800</v>
      </c>
      <c r="G2817" s="36">
        <f t="shared" ca="1" si="46"/>
        <v>781.90013829146756</v>
      </c>
    </row>
    <row r="2818" spans="1:7" x14ac:dyDescent="0.2">
      <c r="A2818" s="6">
        <f ca="1">Model!$F$13+RAND()*(Model!$G$13-Model!$F$13)</f>
        <v>1334.0930711440324</v>
      </c>
      <c r="B2818" s="31">
        <f ca="1">Model!$F$14+RAND()*(Model!$G$14-Model!$F$14)</f>
        <v>0.65363953253664298</v>
      </c>
      <c r="C2818" s="32">
        <f ca="1">Model!$F$15+RAND()*(Model!$G$15-Model!$F$15)</f>
        <v>2.4379406884172679E-2</v>
      </c>
      <c r="D2818" s="33">
        <f ca="1">Model!$F$16+RAND()*(Model!$G$16-Model!$F$16)</f>
        <v>48.604732081614827</v>
      </c>
      <c r="E2818" s="33">
        <f>Model!$D$17</f>
        <v>800</v>
      </c>
      <c r="G2818" s="36">
        <f t="shared" ca="1" si="46"/>
        <v>-91.176330063175556</v>
      </c>
    </row>
    <row r="2819" spans="1:7" x14ac:dyDescent="0.2">
      <c r="A2819" s="6">
        <f ca="1">Model!$F$13+RAND()*(Model!$G$13-Model!$F$13)</f>
        <v>1254.2427651606711</v>
      </c>
      <c r="B2819" s="31">
        <f ca="1">Model!$F$14+RAND()*(Model!$G$14-Model!$F$14)</f>
        <v>0.34191230048861376</v>
      </c>
      <c r="C2819" s="32">
        <f ca="1">Model!$F$15+RAND()*(Model!$G$15-Model!$F$15)</f>
        <v>1.0732637894450772E-2</v>
      </c>
      <c r="D2819" s="33">
        <f ca="1">Model!$F$16+RAND()*(Model!$G$16-Model!$F$16)</f>
        <v>52.060402054526612</v>
      </c>
      <c r="E2819" s="33">
        <f>Model!$D$17</f>
        <v>800</v>
      </c>
      <c r="G2819" s="36">
        <f t="shared" ca="1" si="46"/>
        <v>-528.03859864081778</v>
      </c>
    </row>
    <row r="2820" spans="1:7" x14ac:dyDescent="0.2">
      <c r="A2820" s="6">
        <f ca="1">Model!$F$13+RAND()*(Model!$G$13-Model!$F$13)</f>
        <v>1454.3465489921718</v>
      </c>
      <c r="B2820" s="31">
        <f ca="1">Model!$F$14+RAND()*(Model!$G$14-Model!$F$14)</f>
        <v>0.65000761517268901</v>
      </c>
      <c r="C2820" s="32">
        <f ca="1">Model!$F$15+RAND()*(Model!$G$15-Model!$F$15)</f>
        <v>3.3288465962136748E-2</v>
      </c>
      <c r="D2820" s="33">
        <f ca="1">Model!$F$16+RAND()*(Model!$G$16-Model!$F$16)</f>
        <v>49.724089613167507</v>
      </c>
      <c r="E2820" s="33">
        <f>Model!$D$17</f>
        <v>800</v>
      </c>
      <c r="G2820" s="36">
        <f t="shared" ca="1" si="46"/>
        <v>661.95430765426681</v>
      </c>
    </row>
    <row r="2821" spans="1:7" x14ac:dyDescent="0.2">
      <c r="A2821" s="6">
        <f ca="1">Model!$F$13+RAND()*(Model!$G$13-Model!$F$13)</f>
        <v>1633.1546754549252</v>
      </c>
      <c r="B2821" s="31">
        <f ca="1">Model!$F$14+RAND()*(Model!$G$14-Model!$F$14)</f>
        <v>0.2473531031956252</v>
      </c>
      <c r="C2821" s="32">
        <f ca="1">Model!$F$15+RAND()*(Model!$G$15-Model!$F$15)</f>
        <v>4.895172183576766E-2</v>
      </c>
      <c r="D2821" s="33">
        <f ca="1">Model!$F$16+RAND()*(Model!$G$16-Model!$F$16)</f>
        <v>52.192186940067984</v>
      </c>
      <c r="E2821" s="33">
        <f>Model!$D$17</f>
        <v>800</v>
      </c>
      <c r="G2821" s="36">
        <f t="shared" ca="1" si="46"/>
        <v>2968.5767850569946</v>
      </c>
    </row>
    <row r="2822" spans="1:7" x14ac:dyDescent="0.2">
      <c r="A2822" s="6">
        <f ca="1">Model!$F$13+RAND()*(Model!$G$13-Model!$F$13)</f>
        <v>1230.0755937862552</v>
      </c>
      <c r="B2822" s="31">
        <f ca="1">Model!$F$14+RAND()*(Model!$G$14-Model!$F$14)</f>
        <v>0.22796426662096839</v>
      </c>
      <c r="C2822" s="32">
        <f ca="1">Model!$F$15+RAND()*(Model!$G$15-Model!$F$15)</f>
        <v>2.8776807206706091E-2</v>
      </c>
      <c r="D2822" s="33">
        <f ca="1">Model!$F$16+RAND()*(Model!$G$16-Model!$F$16)</f>
        <v>50.492738532148785</v>
      </c>
      <c r="E2822" s="33">
        <f>Model!$D$17</f>
        <v>800</v>
      </c>
      <c r="G2822" s="36">
        <f t="shared" ca="1" si="46"/>
        <v>706.91091519877364</v>
      </c>
    </row>
    <row r="2823" spans="1:7" x14ac:dyDescent="0.2">
      <c r="A2823" s="6">
        <f ca="1">Model!$F$13+RAND()*(Model!$G$13-Model!$F$13)</f>
        <v>1325.3081379938303</v>
      </c>
      <c r="B2823" s="31">
        <f ca="1">Model!$F$14+RAND()*(Model!$G$14-Model!$F$14)</f>
        <v>0.78919134606181696</v>
      </c>
      <c r="C2823" s="32">
        <f ca="1">Model!$F$15+RAND()*(Model!$G$15-Model!$F$15)</f>
        <v>3.6261233955158581E-2</v>
      </c>
      <c r="D2823" s="33">
        <f ca="1">Model!$F$16+RAND()*(Model!$G$16-Model!$F$16)</f>
        <v>50.844091221954443</v>
      </c>
      <c r="E2823" s="33">
        <f>Model!$D$17</f>
        <v>800</v>
      </c>
      <c r="G2823" s="36">
        <f t="shared" ca="1" si="46"/>
        <v>597.50846157063779</v>
      </c>
    </row>
    <row r="2824" spans="1:7" x14ac:dyDescent="0.2">
      <c r="A2824" s="6">
        <f ca="1">Model!$F$13+RAND()*(Model!$G$13-Model!$F$13)</f>
        <v>1444.212694753402</v>
      </c>
      <c r="B2824" s="31">
        <f ca="1">Model!$F$14+RAND()*(Model!$G$14-Model!$F$14)</f>
        <v>0.37164718986290279</v>
      </c>
      <c r="C2824" s="32">
        <f ca="1">Model!$F$15+RAND()*(Model!$G$15-Model!$F$15)</f>
        <v>3.1758438484259931E-2</v>
      </c>
      <c r="D2824" s="33">
        <f ca="1">Model!$F$16+RAND()*(Model!$G$16-Model!$F$16)</f>
        <v>47.974048974681807</v>
      </c>
      <c r="E2824" s="33">
        <f>Model!$D$17</f>
        <v>800</v>
      </c>
      <c r="G2824" s="36">
        <f t="shared" ca="1" si="46"/>
        <v>863.637263436382</v>
      </c>
    </row>
    <row r="2825" spans="1:7" x14ac:dyDescent="0.2">
      <c r="A2825" s="6">
        <f ca="1">Model!$F$13+RAND()*(Model!$G$13-Model!$F$13)</f>
        <v>1432.5378448679223</v>
      </c>
      <c r="B2825" s="31">
        <f ca="1">Model!$F$14+RAND()*(Model!$G$14-Model!$F$14)</f>
        <v>0.71252438688204744</v>
      </c>
      <c r="C2825" s="32">
        <f ca="1">Model!$F$15+RAND()*(Model!$G$15-Model!$F$15)</f>
        <v>3.177658172191726E-2</v>
      </c>
      <c r="D2825" s="33">
        <f ca="1">Model!$F$16+RAND()*(Model!$G$16-Model!$F$16)</f>
        <v>47.424304586045089</v>
      </c>
      <c r="E2825" s="33">
        <f>Model!$D$17</f>
        <v>800</v>
      </c>
      <c r="G2825" s="36">
        <f t="shared" ca="1" si="46"/>
        <v>338.09101277708692</v>
      </c>
    </row>
    <row r="2826" spans="1:7" x14ac:dyDescent="0.2">
      <c r="A2826" s="6">
        <f ca="1">Model!$F$13+RAND()*(Model!$G$13-Model!$F$13)</f>
        <v>1579.4182303234279</v>
      </c>
      <c r="B2826" s="31">
        <f ca="1">Model!$F$14+RAND()*(Model!$G$14-Model!$F$14)</f>
        <v>0.24388485704575164</v>
      </c>
      <c r="C2826" s="32">
        <f ca="1">Model!$F$15+RAND()*(Model!$G$15-Model!$F$15)</f>
        <v>1.0244816551218179E-2</v>
      </c>
      <c r="D2826" s="33">
        <f ca="1">Model!$F$16+RAND()*(Model!$G$16-Model!$F$16)</f>
        <v>51.157616161847614</v>
      </c>
      <c r="E2826" s="33">
        <f>Model!$D$17</f>
        <v>800</v>
      </c>
      <c r="G2826" s="36">
        <f t="shared" ca="1" si="46"/>
        <v>-357.42247444817406</v>
      </c>
    </row>
    <row r="2827" spans="1:7" x14ac:dyDescent="0.2">
      <c r="A2827" s="6">
        <f ca="1">Model!$F$13+RAND()*(Model!$G$13-Model!$F$13)</f>
        <v>1657.3434938629766</v>
      </c>
      <c r="B2827" s="31">
        <f ca="1">Model!$F$14+RAND()*(Model!$G$14-Model!$F$14)</f>
        <v>0.65748052211075958</v>
      </c>
      <c r="C2827" s="32">
        <f ca="1">Model!$F$15+RAND()*(Model!$G$15-Model!$F$15)</f>
        <v>4.6122479207737252E-2</v>
      </c>
      <c r="D2827" s="33">
        <f ca="1">Model!$F$16+RAND()*(Model!$G$16-Model!$F$16)</f>
        <v>52.533023067025738</v>
      </c>
      <c r="E2827" s="33">
        <f>Model!$D$17</f>
        <v>800</v>
      </c>
      <c r="G2827" s="36">
        <f t="shared" ca="1" si="46"/>
        <v>2125.9947625754921</v>
      </c>
    </row>
    <row r="2828" spans="1:7" x14ac:dyDescent="0.2">
      <c r="A2828" s="6">
        <f ca="1">Model!$F$13+RAND()*(Model!$G$13-Model!$F$13)</f>
        <v>1289.108170782584</v>
      </c>
      <c r="B2828" s="31">
        <f ca="1">Model!$F$14+RAND()*(Model!$G$14-Model!$F$14)</f>
        <v>0.49184793063075621</v>
      </c>
      <c r="C2828" s="32">
        <f ca="1">Model!$F$15+RAND()*(Model!$G$15-Model!$F$15)</f>
        <v>3.2608570107352346E-2</v>
      </c>
      <c r="D2828" s="33">
        <f ca="1">Model!$F$16+RAND()*(Model!$G$16-Model!$F$16)</f>
        <v>47.956797790346705</v>
      </c>
      <c r="E2828" s="33">
        <f>Model!$D$17</f>
        <v>800</v>
      </c>
      <c r="G2828" s="36">
        <f t="shared" ca="1" si="46"/>
        <v>581.86552669300181</v>
      </c>
    </row>
    <row r="2829" spans="1:7" x14ac:dyDescent="0.2">
      <c r="A2829" s="6">
        <f ca="1">Model!$F$13+RAND()*(Model!$G$13-Model!$F$13)</f>
        <v>1251.9629513169109</v>
      </c>
      <c r="B2829" s="31">
        <f ca="1">Model!$F$14+RAND()*(Model!$G$14-Model!$F$14)</f>
        <v>0.54530831071351404</v>
      </c>
      <c r="C2829" s="32">
        <f ca="1">Model!$F$15+RAND()*(Model!$G$15-Model!$F$15)</f>
        <v>3.2713117999651133E-2</v>
      </c>
      <c r="D2829" s="33">
        <f ca="1">Model!$F$16+RAND()*(Model!$G$16-Model!$F$16)</f>
        <v>51.167234732764328</v>
      </c>
      <c r="E2829" s="33">
        <f>Model!$D$17</f>
        <v>800</v>
      </c>
      <c r="G2829" s="36">
        <f t="shared" ca="1" si="46"/>
        <v>612.8795983676564</v>
      </c>
    </row>
    <row r="2830" spans="1:7" x14ac:dyDescent="0.2">
      <c r="A2830" s="6">
        <f ca="1">Model!$F$13+RAND()*(Model!$G$13-Model!$F$13)</f>
        <v>1242.868376667931</v>
      </c>
      <c r="B2830" s="31">
        <f ca="1">Model!$F$14+RAND()*(Model!$G$14-Model!$F$14)</f>
        <v>0.22375603306843508</v>
      </c>
      <c r="C2830" s="32">
        <f ca="1">Model!$F$15+RAND()*(Model!$G$15-Model!$F$15)</f>
        <v>3.4927388494413118E-2</v>
      </c>
      <c r="D2830" s="33">
        <f ca="1">Model!$F$16+RAND()*(Model!$G$16-Model!$F$16)</f>
        <v>50.507785180514162</v>
      </c>
      <c r="E2830" s="33">
        <f>Model!$D$17</f>
        <v>800</v>
      </c>
      <c r="G2830" s="36">
        <f t="shared" ca="1" si="46"/>
        <v>1114.4510635230322</v>
      </c>
    </row>
    <row r="2831" spans="1:7" x14ac:dyDescent="0.2">
      <c r="A2831" s="6">
        <f ca="1">Model!$F$13+RAND()*(Model!$G$13-Model!$F$13)</f>
        <v>1443.4679714362699</v>
      </c>
      <c r="B2831" s="31">
        <f ca="1">Model!$F$14+RAND()*(Model!$G$14-Model!$F$14)</f>
        <v>0.2442155577432216</v>
      </c>
      <c r="C2831" s="32">
        <f ca="1">Model!$F$15+RAND()*(Model!$G$15-Model!$F$15)</f>
        <v>3.9528188843039075E-2</v>
      </c>
      <c r="D2831" s="33">
        <f ca="1">Model!$F$16+RAND()*(Model!$G$16-Model!$F$16)</f>
        <v>49.879450348613553</v>
      </c>
      <c r="E2831" s="33">
        <f>Model!$D$17</f>
        <v>800</v>
      </c>
      <c r="G2831" s="36">
        <f t="shared" ca="1" si="46"/>
        <v>1693.4881096841964</v>
      </c>
    </row>
    <row r="2832" spans="1:7" x14ac:dyDescent="0.2">
      <c r="A2832" s="6">
        <f ca="1">Model!$F$13+RAND()*(Model!$G$13-Model!$F$13)</f>
        <v>1649.2519481871086</v>
      </c>
      <c r="B2832" s="31">
        <f ca="1">Model!$F$14+RAND()*(Model!$G$14-Model!$F$14)</f>
        <v>0.70839703642523477</v>
      </c>
      <c r="C2832" s="32">
        <f ca="1">Model!$F$15+RAND()*(Model!$G$15-Model!$F$15)</f>
        <v>4.4304292459698781E-2</v>
      </c>
      <c r="D2832" s="33">
        <f ca="1">Model!$F$16+RAND()*(Model!$G$16-Model!$F$16)</f>
        <v>51.285346022915846</v>
      </c>
      <c r="E2832" s="33">
        <f>Model!$D$17</f>
        <v>800</v>
      </c>
      <c r="G2832" s="36">
        <f t="shared" ca="1" si="46"/>
        <v>1779.0407124621813</v>
      </c>
    </row>
    <row r="2833" spans="1:7" x14ac:dyDescent="0.2">
      <c r="A2833" s="6">
        <f ca="1">Model!$F$13+RAND()*(Model!$G$13-Model!$F$13)</f>
        <v>1309.5746254630167</v>
      </c>
      <c r="B2833" s="31">
        <f ca="1">Model!$F$14+RAND()*(Model!$G$14-Model!$F$14)</f>
        <v>0.71263321220104481</v>
      </c>
      <c r="C2833" s="32">
        <f ca="1">Model!$F$15+RAND()*(Model!$G$15-Model!$F$15)</f>
        <v>4.2513611656358793E-2</v>
      </c>
      <c r="D2833" s="33">
        <f ca="1">Model!$F$16+RAND()*(Model!$G$16-Model!$F$16)</f>
        <v>52.250673477558109</v>
      </c>
      <c r="E2833" s="33">
        <f>Model!$D$17</f>
        <v>800</v>
      </c>
      <c r="G2833" s="36">
        <f t="shared" ca="1" si="46"/>
        <v>1175.7966577192215</v>
      </c>
    </row>
    <row r="2834" spans="1:7" x14ac:dyDescent="0.2">
      <c r="A2834" s="6">
        <f ca="1">Model!$F$13+RAND()*(Model!$G$13-Model!$F$13)</f>
        <v>1778.9476217741808</v>
      </c>
      <c r="B2834" s="31">
        <f ca="1">Model!$F$14+RAND()*(Model!$G$14-Model!$F$14)</f>
        <v>0.45659281919508954</v>
      </c>
      <c r="C2834" s="32">
        <f ca="1">Model!$F$15+RAND()*(Model!$G$15-Model!$F$15)</f>
        <v>3.986664920985826E-2</v>
      </c>
      <c r="D2834" s="33">
        <f ca="1">Model!$F$16+RAND()*(Model!$G$16-Model!$F$16)</f>
        <v>51.693118536747996</v>
      </c>
      <c r="E2834" s="33">
        <f>Model!$D$17</f>
        <v>800</v>
      </c>
      <c r="G2834" s="36">
        <f t="shared" ca="1" si="46"/>
        <v>2053.8564494741095</v>
      </c>
    </row>
    <row r="2835" spans="1:7" x14ac:dyDescent="0.2">
      <c r="A2835" s="6">
        <f ca="1">Model!$F$13+RAND()*(Model!$G$13-Model!$F$13)</f>
        <v>1580.8167203125679</v>
      </c>
      <c r="B2835" s="31">
        <f ca="1">Model!$F$14+RAND()*(Model!$G$14-Model!$F$14)</f>
        <v>0.6578995933395948</v>
      </c>
      <c r="C2835" s="32">
        <f ca="1">Model!$F$15+RAND()*(Model!$G$15-Model!$F$15)</f>
        <v>3.8166950563568947E-2</v>
      </c>
      <c r="D2835" s="33">
        <f ca="1">Model!$F$16+RAND()*(Model!$G$16-Model!$F$16)</f>
        <v>49.235302079121531</v>
      </c>
      <c r="E2835" s="33">
        <f>Model!$D$17</f>
        <v>800</v>
      </c>
      <c r="G2835" s="36">
        <f t="shared" ca="1" si="46"/>
        <v>1130.5909896884759</v>
      </c>
    </row>
    <row r="2836" spans="1:7" x14ac:dyDescent="0.2">
      <c r="A2836" s="6">
        <f ca="1">Model!$F$13+RAND()*(Model!$G$13-Model!$F$13)</f>
        <v>1717.3961581135445</v>
      </c>
      <c r="B2836" s="31">
        <f ca="1">Model!$F$14+RAND()*(Model!$G$14-Model!$F$14)</f>
        <v>0.44736873546868933</v>
      </c>
      <c r="C2836" s="32">
        <f ca="1">Model!$F$15+RAND()*(Model!$G$15-Model!$F$15)</f>
        <v>4.6451465276004453E-2</v>
      </c>
      <c r="D2836" s="33">
        <f ca="1">Model!$F$16+RAND()*(Model!$G$16-Model!$F$16)</f>
        <v>51.474774012917038</v>
      </c>
      <c r="E2836" s="33">
        <f>Model!$D$17</f>
        <v>800</v>
      </c>
      <c r="G2836" s="36">
        <f t="shared" ca="1" si="46"/>
        <v>2538.1199871913304</v>
      </c>
    </row>
    <row r="2837" spans="1:7" x14ac:dyDescent="0.2">
      <c r="A2837" s="6">
        <f ca="1">Model!$F$13+RAND()*(Model!$G$13-Model!$F$13)</f>
        <v>1382.3660865392453</v>
      </c>
      <c r="B2837" s="31">
        <f ca="1">Model!$F$14+RAND()*(Model!$G$14-Model!$F$14)</f>
        <v>0.77806773302910259</v>
      </c>
      <c r="C2837" s="32">
        <f ca="1">Model!$F$15+RAND()*(Model!$G$15-Model!$F$15)</f>
        <v>4.3954593833441469E-2</v>
      </c>
      <c r="D2837" s="33">
        <f ca="1">Model!$F$16+RAND()*(Model!$G$16-Model!$F$16)</f>
        <v>48.038153910686098</v>
      </c>
      <c r="E2837" s="33">
        <f>Model!$D$17</f>
        <v>800</v>
      </c>
      <c r="G2837" s="36">
        <f t="shared" ca="1" si="46"/>
        <v>1043.2881489863091</v>
      </c>
    </row>
    <row r="2838" spans="1:7" x14ac:dyDescent="0.2">
      <c r="A2838" s="6">
        <f ca="1">Model!$F$13+RAND()*(Model!$G$13-Model!$F$13)</f>
        <v>1774.6212045286475</v>
      </c>
      <c r="B2838" s="31">
        <f ca="1">Model!$F$14+RAND()*(Model!$G$14-Model!$F$14)</f>
        <v>0.73809630831380058</v>
      </c>
      <c r="C2838" s="32">
        <f ca="1">Model!$F$15+RAND()*(Model!$G$15-Model!$F$15)</f>
        <v>2.5644757586835418E-2</v>
      </c>
      <c r="D2838" s="33">
        <f ca="1">Model!$F$16+RAND()*(Model!$G$16-Model!$F$16)</f>
        <v>52.610980220652785</v>
      </c>
      <c r="E2838" s="33">
        <f>Model!$D$17</f>
        <v>800</v>
      </c>
      <c r="G2838" s="36">
        <f t="shared" ca="1" si="46"/>
        <v>284.47017665193562</v>
      </c>
    </row>
    <row r="2839" spans="1:7" x14ac:dyDescent="0.2">
      <c r="A2839" s="6">
        <f ca="1">Model!$F$13+RAND()*(Model!$G$13-Model!$F$13)</f>
        <v>1353.142140174735</v>
      </c>
      <c r="B2839" s="31">
        <f ca="1">Model!$F$14+RAND()*(Model!$G$14-Model!$F$14)</f>
        <v>0.60538870582653548</v>
      </c>
      <c r="C2839" s="32">
        <f ca="1">Model!$F$15+RAND()*(Model!$G$15-Model!$F$15)</f>
        <v>3.7936681731054793E-2</v>
      </c>
      <c r="D2839" s="33">
        <f ca="1">Model!$F$16+RAND()*(Model!$G$16-Model!$F$16)</f>
        <v>47.346893295484769</v>
      </c>
      <c r="E2839" s="33">
        <f>Model!$D$17</f>
        <v>800</v>
      </c>
      <c r="G2839" s="36">
        <f t="shared" ca="1" si="46"/>
        <v>811.3153225084875</v>
      </c>
    </row>
    <row r="2840" spans="1:7" x14ac:dyDescent="0.2">
      <c r="A2840" s="6">
        <f ca="1">Model!$F$13+RAND()*(Model!$G$13-Model!$F$13)</f>
        <v>1405.6218329523003</v>
      </c>
      <c r="B2840" s="31">
        <f ca="1">Model!$F$14+RAND()*(Model!$G$14-Model!$F$14)</f>
        <v>0.71582489993446696</v>
      </c>
      <c r="C2840" s="32">
        <f ca="1">Model!$F$15+RAND()*(Model!$G$15-Model!$F$15)</f>
        <v>2.7920133461625009E-2</v>
      </c>
      <c r="D2840" s="33">
        <f ca="1">Model!$F$16+RAND()*(Model!$G$16-Model!$F$16)</f>
        <v>52.144656886610548</v>
      </c>
      <c r="E2840" s="33">
        <f>Model!$D$17</f>
        <v>800</v>
      </c>
      <c r="G2840" s="36">
        <f t="shared" ca="1" si="46"/>
        <v>240.2457301504071</v>
      </c>
    </row>
    <row r="2841" spans="1:7" x14ac:dyDescent="0.2">
      <c r="A2841" s="6">
        <f ca="1">Model!$F$13+RAND()*(Model!$G$13-Model!$F$13)</f>
        <v>1799.0102629088449</v>
      </c>
      <c r="B2841" s="31">
        <f ca="1">Model!$F$14+RAND()*(Model!$G$14-Model!$F$14)</f>
        <v>0.51956027190474574</v>
      </c>
      <c r="C2841" s="32">
        <f ca="1">Model!$F$15+RAND()*(Model!$G$15-Model!$F$15)</f>
        <v>3.1654190144249694E-2</v>
      </c>
      <c r="D2841" s="33">
        <f ca="1">Model!$F$16+RAND()*(Model!$G$16-Model!$F$16)</f>
        <v>51.080828891626538</v>
      </c>
      <c r="E2841" s="33">
        <f>Model!$D$17</f>
        <v>800</v>
      </c>
      <c r="G2841" s="36">
        <f t="shared" ca="1" si="46"/>
        <v>1174.1654975296356</v>
      </c>
    </row>
    <row r="2842" spans="1:7" x14ac:dyDescent="0.2">
      <c r="A2842" s="6">
        <f ca="1">Model!$F$13+RAND()*(Model!$G$13-Model!$F$13)</f>
        <v>1498.4985326233307</v>
      </c>
      <c r="B2842" s="31">
        <f ca="1">Model!$F$14+RAND()*(Model!$G$14-Model!$F$14)</f>
        <v>0.61346008086942794</v>
      </c>
      <c r="C2842" s="32">
        <f ca="1">Model!$F$15+RAND()*(Model!$G$15-Model!$F$15)</f>
        <v>3.0946594629696213E-2</v>
      </c>
      <c r="D2842" s="33">
        <f ca="1">Model!$F$16+RAND()*(Model!$G$16-Model!$F$16)</f>
        <v>48.078820630574569</v>
      </c>
      <c r="E2842" s="33">
        <f>Model!$D$17</f>
        <v>800</v>
      </c>
      <c r="G2842" s="36">
        <f t="shared" ca="1" si="46"/>
        <v>510.31063055388449</v>
      </c>
    </row>
    <row r="2843" spans="1:7" x14ac:dyDescent="0.2">
      <c r="A2843" s="6">
        <f ca="1">Model!$F$13+RAND()*(Model!$G$13-Model!$F$13)</f>
        <v>1227.6192296616268</v>
      </c>
      <c r="B2843" s="31">
        <f ca="1">Model!$F$14+RAND()*(Model!$G$14-Model!$F$14)</f>
        <v>0.59516874338370007</v>
      </c>
      <c r="C2843" s="32">
        <f ca="1">Model!$F$15+RAND()*(Model!$G$15-Model!$F$15)</f>
        <v>2.99407085421926E-2</v>
      </c>
      <c r="D2843" s="33">
        <f ca="1">Model!$F$16+RAND()*(Model!$G$16-Model!$F$16)</f>
        <v>47.164504962859574</v>
      </c>
      <c r="E2843" s="33">
        <f>Model!$D$17</f>
        <v>800</v>
      </c>
      <c r="G2843" s="36">
        <f t="shared" ca="1" si="46"/>
        <v>202.92802466064154</v>
      </c>
    </row>
    <row r="2844" spans="1:7" x14ac:dyDescent="0.2">
      <c r="A2844" s="6">
        <f ca="1">Model!$F$13+RAND()*(Model!$G$13-Model!$F$13)</f>
        <v>1759.3076129430551</v>
      </c>
      <c r="B2844" s="31">
        <f ca="1">Model!$F$14+RAND()*(Model!$G$14-Model!$F$14)</f>
        <v>0.64883059429825196</v>
      </c>
      <c r="C2844" s="32">
        <f ca="1">Model!$F$15+RAND()*(Model!$G$15-Model!$F$15)</f>
        <v>3.6400601566843403E-2</v>
      </c>
      <c r="D2844" s="33">
        <f ca="1">Model!$F$16+RAND()*(Model!$G$16-Model!$F$16)</f>
        <v>52.808182197709954</v>
      </c>
      <c r="E2844" s="33">
        <f>Model!$D$17</f>
        <v>800</v>
      </c>
      <c r="G2844" s="36">
        <f t="shared" ca="1" si="46"/>
        <v>1440.3357505783831</v>
      </c>
    </row>
    <row r="2845" spans="1:7" x14ac:dyDescent="0.2">
      <c r="A2845" s="6">
        <f ca="1">Model!$F$13+RAND()*(Model!$G$13-Model!$F$13)</f>
        <v>1224.269802135233</v>
      </c>
      <c r="B2845" s="31">
        <f ca="1">Model!$F$14+RAND()*(Model!$G$14-Model!$F$14)</f>
        <v>0.27736790173057663</v>
      </c>
      <c r="C2845" s="32">
        <f ca="1">Model!$F$15+RAND()*(Model!$G$15-Model!$F$15)</f>
        <v>1.976190867658912E-2</v>
      </c>
      <c r="D2845" s="33">
        <f ca="1">Model!$F$16+RAND()*(Model!$G$16-Model!$F$16)</f>
        <v>47.915873974099497</v>
      </c>
      <c r="E2845" s="33">
        <f>Model!$D$17</f>
        <v>800</v>
      </c>
      <c r="G2845" s="36">
        <f t="shared" ca="1" si="46"/>
        <v>19.69910171098195</v>
      </c>
    </row>
    <row r="2846" spans="1:7" x14ac:dyDescent="0.2">
      <c r="A2846" s="6">
        <f ca="1">Model!$F$13+RAND()*(Model!$G$13-Model!$F$13)</f>
        <v>1229.5696634490284</v>
      </c>
      <c r="B2846" s="31">
        <f ca="1">Model!$F$14+RAND()*(Model!$G$14-Model!$F$14)</f>
        <v>0.75834573270016237</v>
      </c>
      <c r="C2846" s="32">
        <f ca="1">Model!$F$15+RAND()*(Model!$G$15-Model!$F$15)</f>
        <v>1.1857420728053358E-2</v>
      </c>
      <c r="D2846" s="33">
        <f ca="1">Model!$F$16+RAND()*(Model!$G$16-Model!$F$16)</f>
        <v>47.869993463545974</v>
      </c>
      <c r="E2846" s="33">
        <f>Model!$D$17</f>
        <v>800</v>
      </c>
      <c r="G2846" s="36">
        <f t="shared" ca="1" si="46"/>
        <v>-1034.5171497879819</v>
      </c>
    </row>
    <row r="2847" spans="1:7" x14ac:dyDescent="0.2">
      <c r="A2847" s="6">
        <f ca="1">Model!$F$13+RAND()*(Model!$G$13-Model!$F$13)</f>
        <v>1463.9345243234091</v>
      </c>
      <c r="B2847" s="31">
        <f ca="1">Model!$F$14+RAND()*(Model!$G$14-Model!$F$14)</f>
        <v>0.64692020620964596</v>
      </c>
      <c r="C2847" s="32">
        <f ca="1">Model!$F$15+RAND()*(Model!$G$15-Model!$F$15)</f>
        <v>2.798853848453528E-2</v>
      </c>
      <c r="D2847" s="33">
        <f ca="1">Model!$F$16+RAND()*(Model!$G$16-Model!$F$16)</f>
        <v>49.426443995937042</v>
      </c>
      <c r="E2847" s="33">
        <f>Model!$D$17</f>
        <v>800</v>
      </c>
      <c r="G2847" s="36">
        <f t="shared" ca="1" si="46"/>
        <v>278.12003172663276</v>
      </c>
    </row>
    <row r="2848" spans="1:7" x14ac:dyDescent="0.2">
      <c r="A2848" s="6">
        <f ca="1">Model!$F$13+RAND()*(Model!$G$13-Model!$F$13)</f>
        <v>1778.1500081829629</v>
      </c>
      <c r="B2848" s="31">
        <f ca="1">Model!$F$14+RAND()*(Model!$G$14-Model!$F$14)</f>
        <v>0.71327341887516993</v>
      </c>
      <c r="C2848" s="32">
        <f ca="1">Model!$F$15+RAND()*(Model!$G$15-Model!$F$15)</f>
        <v>3.4026612784957756E-2</v>
      </c>
      <c r="D2848" s="33">
        <f ca="1">Model!$F$16+RAND()*(Model!$G$16-Model!$F$16)</f>
        <v>49.677267370250135</v>
      </c>
      <c r="E2848" s="33">
        <f>Model!$D$17</f>
        <v>800</v>
      </c>
      <c r="G2848" s="36">
        <f t="shared" ca="1" si="46"/>
        <v>937.38720333132551</v>
      </c>
    </row>
    <row r="2849" spans="1:7" x14ac:dyDescent="0.2">
      <c r="A2849" s="6">
        <f ca="1">Model!$F$13+RAND()*(Model!$G$13-Model!$F$13)</f>
        <v>1319.8723656407597</v>
      </c>
      <c r="B2849" s="31">
        <f ca="1">Model!$F$14+RAND()*(Model!$G$14-Model!$F$14)</f>
        <v>0.34187128334012939</v>
      </c>
      <c r="C2849" s="32">
        <f ca="1">Model!$F$15+RAND()*(Model!$G$15-Model!$F$15)</f>
        <v>1.625072574049825E-2</v>
      </c>
      <c r="D2849" s="33">
        <f ca="1">Model!$F$16+RAND()*(Model!$G$16-Model!$F$16)</f>
        <v>51.902828759849506</v>
      </c>
      <c r="E2849" s="33">
        <f>Model!$D$17</f>
        <v>800</v>
      </c>
      <c r="G2849" s="36">
        <f t="shared" ca="1" si="46"/>
        <v>-137.96871515053112</v>
      </c>
    </row>
    <row r="2850" spans="1:7" x14ac:dyDescent="0.2">
      <c r="A2850" s="6">
        <f ca="1">Model!$F$13+RAND()*(Model!$G$13-Model!$F$13)</f>
        <v>1260.2904281978208</v>
      </c>
      <c r="B2850" s="31">
        <f ca="1">Model!$F$14+RAND()*(Model!$G$14-Model!$F$14)</f>
        <v>0.54645329745960858</v>
      </c>
      <c r="C2850" s="32">
        <f ca="1">Model!$F$15+RAND()*(Model!$G$15-Model!$F$15)</f>
        <v>4.1267085446140495E-2</v>
      </c>
      <c r="D2850" s="33">
        <f ca="1">Model!$F$16+RAND()*(Model!$G$16-Model!$F$16)</f>
        <v>50.057686109025163</v>
      </c>
      <c r="E2850" s="33">
        <f>Model!$D$17</f>
        <v>800</v>
      </c>
      <c r="G2850" s="36">
        <f t="shared" ca="1" si="46"/>
        <v>1114.7359478630319</v>
      </c>
    </row>
    <row r="2851" spans="1:7" x14ac:dyDescent="0.2">
      <c r="A2851" s="6">
        <f ca="1">Model!$F$13+RAND()*(Model!$G$13-Model!$F$13)</f>
        <v>1349.5797190161961</v>
      </c>
      <c r="B2851" s="31">
        <f ca="1">Model!$F$14+RAND()*(Model!$G$14-Model!$F$14)</f>
        <v>0.62708394730004402</v>
      </c>
      <c r="C2851" s="32">
        <f ca="1">Model!$F$15+RAND()*(Model!$G$15-Model!$F$15)</f>
        <v>3.5761728367709585E-2</v>
      </c>
      <c r="D2851" s="33">
        <f ca="1">Model!$F$16+RAND()*(Model!$G$16-Model!$F$16)</f>
        <v>51.361696545664451</v>
      </c>
      <c r="E2851" s="33">
        <f>Model!$D$17</f>
        <v>800</v>
      </c>
      <c r="G2851" s="36">
        <f t="shared" ca="1" si="46"/>
        <v>832.5853621205506</v>
      </c>
    </row>
    <row r="2852" spans="1:7" x14ac:dyDescent="0.2">
      <c r="A2852" s="6">
        <f ca="1">Model!$F$13+RAND()*(Model!$G$13-Model!$F$13)</f>
        <v>1730.8933938571895</v>
      </c>
      <c r="B2852" s="31">
        <f ca="1">Model!$F$14+RAND()*(Model!$G$14-Model!$F$14)</f>
        <v>0.2542844127444015</v>
      </c>
      <c r="C2852" s="32">
        <f ca="1">Model!$F$15+RAND()*(Model!$G$15-Model!$F$15)</f>
        <v>4.4375562798327731E-2</v>
      </c>
      <c r="D2852" s="33">
        <f ca="1">Model!$F$16+RAND()*(Model!$G$16-Model!$F$16)</f>
        <v>49.988672393938856</v>
      </c>
      <c r="E2852" s="33">
        <f>Model!$D$17</f>
        <v>800</v>
      </c>
      <c r="G2852" s="36">
        <f t="shared" ca="1" si="46"/>
        <v>2599.4591483677455</v>
      </c>
    </row>
    <row r="2853" spans="1:7" x14ac:dyDescent="0.2">
      <c r="A2853" s="6">
        <f ca="1">Model!$F$13+RAND()*(Model!$G$13-Model!$F$13)</f>
        <v>1774.7640135450974</v>
      </c>
      <c r="B2853" s="31">
        <f ca="1">Model!$F$14+RAND()*(Model!$G$14-Model!$F$14)</f>
        <v>0.31209085306203982</v>
      </c>
      <c r="C2853" s="32">
        <f ca="1">Model!$F$15+RAND()*(Model!$G$15-Model!$F$15)</f>
        <v>1.019220706410315E-2</v>
      </c>
      <c r="D2853" s="33">
        <f ca="1">Model!$F$16+RAND()*(Model!$G$16-Model!$F$16)</f>
        <v>51.098160836041316</v>
      </c>
      <c r="E2853" s="33">
        <f>Model!$D$17</f>
        <v>800</v>
      </c>
      <c r="G2853" s="36">
        <f t="shared" ca="1" si="46"/>
        <v>-429.58512882472041</v>
      </c>
    </row>
    <row r="2854" spans="1:7" x14ac:dyDescent="0.2">
      <c r="A2854" s="6">
        <f ca="1">Model!$F$13+RAND()*(Model!$G$13-Model!$F$13)</f>
        <v>1763.2076943358816</v>
      </c>
      <c r="B2854" s="31">
        <f ca="1">Model!$F$14+RAND()*(Model!$G$14-Model!$F$14)</f>
        <v>0.61199800509733726</v>
      </c>
      <c r="C2854" s="32">
        <f ca="1">Model!$F$15+RAND()*(Model!$G$15-Model!$F$15)</f>
        <v>1.5336740344039184E-2</v>
      </c>
      <c r="D2854" s="33">
        <f ca="1">Model!$F$16+RAND()*(Model!$G$16-Model!$F$16)</f>
        <v>49.9542038637641</v>
      </c>
      <c r="E2854" s="33">
        <f>Model!$D$17</f>
        <v>800</v>
      </c>
      <c r="G2854" s="36">
        <f t="shared" ca="1" si="46"/>
        <v>-528.22507511339495</v>
      </c>
    </row>
    <row r="2855" spans="1:7" x14ac:dyDescent="0.2">
      <c r="A2855" s="6">
        <f ca="1">Model!$F$13+RAND()*(Model!$G$13-Model!$F$13)</f>
        <v>1284.7963331219728</v>
      </c>
      <c r="B2855" s="31">
        <f ca="1">Model!$F$14+RAND()*(Model!$G$14-Model!$F$14)</f>
        <v>0.69086585274304557</v>
      </c>
      <c r="C2855" s="32">
        <f ca="1">Model!$F$15+RAND()*(Model!$G$15-Model!$F$15)</f>
        <v>2.4163433649926156E-2</v>
      </c>
      <c r="D2855" s="33">
        <f ca="1">Model!$F$16+RAND()*(Model!$G$16-Model!$F$16)</f>
        <v>47.703172847819964</v>
      </c>
      <c r="E2855" s="33">
        <f>Model!$D$17</f>
        <v>800</v>
      </c>
      <c r="G2855" s="36">
        <f t="shared" ca="1" si="46"/>
        <v>-206.6725746640916</v>
      </c>
    </row>
    <row r="2856" spans="1:7" x14ac:dyDescent="0.2">
      <c r="A2856" s="6">
        <f ca="1">Model!$F$13+RAND()*(Model!$G$13-Model!$F$13)</f>
        <v>1315.5997934635043</v>
      </c>
      <c r="B2856" s="31">
        <f ca="1">Model!$F$14+RAND()*(Model!$G$14-Model!$F$14)</f>
        <v>0.75213432904127719</v>
      </c>
      <c r="C2856" s="32">
        <f ca="1">Model!$F$15+RAND()*(Model!$G$15-Model!$F$15)</f>
        <v>2.2791492226444755E-2</v>
      </c>
      <c r="D2856" s="33">
        <f ca="1">Model!$F$16+RAND()*(Model!$G$16-Model!$F$16)</f>
        <v>48.032613905882862</v>
      </c>
      <c r="E2856" s="33">
        <f>Model!$D$17</f>
        <v>800</v>
      </c>
      <c r="G2856" s="36">
        <f t="shared" ca="1" si="46"/>
        <v>-349.27469849431122</v>
      </c>
    </row>
    <row r="2857" spans="1:7" x14ac:dyDescent="0.2">
      <c r="A2857" s="6">
        <f ca="1">Model!$F$13+RAND()*(Model!$G$13-Model!$F$13)</f>
        <v>1555.5482695132896</v>
      </c>
      <c r="B2857" s="31">
        <f ca="1">Model!$F$14+RAND()*(Model!$G$14-Model!$F$14)</f>
        <v>0.39288183486759265</v>
      </c>
      <c r="C2857" s="32">
        <f ca="1">Model!$F$15+RAND()*(Model!$G$15-Model!$F$15)</f>
        <v>2.9540441051006769E-2</v>
      </c>
      <c r="D2857" s="33">
        <f ca="1">Model!$F$16+RAND()*(Model!$G$16-Model!$F$16)</f>
        <v>48.42602485077326</v>
      </c>
      <c r="E2857" s="33">
        <f>Model!$D$17</f>
        <v>800</v>
      </c>
      <c r="G2857" s="36">
        <f t="shared" ref="G2857:G2920" ca="1" si="47">A2857*C2857*D2857-(E2857+A2857*B2857)</f>
        <v>814.10579145731208</v>
      </c>
    </row>
    <row r="2858" spans="1:7" x14ac:dyDescent="0.2">
      <c r="A2858" s="6">
        <f ca="1">Model!$F$13+RAND()*(Model!$G$13-Model!$F$13)</f>
        <v>1204.1790804327309</v>
      </c>
      <c r="B2858" s="31">
        <f ca="1">Model!$F$14+RAND()*(Model!$G$14-Model!$F$14)</f>
        <v>0.5142687239629733</v>
      </c>
      <c r="C2858" s="32">
        <f ca="1">Model!$F$15+RAND()*(Model!$G$15-Model!$F$15)</f>
        <v>1.7610163608354074E-2</v>
      </c>
      <c r="D2858" s="33">
        <f ca="1">Model!$F$16+RAND()*(Model!$G$16-Model!$F$16)</f>
        <v>49.64884048212852</v>
      </c>
      <c r="E2858" s="33">
        <f>Model!$D$17</f>
        <v>800</v>
      </c>
      <c r="G2858" s="36">
        <f t="shared" ca="1" si="47"/>
        <v>-366.42872331842455</v>
      </c>
    </row>
    <row r="2859" spans="1:7" x14ac:dyDescent="0.2">
      <c r="A2859" s="6">
        <f ca="1">Model!$F$13+RAND()*(Model!$G$13-Model!$F$13)</f>
        <v>1568.2726381143384</v>
      </c>
      <c r="B2859" s="31">
        <f ca="1">Model!$F$14+RAND()*(Model!$G$14-Model!$F$14)</f>
        <v>0.68199849963432868</v>
      </c>
      <c r="C2859" s="32">
        <f ca="1">Model!$F$15+RAND()*(Model!$G$15-Model!$F$15)</f>
        <v>3.1352797147601606E-2</v>
      </c>
      <c r="D2859" s="33">
        <f ca="1">Model!$F$16+RAND()*(Model!$G$16-Model!$F$16)</f>
        <v>49.139398482063676</v>
      </c>
      <c r="E2859" s="33">
        <f>Model!$D$17</f>
        <v>800</v>
      </c>
      <c r="G2859" s="36">
        <f t="shared" ca="1" si="47"/>
        <v>546.61156090859004</v>
      </c>
    </row>
    <row r="2860" spans="1:7" x14ac:dyDescent="0.2">
      <c r="A2860" s="6">
        <f ca="1">Model!$F$13+RAND()*(Model!$G$13-Model!$F$13)</f>
        <v>1521.6631645818741</v>
      </c>
      <c r="B2860" s="31">
        <f ca="1">Model!$F$14+RAND()*(Model!$G$14-Model!$F$14)</f>
        <v>0.66498215215192091</v>
      </c>
      <c r="C2860" s="32">
        <f ca="1">Model!$F$15+RAND()*(Model!$G$15-Model!$F$15)</f>
        <v>3.7833516688684427E-2</v>
      </c>
      <c r="D2860" s="33">
        <f ca="1">Model!$F$16+RAND()*(Model!$G$16-Model!$F$16)</f>
        <v>47.361890267696211</v>
      </c>
      <c r="E2860" s="33">
        <f>Model!$D$17</f>
        <v>800</v>
      </c>
      <c r="G2860" s="36">
        <f t="shared" ca="1" si="47"/>
        <v>914.73895956555725</v>
      </c>
    </row>
    <row r="2861" spans="1:7" x14ac:dyDescent="0.2">
      <c r="A2861" s="6">
        <f ca="1">Model!$F$13+RAND()*(Model!$G$13-Model!$F$13)</f>
        <v>1537.0686390310373</v>
      </c>
      <c r="B2861" s="31">
        <f ca="1">Model!$F$14+RAND()*(Model!$G$14-Model!$F$14)</f>
        <v>0.54444859314818128</v>
      </c>
      <c r="C2861" s="32">
        <f ca="1">Model!$F$15+RAND()*(Model!$G$15-Model!$F$15)</f>
        <v>1.9178311764522227E-2</v>
      </c>
      <c r="D2861" s="33">
        <f ca="1">Model!$F$16+RAND()*(Model!$G$16-Model!$F$16)</f>
        <v>50.043704381072828</v>
      </c>
      <c r="E2861" s="33">
        <f>Model!$D$17</f>
        <v>800</v>
      </c>
      <c r="G2861" s="36">
        <f t="shared" ca="1" si="47"/>
        <v>-161.64744553105129</v>
      </c>
    </row>
    <row r="2862" spans="1:7" x14ac:dyDescent="0.2">
      <c r="A2862" s="6">
        <f ca="1">Model!$F$13+RAND()*(Model!$G$13-Model!$F$13)</f>
        <v>1492.816285888216</v>
      </c>
      <c r="B2862" s="31">
        <f ca="1">Model!$F$14+RAND()*(Model!$G$14-Model!$F$14)</f>
        <v>0.39751885513786833</v>
      </c>
      <c r="C2862" s="32">
        <f ca="1">Model!$F$15+RAND()*(Model!$G$15-Model!$F$15)</f>
        <v>2.5545916226083862E-2</v>
      </c>
      <c r="D2862" s="33">
        <f ca="1">Model!$F$16+RAND()*(Model!$G$16-Model!$F$16)</f>
        <v>51.443838616146742</v>
      </c>
      <c r="E2862" s="33">
        <f>Model!$D$17</f>
        <v>800</v>
      </c>
      <c r="G2862" s="36">
        <f t="shared" ca="1" si="47"/>
        <v>568.40667320560419</v>
      </c>
    </row>
    <row r="2863" spans="1:7" x14ac:dyDescent="0.2">
      <c r="A2863" s="6">
        <f ca="1">Model!$F$13+RAND()*(Model!$G$13-Model!$F$13)</f>
        <v>1300.8396335804186</v>
      </c>
      <c r="B2863" s="31">
        <f ca="1">Model!$F$14+RAND()*(Model!$G$14-Model!$F$14)</f>
        <v>0.48150073087097678</v>
      </c>
      <c r="C2863" s="32">
        <f ca="1">Model!$F$15+RAND()*(Model!$G$15-Model!$F$15)</f>
        <v>3.9698553831451495E-2</v>
      </c>
      <c r="D2863" s="33">
        <f ca="1">Model!$F$16+RAND()*(Model!$G$16-Model!$F$16)</f>
        <v>48.154976918480386</v>
      </c>
      <c r="E2863" s="33">
        <f>Model!$D$17</f>
        <v>800</v>
      </c>
      <c r="G2863" s="36">
        <f t="shared" ca="1" si="47"/>
        <v>1060.4377053653066</v>
      </c>
    </row>
    <row r="2864" spans="1:7" x14ac:dyDescent="0.2">
      <c r="A2864" s="6">
        <f ca="1">Model!$F$13+RAND()*(Model!$G$13-Model!$F$13)</f>
        <v>1423.0878443491958</v>
      </c>
      <c r="B2864" s="31">
        <f ca="1">Model!$F$14+RAND()*(Model!$G$14-Model!$F$14)</f>
        <v>0.39264969452768539</v>
      </c>
      <c r="C2864" s="32">
        <f ca="1">Model!$F$15+RAND()*(Model!$G$15-Model!$F$15)</f>
        <v>2.1497631818858425E-2</v>
      </c>
      <c r="D2864" s="33">
        <f ca="1">Model!$F$16+RAND()*(Model!$G$16-Model!$F$16)</f>
        <v>47.967136790760343</v>
      </c>
      <c r="E2864" s="33">
        <f>Model!$D$17</f>
        <v>800</v>
      </c>
      <c r="G2864" s="36">
        <f t="shared" ca="1" si="47"/>
        <v>108.68449699938083</v>
      </c>
    </row>
    <row r="2865" spans="1:7" x14ac:dyDescent="0.2">
      <c r="A2865" s="6">
        <f ca="1">Model!$F$13+RAND()*(Model!$G$13-Model!$F$13)</f>
        <v>1202.292770096049</v>
      </c>
      <c r="B2865" s="31">
        <f ca="1">Model!$F$14+RAND()*(Model!$G$14-Model!$F$14)</f>
        <v>0.29704609329248755</v>
      </c>
      <c r="C2865" s="32">
        <f ca="1">Model!$F$15+RAND()*(Model!$G$15-Model!$F$15)</f>
        <v>4.855090861693756E-2</v>
      </c>
      <c r="D2865" s="33">
        <f ca="1">Model!$F$16+RAND()*(Model!$G$16-Model!$F$16)</f>
        <v>47.211464586955657</v>
      </c>
      <c r="E2865" s="33">
        <f>Model!$D$17</f>
        <v>800</v>
      </c>
      <c r="G2865" s="36">
        <f t="shared" ca="1" si="47"/>
        <v>1598.7104278123177</v>
      </c>
    </row>
    <row r="2866" spans="1:7" x14ac:dyDescent="0.2">
      <c r="A2866" s="6">
        <f ca="1">Model!$F$13+RAND()*(Model!$G$13-Model!$F$13)</f>
        <v>1327.0320063248096</v>
      </c>
      <c r="B2866" s="31">
        <f ca="1">Model!$F$14+RAND()*(Model!$G$14-Model!$F$14)</f>
        <v>0.71337386736728825</v>
      </c>
      <c r="C2866" s="32">
        <f ca="1">Model!$F$15+RAND()*(Model!$G$15-Model!$F$15)</f>
        <v>2.6045121298976459E-2</v>
      </c>
      <c r="D2866" s="33">
        <f ca="1">Model!$F$16+RAND()*(Model!$G$16-Model!$F$16)</f>
        <v>52.205436675610159</v>
      </c>
      <c r="E2866" s="33">
        <f>Model!$D$17</f>
        <v>800</v>
      </c>
      <c r="G2866" s="36">
        <f t="shared" ca="1" si="47"/>
        <v>57.691391444918281</v>
      </c>
    </row>
    <row r="2867" spans="1:7" x14ac:dyDescent="0.2">
      <c r="A2867" s="6">
        <f ca="1">Model!$F$13+RAND()*(Model!$G$13-Model!$F$13)</f>
        <v>1438.4746467086907</v>
      </c>
      <c r="B2867" s="31">
        <f ca="1">Model!$F$14+RAND()*(Model!$G$14-Model!$F$14)</f>
        <v>0.32394796767435691</v>
      </c>
      <c r="C2867" s="32">
        <f ca="1">Model!$F$15+RAND()*(Model!$G$15-Model!$F$15)</f>
        <v>3.4755502438753146E-2</v>
      </c>
      <c r="D2867" s="33">
        <f ca="1">Model!$F$16+RAND()*(Model!$G$16-Model!$F$16)</f>
        <v>51.91744178454482</v>
      </c>
      <c r="E2867" s="33">
        <f>Model!$D$17</f>
        <v>800</v>
      </c>
      <c r="G2867" s="36">
        <f t="shared" ca="1" si="47"/>
        <v>1329.616843943131</v>
      </c>
    </row>
    <row r="2868" spans="1:7" x14ac:dyDescent="0.2">
      <c r="A2868" s="6">
        <f ca="1">Model!$F$13+RAND()*(Model!$G$13-Model!$F$13)</f>
        <v>1676.2965579491831</v>
      </c>
      <c r="B2868" s="31">
        <f ca="1">Model!$F$14+RAND()*(Model!$G$14-Model!$F$14)</f>
        <v>0.63310752740233278</v>
      </c>
      <c r="C2868" s="32">
        <f ca="1">Model!$F$15+RAND()*(Model!$G$15-Model!$F$15)</f>
        <v>4.5888973582593695E-2</v>
      </c>
      <c r="D2868" s="33">
        <f ca="1">Model!$F$16+RAND()*(Model!$G$16-Model!$F$16)</f>
        <v>49.941289606344903</v>
      </c>
      <c r="E2868" s="33">
        <f>Model!$D$17</f>
        <v>800</v>
      </c>
      <c r="G2868" s="36">
        <f t="shared" ca="1" si="47"/>
        <v>1980.3842435824117</v>
      </c>
    </row>
    <row r="2869" spans="1:7" x14ac:dyDescent="0.2">
      <c r="A2869" s="6">
        <f ca="1">Model!$F$13+RAND()*(Model!$G$13-Model!$F$13)</f>
        <v>1633.1957606728015</v>
      </c>
      <c r="B2869" s="31">
        <f ca="1">Model!$F$14+RAND()*(Model!$G$14-Model!$F$14)</f>
        <v>0.45750871668218851</v>
      </c>
      <c r="C2869" s="32">
        <f ca="1">Model!$F$15+RAND()*(Model!$G$15-Model!$F$15)</f>
        <v>3.8380676020082029E-2</v>
      </c>
      <c r="D2869" s="33">
        <f ca="1">Model!$F$16+RAND()*(Model!$G$16-Model!$F$16)</f>
        <v>47.225578000005555</v>
      </c>
      <c r="E2869" s="33">
        <f>Model!$D$17</f>
        <v>800</v>
      </c>
      <c r="G2869" s="36">
        <f t="shared" ca="1" si="47"/>
        <v>1413.0470410012958</v>
      </c>
    </row>
    <row r="2870" spans="1:7" x14ac:dyDescent="0.2">
      <c r="A2870" s="6">
        <f ca="1">Model!$F$13+RAND()*(Model!$G$13-Model!$F$13)</f>
        <v>1245.7401168223428</v>
      </c>
      <c r="B2870" s="31">
        <f ca="1">Model!$F$14+RAND()*(Model!$G$14-Model!$F$14)</f>
        <v>0.24696714471415721</v>
      </c>
      <c r="C2870" s="32">
        <f ca="1">Model!$F$15+RAND()*(Model!$G$15-Model!$F$15)</f>
        <v>1.3996491652675989E-2</v>
      </c>
      <c r="D2870" s="33">
        <f ca="1">Model!$F$16+RAND()*(Model!$G$16-Model!$F$16)</f>
        <v>50.51469558857324</v>
      </c>
      <c r="E2870" s="33">
        <f>Model!$D$17</f>
        <v>800</v>
      </c>
      <c r="G2870" s="36">
        <f t="shared" ca="1" si="47"/>
        <v>-226.88309465660859</v>
      </c>
    </row>
    <row r="2871" spans="1:7" x14ac:dyDescent="0.2">
      <c r="A2871" s="6">
        <f ca="1">Model!$F$13+RAND()*(Model!$G$13-Model!$F$13)</f>
        <v>1495.2010416552562</v>
      </c>
      <c r="B2871" s="31">
        <f ca="1">Model!$F$14+RAND()*(Model!$G$14-Model!$F$14)</f>
        <v>0.55489178644150916</v>
      </c>
      <c r="C2871" s="32">
        <f ca="1">Model!$F$15+RAND()*(Model!$G$15-Model!$F$15)</f>
        <v>1.0102419127814195E-2</v>
      </c>
      <c r="D2871" s="33">
        <f ca="1">Model!$F$16+RAND()*(Model!$G$16-Model!$F$16)</f>
        <v>51.894303841499855</v>
      </c>
      <c r="E2871" s="33">
        <f>Model!$D$17</f>
        <v>800</v>
      </c>
      <c r="G2871" s="36">
        <f t="shared" ca="1" si="47"/>
        <v>-845.80365780494071</v>
      </c>
    </row>
    <row r="2872" spans="1:7" x14ac:dyDescent="0.2">
      <c r="A2872" s="6">
        <f ca="1">Model!$F$13+RAND()*(Model!$G$13-Model!$F$13)</f>
        <v>1736.8213185415166</v>
      </c>
      <c r="B2872" s="31">
        <f ca="1">Model!$F$14+RAND()*(Model!$G$14-Model!$F$14)</f>
        <v>0.42922991204210292</v>
      </c>
      <c r="C2872" s="32">
        <f ca="1">Model!$F$15+RAND()*(Model!$G$15-Model!$F$15)</f>
        <v>2.641269416805498E-2</v>
      </c>
      <c r="D2872" s="33">
        <f ca="1">Model!$F$16+RAND()*(Model!$G$16-Model!$F$16)</f>
        <v>52.343501712739432</v>
      </c>
      <c r="E2872" s="33">
        <f>Model!$D$17</f>
        <v>800</v>
      </c>
      <c r="G2872" s="36">
        <f t="shared" ca="1" si="47"/>
        <v>855.71695672404667</v>
      </c>
    </row>
    <row r="2873" spans="1:7" x14ac:dyDescent="0.2">
      <c r="A2873" s="6">
        <f ca="1">Model!$F$13+RAND()*(Model!$G$13-Model!$F$13)</f>
        <v>1616.1395314161928</v>
      </c>
      <c r="B2873" s="31">
        <f ca="1">Model!$F$14+RAND()*(Model!$G$14-Model!$F$14)</f>
        <v>0.3592890535311728</v>
      </c>
      <c r="C2873" s="32">
        <f ca="1">Model!$F$15+RAND()*(Model!$G$15-Model!$F$15)</f>
        <v>4.4547418139605749E-2</v>
      </c>
      <c r="D2873" s="33">
        <f ca="1">Model!$F$16+RAND()*(Model!$G$16-Model!$F$16)</f>
        <v>52.21507759937645</v>
      </c>
      <c r="E2873" s="33">
        <f>Model!$D$17</f>
        <v>800</v>
      </c>
      <c r="G2873" s="36">
        <f t="shared" ca="1" si="47"/>
        <v>2378.5550963389519</v>
      </c>
    </row>
    <row r="2874" spans="1:7" x14ac:dyDescent="0.2">
      <c r="A2874" s="6">
        <f ca="1">Model!$F$13+RAND()*(Model!$G$13-Model!$F$13)</f>
        <v>1686.2100607206039</v>
      </c>
      <c r="B2874" s="31">
        <f ca="1">Model!$F$14+RAND()*(Model!$G$14-Model!$F$14)</f>
        <v>0.36907786927587782</v>
      </c>
      <c r="C2874" s="32">
        <f ca="1">Model!$F$15+RAND()*(Model!$G$15-Model!$F$15)</f>
        <v>1.0380835133430577E-2</v>
      </c>
      <c r="D2874" s="33">
        <f ca="1">Model!$F$16+RAND()*(Model!$G$16-Model!$F$16)</f>
        <v>48.755763028260006</v>
      </c>
      <c r="E2874" s="33">
        <f>Model!$D$17</f>
        <v>800</v>
      </c>
      <c r="G2874" s="36">
        <f t="shared" ca="1" si="47"/>
        <v>-568.90884253467505</v>
      </c>
    </row>
    <row r="2875" spans="1:7" x14ac:dyDescent="0.2">
      <c r="A2875" s="6">
        <f ca="1">Model!$F$13+RAND()*(Model!$G$13-Model!$F$13)</f>
        <v>1549.8140813904233</v>
      </c>
      <c r="B2875" s="31">
        <f ca="1">Model!$F$14+RAND()*(Model!$G$14-Model!$F$14)</f>
        <v>0.28981223773698006</v>
      </c>
      <c r="C2875" s="32">
        <f ca="1">Model!$F$15+RAND()*(Model!$G$15-Model!$F$15)</f>
        <v>4.8276918995799986E-2</v>
      </c>
      <c r="D2875" s="33">
        <f ca="1">Model!$F$16+RAND()*(Model!$G$16-Model!$F$16)</f>
        <v>48.008782568848041</v>
      </c>
      <c r="E2875" s="33">
        <f>Model!$D$17</f>
        <v>800</v>
      </c>
      <c r="G2875" s="36">
        <f t="shared" ca="1" si="47"/>
        <v>2342.8739725429614</v>
      </c>
    </row>
    <row r="2876" spans="1:7" x14ac:dyDescent="0.2">
      <c r="A2876" s="6">
        <f ca="1">Model!$F$13+RAND()*(Model!$G$13-Model!$F$13)</f>
        <v>1230.9185783148241</v>
      </c>
      <c r="B2876" s="31">
        <f ca="1">Model!$F$14+RAND()*(Model!$G$14-Model!$F$14)</f>
        <v>0.79733462690519619</v>
      </c>
      <c r="C2876" s="32">
        <f ca="1">Model!$F$15+RAND()*(Model!$G$15-Model!$F$15)</f>
        <v>4.5722286034311395E-2</v>
      </c>
      <c r="D2876" s="33">
        <f ca="1">Model!$F$16+RAND()*(Model!$G$16-Model!$F$16)</f>
        <v>50.175806142737365</v>
      </c>
      <c r="E2876" s="33">
        <f>Model!$D$17</f>
        <v>800</v>
      </c>
      <c r="G2876" s="36">
        <f t="shared" ca="1" si="47"/>
        <v>1042.4610027679</v>
      </c>
    </row>
    <row r="2877" spans="1:7" x14ac:dyDescent="0.2">
      <c r="A2877" s="6">
        <f ca="1">Model!$F$13+RAND()*(Model!$G$13-Model!$F$13)</f>
        <v>1667.6961486314044</v>
      </c>
      <c r="B2877" s="31">
        <f ca="1">Model!$F$14+RAND()*(Model!$G$14-Model!$F$14)</f>
        <v>0.20201367507912854</v>
      </c>
      <c r="C2877" s="32">
        <f ca="1">Model!$F$15+RAND()*(Model!$G$15-Model!$F$15)</f>
        <v>4.08127266375388E-2</v>
      </c>
      <c r="D2877" s="33">
        <f ca="1">Model!$F$16+RAND()*(Model!$G$16-Model!$F$16)</f>
        <v>47.384134798289125</v>
      </c>
      <c r="E2877" s="33">
        <f>Model!$D$17</f>
        <v>800</v>
      </c>
      <c r="G2877" s="36">
        <f t="shared" ca="1" si="47"/>
        <v>2088.2196964279678</v>
      </c>
    </row>
    <row r="2878" spans="1:7" x14ac:dyDescent="0.2">
      <c r="A2878" s="6">
        <f ca="1">Model!$F$13+RAND()*(Model!$G$13-Model!$F$13)</f>
        <v>1547.7649983290512</v>
      </c>
      <c r="B2878" s="31">
        <f ca="1">Model!$F$14+RAND()*(Model!$G$14-Model!$F$14)</f>
        <v>0.47964092474345371</v>
      </c>
      <c r="C2878" s="32">
        <f ca="1">Model!$F$15+RAND()*(Model!$G$15-Model!$F$15)</f>
        <v>4.2820891988438969E-2</v>
      </c>
      <c r="D2878" s="33">
        <f ca="1">Model!$F$16+RAND()*(Model!$G$16-Model!$F$16)</f>
        <v>52.562991795914478</v>
      </c>
      <c r="E2878" s="33">
        <f>Model!$D$17</f>
        <v>800</v>
      </c>
      <c r="G2878" s="36">
        <f t="shared" ca="1" si="47"/>
        <v>1941.3290372679105</v>
      </c>
    </row>
    <row r="2879" spans="1:7" x14ac:dyDescent="0.2">
      <c r="A2879" s="6">
        <f ca="1">Model!$F$13+RAND()*(Model!$G$13-Model!$F$13)</f>
        <v>1474.5531610702492</v>
      </c>
      <c r="B2879" s="31">
        <f ca="1">Model!$F$14+RAND()*(Model!$G$14-Model!$F$14)</f>
        <v>0.78363543829160531</v>
      </c>
      <c r="C2879" s="32">
        <f ca="1">Model!$F$15+RAND()*(Model!$G$15-Model!$F$15)</f>
        <v>4.1583029176808187E-2</v>
      </c>
      <c r="D2879" s="33">
        <f ca="1">Model!$F$16+RAND()*(Model!$G$16-Model!$F$16)</f>
        <v>52.300712638061967</v>
      </c>
      <c r="E2879" s="33">
        <f>Model!$D$17</f>
        <v>800</v>
      </c>
      <c r="G2879" s="36">
        <f t="shared" ca="1" si="47"/>
        <v>1251.3786300836123</v>
      </c>
    </row>
    <row r="2880" spans="1:7" x14ac:dyDescent="0.2">
      <c r="A2880" s="6">
        <f ca="1">Model!$F$13+RAND()*(Model!$G$13-Model!$F$13)</f>
        <v>1470.3141521476609</v>
      </c>
      <c r="B2880" s="31">
        <f ca="1">Model!$F$14+RAND()*(Model!$G$14-Model!$F$14)</f>
        <v>0.68187570858886326</v>
      </c>
      <c r="C2880" s="32">
        <f ca="1">Model!$F$15+RAND()*(Model!$G$15-Model!$F$15)</f>
        <v>4.697318261974235E-2</v>
      </c>
      <c r="D2880" s="33">
        <f ca="1">Model!$F$16+RAND()*(Model!$G$16-Model!$F$16)</f>
        <v>50.080996846942938</v>
      </c>
      <c r="E2880" s="33">
        <f>Model!$D$17</f>
        <v>800</v>
      </c>
      <c r="G2880" s="36">
        <f t="shared" ca="1" si="47"/>
        <v>1656.2893288996779</v>
      </c>
    </row>
    <row r="2881" spans="1:7" x14ac:dyDescent="0.2">
      <c r="A2881" s="6">
        <f ca="1">Model!$F$13+RAND()*(Model!$G$13-Model!$F$13)</f>
        <v>1232.4245146574694</v>
      </c>
      <c r="B2881" s="31">
        <f ca="1">Model!$F$14+RAND()*(Model!$G$14-Model!$F$14)</f>
        <v>0.28900095204937826</v>
      </c>
      <c r="C2881" s="32">
        <f ca="1">Model!$F$15+RAND()*(Model!$G$15-Model!$F$15)</f>
        <v>2.9216766266843219E-2</v>
      </c>
      <c r="D2881" s="33">
        <f ca="1">Model!$F$16+RAND()*(Model!$G$16-Model!$F$16)</f>
        <v>51.901978148714662</v>
      </c>
      <c r="E2881" s="33">
        <f>Model!$D$17</f>
        <v>800</v>
      </c>
      <c r="G2881" s="36">
        <f t="shared" ca="1" si="47"/>
        <v>712.68649143138214</v>
      </c>
    </row>
    <row r="2882" spans="1:7" x14ac:dyDescent="0.2">
      <c r="A2882" s="6">
        <f ca="1">Model!$F$13+RAND()*(Model!$G$13-Model!$F$13)</f>
        <v>1643.0055074074689</v>
      </c>
      <c r="B2882" s="31">
        <f ca="1">Model!$F$14+RAND()*(Model!$G$14-Model!$F$14)</f>
        <v>0.32680845675753201</v>
      </c>
      <c r="C2882" s="32">
        <f ca="1">Model!$F$15+RAND()*(Model!$G$15-Model!$F$15)</f>
        <v>4.715082645742541E-2</v>
      </c>
      <c r="D2882" s="33">
        <f ca="1">Model!$F$16+RAND()*(Model!$G$16-Model!$F$16)</f>
        <v>50.337016195943306</v>
      </c>
      <c r="E2882" s="33">
        <f>Model!$D$17</f>
        <v>800</v>
      </c>
      <c r="G2882" s="36">
        <f t="shared" ca="1" si="47"/>
        <v>2562.6136135466513</v>
      </c>
    </row>
    <row r="2883" spans="1:7" x14ac:dyDescent="0.2">
      <c r="A2883" s="6">
        <f ca="1">Model!$F$13+RAND()*(Model!$G$13-Model!$F$13)</f>
        <v>1366.7969465831607</v>
      </c>
      <c r="B2883" s="31">
        <f ca="1">Model!$F$14+RAND()*(Model!$G$14-Model!$F$14)</f>
        <v>0.78380821186540639</v>
      </c>
      <c r="C2883" s="32">
        <f ca="1">Model!$F$15+RAND()*(Model!$G$15-Model!$F$15)</f>
        <v>2.6219751428306265E-2</v>
      </c>
      <c r="D2883" s="33">
        <f ca="1">Model!$F$16+RAND()*(Model!$G$16-Model!$F$16)</f>
        <v>51.093311154281949</v>
      </c>
      <c r="E2883" s="33">
        <f>Model!$D$17</f>
        <v>800</v>
      </c>
      <c r="G2883" s="36">
        <f t="shared" ca="1" si="47"/>
        <v>-40.271785927541714</v>
      </c>
    </row>
    <row r="2884" spans="1:7" x14ac:dyDescent="0.2">
      <c r="A2884" s="6">
        <f ca="1">Model!$F$13+RAND()*(Model!$G$13-Model!$F$13)</f>
        <v>1756.2371440061484</v>
      </c>
      <c r="B2884" s="31">
        <f ca="1">Model!$F$14+RAND()*(Model!$G$14-Model!$F$14)</f>
        <v>0.4435593473657089</v>
      </c>
      <c r="C2884" s="32">
        <f ca="1">Model!$F$15+RAND()*(Model!$G$15-Model!$F$15)</f>
        <v>1.7588287145169669E-2</v>
      </c>
      <c r="D2884" s="33">
        <f ca="1">Model!$F$16+RAND()*(Model!$G$16-Model!$F$16)</f>
        <v>50.138030196123772</v>
      </c>
      <c r="E2884" s="33">
        <f>Model!$D$17</f>
        <v>800</v>
      </c>
      <c r="G2884" s="36">
        <f t="shared" ca="1" si="47"/>
        <v>-30.271599451576094</v>
      </c>
    </row>
    <row r="2885" spans="1:7" x14ac:dyDescent="0.2">
      <c r="A2885" s="6">
        <f ca="1">Model!$F$13+RAND()*(Model!$G$13-Model!$F$13)</f>
        <v>1585.9415253468705</v>
      </c>
      <c r="B2885" s="31">
        <f ca="1">Model!$F$14+RAND()*(Model!$G$14-Model!$F$14)</f>
        <v>0.34066824253820527</v>
      </c>
      <c r="C2885" s="32">
        <f ca="1">Model!$F$15+RAND()*(Model!$G$15-Model!$F$15)</f>
        <v>2.0348953407311986E-2</v>
      </c>
      <c r="D2885" s="33">
        <f ca="1">Model!$F$16+RAND()*(Model!$G$16-Model!$F$16)</f>
        <v>52.917240001459163</v>
      </c>
      <c r="E2885" s="33">
        <f>Model!$D$17</f>
        <v>800</v>
      </c>
      <c r="G2885" s="36">
        <f t="shared" ca="1" si="47"/>
        <v>367.47849733001544</v>
      </c>
    </row>
    <row r="2886" spans="1:7" x14ac:dyDescent="0.2">
      <c r="A2886" s="6">
        <f ca="1">Model!$F$13+RAND()*(Model!$G$13-Model!$F$13)</f>
        <v>1319.6247864527738</v>
      </c>
      <c r="B2886" s="31">
        <f ca="1">Model!$F$14+RAND()*(Model!$G$14-Model!$F$14)</f>
        <v>0.35750359656247171</v>
      </c>
      <c r="C2886" s="32">
        <f ca="1">Model!$F$15+RAND()*(Model!$G$15-Model!$F$15)</f>
        <v>1.6337498270850896E-2</v>
      </c>
      <c r="D2886" s="33">
        <f ca="1">Model!$F$16+RAND()*(Model!$G$16-Model!$F$16)</f>
        <v>52.974689865978135</v>
      </c>
      <c r="E2886" s="33">
        <f>Model!$D$17</f>
        <v>800</v>
      </c>
      <c r="G2886" s="36">
        <f t="shared" ca="1" si="47"/>
        <v>-129.66979141218371</v>
      </c>
    </row>
    <row r="2887" spans="1:7" x14ac:dyDescent="0.2">
      <c r="A2887" s="6">
        <f ca="1">Model!$F$13+RAND()*(Model!$G$13-Model!$F$13)</f>
        <v>1619.5605749003923</v>
      </c>
      <c r="B2887" s="31">
        <f ca="1">Model!$F$14+RAND()*(Model!$G$14-Model!$F$14)</f>
        <v>0.5994704570280136</v>
      </c>
      <c r="C2887" s="32">
        <f ca="1">Model!$F$15+RAND()*(Model!$G$15-Model!$F$15)</f>
        <v>4.0039699215380309E-2</v>
      </c>
      <c r="D2887" s="33">
        <f ca="1">Model!$F$16+RAND()*(Model!$G$16-Model!$F$16)</f>
        <v>48.374858580378813</v>
      </c>
      <c r="E2887" s="33">
        <f>Model!$D$17</f>
        <v>800</v>
      </c>
      <c r="G2887" s="36">
        <f t="shared" ca="1" si="47"/>
        <v>1366.0721081814181</v>
      </c>
    </row>
    <row r="2888" spans="1:7" x14ac:dyDescent="0.2">
      <c r="A2888" s="6">
        <f ca="1">Model!$F$13+RAND()*(Model!$G$13-Model!$F$13)</f>
        <v>1693.372572751892</v>
      </c>
      <c r="B2888" s="31">
        <f ca="1">Model!$F$14+RAND()*(Model!$G$14-Model!$F$14)</f>
        <v>0.60918509276039456</v>
      </c>
      <c r="C2888" s="32">
        <f ca="1">Model!$F$15+RAND()*(Model!$G$15-Model!$F$15)</f>
        <v>2.4683820802397304E-2</v>
      </c>
      <c r="D2888" s="33">
        <f ca="1">Model!$F$16+RAND()*(Model!$G$16-Model!$F$16)</f>
        <v>49.874719277443688</v>
      </c>
      <c r="E2888" s="33">
        <f>Model!$D$17</f>
        <v>800</v>
      </c>
      <c r="G2888" s="36">
        <f t="shared" ca="1" si="47"/>
        <v>253.13133202765152</v>
      </c>
    </row>
    <row r="2889" spans="1:7" x14ac:dyDescent="0.2">
      <c r="A2889" s="6">
        <f ca="1">Model!$F$13+RAND()*(Model!$G$13-Model!$F$13)</f>
        <v>1522.9835393139601</v>
      </c>
      <c r="B2889" s="31">
        <f ca="1">Model!$F$14+RAND()*(Model!$G$14-Model!$F$14)</f>
        <v>0.43770969623768052</v>
      </c>
      <c r="C2889" s="32">
        <f ca="1">Model!$F$15+RAND()*(Model!$G$15-Model!$F$15)</f>
        <v>2.5941754964629873E-2</v>
      </c>
      <c r="D2889" s="33">
        <f ca="1">Model!$F$16+RAND()*(Model!$G$16-Model!$F$16)</f>
        <v>52.235710235612956</v>
      </c>
      <c r="E2889" s="33">
        <f>Model!$D$17</f>
        <v>800</v>
      </c>
      <c r="G2889" s="36">
        <f t="shared" ca="1" si="47"/>
        <v>597.14900288301328</v>
      </c>
    </row>
    <row r="2890" spans="1:7" x14ac:dyDescent="0.2">
      <c r="A2890" s="6">
        <f ca="1">Model!$F$13+RAND()*(Model!$G$13-Model!$F$13)</f>
        <v>1568.2371600244285</v>
      </c>
      <c r="B2890" s="31">
        <f ca="1">Model!$F$14+RAND()*(Model!$G$14-Model!$F$14)</f>
        <v>0.29796080948742204</v>
      </c>
      <c r="C2890" s="32">
        <f ca="1">Model!$F$15+RAND()*(Model!$G$15-Model!$F$15)</f>
        <v>3.880686654040174E-2</v>
      </c>
      <c r="D2890" s="33">
        <f ca="1">Model!$F$16+RAND()*(Model!$G$16-Model!$F$16)</f>
        <v>50.051861561114201</v>
      </c>
      <c r="E2890" s="33">
        <f>Model!$D$17</f>
        <v>800</v>
      </c>
      <c r="G2890" s="36">
        <f t="shared" ca="1" si="47"/>
        <v>1778.8015050532233</v>
      </c>
    </row>
    <row r="2891" spans="1:7" x14ac:dyDescent="0.2">
      <c r="A2891" s="6">
        <f ca="1">Model!$F$13+RAND()*(Model!$G$13-Model!$F$13)</f>
        <v>1278.1061186934396</v>
      </c>
      <c r="B2891" s="31">
        <f ca="1">Model!$F$14+RAND()*(Model!$G$14-Model!$F$14)</f>
        <v>0.42994449834810533</v>
      </c>
      <c r="C2891" s="32">
        <f ca="1">Model!$F$15+RAND()*(Model!$G$15-Model!$F$15)</f>
        <v>1.753867911876595E-2</v>
      </c>
      <c r="D2891" s="33">
        <f ca="1">Model!$F$16+RAND()*(Model!$G$16-Model!$F$16)</f>
        <v>48.543236902343025</v>
      </c>
      <c r="E2891" s="33">
        <f>Model!$D$17</f>
        <v>800</v>
      </c>
      <c r="G2891" s="36">
        <f t="shared" ca="1" si="47"/>
        <v>-261.35526783029422</v>
      </c>
    </row>
    <row r="2892" spans="1:7" x14ac:dyDescent="0.2">
      <c r="A2892" s="6">
        <f ca="1">Model!$F$13+RAND()*(Model!$G$13-Model!$F$13)</f>
        <v>1634.7408024501672</v>
      </c>
      <c r="B2892" s="31">
        <f ca="1">Model!$F$14+RAND()*(Model!$G$14-Model!$F$14)</f>
        <v>0.42392099433208497</v>
      </c>
      <c r="C2892" s="32">
        <f ca="1">Model!$F$15+RAND()*(Model!$G$15-Model!$F$15)</f>
        <v>1.3566472426659355E-2</v>
      </c>
      <c r="D2892" s="33">
        <f ca="1">Model!$F$16+RAND()*(Model!$G$16-Model!$F$16)</f>
        <v>50.722857663957697</v>
      </c>
      <c r="E2892" s="33">
        <f>Model!$D$17</f>
        <v>800</v>
      </c>
      <c r="G2892" s="36">
        <f t="shared" ca="1" si="47"/>
        <v>-368.08634953904561</v>
      </c>
    </row>
    <row r="2893" spans="1:7" x14ac:dyDescent="0.2">
      <c r="A2893" s="6">
        <f ca="1">Model!$F$13+RAND()*(Model!$G$13-Model!$F$13)</f>
        <v>1357.4367805819277</v>
      </c>
      <c r="B2893" s="31">
        <f ca="1">Model!$F$14+RAND()*(Model!$G$14-Model!$F$14)</f>
        <v>0.57906498374076931</v>
      </c>
      <c r="C2893" s="32">
        <f ca="1">Model!$F$15+RAND()*(Model!$G$15-Model!$F$15)</f>
        <v>4.1780522647027724E-2</v>
      </c>
      <c r="D2893" s="33">
        <f ca="1">Model!$F$16+RAND()*(Model!$G$16-Model!$F$16)</f>
        <v>48.050776567939778</v>
      </c>
      <c r="E2893" s="33">
        <f>Model!$D$17</f>
        <v>800</v>
      </c>
      <c r="G2893" s="36">
        <f t="shared" ca="1" si="47"/>
        <v>1139.1277275742736</v>
      </c>
    </row>
    <row r="2894" spans="1:7" x14ac:dyDescent="0.2">
      <c r="A2894" s="6">
        <f ca="1">Model!$F$13+RAND()*(Model!$G$13-Model!$F$13)</f>
        <v>1498.0718770722424</v>
      </c>
      <c r="B2894" s="31">
        <f ca="1">Model!$F$14+RAND()*(Model!$G$14-Model!$F$14)</f>
        <v>0.37026741524714918</v>
      </c>
      <c r="C2894" s="32">
        <f ca="1">Model!$F$15+RAND()*(Model!$G$15-Model!$F$15)</f>
        <v>1.2916248105406378E-2</v>
      </c>
      <c r="D2894" s="33">
        <f ca="1">Model!$F$16+RAND()*(Model!$G$16-Model!$F$16)</f>
        <v>48.810007868818367</v>
      </c>
      <c r="E2894" s="33">
        <f>Model!$D$17</f>
        <v>800</v>
      </c>
      <c r="G2894" s="36">
        <f t="shared" ca="1" si="47"/>
        <v>-410.23951429304464</v>
      </c>
    </row>
    <row r="2895" spans="1:7" x14ac:dyDescent="0.2">
      <c r="A2895" s="6">
        <f ca="1">Model!$F$13+RAND()*(Model!$G$13-Model!$F$13)</f>
        <v>1635.9038416320793</v>
      </c>
      <c r="B2895" s="31">
        <f ca="1">Model!$F$14+RAND()*(Model!$G$14-Model!$F$14)</f>
        <v>0.33039765436150526</v>
      </c>
      <c r="C2895" s="32">
        <f ca="1">Model!$F$15+RAND()*(Model!$G$15-Model!$F$15)</f>
        <v>1.6183835233484292E-2</v>
      </c>
      <c r="D2895" s="33">
        <f ca="1">Model!$F$16+RAND()*(Model!$G$16-Model!$F$16)</f>
        <v>51.292028791064595</v>
      </c>
      <c r="E2895" s="33">
        <f>Model!$D$17</f>
        <v>800</v>
      </c>
      <c r="G2895" s="36">
        <f t="shared" ca="1" si="47"/>
        <v>17.467837866996206</v>
      </c>
    </row>
    <row r="2896" spans="1:7" x14ac:dyDescent="0.2">
      <c r="A2896" s="6">
        <f ca="1">Model!$F$13+RAND()*(Model!$G$13-Model!$F$13)</f>
        <v>1545.2342175331282</v>
      </c>
      <c r="B2896" s="31">
        <f ca="1">Model!$F$14+RAND()*(Model!$G$14-Model!$F$14)</f>
        <v>0.58752902871657486</v>
      </c>
      <c r="C2896" s="32">
        <f ca="1">Model!$F$15+RAND()*(Model!$G$15-Model!$F$15)</f>
        <v>2.7048975828091501E-2</v>
      </c>
      <c r="D2896" s="33">
        <f ca="1">Model!$F$16+RAND()*(Model!$G$16-Model!$F$16)</f>
        <v>52.983649341907075</v>
      </c>
      <c r="E2896" s="33">
        <f>Model!$D$17</f>
        <v>800</v>
      </c>
      <c r="G2896" s="36">
        <f t="shared" ca="1" si="47"/>
        <v>506.68779146385623</v>
      </c>
    </row>
    <row r="2897" spans="1:7" x14ac:dyDescent="0.2">
      <c r="A2897" s="6">
        <f ca="1">Model!$F$13+RAND()*(Model!$G$13-Model!$F$13)</f>
        <v>1469.9603913879796</v>
      </c>
      <c r="B2897" s="31">
        <f ca="1">Model!$F$14+RAND()*(Model!$G$14-Model!$F$14)</f>
        <v>0.26918213680014458</v>
      </c>
      <c r="C2897" s="32">
        <f ca="1">Model!$F$15+RAND()*(Model!$G$15-Model!$F$15)</f>
        <v>4.7342456977917655E-2</v>
      </c>
      <c r="D2897" s="33">
        <f ca="1">Model!$F$16+RAND()*(Model!$G$16-Model!$F$16)</f>
        <v>48.874595315972414</v>
      </c>
      <c r="E2897" s="33">
        <f>Model!$D$17</f>
        <v>800</v>
      </c>
      <c r="G2897" s="36">
        <f t="shared" ca="1" si="47"/>
        <v>2205.571109015621</v>
      </c>
    </row>
    <row r="2898" spans="1:7" x14ac:dyDescent="0.2">
      <c r="A2898" s="6">
        <f ca="1">Model!$F$13+RAND()*(Model!$G$13-Model!$F$13)</f>
        <v>1511.9274064812018</v>
      </c>
      <c r="B2898" s="31">
        <f ca="1">Model!$F$14+RAND()*(Model!$G$14-Model!$F$14)</f>
        <v>0.46722214637578768</v>
      </c>
      <c r="C2898" s="32">
        <f ca="1">Model!$F$15+RAND()*(Model!$G$15-Model!$F$15)</f>
        <v>3.3687528676791728E-2</v>
      </c>
      <c r="D2898" s="33">
        <f ca="1">Model!$F$16+RAND()*(Model!$G$16-Model!$F$16)</f>
        <v>50.809875219130518</v>
      </c>
      <c r="E2898" s="33">
        <f>Model!$D$17</f>
        <v>800</v>
      </c>
      <c r="G2898" s="36">
        <f t="shared" ca="1" si="47"/>
        <v>1081.4983789254607</v>
      </c>
    </row>
    <row r="2899" spans="1:7" x14ac:dyDescent="0.2">
      <c r="A2899" s="6">
        <f ca="1">Model!$F$13+RAND()*(Model!$G$13-Model!$F$13)</f>
        <v>1645.992057226757</v>
      </c>
      <c r="B2899" s="31">
        <f ca="1">Model!$F$14+RAND()*(Model!$G$14-Model!$F$14)</f>
        <v>0.53801306773152802</v>
      </c>
      <c r="C2899" s="32">
        <f ca="1">Model!$F$15+RAND()*(Model!$G$15-Model!$F$15)</f>
        <v>2.8524348523656602E-2</v>
      </c>
      <c r="D2899" s="33">
        <f ca="1">Model!$F$16+RAND()*(Model!$G$16-Model!$F$16)</f>
        <v>48.424553682915807</v>
      </c>
      <c r="E2899" s="33">
        <f>Model!$D$17</f>
        <v>800</v>
      </c>
      <c r="G2899" s="36">
        <f t="shared" ca="1" si="47"/>
        <v>588.00877374374113</v>
      </c>
    </row>
    <row r="2900" spans="1:7" x14ac:dyDescent="0.2">
      <c r="A2900" s="6">
        <f ca="1">Model!$F$13+RAND()*(Model!$G$13-Model!$F$13)</f>
        <v>1692.0475273456002</v>
      </c>
      <c r="B2900" s="31">
        <f ca="1">Model!$F$14+RAND()*(Model!$G$14-Model!$F$14)</f>
        <v>0.79658449442873147</v>
      </c>
      <c r="C2900" s="32">
        <f ca="1">Model!$F$15+RAND()*(Model!$G$15-Model!$F$15)</f>
        <v>1.940542304628325E-2</v>
      </c>
      <c r="D2900" s="33">
        <f ca="1">Model!$F$16+RAND()*(Model!$G$16-Model!$F$16)</f>
        <v>51.846724318722607</v>
      </c>
      <c r="E2900" s="33">
        <f>Model!$D$17</f>
        <v>800</v>
      </c>
      <c r="G2900" s="36">
        <f t="shared" ca="1" si="47"/>
        <v>-445.47691520019589</v>
      </c>
    </row>
    <row r="2901" spans="1:7" x14ac:dyDescent="0.2">
      <c r="A2901" s="6">
        <f ca="1">Model!$F$13+RAND()*(Model!$G$13-Model!$F$13)</f>
        <v>1613.3139515720745</v>
      </c>
      <c r="B2901" s="31">
        <f ca="1">Model!$F$14+RAND()*(Model!$G$14-Model!$F$14)</f>
        <v>0.79337820181349183</v>
      </c>
      <c r="C2901" s="32">
        <f ca="1">Model!$F$15+RAND()*(Model!$G$15-Model!$F$15)</f>
        <v>2.8466000106162154E-2</v>
      </c>
      <c r="D2901" s="33">
        <f ca="1">Model!$F$16+RAND()*(Model!$G$16-Model!$F$16)</f>
        <v>47.786625118846239</v>
      </c>
      <c r="E2901" s="33">
        <f>Model!$D$17</f>
        <v>800</v>
      </c>
      <c r="G2901" s="36">
        <f t="shared" ca="1" si="47"/>
        <v>114.61328871879414</v>
      </c>
    </row>
    <row r="2902" spans="1:7" x14ac:dyDescent="0.2">
      <c r="A2902" s="6">
        <f ca="1">Model!$F$13+RAND()*(Model!$G$13-Model!$F$13)</f>
        <v>1256.2575705487675</v>
      </c>
      <c r="B2902" s="31">
        <f ca="1">Model!$F$14+RAND()*(Model!$G$14-Model!$F$14)</f>
        <v>0.62878820963424276</v>
      </c>
      <c r="C2902" s="32">
        <f ca="1">Model!$F$15+RAND()*(Model!$G$15-Model!$F$15)</f>
        <v>4.5527322822751876E-2</v>
      </c>
      <c r="D2902" s="33">
        <f ca="1">Model!$F$16+RAND()*(Model!$G$16-Model!$F$16)</f>
        <v>49.522904321641306</v>
      </c>
      <c r="E2902" s="33">
        <f>Model!$D$17</f>
        <v>800</v>
      </c>
      <c r="G2902" s="36">
        <f t="shared" ca="1" si="47"/>
        <v>1242.4952183176065</v>
      </c>
    </row>
    <row r="2903" spans="1:7" x14ac:dyDescent="0.2">
      <c r="A2903" s="6">
        <f ca="1">Model!$F$13+RAND()*(Model!$G$13-Model!$F$13)</f>
        <v>1202.8770318012714</v>
      </c>
      <c r="B2903" s="31">
        <f ca="1">Model!$F$14+RAND()*(Model!$G$14-Model!$F$14)</f>
        <v>0.67452096358327496</v>
      </c>
      <c r="C2903" s="32">
        <f ca="1">Model!$F$15+RAND()*(Model!$G$15-Model!$F$15)</f>
        <v>4.7743184101073477E-2</v>
      </c>
      <c r="D2903" s="33">
        <f ca="1">Model!$F$16+RAND()*(Model!$G$16-Model!$F$16)</f>
        <v>52.795540069369395</v>
      </c>
      <c r="E2903" s="33">
        <f>Model!$D$17</f>
        <v>800</v>
      </c>
      <c r="G2903" s="36">
        <f t="shared" ca="1" si="47"/>
        <v>1420.6387771168365</v>
      </c>
    </row>
    <row r="2904" spans="1:7" x14ac:dyDescent="0.2">
      <c r="A2904" s="6">
        <f ca="1">Model!$F$13+RAND()*(Model!$G$13-Model!$F$13)</f>
        <v>1702.8074726596496</v>
      </c>
      <c r="B2904" s="31">
        <f ca="1">Model!$F$14+RAND()*(Model!$G$14-Model!$F$14)</f>
        <v>0.30174025260619269</v>
      </c>
      <c r="C2904" s="32">
        <f ca="1">Model!$F$15+RAND()*(Model!$G$15-Model!$F$15)</f>
        <v>2.7515687060929585E-2</v>
      </c>
      <c r="D2904" s="33">
        <f ca="1">Model!$F$16+RAND()*(Model!$G$16-Model!$F$16)</f>
        <v>48.757776130448555</v>
      </c>
      <c r="E2904" s="33">
        <f>Model!$D$17</f>
        <v>800</v>
      </c>
      <c r="G2904" s="36">
        <f t="shared" ca="1" si="47"/>
        <v>970.68726544217498</v>
      </c>
    </row>
    <row r="2905" spans="1:7" x14ac:dyDescent="0.2">
      <c r="A2905" s="6">
        <f ca="1">Model!$F$13+RAND()*(Model!$G$13-Model!$F$13)</f>
        <v>1311.1121530474493</v>
      </c>
      <c r="B2905" s="31">
        <f ca="1">Model!$F$14+RAND()*(Model!$G$14-Model!$F$14)</f>
        <v>0.55094870316179667</v>
      </c>
      <c r="C2905" s="32">
        <f ca="1">Model!$F$15+RAND()*(Model!$G$15-Model!$F$15)</f>
        <v>4.968041993842702E-2</v>
      </c>
      <c r="D2905" s="33">
        <f ca="1">Model!$F$16+RAND()*(Model!$G$16-Model!$F$16)</f>
        <v>50.208898074437123</v>
      </c>
      <c r="E2905" s="33">
        <f>Model!$D$17</f>
        <v>800</v>
      </c>
      <c r="G2905" s="36">
        <f t="shared" ca="1" si="47"/>
        <v>1748.0814878737042</v>
      </c>
    </row>
    <row r="2906" spans="1:7" x14ac:dyDescent="0.2">
      <c r="A2906" s="6">
        <f ca="1">Model!$F$13+RAND()*(Model!$G$13-Model!$F$13)</f>
        <v>1430.2214849160157</v>
      </c>
      <c r="B2906" s="31">
        <f ca="1">Model!$F$14+RAND()*(Model!$G$14-Model!$F$14)</f>
        <v>0.20333520219516629</v>
      </c>
      <c r="C2906" s="32">
        <f ca="1">Model!$F$15+RAND()*(Model!$G$15-Model!$F$15)</f>
        <v>4.4169315840993179E-2</v>
      </c>
      <c r="D2906" s="33">
        <f ca="1">Model!$F$16+RAND()*(Model!$G$16-Model!$F$16)</f>
        <v>50.15949539017614</v>
      </c>
      <c r="E2906" s="33">
        <f>Model!$D$17</f>
        <v>800</v>
      </c>
      <c r="G2906" s="36">
        <f t="shared" ca="1" si="47"/>
        <v>2077.8564772269938</v>
      </c>
    </row>
    <row r="2907" spans="1:7" x14ac:dyDescent="0.2">
      <c r="A2907" s="6">
        <f ca="1">Model!$F$13+RAND()*(Model!$G$13-Model!$F$13)</f>
        <v>1498.0180118216376</v>
      </c>
      <c r="B2907" s="31">
        <f ca="1">Model!$F$14+RAND()*(Model!$G$14-Model!$F$14)</f>
        <v>0.73840387099159632</v>
      </c>
      <c r="C2907" s="32">
        <f ca="1">Model!$F$15+RAND()*(Model!$G$15-Model!$F$15)</f>
        <v>2.0759323976626123E-2</v>
      </c>
      <c r="D2907" s="33">
        <f ca="1">Model!$F$16+RAND()*(Model!$G$16-Model!$F$16)</f>
        <v>48.395839529389342</v>
      </c>
      <c r="E2907" s="33">
        <f>Model!$D$17</f>
        <v>800</v>
      </c>
      <c r="G2907" s="36">
        <f t="shared" ca="1" si="47"/>
        <v>-401.13616485575244</v>
      </c>
    </row>
    <row r="2908" spans="1:7" x14ac:dyDescent="0.2">
      <c r="A2908" s="6">
        <f ca="1">Model!$F$13+RAND()*(Model!$G$13-Model!$F$13)</f>
        <v>1429.2472857247774</v>
      </c>
      <c r="B2908" s="31">
        <f ca="1">Model!$F$14+RAND()*(Model!$G$14-Model!$F$14)</f>
        <v>0.54911510425906673</v>
      </c>
      <c r="C2908" s="32">
        <f ca="1">Model!$F$15+RAND()*(Model!$G$15-Model!$F$15)</f>
        <v>4.0524585030468623E-2</v>
      </c>
      <c r="D2908" s="33">
        <f ca="1">Model!$F$16+RAND()*(Model!$G$16-Model!$F$16)</f>
        <v>48.789000946919423</v>
      </c>
      <c r="E2908" s="33">
        <f>Model!$D$17</f>
        <v>800</v>
      </c>
      <c r="G2908" s="36">
        <f t="shared" ca="1" si="47"/>
        <v>1241.0207405518427</v>
      </c>
    </row>
    <row r="2909" spans="1:7" x14ac:dyDescent="0.2">
      <c r="A2909" s="6">
        <f ca="1">Model!$F$13+RAND()*(Model!$G$13-Model!$F$13)</f>
        <v>1731.6388912471907</v>
      </c>
      <c r="B2909" s="31">
        <f ca="1">Model!$F$14+RAND()*(Model!$G$14-Model!$F$14)</f>
        <v>0.20325904672601491</v>
      </c>
      <c r="C2909" s="32">
        <f ca="1">Model!$F$15+RAND()*(Model!$G$15-Model!$F$15)</f>
        <v>4.6923460130532044E-2</v>
      </c>
      <c r="D2909" s="33">
        <f ca="1">Model!$F$16+RAND()*(Model!$G$16-Model!$F$16)</f>
        <v>49.85358900319207</v>
      </c>
      <c r="E2909" s="33">
        <f>Model!$D$17</f>
        <v>800</v>
      </c>
      <c r="G2909" s="36">
        <f t="shared" ca="1" si="47"/>
        <v>2898.8566027346315</v>
      </c>
    </row>
    <row r="2910" spans="1:7" x14ac:dyDescent="0.2">
      <c r="A2910" s="6">
        <f ca="1">Model!$F$13+RAND()*(Model!$G$13-Model!$F$13)</f>
        <v>1253.6468641943895</v>
      </c>
      <c r="B2910" s="31">
        <f ca="1">Model!$F$14+RAND()*(Model!$G$14-Model!$F$14)</f>
        <v>0.67558568957651832</v>
      </c>
      <c r="C2910" s="32">
        <f ca="1">Model!$F$15+RAND()*(Model!$G$15-Model!$F$15)</f>
        <v>4.2500567970369239E-2</v>
      </c>
      <c r="D2910" s="33">
        <f ca="1">Model!$F$16+RAND()*(Model!$G$16-Model!$F$16)</f>
        <v>52.536269286165862</v>
      </c>
      <c r="E2910" s="33">
        <f>Model!$D$17</f>
        <v>800</v>
      </c>
      <c r="G2910" s="36">
        <f t="shared" ca="1" si="47"/>
        <v>1152.2235193927058</v>
      </c>
    </row>
    <row r="2911" spans="1:7" x14ac:dyDescent="0.2">
      <c r="A2911" s="6">
        <f ca="1">Model!$F$13+RAND()*(Model!$G$13-Model!$F$13)</f>
        <v>1741.5247441958113</v>
      </c>
      <c r="B2911" s="31">
        <f ca="1">Model!$F$14+RAND()*(Model!$G$14-Model!$F$14)</f>
        <v>0.65331842916425087</v>
      </c>
      <c r="C2911" s="32">
        <f ca="1">Model!$F$15+RAND()*(Model!$G$15-Model!$F$15)</f>
        <v>3.2283390138057082E-2</v>
      </c>
      <c r="D2911" s="33">
        <f ca="1">Model!$F$16+RAND()*(Model!$G$16-Model!$F$16)</f>
        <v>47.989066551126548</v>
      </c>
      <c r="E2911" s="33">
        <f>Model!$D$17</f>
        <v>800</v>
      </c>
      <c r="G2911" s="36">
        <f t="shared" ca="1" si="47"/>
        <v>760.28657797372853</v>
      </c>
    </row>
    <row r="2912" spans="1:7" x14ac:dyDescent="0.2">
      <c r="A2912" s="6">
        <f ca="1">Model!$F$13+RAND()*(Model!$G$13-Model!$F$13)</f>
        <v>1594.5945479529089</v>
      </c>
      <c r="B2912" s="31">
        <f ca="1">Model!$F$14+RAND()*(Model!$G$14-Model!$F$14)</f>
        <v>0.72966172869378187</v>
      </c>
      <c r="C2912" s="32">
        <f ca="1">Model!$F$15+RAND()*(Model!$G$15-Model!$F$15)</f>
        <v>2.9825345396994586E-2</v>
      </c>
      <c r="D2912" s="33">
        <f ca="1">Model!$F$16+RAND()*(Model!$G$16-Model!$F$16)</f>
        <v>51.192476045260953</v>
      </c>
      <c r="E2912" s="33">
        <f>Model!$D$17</f>
        <v>800</v>
      </c>
      <c r="G2912" s="36">
        <f t="shared" ca="1" si="47"/>
        <v>471.16540914090933</v>
      </c>
    </row>
    <row r="2913" spans="1:7" x14ac:dyDescent="0.2">
      <c r="A2913" s="6">
        <f ca="1">Model!$F$13+RAND()*(Model!$G$13-Model!$F$13)</f>
        <v>1742.6372602135989</v>
      </c>
      <c r="B2913" s="31">
        <f ca="1">Model!$F$14+RAND()*(Model!$G$14-Model!$F$14)</f>
        <v>0.23315809262694265</v>
      </c>
      <c r="C2913" s="32">
        <f ca="1">Model!$F$15+RAND()*(Model!$G$15-Model!$F$15)</f>
        <v>2.9406594486829335E-2</v>
      </c>
      <c r="D2913" s="33">
        <f ca="1">Model!$F$16+RAND()*(Model!$G$16-Model!$F$16)</f>
        <v>52.982116784979134</v>
      </c>
      <c r="E2913" s="33">
        <f>Model!$D$17</f>
        <v>800</v>
      </c>
      <c r="G2913" s="36">
        <f t="shared" ca="1" si="47"/>
        <v>1508.7600386101681</v>
      </c>
    </row>
    <row r="2914" spans="1:7" x14ac:dyDescent="0.2">
      <c r="A2914" s="6">
        <f ca="1">Model!$F$13+RAND()*(Model!$G$13-Model!$F$13)</f>
        <v>1503.138483877744</v>
      </c>
      <c r="B2914" s="31">
        <f ca="1">Model!$F$14+RAND()*(Model!$G$14-Model!$F$14)</f>
        <v>0.24020915436563706</v>
      </c>
      <c r="C2914" s="32">
        <f ca="1">Model!$F$15+RAND()*(Model!$G$15-Model!$F$15)</f>
        <v>3.8030607939458456E-2</v>
      </c>
      <c r="D2914" s="33">
        <f ca="1">Model!$F$16+RAND()*(Model!$G$16-Model!$F$16)</f>
        <v>50.186855455060467</v>
      </c>
      <c r="E2914" s="33">
        <f>Model!$D$17</f>
        <v>800</v>
      </c>
      <c r="G2914" s="36">
        <f t="shared" ca="1" si="47"/>
        <v>1707.8775364532034</v>
      </c>
    </row>
    <row r="2915" spans="1:7" x14ac:dyDescent="0.2">
      <c r="A2915" s="6">
        <f ca="1">Model!$F$13+RAND()*(Model!$G$13-Model!$F$13)</f>
        <v>1547.5092501570648</v>
      </c>
      <c r="B2915" s="31">
        <f ca="1">Model!$F$14+RAND()*(Model!$G$14-Model!$F$14)</f>
        <v>0.46825701864745684</v>
      </c>
      <c r="C2915" s="32">
        <f ca="1">Model!$F$15+RAND()*(Model!$G$15-Model!$F$15)</f>
        <v>4.9762460109787229E-2</v>
      </c>
      <c r="D2915" s="33">
        <f ca="1">Model!$F$16+RAND()*(Model!$G$16-Model!$F$16)</f>
        <v>47.599748173357732</v>
      </c>
      <c r="E2915" s="33">
        <f>Model!$D$17</f>
        <v>800</v>
      </c>
      <c r="G2915" s="36">
        <f t="shared" ca="1" si="47"/>
        <v>2140.9230244896953</v>
      </c>
    </row>
    <row r="2916" spans="1:7" x14ac:dyDescent="0.2">
      <c r="A2916" s="6">
        <f ca="1">Model!$F$13+RAND()*(Model!$G$13-Model!$F$13)</f>
        <v>1556.3533081757089</v>
      </c>
      <c r="B2916" s="31">
        <f ca="1">Model!$F$14+RAND()*(Model!$G$14-Model!$F$14)</f>
        <v>0.46748133297873024</v>
      </c>
      <c r="C2916" s="32">
        <f ca="1">Model!$F$15+RAND()*(Model!$G$15-Model!$F$15)</f>
        <v>4.0579289034807557E-2</v>
      </c>
      <c r="D2916" s="33">
        <f ca="1">Model!$F$16+RAND()*(Model!$G$16-Model!$F$16)</f>
        <v>49.747840957956392</v>
      </c>
      <c r="E2916" s="33">
        <f>Model!$D$17</f>
        <v>800</v>
      </c>
      <c r="G2916" s="36">
        <f t="shared" ca="1" si="47"/>
        <v>1614.2941340272628</v>
      </c>
    </row>
    <row r="2917" spans="1:7" x14ac:dyDescent="0.2">
      <c r="A2917" s="6">
        <f ca="1">Model!$F$13+RAND()*(Model!$G$13-Model!$F$13)</f>
        <v>1312.5912780400363</v>
      </c>
      <c r="B2917" s="31">
        <f ca="1">Model!$F$14+RAND()*(Model!$G$14-Model!$F$14)</f>
        <v>0.7502060413324354</v>
      </c>
      <c r="C2917" s="32">
        <f ca="1">Model!$F$15+RAND()*(Model!$G$15-Model!$F$15)</f>
        <v>4.8334083206499005E-2</v>
      </c>
      <c r="D2917" s="33">
        <f ca="1">Model!$F$16+RAND()*(Model!$G$16-Model!$F$16)</f>
        <v>49.229521481827398</v>
      </c>
      <c r="E2917" s="33">
        <f>Model!$D$17</f>
        <v>800</v>
      </c>
      <c r="G2917" s="36">
        <f t="shared" ca="1" si="47"/>
        <v>1338.5495073233574</v>
      </c>
    </row>
    <row r="2918" spans="1:7" x14ac:dyDescent="0.2">
      <c r="A2918" s="6">
        <f ca="1">Model!$F$13+RAND()*(Model!$G$13-Model!$F$13)</f>
        <v>1732.7966672803873</v>
      </c>
      <c r="B2918" s="31">
        <f ca="1">Model!$F$14+RAND()*(Model!$G$14-Model!$F$14)</f>
        <v>0.51792494847031567</v>
      </c>
      <c r="C2918" s="32">
        <f ca="1">Model!$F$15+RAND()*(Model!$G$15-Model!$F$15)</f>
        <v>3.6912385480392398E-2</v>
      </c>
      <c r="D2918" s="33">
        <f ca="1">Model!$F$16+RAND()*(Model!$G$16-Model!$F$16)</f>
        <v>51.649736090567878</v>
      </c>
      <c r="E2918" s="33">
        <f>Model!$D$17</f>
        <v>800</v>
      </c>
      <c r="G2918" s="36">
        <f t="shared" ca="1" si="47"/>
        <v>1606.1441589878909</v>
      </c>
    </row>
    <row r="2919" spans="1:7" x14ac:dyDescent="0.2">
      <c r="A2919" s="6">
        <f ca="1">Model!$F$13+RAND()*(Model!$G$13-Model!$F$13)</f>
        <v>1740.3533415524821</v>
      </c>
      <c r="B2919" s="31">
        <f ca="1">Model!$F$14+RAND()*(Model!$G$14-Model!$F$14)</f>
        <v>0.22004046550507489</v>
      </c>
      <c r="C2919" s="32">
        <f ca="1">Model!$F$15+RAND()*(Model!$G$15-Model!$F$15)</f>
        <v>1.5413755914385359E-2</v>
      </c>
      <c r="D2919" s="33">
        <f ca="1">Model!$F$16+RAND()*(Model!$G$16-Model!$F$16)</f>
        <v>51.028437686475229</v>
      </c>
      <c r="E2919" s="33">
        <f>Model!$D$17</f>
        <v>800</v>
      </c>
      <c r="G2919" s="36">
        <f t="shared" ca="1" si="47"/>
        <v>185.90915455854406</v>
      </c>
    </row>
    <row r="2920" spans="1:7" x14ac:dyDescent="0.2">
      <c r="A2920" s="6">
        <f ca="1">Model!$F$13+RAND()*(Model!$G$13-Model!$F$13)</f>
        <v>1413.0247772025123</v>
      </c>
      <c r="B2920" s="31">
        <f ca="1">Model!$F$14+RAND()*(Model!$G$14-Model!$F$14)</f>
        <v>0.21406217323846505</v>
      </c>
      <c r="C2920" s="32">
        <f ca="1">Model!$F$15+RAND()*(Model!$G$15-Model!$F$15)</f>
        <v>4.081697441918896E-2</v>
      </c>
      <c r="D2920" s="33">
        <f ca="1">Model!$F$16+RAND()*(Model!$G$16-Model!$F$16)</f>
        <v>48.778565908425193</v>
      </c>
      <c r="E2920" s="33">
        <f>Model!$D$17</f>
        <v>800</v>
      </c>
      <c r="G2920" s="36">
        <f t="shared" ca="1" si="47"/>
        <v>1710.8479594448449</v>
      </c>
    </row>
    <row r="2921" spans="1:7" x14ac:dyDescent="0.2">
      <c r="A2921" s="6">
        <f ca="1">Model!$F$13+RAND()*(Model!$G$13-Model!$F$13)</f>
        <v>1449.3937907694085</v>
      </c>
      <c r="B2921" s="31">
        <f ca="1">Model!$F$14+RAND()*(Model!$G$14-Model!$F$14)</f>
        <v>0.39105243872432732</v>
      </c>
      <c r="C2921" s="32">
        <f ca="1">Model!$F$15+RAND()*(Model!$G$15-Model!$F$15)</f>
        <v>2.9139358111063343E-2</v>
      </c>
      <c r="D2921" s="33">
        <f ca="1">Model!$F$16+RAND()*(Model!$G$16-Model!$F$16)</f>
        <v>49.359719435588993</v>
      </c>
      <c r="E2921" s="33">
        <f>Model!$D$17</f>
        <v>800</v>
      </c>
      <c r="G2921" s="36">
        <f t="shared" ref="G2921:G2984" ca="1" si="48">A2921*C2921*D2921-(E2921+A2921*B2921)</f>
        <v>717.88939061947713</v>
      </c>
    </row>
    <row r="2922" spans="1:7" x14ac:dyDescent="0.2">
      <c r="A2922" s="6">
        <f ca="1">Model!$F$13+RAND()*(Model!$G$13-Model!$F$13)</f>
        <v>1304.5865997525525</v>
      </c>
      <c r="B2922" s="31">
        <f ca="1">Model!$F$14+RAND()*(Model!$G$14-Model!$F$14)</f>
        <v>0.64216705000587648</v>
      </c>
      <c r="C2922" s="32">
        <f ca="1">Model!$F$15+RAND()*(Model!$G$15-Model!$F$15)</f>
        <v>1.778455495480398E-2</v>
      </c>
      <c r="D2922" s="33">
        <f ca="1">Model!$F$16+RAND()*(Model!$G$16-Model!$F$16)</f>
        <v>50.55699525886736</v>
      </c>
      <c r="E2922" s="33">
        <f>Model!$D$17</f>
        <v>800</v>
      </c>
      <c r="G2922" s="36">
        <f t="shared" ca="1" si="48"/>
        <v>-464.76480332497204</v>
      </c>
    </row>
    <row r="2923" spans="1:7" x14ac:dyDescent="0.2">
      <c r="A2923" s="6">
        <f ca="1">Model!$F$13+RAND()*(Model!$G$13-Model!$F$13)</f>
        <v>1394.32793959881</v>
      </c>
      <c r="B2923" s="31">
        <f ca="1">Model!$F$14+RAND()*(Model!$G$14-Model!$F$14)</f>
        <v>0.56632663534366545</v>
      </c>
      <c r="C2923" s="32">
        <f ca="1">Model!$F$15+RAND()*(Model!$G$15-Model!$F$15)</f>
        <v>4.9576782790302039E-2</v>
      </c>
      <c r="D2923" s="33">
        <f ca="1">Model!$F$16+RAND()*(Model!$G$16-Model!$F$16)</f>
        <v>52.946777568485658</v>
      </c>
      <c r="E2923" s="33">
        <f>Model!$D$17</f>
        <v>800</v>
      </c>
      <c r="G2923" s="36">
        <f t="shared" ca="1" si="48"/>
        <v>2070.36943018182</v>
      </c>
    </row>
    <row r="2924" spans="1:7" x14ac:dyDescent="0.2">
      <c r="A2924" s="6">
        <f ca="1">Model!$F$13+RAND()*(Model!$G$13-Model!$F$13)</f>
        <v>1582.1029042208493</v>
      </c>
      <c r="B2924" s="31">
        <f ca="1">Model!$F$14+RAND()*(Model!$G$14-Model!$F$14)</f>
        <v>0.75033979268651985</v>
      </c>
      <c r="C2924" s="32">
        <f ca="1">Model!$F$15+RAND()*(Model!$G$15-Model!$F$15)</f>
        <v>3.6355936703315925E-2</v>
      </c>
      <c r="D2924" s="33">
        <f ca="1">Model!$F$16+RAND()*(Model!$G$16-Model!$F$16)</f>
        <v>49.574343518362021</v>
      </c>
      <c r="E2924" s="33">
        <f>Model!$D$17</f>
        <v>800</v>
      </c>
      <c r="G2924" s="36">
        <f t="shared" ca="1" si="48"/>
        <v>864.34362293603635</v>
      </c>
    </row>
    <row r="2925" spans="1:7" x14ac:dyDescent="0.2">
      <c r="A2925" s="6">
        <f ca="1">Model!$F$13+RAND()*(Model!$G$13-Model!$F$13)</f>
        <v>1465.6890481617174</v>
      </c>
      <c r="B2925" s="31">
        <f ca="1">Model!$F$14+RAND()*(Model!$G$14-Model!$F$14)</f>
        <v>0.75641203328282125</v>
      </c>
      <c r="C2925" s="32">
        <f ca="1">Model!$F$15+RAND()*(Model!$G$15-Model!$F$15)</f>
        <v>2.0137768077400503E-2</v>
      </c>
      <c r="D2925" s="33">
        <f ca="1">Model!$F$16+RAND()*(Model!$G$16-Model!$F$16)</f>
        <v>51.755800347057388</v>
      </c>
      <c r="E2925" s="33">
        <f>Model!$D$17</f>
        <v>800</v>
      </c>
      <c r="G2925" s="36">
        <f t="shared" ca="1" si="48"/>
        <v>-381.05583974830142</v>
      </c>
    </row>
    <row r="2926" spans="1:7" x14ac:dyDescent="0.2">
      <c r="A2926" s="6">
        <f ca="1">Model!$F$13+RAND()*(Model!$G$13-Model!$F$13)</f>
        <v>1653.7634366705381</v>
      </c>
      <c r="B2926" s="31">
        <f ca="1">Model!$F$14+RAND()*(Model!$G$14-Model!$F$14)</f>
        <v>0.61670834858641588</v>
      </c>
      <c r="C2926" s="32">
        <f ca="1">Model!$F$15+RAND()*(Model!$G$15-Model!$F$15)</f>
        <v>1.7664798102032565E-2</v>
      </c>
      <c r="D2926" s="33">
        <f ca="1">Model!$F$16+RAND()*(Model!$G$16-Model!$F$16)</f>
        <v>47.409094411052578</v>
      </c>
      <c r="E2926" s="33">
        <f>Model!$D$17</f>
        <v>800</v>
      </c>
      <c r="G2926" s="36">
        <f t="shared" ca="1" si="48"/>
        <v>-434.9090112387205</v>
      </c>
    </row>
    <row r="2927" spans="1:7" x14ac:dyDescent="0.2">
      <c r="A2927" s="6">
        <f ca="1">Model!$F$13+RAND()*(Model!$G$13-Model!$F$13)</f>
        <v>1672.1007523673291</v>
      </c>
      <c r="B2927" s="31">
        <f ca="1">Model!$F$14+RAND()*(Model!$G$14-Model!$F$14)</f>
        <v>0.6774846966420639</v>
      </c>
      <c r="C2927" s="32">
        <f ca="1">Model!$F$15+RAND()*(Model!$G$15-Model!$F$15)</f>
        <v>2.6924050200156639E-2</v>
      </c>
      <c r="D2927" s="33">
        <f ca="1">Model!$F$16+RAND()*(Model!$G$16-Model!$F$16)</f>
        <v>52.463417731672621</v>
      </c>
      <c r="E2927" s="33">
        <f>Model!$D$17</f>
        <v>800</v>
      </c>
      <c r="G2927" s="36">
        <f t="shared" ca="1" si="48"/>
        <v>429.06594669626747</v>
      </c>
    </row>
    <row r="2928" spans="1:7" x14ac:dyDescent="0.2">
      <c r="A2928" s="6">
        <f ca="1">Model!$F$13+RAND()*(Model!$G$13-Model!$F$13)</f>
        <v>1794.9178882635574</v>
      </c>
      <c r="B2928" s="31">
        <f ca="1">Model!$F$14+RAND()*(Model!$G$14-Model!$F$14)</f>
        <v>0.52677781675713198</v>
      </c>
      <c r="C2928" s="32">
        <f ca="1">Model!$F$15+RAND()*(Model!$G$15-Model!$F$15)</f>
        <v>4.3942183319237674E-2</v>
      </c>
      <c r="D2928" s="33">
        <f ca="1">Model!$F$16+RAND()*(Model!$G$16-Model!$F$16)</f>
        <v>49.840547837975052</v>
      </c>
      <c r="E2928" s="33">
        <f>Model!$D$17</f>
        <v>800</v>
      </c>
      <c r="G2928" s="36">
        <f t="shared" ca="1" si="48"/>
        <v>2185.531209684199</v>
      </c>
    </row>
    <row r="2929" spans="1:7" x14ac:dyDescent="0.2">
      <c r="A2929" s="6">
        <f ca="1">Model!$F$13+RAND()*(Model!$G$13-Model!$F$13)</f>
        <v>1413.3046616435297</v>
      </c>
      <c r="B2929" s="31">
        <f ca="1">Model!$F$14+RAND()*(Model!$G$14-Model!$F$14)</f>
        <v>0.5577943847662008</v>
      </c>
      <c r="C2929" s="32">
        <f ca="1">Model!$F$15+RAND()*(Model!$G$15-Model!$F$15)</f>
        <v>4.5430761768232394E-2</v>
      </c>
      <c r="D2929" s="33">
        <f ca="1">Model!$F$16+RAND()*(Model!$G$16-Model!$F$16)</f>
        <v>52.962387659299281</v>
      </c>
      <c r="E2929" s="33">
        <f>Model!$D$17</f>
        <v>800</v>
      </c>
      <c r="G2929" s="36">
        <f t="shared" ca="1" si="48"/>
        <v>1812.2494927480354</v>
      </c>
    </row>
    <row r="2930" spans="1:7" x14ac:dyDescent="0.2">
      <c r="A2930" s="6">
        <f ca="1">Model!$F$13+RAND()*(Model!$G$13-Model!$F$13)</f>
        <v>1742.2542185902046</v>
      </c>
      <c r="B2930" s="31">
        <f ca="1">Model!$F$14+RAND()*(Model!$G$14-Model!$F$14)</f>
        <v>0.39644765903619805</v>
      </c>
      <c r="C2930" s="32">
        <f ca="1">Model!$F$15+RAND()*(Model!$G$15-Model!$F$15)</f>
        <v>2.2635512572029844E-2</v>
      </c>
      <c r="D2930" s="33">
        <f ca="1">Model!$F$16+RAND()*(Model!$G$16-Model!$F$16)</f>
        <v>50.120649166127599</v>
      </c>
      <c r="E2930" s="33">
        <f>Model!$D$17</f>
        <v>800</v>
      </c>
      <c r="G2930" s="36">
        <f t="shared" ca="1" si="48"/>
        <v>485.88627614068287</v>
      </c>
    </row>
    <row r="2931" spans="1:7" x14ac:dyDescent="0.2">
      <c r="A2931" s="6">
        <f ca="1">Model!$F$13+RAND()*(Model!$G$13-Model!$F$13)</f>
        <v>1412.4727642533601</v>
      </c>
      <c r="B2931" s="31">
        <f ca="1">Model!$F$14+RAND()*(Model!$G$14-Model!$F$14)</f>
        <v>0.66588032496164384</v>
      </c>
      <c r="C2931" s="32">
        <f ca="1">Model!$F$15+RAND()*(Model!$G$15-Model!$F$15)</f>
        <v>2.3113922518282717E-2</v>
      </c>
      <c r="D2931" s="33">
        <f ca="1">Model!$F$16+RAND()*(Model!$G$16-Model!$F$16)</f>
        <v>48.8370282474663</v>
      </c>
      <c r="E2931" s="33">
        <f>Model!$D$17</f>
        <v>800</v>
      </c>
      <c r="G2931" s="36">
        <f t="shared" ca="1" si="48"/>
        <v>-146.11697459179913</v>
      </c>
    </row>
    <row r="2932" spans="1:7" x14ac:dyDescent="0.2">
      <c r="A2932" s="6">
        <f ca="1">Model!$F$13+RAND()*(Model!$G$13-Model!$F$13)</f>
        <v>1424.7638917605959</v>
      </c>
      <c r="B2932" s="31">
        <f ca="1">Model!$F$14+RAND()*(Model!$G$14-Model!$F$14)</f>
        <v>0.33847157628340108</v>
      </c>
      <c r="C2932" s="32">
        <f ca="1">Model!$F$15+RAND()*(Model!$G$15-Model!$F$15)</f>
        <v>2.3276574852474755E-2</v>
      </c>
      <c r="D2932" s="33">
        <f ca="1">Model!$F$16+RAND()*(Model!$G$16-Model!$F$16)</f>
        <v>52.675595596337971</v>
      </c>
      <c r="E2932" s="33">
        <f>Model!$D$17</f>
        <v>800</v>
      </c>
      <c r="G2932" s="36">
        <f t="shared" ca="1" si="48"/>
        <v>464.67153306475461</v>
      </c>
    </row>
    <row r="2933" spans="1:7" x14ac:dyDescent="0.2">
      <c r="A2933" s="6">
        <f ca="1">Model!$F$13+RAND()*(Model!$G$13-Model!$F$13)</f>
        <v>1549.015662745097</v>
      </c>
      <c r="B2933" s="31">
        <f ca="1">Model!$F$14+RAND()*(Model!$G$14-Model!$F$14)</f>
        <v>0.43337483445438674</v>
      </c>
      <c r="C2933" s="32">
        <f ca="1">Model!$F$15+RAND()*(Model!$G$15-Model!$F$15)</f>
        <v>2.0502949967063398E-2</v>
      </c>
      <c r="D2933" s="33">
        <f ca="1">Model!$F$16+RAND()*(Model!$G$16-Model!$F$16)</f>
        <v>52.318177499910384</v>
      </c>
      <c r="E2933" s="33">
        <f>Model!$D$17</f>
        <v>800</v>
      </c>
      <c r="G2933" s="36">
        <f t="shared" ca="1" si="48"/>
        <v>190.28902993632096</v>
      </c>
    </row>
    <row r="2934" spans="1:7" x14ac:dyDescent="0.2">
      <c r="A2934" s="6">
        <f ca="1">Model!$F$13+RAND()*(Model!$G$13-Model!$F$13)</f>
        <v>1232.0872112245074</v>
      </c>
      <c r="B2934" s="31">
        <f ca="1">Model!$F$14+RAND()*(Model!$G$14-Model!$F$14)</f>
        <v>0.71910138164451842</v>
      </c>
      <c r="C2934" s="32">
        <f ca="1">Model!$F$15+RAND()*(Model!$G$15-Model!$F$15)</f>
        <v>4.0491395171065245E-2</v>
      </c>
      <c r="D2934" s="33">
        <f ca="1">Model!$F$16+RAND()*(Model!$G$16-Model!$F$16)</f>
        <v>49.402960383359179</v>
      </c>
      <c r="E2934" s="33">
        <f>Model!$D$17</f>
        <v>800</v>
      </c>
      <c r="G2934" s="36">
        <f t="shared" ca="1" si="48"/>
        <v>778.66522411297183</v>
      </c>
    </row>
    <row r="2935" spans="1:7" x14ac:dyDescent="0.2">
      <c r="A2935" s="6">
        <f ca="1">Model!$F$13+RAND()*(Model!$G$13-Model!$F$13)</f>
        <v>1334.757119571515</v>
      </c>
      <c r="B2935" s="31">
        <f ca="1">Model!$F$14+RAND()*(Model!$G$14-Model!$F$14)</f>
        <v>0.7724174649499993</v>
      </c>
      <c r="C2935" s="32">
        <f ca="1">Model!$F$15+RAND()*(Model!$G$15-Model!$F$15)</f>
        <v>1.0177121004900069E-2</v>
      </c>
      <c r="D2935" s="33">
        <f ca="1">Model!$F$16+RAND()*(Model!$G$16-Model!$F$16)</f>
        <v>51.206570002245741</v>
      </c>
      <c r="E2935" s="33">
        <f>Model!$D$17</f>
        <v>800</v>
      </c>
      <c r="G2935" s="36">
        <f t="shared" ca="1" si="48"/>
        <v>-1135.400446250093</v>
      </c>
    </row>
    <row r="2936" spans="1:7" x14ac:dyDescent="0.2">
      <c r="A2936" s="6">
        <f ca="1">Model!$F$13+RAND()*(Model!$G$13-Model!$F$13)</f>
        <v>1367.5807145456333</v>
      </c>
      <c r="B2936" s="31">
        <f ca="1">Model!$F$14+RAND()*(Model!$G$14-Model!$F$14)</f>
        <v>0.35143304566975175</v>
      </c>
      <c r="C2936" s="32">
        <f ca="1">Model!$F$15+RAND()*(Model!$G$15-Model!$F$15)</f>
        <v>1.5749384699672419E-2</v>
      </c>
      <c r="D2936" s="33">
        <f ca="1">Model!$F$16+RAND()*(Model!$G$16-Model!$F$16)</f>
        <v>47.731942272527313</v>
      </c>
      <c r="E2936" s="33">
        <f>Model!$D$17</f>
        <v>800</v>
      </c>
      <c r="G2936" s="36">
        <f t="shared" ca="1" si="48"/>
        <v>-252.53600226055096</v>
      </c>
    </row>
    <row r="2937" spans="1:7" x14ac:dyDescent="0.2">
      <c r="A2937" s="6">
        <f ca="1">Model!$F$13+RAND()*(Model!$G$13-Model!$F$13)</f>
        <v>1422.3342005672462</v>
      </c>
      <c r="B2937" s="31">
        <f ca="1">Model!$F$14+RAND()*(Model!$G$14-Model!$F$14)</f>
        <v>0.34257087797501334</v>
      </c>
      <c r="C2937" s="32">
        <f ca="1">Model!$F$15+RAND()*(Model!$G$15-Model!$F$15)</f>
        <v>3.0718342529716211E-2</v>
      </c>
      <c r="D2937" s="33">
        <f ca="1">Model!$F$16+RAND()*(Model!$G$16-Model!$F$16)</f>
        <v>51.622994238149076</v>
      </c>
      <c r="E2937" s="33">
        <f>Model!$D$17</f>
        <v>800</v>
      </c>
      <c r="G2937" s="36">
        <f t="shared" ca="1" si="48"/>
        <v>968.24863952457895</v>
      </c>
    </row>
    <row r="2938" spans="1:7" x14ac:dyDescent="0.2">
      <c r="A2938" s="6">
        <f ca="1">Model!$F$13+RAND()*(Model!$G$13-Model!$F$13)</f>
        <v>1470.6602960129185</v>
      </c>
      <c r="B2938" s="31">
        <f ca="1">Model!$F$14+RAND()*(Model!$G$14-Model!$F$14)</f>
        <v>0.43866659537589098</v>
      </c>
      <c r="C2938" s="32">
        <f ca="1">Model!$F$15+RAND()*(Model!$G$15-Model!$F$15)</f>
        <v>2.396627790548771E-2</v>
      </c>
      <c r="D2938" s="33">
        <f ca="1">Model!$F$16+RAND()*(Model!$G$16-Model!$F$16)</f>
        <v>48.451740711047428</v>
      </c>
      <c r="E2938" s="33">
        <f>Model!$D$17</f>
        <v>800</v>
      </c>
      <c r="G2938" s="36">
        <f t="shared" ca="1" si="48"/>
        <v>262.61278377057715</v>
      </c>
    </row>
    <row r="2939" spans="1:7" x14ac:dyDescent="0.2">
      <c r="A2939" s="6">
        <f ca="1">Model!$F$13+RAND()*(Model!$G$13-Model!$F$13)</f>
        <v>1237.2081947350794</v>
      </c>
      <c r="B2939" s="31">
        <f ca="1">Model!$F$14+RAND()*(Model!$G$14-Model!$F$14)</f>
        <v>0.54308841584297962</v>
      </c>
      <c r="C2939" s="32">
        <f ca="1">Model!$F$15+RAND()*(Model!$G$15-Model!$F$15)</f>
        <v>4.4019582651929505E-2</v>
      </c>
      <c r="D2939" s="33">
        <f ca="1">Model!$F$16+RAND()*(Model!$G$16-Model!$F$16)</f>
        <v>47.67515987995607</v>
      </c>
      <c r="E2939" s="33">
        <f>Model!$D$17</f>
        <v>800</v>
      </c>
      <c r="G2939" s="36">
        <f t="shared" ca="1" si="48"/>
        <v>1124.5419600300711</v>
      </c>
    </row>
    <row r="2940" spans="1:7" x14ac:dyDescent="0.2">
      <c r="A2940" s="6">
        <f ca="1">Model!$F$13+RAND()*(Model!$G$13-Model!$F$13)</f>
        <v>1307.9966467632046</v>
      </c>
      <c r="B2940" s="31">
        <f ca="1">Model!$F$14+RAND()*(Model!$G$14-Model!$F$14)</f>
        <v>0.54613526860847372</v>
      </c>
      <c r="C2940" s="32">
        <f ca="1">Model!$F$15+RAND()*(Model!$G$15-Model!$F$15)</f>
        <v>2.1152168930732747E-2</v>
      </c>
      <c r="D2940" s="33">
        <f ca="1">Model!$F$16+RAND()*(Model!$G$16-Model!$F$16)</f>
        <v>51.104549000813357</v>
      </c>
      <c r="E2940" s="33">
        <f>Model!$D$17</f>
        <v>800</v>
      </c>
      <c r="G2940" s="36">
        <f t="shared" ca="1" si="48"/>
        <v>-100.43527867317016</v>
      </c>
    </row>
    <row r="2941" spans="1:7" x14ac:dyDescent="0.2">
      <c r="A2941" s="6">
        <f ca="1">Model!$F$13+RAND()*(Model!$G$13-Model!$F$13)</f>
        <v>1632.8817937587041</v>
      </c>
      <c r="B2941" s="31">
        <f ca="1">Model!$F$14+RAND()*(Model!$G$14-Model!$F$14)</f>
        <v>0.52889059364976743</v>
      </c>
      <c r="C2941" s="32">
        <f ca="1">Model!$F$15+RAND()*(Model!$G$15-Model!$F$15)</f>
        <v>1.728899377587622E-2</v>
      </c>
      <c r="D2941" s="33">
        <f ca="1">Model!$F$16+RAND()*(Model!$G$16-Model!$F$16)</f>
        <v>51.85773881245921</v>
      </c>
      <c r="E2941" s="33">
        <f>Model!$D$17</f>
        <v>800</v>
      </c>
      <c r="G2941" s="36">
        <f t="shared" ca="1" si="48"/>
        <v>-199.62605543602695</v>
      </c>
    </row>
    <row r="2942" spans="1:7" x14ac:dyDescent="0.2">
      <c r="A2942" s="6">
        <f ca="1">Model!$F$13+RAND()*(Model!$G$13-Model!$F$13)</f>
        <v>1726.8568139894724</v>
      </c>
      <c r="B2942" s="31">
        <f ca="1">Model!$F$14+RAND()*(Model!$G$14-Model!$F$14)</f>
        <v>0.77619070308970484</v>
      </c>
      <c r="C2942" s="32">
        <f ca="1">Model!$F$15+RAND()*(Model!$G$15-Model!$F$15)</f>
        <v>3.7907386721756746E-2</v>
      </c>
      <c r="D2942" s="33">
        <f ca="1">Model!$F$16+RAND()*(Model!$G$16-Model!$F$16)</f>
        <v>52.881135403476719</v>
      </c>
      <c r="E2942" s="33">
        <f>Model!$D$17</f>
        <v>800</v>
      </c>
      <c r="G2942" s="36">
        <f t="shared" ca="1" si="48"/>
        <v>1321.262184385751</v>
      </c>
    </row>
    <row r="2943" spans="1:7" x14ac:dyDescent="0.2">
      <c r="A2943" s="6">
        <f ca="1">Model!$F$13+RAND()*(Model!$G$13-Model!$F$13)</f>
        <v>1460.332539863412</v>
      </c>
      <c r="B2943" s="31">
        <f ca="1">Model!$F$14+RAND()*(Model!$G$14-Model!$F$14)</f>
        <v>0.29677496669760572</v>
      </c>
      <c r="C2943" s="32">
        <f ca="1">Model!$F$15+RAND()*(Model!$G$15-Model!$F$15)</f>
        <v>2.5681965957334504E-2</v>
      </c>
      <c r="D2943" s="33">
        <f ca="1">Model!$F$16+RAND()*(Model!$G$16-Model!$F$16)</f>
        <v>50.158990864069352</v>
      </c>
      <c r="E2943" s="33">
        <f>Model!$D$17</f>
        <v>800</v>
      </c>
      <c r="G2943" s="36">
        <f t="shared" ca="1" si="48"/>
        <v>647.78321471818867</v>
      </c>
    </row>
    <row r="2944" spans="1:7" x14ac:dyDescent="0.2">
      <c r="A2944" s="6">
        <f ca="1">Model!$F$13+RAND()*(Model!$G$13-Model!$F$13)</f>
        <v>1405.2488159846171</v>
      </c>
      <c r="B2944" s="31">
        <f ca="1">Model!$F$14+RAND()*(Model!$G$14-Model!$F$14)</f>
        <v>0.75580789261417736</v>
      </c>
      <c r="C2944" s="32">
        <f ca="1">Model!$F$15+RAND()*(Model!$G$15-Model!$F$15)</f>
        <v>1.5449858784558953E-2</v>
      </c>
      <c r="D2944" s="33">
        <f ca="1">Model!$F$16+RAND()*(Model!$G$16-Model!$F$16)</f>
        <v>52.333314118675403</v>
      </c>
      <c r="E2944" s="33">
        <f>Model!$D$17</f>
        <v>800</v>
      </c>
      <c r="G2944" s="36">
        <f t="shared" ca="1" si="48"/>
        <v>-725.89501838581441</v>
      </c>
    </row>
    <row r="2945" spans="1:7" x14ac:dyDescent="0.2">
      <c r="A2945" s="6">
        <f ca="1">Model!$F$13+RAND()*(Model!$G$13-Model!$F$13)</f>
        <v>1252.5247924003484</v>
      </c>
      <c r="B2945" s="31">
        <f ca="1">Model!$F$14+RAND()*(Model!$G$14-Model!$F$14)</f>
        <v>0.71055957818658255</v>
      </c>
      <c r="C2945" s="32">
        <f ca="1">Model!$F$15+RAND()*(Model!$G$15-Model!$F$15)</f>
        <v>4.2253047624926619E-2</v>
      </c>
      <c r="D2945" s="33">
        <f ca="1">Model!$F$16+RAND()*(Model!$G$16-Model!$F$16)</f>
        <v>50.256652769998865</v>
      </c>
      <c r="E2945" s="33">
        <f>Model!$D$17</f>
        <v>800</v>
      </c>
      <c r="G2945" s="36">
        <f t="shared" ca="1" si="48"/>
        <v>969.73882898276452</v>
      </c>
    </row>
    <row r="2946" spans="1:7" x14ac:dyDescent="0.2">
      <c r="A2946" s="6">
        <f ca="1">Model!$F$13+RAND()*(Model!$G$13-Model!$F$13)</f>
        <v>1683.4741591933619</v>
      </c>
      <c r="B2946" s="31">
        <f ca="1">Model!$F$14+RAND()*(Model!$G$14-Model!$F$14)</f>
        <v>0.73163654837035352</v>
      </c>
      <c r="C2946" s="32">
        <f ca="1">Model!$F$15+RAND()*(Model!$G$15-Model!$F$15)</f>
        <v>3.8055177444841125E-2</v>
      </c>
      <c r="D2946" s="33">
        <f ca="1">Model!$F$16+RAND()*(Model!$G$16-Model!$F$16)</f>
        <v>50.675690072422135</v>
      </c>
      <c r="E2946" s="33">
        <f>Model!$D$17</f>
        <v>800</v>
      </c>
      <c r="G2946" s="36">
        <f t="shared" ca="1" si="48"/>
        <v>1214.842191718664</v>
      </c>
    </row>
    <row r="2947" spans="1:7" x14ac:dyDescent="0.2">
      <c r="A2947" s="6">
        <f ca="1">Model!$F$13+RAND()*(Model!$G$13-Model!$F$13)</f>
        <v>1599.1481810966714</v>
      </c>
      <c r="B2947" s="31">
        <f ca="1">Model!$F$14+RAND()*(Model!$G$14-Model!$F$14)</f>
        <v>0.57706586304157703</v>
      </c>
      <c r="C2947" s="32">
        <f ca="1">Model!$F$15+RAND()*(Model!$G$15-Model!$F$15)</f>
        <v>4.2891726118545283E-2</v>
      </c>
      <c r="D2947" s="33">
        <f ca="1">Model!$F$16+RAND()*(Model!$G$16-Model!$F$16)</f>
        <v>49.507471371535992</v>
      </c>
      <c r="E2947" s="33">
        <f>Model!$D$17</f>
        <v>800</v>
      </c>
      <c r="G2947" s="36">
        <f t="shared" ca="1" si="48"/>
        <v>1672.9148152299499</v>
      </c>
    </row>
    <row r="2948" spans="1:7" x14ac:dyDescent="0.2">
      <c r="A2948" s="6">
        <f ca="1">Model!$F$13+RAND()*(Model!$G$13-Model!$F$13)</f>
        <v>1237.7882400009703</v>
      </c>
      <c r="B2948" s="31">
        <f ca="1">Model!$F$14+RAND()*(Model!$G$14-Model!$F$14)</f>
        <v>0.47380865981068693</v>
      </c>
      <c r="C2948" s="32">
        <f ca="1">Model!$F$15+RAND()*(Model!$G$15-Model!$F$15)</f>
        <v>1.7616846887294785E-2</v>
      </c>
      <c r="D2948" s="33">
        <f ca="1">Model!$F$16+RAND()*(Model!$G$16-Model!$F$16)</f>
        <v>48.453314385539272</v>
      </c>
      <c r="E2948" s="33">
        <f>Model!$D$17</f>
        <v>800</v>
      </c>
      <c r="G2948" s="36">
        <f t="shared" ca="1" si="48"/>
        <v>-329.90540387888223</v>
      </c>
    </row>
    <row r="2949" spans="1:7" x14ac:dyDescent="0.2">
      <c r="A2949" s="6">
        <f ca="1">Model!$F$13+RAND()*(Model!$G$13-Model!$F$13)</f>
        <v>1612.7014314917842</v>
      </c>
      <c r="B2949" s="31">
        <f ca="1">Model!$F$14+RAND()*(Model!$G$14-Model!$F$14)</f>
        <v>0.73240281910230021</v>
      </c>
      <c r="C2949" s="32">
        <f ca="1">Model!$F$15+RAND()*(Model!$G$15-Model!$F$15)</f>
        <v>4.5584856979611788E-2</v>
      </c>
      <c r="D2949" s="33">
        <f ca="1">Model!$F$16+RAND()*(Model!$G$16-Model!$F$16)</f>
        <v>51.022564333380117</v>
      </c>
      <c r="E2949" s="33">
        <f>Model!$D$17</f>
        <v>800</v>
      </c>
      <c r="G2949" s="36">
        <f t="shared" ca="1" si="48"/>
        <v>1769.7647062245137</v>
      </c>
    </row>
    <row r="2950" spans="1:7" x14ac:dyDescent="0.2">
      <c r="A2950" s="6">
        <f ca="1">Model!$F$13+RAND()*(Model!$G$13-Model!$F$13)</f>
        <v>1761.2237657407682</v>
      </c>
      <c r="B2950" s="31">
        <f ca="1">Model!$F$14+RAND()*(Model!$G$14-Model!$F$14)</f>
        <v>0.79420136924247142</v>
      </c>
      <c r="C2950" s="32">
        <f ca="1">Model!$F$15+RAND()*(Model!$G$15-Model!$F$15)</f>
        <v>3.4625983761134724E-2</v>
      </c>
      <c r="D2950" s="33">
        <f ca="1">Model!$F$16+RAND()*(Model!$G$16-Model!$F$16)</f>
        <v>48.208904689502099</v>
      </c>
      <c r="E2950" s="33">
        <f>Model!$D$17</f>
        <v>800</v>
      </c>
      <c r="G2950" s="36">
        <f t="shared" ca="1" si="48"/>
        <v>741.21060392159325</v>
      </c>
    </row>
    <row r="2951" spans="1:7" x14ac:dyDescent="0.2">
      <c r="A2951" s="6">
        <f ca="1">Model!$F$13+RAND()*(Model!$G$13-Model!$F$13)</f>
        <v>1598.8459284826172</v>
      </c>
      <c r="B2951" s="31">
        <f ca="1">Model!$F$14+RAND()*(Model!$G$14-Model!$F$14)</f>
        <v>0.27888229473043075</v>
      </c>
      <c r="C2951" s="32">
        <f ca="1">Model!$F$15+RAND()*(Model!$G$15-Model!$F$15)</f>
        <v>3.7891130748034192E-2</v>
      </c>
      <c r="D2951" s="33">
        <f ca="1">Model!$F$16+RAND()*(Model!$G$16-Model!$F$16)</f>
        <v>47.12786520517205</v>
      </c>
      <c r="E2951" s="33">
        <f>Model!$D$17</f>
        <v>800</v>
      </c>
      <c r="G2951" s="36">
        <f t="shared" ca="1" si="48"/>
        <v>1609.2142843874808</v>
      </c>
    </row>
    <row r="2952" spans="1:7" x14ac:dyDescent="0.2">
      <c r="A2952" s="6">
        <f ca="1">Model!$F$13+RAND()*(Model!$G$13-Model!$F$13)</f>
        <v>1295.9719369650879</v>
      </c>
      <c r="B2952" s="31">
        <f ca="1">Model!$F$14+RAND()*(Model!$G$14-Model!$F$14)</f>
        <v>0.233133169106291</v>
      </c>
      <c r="C2952" s="32">
        <f ca="1">Model!$F$15+RAND()*(Model!$G$15-Model!$F$15)</f>
        <v>4.6355331176586127E-2</v>
      </c>
      <c r="D2952" s="33">
        <f ca="1">Model!$F$16+RAND()*(Model!$G$16-Model!$F$16)</f>
        <v>47.888698129617993</v>
      </c>
      <c r="E2952" s="33">
        <f>Model!$D$17</f>
        <v>800</v>
      </c>
      <c r="G2952" s="36">
        <f t="shared" ca="1" si="48"/>
        <v>1774.7894722231601</v>
      </c>
    </row>
    <row r="2953" spans="1:7" x14ac:dyDescent="0.2">
      <c r="A2953" s="6">
        <f ca="1">Model!$F$13+RAND()*(Model!$G$13-Model!$F$13)</f>
        <v>1330.7193235793623</v>
      </c>
      <c r="B2953" s="31">
        <f ca="1">Model!$F$14+RAND()*(Model!$G$14-Model!$F$14)</f>
        <v>0.48924374177172109</v>
      </c>
      <c r="C2953" s="32">
        <f ca="1">Model!$F$15+RAND()*(Model!$G$15-Model!$F$15)</f>
        <v>4.1145742696321819E-2</v>
      </c>
      <c r="D2953" s="33">
        <f ca="1">Model!$F$16+RAND()*(Model!$G$16-Model!$F$16)</f>
        <v>47.559632144780004</v>
      </c>
      <c r="E2953" s="33">
        <f>Model!$D$17</f>
        <v>800</v>
      </c>
      <c r="G2953" s="36">
        <f t="shared" ca="1" si="48"/>
        <v>1153.007120869047</v>
      </c>
    </row>
    <row r="2954" spans="1:7" x14ac:dyDescent="0.2">
      <c r="A2954" s="6">
        <f ca="1">Model!$F$13+RAND()*(Model!$G$13-Model!$F$13)</f>
        <v>1461.6985015971495</v>
      </c>
      <c r="B2954" s="31">
        <f ca="1">Model!$F$14+RAND()*(Model!$G$14-Model!$F$14)</f>
        <v>0.45557999495820289</v>
      </c>
      <c r="C2954" s="32">
        <f ca="1">Model!$F$15+RAND()*(Model!$G$15-Model!$F$15)</f>
        <v>1.9244910932079633E-2</v>
      </c>
      <c r="D2954" s="33">
        <f ca="1">Model!$F$16+RAND()*(Model!$G$16-Model!$F$16)</f>
        <v>50.936594534292645</v>
      </c>
      <c r="E2954" s="33">
        <f>Model!$D$17</f>
        <v>800</v>
      </c>
      <c r="G2954" s="36">
        <f t="shared" ca="1" si="48"/>
        <v>-33.06107695121068</v>
      </c>
    </row>
    <row r="2955" spans="1:7" x14ac:dyDescent="0.2">
      <c r="A2955" s="6">
        <f ca="1">Model!$F$13+RAND()*(Model!$G$13-Model!$F$13)</f>
        <v>1492.8759212662001</v>
      </c>
      <c r="B2955" s="31">
        <f ca="1">Model!$F$14+RAND()*(Model!$G$14-Model!$F$14)</f>
        <v>0.630189016127921</v>
      </c>
      <c r="C2955" s="32">
        <f ca="1">Model!$F$15+RAND()*(Model!$G$15-Model!$F$15)</f>
        <v>2.5381379052177529E-2</v>
      </c>
      <c r="D2955" s="33">
        <f ca="1">Model!$F$16+RAND()*(Model!$G$16-Model!$F$16)</f>
        <v>51.94985073770421</v>
      </c>
      <c r="E2955" s="33">
        <f>Model!$D$17</f>
        <v>800</v>
      </c>
      <c r="G2955" s="36">
        <f t="shared" ca="1" si="48"/>
        <v>227.65075480686255</v>
      </c>
    </row>
    <row r="2956" spans="1:7" x14ac:dyDescent="0.2">
      <c r="A2956" s="6">
        <f ca="1">Model!$F$13+RAND()*(Model!$G$13-Model!$F$13)</f>
        <v>1488.7643242498425</v>
      </c>
      <c r="B2956" s="31">
        <f ca="1">Model!$F$14+RAND()*(Model!$G$14-Model!$F$14)</f>
        <v>0.58178499059898869</v>
      </c>
      <c r="C2956" s="32">
        <f ca="1">Model!$F$15+RAND()*(Model!$G$15-Model!$F$15)</f>
        <v>1.3840124702287963E-2</v>
      </c>
      <c r="D2956" s="33">
        <f ca="1">Model!$F$16+RAND()*(Model!$G$16-Model!$F$16)</f>
        <v>47.300488894569249</v>
      </c>
      <c r="E2956" s="33">
        <f>Model!$D$17</f>
        <v>800</v>
      </c>
      <c r="G2956" s="36">
        <f t="shared" ca="1" si="48"/>
        <v>-691.52911640280547</v>
      </c>
    </row>
    <row r="2957" spans="1:7" x14ac:dyDescent="0.2">
      <c r="A2957" s="6">
        <f ca="1">Model!$F$13+RAND()*(Model!$G$13-Model!$F$13)</f>
        <v>1404.6409052234847</v>
      </c>
      <c r="B2957" s="31">
        <f ca="1">Model!$F$14+RAND()*(Model!$G$14-Model!$F$14)</f>
        <v>0.60274896387696764</v>
      </c>
      <c r="C2957" s="32">
        <f ca="1">Model!$F$15+RAND()*(Model!$G$15-Model!$F$15)</f>
        <v>1.1400764268820454E-2</v>
      </c>
      <c r="D2957" s="33">
        <f ca="1">Model!$F$16+RAND()*(Model!$G$16-Model!$F$16)</f>
        <v>50.687390489131097</v>
      </c>
      <c r="E2957" s="33">
        <f>Model!$D$17</f>
        <v>800</v>
      </c>
      <c r="G2957" s="36">
        <f t="shared" ca="1" si="48"/>
        <v>-834.93900066581045</v>
      </c>
    </row>
    <row r="2958" spans="1:7" x14ac:dyDescent="0.2">
      <c r="A2958" s="6">
        <f ca="1">Model!$F$13+RAND()*(Model!$G$13-Model!$F$13)</f>
        <v>1462.2828349989932</v>
      </c>
      <c r="B2958" s="31">
        <f ca="1">Model!$F$14+RAND()*(Model!$G$14-Model!$F$14)</f>
        <v>0.55145330996435171</v>
      </c>
      <c r="C2958" s="32">
        <f ca="1">Model!$F$15+RAND()*(Model!$G$15-Model!$F$15)</f>
        <v>3.6049761753024746E-2</v>
      </c>
      <c r="D2958" s="33">
        <f ca="1">Model!$F$16+RAND()*(Model!$G$16-Model!$F$16)</f>
        <v>50.041941676221576</v>
      </c>
      <c r="E2958" s="33">
        <f>Model!$D$17</f>
        <v>800</v>
      </c>
      <c r="G2958" s="36">
        <f t="shared" ca="1" si="48"/>
        <v>1031.5776346717025</v>
      </c>
    </row>
    <row r="2959" spans="1:7" x14ac:dyDescent="0.2">
      <c r="A2959" s="6">
        <f ca="1">Model!$F$13+RAND()*(Model!$G$13-Model!$F$13)</f>
        <v>1640.5237733066388</v>
      </c>
      <c r="B2959" s="31">
        <f ca="1">Model!$F$14+RAND()*(Model!$G$14-Model!$F$14)</f>
        <v>0.70563563656819106</v>
      </c>
      <c r="C2959" s="32">
        <f ca="1">Model!$F$15+RAND()*(Model!$G$15-Model!$F$15)</f>
        <v>4.6835901593322543E-2</v>
      </c>
      <c r="D2959" s="33">
        <f ca="1">Model!$F$16+RAND()*(Model!$G$16-Model!$F$16)</f>
        <v>51.656392799531638</v>
      </c>
      <c r="E2959" s="33">
        <f>Model!$D$17</f>
        <v>800</v>
      </c>
      <c r="G2959" s="36">
        <f t="shared" ca="1" si="48"/>
        <v>2011.4280832087854</v>
      </c>
    </row>
    <row r="2960" spans="1:7" x14ac:dyDescent="0.2">
      <c r="A2960" s="6">
        <f ca="1">Model!$F$13+RAND()*(Model!$G$13-Model!$F$13)</f>
        <v>1245.8134572189363</v>
      </c>
      <c r="B2960" s="31">
        <f ca="1">Model!$F$14+RAND()*(Model!$G$14-Model!$F$14)</f>
        <v>0.55910112193868622</v>
      </c>
      <c r="C2960" s="32">
        <f ca="1">Model!$F$15+RAND()*(Model!$G$15-Model!$F$15)</f>
        <v>2.6675689491127794E-2</v>
      </c>
      <c r="D2960" s="33">
        <f ca="1">Model!$F$16+RAND()*(Model!$G$16-Model!$F$16)</f>
        <v>47.745522321742975</v>
      </c>
      <c r="E2960" s="33">
        <f>Model!$D$17</f>
        <v>800</v>
      </c>
      <c r="G2960" s="36">
        <f t="shared" ca="1" si="48"/>
        <v>90.188040258894489</v>
      </c>
    </row>
    <row r="2961" spans="1:7" x14ac:dyDescent="0.2">
      <c r="A2961" s="6">
        <f ca="1">Model!$F$13+RAND()*(Model!$G$13-Model!$F$13)</f>
        <v>1203.7307744227205</v>
      </c>
      <c r="B2961" s="31">
        <f ca="1">Model!$F$14+RAND()*(Model!$G$14-Model!$F$14)</f>
        <v>0.5533340661729591</v>
      </c>
      <c r="C2961" s="32">
        <f ca="1">Model!$F$15+RAND()*(Model!$G$15-Model!$F$15)</f>
        <v>4.4332001416508532E-2</v>
      </c>
      <c r="D2961" s="33">
        <f ca="1">Model!$F$16+RAND()*(Model!$G$16-Model!$F$16)</f>
        <v>50.880453844107471</v>
      </c>
      <c r="E2961" s="33">
        <f>Model!$D$17</f>
        <v>800</v>
      </c>
      <c r="G2961" s="36">
        <f t="shared" ca="1" si="48"/>
        <v>1249.1088337641249</v>
      </c>
    </row>
    <row r="2962" spans="1:7" x14ac:dyDescent="0.2">
      <c r="A2962" s="6">
        <f ca="1">Model!$F$13+RAND()*(Model!$G$13-Model!$F$13)</f>
        <v>1384.6022073460053</v>
      </c>
      <c r="B2962" s="31">
        <f ca="1">Model!$F$14+RAND()*(Model!$G$14-Model!$F$14)</f>
        <v>0.21942151447166702</v>
      </c>
      <c r="C2962" s="32">
        <f ca="1">Model!$F$15+RAND()*(Model!$G$15-Model!$F$15)</f>
        <v>3.4800140253103129E-2</v>
      </c>
      <c r="D2962" s="33">
        <f ca="1">Model!$F$16+RAND()*(Model!$G$16-Model!$F$16)</f>
        <v>49.661034089070128</v>
      </c>
      <c r="E2962" s="33">
        <f>Model!$D$17</f>
        <v>800</v>
      </c>
      <c r="G2962" s="36">
        <f t="shared" ca="1" si="48"/>
        <v>1289.0731848103808</v>
      </c>
    </row>
    <row r="2963" spans="1:7" x14ac:dyDescent="0.2">
      <c r="A2963" s="6">
        <f ca="1">Model!$F$13+RAND()*(Model!$G$13-Model!$F$13)</f>
        <v>1544.9113170882108</v>
      </c>
      <c r="B2963" s="31">
        <f ca="1">Model!$F$14+RAND()*(Model!$G$14-Model!$F$14)</f>
        <v>0.39994977637163337</v>
      </c>
      <c r="C2963" s="32">
        <f ca="1">Model!$F$15+RAND()*(Model!$G$15-Model!$F$15)</f>
        <v>3.0167120332087412E-2</v>
      </c>
      <c r="D2963" s="33">
        <f ca="1">Model!$F$16+RAND()*(Model!$G$16-Model!$F$16)</f>
        <v>47.363158205297538</v>
      </c>
      <c r="E2963" s="33">
        <f>Model!$D$17</f>
        <v>800</v>
      </c>
      <c r="G2963" s="36">
        <f t="shared" ca="1" si="48"/>
        <v>789.49794668740014</v>
      </c>
    </row>
    <row r="2964" spans="1:7" x14ac:dyDescent="0.2">
      <c r="A2964" s="6">
        <f ca="1">Model!$F$13+RAND()*(Model!$G$13-Model!$F$13)</f>
        <v>1737.0000924095918</v>
      </c>
      <c r="B2964" s="31">
        <f ca="1">Model!$F$14+RAND()*(Model!$G$14-Model!$F$14)</f>
        <v>0.44744987502073652</v>
      </c>
      <c r="C2964" s="32">
        <f ca="1">Model!$F$15+RAND()*(Model!$G$15-Model!$F$15)</f>
        <v>1.4330934236036371E-2</v>
      </c>
      <c r="D2964" s="33">
        <f ca="1">Model!$F$16+RAND()*(Model!$G$16-Model!$F$16)</f>
        <v>52.157722078880411</v>
      </c>
      <c r="E2964" s="33">
        <f>Model!$D$17</f>
        <v>800</v>
      </c>
      <c r="G2964" s="36">
        <f t="shared" ca="1" si="48"/>
        <v>-278.86695191724516</v>
      </c>
    </row>
    <row r="2965" spans="1:7" x14ac:dyDescent="0.2">
      <c r="A2965" s="6">
        <f ca="1">Model!$F$13+RAND()*(Model!$G$13-Model!$F$13)</f>
        <v>1269.5931172694843</v>
      </c>
      <c r="B2965" s="31">
        <f ca="1">Model!$F$14+RAND()*(Model!$G$14-Model!$F$14)</f>
        <v>0.35132761224649522</v>
      </c>
      <c r="C2965" s="32">
        <f ca="1">Model!$F$15+RAND()*(Model!$G$15-Model!$F$15)</f>
        <v>3.4936722431178298E-2</v>
      </c>
      <c r="D2965" s="33">
        <f ca="1">Model!$F$16+RAND()*(Model!$G$16-Model!$F$16)</f>
        <v>48.697220790814285</v>
      </c>
      <c r="E2965" s="33">
        <f>Model!$D$17</f>
        <v>800</v>
      </c>
      <c r="G2965" s="36">
        <f t="shared" ca="1" si="48"/>
        <v>913.94267647669449</v>
      </c>
    </row>
    <row r="2966" spans="1:7" x14ac:dyDescent="0.2">
      <c r="A2966" s="6">
        <f ca="1">Model!$F$13+RAND()*(Model!$G$13-Model!$F$13)</f>
        <v>1700.384043318038</v>
      </c>
      <c r="B2966" s="31">
        <f ca="1">Model!$F$14+RAND()*(Model!$G$14-Model!$F$14)</f>
        <v>0.26494938070225876</v>
      </c>
      <c r="C2966" s="32">
        <f ca="1">Model!$F$15+RAND()*(Model!$G$15-Model!$F$15)</f>
        <v>3.2737674154224787E-2</v>
      </c>
      <c r="D2966" s="33">
        <f ca="1">Model!$F$16+RAND()*(Model!$G$16-Model!$F$16)</f>
        <v>47.617287201773316</v>
      </c>
      <c r="E2966" s="33">
        <f>Model!$D$17</f>
        <v>800</v>
      </c>
      <c r="G2966" s="36">
        <f t="shared" ca="1" si="48"/>
        <v>1400.1776732034089</v>
      </c>
    </row>
    <row r="2967" spans="1:7" x14ac:dyDescent="0.2">
      <c r="A2967" s="6">
        <f ca="1">Model!$F$13+RAND()*(Model!$G$13-Model!$F$13)</f>
        <v>1674.6249637031306</v>
      </c>
      <c r="B2967" s="31">
        <f ca="1">Model!$F$14+RAND()*(Model!$G$14-Model!$F$14)</f>
        <v>0.50797554326850292</v>
      </c>
      <c r="C2967" s="32">
        <f ca="1">Model!$F$15+RAND()*(Model!$G$15-Model!$F$15)</f>
        <v>1.9399380639907031E-2</v>
      </c>
      <c r="D2967" s="33">
        <f ca="1">Model!$F$16+RAND()*(Model!$G$16-Model!$F$16)</f>
        <v>47.373104391600357</v>
      </c>
      <c r="E2967" s="33">
        <f>Model!$D$17</f>
        <v>800</v>
      </c>
      <c r="G2967" s="36">
        <f t="shared" ca="1" si="48"/>
        <v>-111.67330638407657</v>
      </c>
    </row>
    <row r="2968" spans="1:7" x14ac:dyDescent="0.2">
      <c r="A2968" s="6">
        <f ca="1">Model!$F$13+RAND()*(Model!$G$13-Model!$F$13)</f>
        <v>1557.0698318852806</v>
      </c>
      <c r="B2968" s="31">
        <f ca="1">Model!$F$14+RAND()*(Model!$G$14-Model!$F$14)</f>
        <v>0.53416391266693886</v>
      </c>
      <c r="C2968" s="32">
        <f ca="1">Model!$F$15+RAND()*(Model!$G$15-Model!$F$15)</f>
        <v>3.1987438205103066E-2</v>
      </c>
      <c r="D2968" s="33">
        <f ca="1">Model!$F$16+RAND()*(Model!$G$16-Model!$F$16)</f>
        <v>48.641884974631928</v>
      </c>
      <c r="E2968" s="33">
        <f>Model!$D$17</f>
        <v>800</v>
      </c>
      <c r="G2968" s="36">
        <f t="shared" ca="1" si="48"/>
        <v>790.96004400776019</v>
      </c>
    </row>
    <row r="2969" spans="1:7" x14ac:dyDescent="0.2">
      <c r="A2969" s="6">
        <f ca="1">Model!$F$13+RAND()*(Model!$G$13-Model!$F$13)</f>
        <v>1796.967016542382</v>
      </c>
      <c r="B2969" s="31">
        <f ca="1">Model!$F$14+RAND()*(Model!$G$14-Model!$F$14)</f>
        <v>0.57133700673405741</v>
      </c>
      <c r="C2969" s="32">
        <f ca="1">Model!$F$15+RAND()*(Model!$G$15-Model!$F$15)</f>
        <v>2.4182492869767813E-2</v>
      </c>
      <c r="D2969" s="33">
        <f ca="1">Model!$F$16+RAND()*(Model!$G$16-Model!$F$16)</f>
        <v>51.100112542127782</v>
      </c>
      <c r="E2969" s="33">
        <f>Model!$D$17</f>
        <v>800</v>
      </c>
      <c r="G2969" s="36">
        <f t="shared" ca="1" si="48"/>
        <v>393.88889361142014</v>
      </c>
    </row>
    <row r="2970" spans="1:7" x14ac:dyDescent="0.2">
      <c r="A2970" s="6">
        <f ca="1">Model!$F$13+RAND()*(Model!$G$13-Model!$F$13)</f>
        <v>1795.9050714153634</v>
      </c>
      <c r="B2970" s="31">
        <f ca="1">Model!$F$14+RAND()*(Model!$G$14-Model!$F$14)</f>
        <v>0.58406659042512366</v>
      </c>
      <c r="C2970" s="32">
        <f ca="1">Model!$F$15+RAND()*(Model!$G$15-Model!$F$15)</f>
        <v>1.9540569099970428E-2</v>
      </c>
      <c r="D2970" s="33">
        <f ca="1">Model!$F$16+RAND()*(Model!$G$16-Model!$F$16)</f>
        <v>52.697052926045231</v>
      </c>
      <c r="E2970" s="33">
        <f>Model!$D$17</f>
        <v>800</v>
      </c>
      <c r="G2970" s="36">
        <f t="shared" ca="1" si="48"/>
        <v>0.36990306429493103</v>
      </c>
    </row>
    <row r="2971" spans="1:7" x14ac:dyDescent="0.2">
      <c r="A2971" s="6">
        <f ca="1">Model!$F$13+RAND()*(Model!$G$13-Model!$F$13)</f>
        <v>1462.2221330183115</v>
      </c>
      <c r="B2971" s="31">
        <f ca="1">Model!$F$14+RAND()*(Model!$G$14-Model!$F$14)</f>
        <v>0.23277943464308992</v>
      </c>
      <c r="C2971" s="32">
        <f ca="1">Model!$F$15+RAND()*(Model!$G$15-Model!$F$15)</f>
        <v>4.6417609500286602E-2</v>
      </c>
      <c r="D2971" s="33">
        <f ca="1">Model!$F$16+RAND()*(Model!$G$16-Model!$F$16)</f>
        <v>51.200556342209048</v>
      </c>
      <c r="E2971" s="33">
        <f>Model!$D$17</f>
        <v>800</v>
      </c>
      <c r="G2971" s="36">
        <f t="shared" ca="1" si="48"/>
        <v>2334.7527449117606</v>
      </c>
    </row>
    <row r="2972" spans="1:7" x14ac:dyDescent="0.2">
      <c r="A2972" s="6">
        <f ca="1">Model!$F$13+RAND()*(Model!$G$13-Model!$F$13)</f>
        <v>1490.1262859074957</v>
      </c>
      <c r="B2972" s="31">
        <f ca="1">Model!$F$14+RAND()*(Model!$G$14-Model!$F$14)</f>
        <v>0.28097185730782315</v>
      </c>
      <c r="C2972" s="32">
        <f ca="1">Model!$F$15+RAND()*(Model!$G$15-Model!$F$15)</f>
        <v>3.8143540448164467E-2</v>
      </c>
      <c r="D2972" s="33">
        <f ca="1">Model!$F$16+RAND()*(Model!$G$16-Model!$F$16)</f>
        <v>47.872200834179829</v>
      </c>
      <c r="E2972" s="33">
        <f>Model!$D$17</f>
        <v>800</v>
      </c>
      <c r="G2972" s="36">
        <f t="shared" ca="1" si="48"/>
        <v>1502.309740818815</v>
      </c>
    </row>
    <row r="2973" spans="1:7" x14ac:dyDescent="0.2">
      <c r="A2973" s="6">
        <f ca="1">Model!$F$13+RAND()*(Model!$G$13-Model!$F$13)</f>
        <v>1572.4139852295305</v>
      </c>
      <c r="B2973" s="31">
        <f ca="1">Model!$F$14+RAND()*(Model!$G$14-Model!$F$14)</f>
        <v>0.47551690755704323</v>
      </c>
      <c r="C2973" s="32">
        <f ca="1">Model!$F$15+RAND()*(Model!$G$15-Model!$F$15)</f>
        <v>3.3411579678391513E-2</v>
      </c>
      <c r="D2973" s="33">
        <f ca="1">Model!$F$16+RAND()*(Model!$G$16-Model!$F$16)</f>
        <v>49.172375333304473</v>
      </c>
      <c r="E2973" s="33">
        <f>Model!$D$17</f>
        <v>800</v>
      </c>
      <c r="G2973" s="36">
        <f t="shared" ca="1" si="48"/>
        <v>1035.6515414055634</v>
      </c>
    </row>
    <row r="2974" spans="1:7" x14ac:dyDescent="0.2">
      <c r="A2974" s="6">
        <f ca="1">Model!$F$13+RAND()*(Model!$G$13-Model!$F$13)</f>
        <v>1493.536833322758</v>
      </c>
      <c r="B2974" s="31">
        <f ca="1">Model!$F$14+RAND()*(Model!$G$14-Model!$F$14)</f>
        <v>0.76476706993662713</v>
      </c>
      <c r="C2974" s="32">
        <f ca="1">Model!$F$15+RAND()*(Model!$G$15-Model!$F$15)</f>
        <v>4.9004672269996372E-2</v>
      </c>
      <c r="D2974" s="33">
        <f ca="1">Model!$F$16+RAND()*(Model!$G$16-Model!$F$16)</f>
        <v>50.770190337821887</v>
      </c>
      <c r="E2974" s="33">
        <f>Model!$D$17</f>
        <v>800</v>
      </c>
      <c r="G2974" s="36">
        <f t="shared" ca="1" si="48"/>
        <v>1773.6768129647958</v>
      </c>
    </row>
    <row r="2975" spans="1:7" x14ac:dyDescent="0.2">
      <c r="A2975" s="6">
        <f ca="1">Model!$F$13+RAND()*(Model!$G$13-Model!$F$13)</f>
        <v>1782.0492071497365</v>
      </c>
      <c r="B2975" s="31">
        <f ca="1">Model!$F$14+RAND()*(Model!$G$14-Model!$F$14)</f>
        <v>0.28399106503606092</v>
      </c>
      <c r="C2975" s="32">
        <f ca="1">Model!$F$15+RAND()*(Model!$G$15-Model!$F$15)</f>
        <v>2.6632869090783703E-2</v>
      </c>
      <c r="D2975" s="33">
        <f ca="1">Model!$F$16+RAND()*(Model!$G$16-Model!$F$16)</f>
        <v>47.910505139135701</v>
      </c>
      <c r="E2975" s="33">
        <f>Model!$D$17</f>
        <v>800</v>
      </c>
      <c r="G2975" s="36">
        <f t="shared" ca="1" si="48"/>
        <v>967.79842054617075</v>
      </c>
    </row>
    <row r="2976" spans="1:7" x14ac:dyDescent="0.2">
      <c r="A2976" s="6">
        <f ca="1">Model!$F$13+RAND()*(Model!$G$13-Model!$F$13)</f>
        <v>1498.3069147082783</v>
      </c>
      <c r="B2976" s="31">
        <f ca="1">Model!$F$14+RAND()*(Model!$G$14-Model!$F$14)</f>
        <v>0.32295062024153059</v>
      </c>
      <c r="C2976" s="32">
        <f ca="1">Model!$F$15+RAND()*(Model!$G$15-Model!$F$15)</f>
        <v>1.1736982968010552E-2</v>
      </c>
      <c r="D2976" s="33">
        <f ca="1">Model!$F$16+RAND()*(Model!$G$16-Model!$F$16)</f>
        <v>49.332174006093503</v>
      </c>
      <c r="E2976" s="33">
        <f>Model!$D$17</f>
        <v>800</v>
      </c>
      <c r="G2976" s="36">
        <f t="shared" ca="1" si="48"/>
        <v>-416.34313310551056</v>
      </c>
    </row>
    <row r="2977" spans="1:7" x14ac:dyDescent="0.2">
      <c r="A2977" s="6">
        <f ca="1">Model!$F$13+RAND()*(Model!$G$13-Model!$F$13)</f>
        <v>1654.6784918908529</v>
      </c>
      <c r="B2977" s="31">
        <f ca="1">Model!$F$14+RAND()*(Model!$G$14-Model!$F$14)</f>
        <v>0.30569744856999548</v>
      </c>
      <c r="C2977" s="32">
        <f ca="1">Model!$F$15+RAND()*(Model!$G$15-Model!$F$15)</f>
        <v>3.7146689580991363E-2</v>
      </c>
      <c r="D2977" s="33">
        <f ca="1">Model!$F$16+RAND()*(Model!$G$16-Model!$F$16)</f>
        <v>52.156141418876643</v>
      </c>
      <c r="E2977" s="33">
        <f>Model!$D$17</f>
        <v>800</v>
      </c>
      <c r="G2977" s="36">
        <f t="shared" ca="1" si="48"/>
        <v>1899.9894397875146</v>
      </c>
    </row>
    <row r="2978" spans="1:7" x14ac:dyDescent="0.2">
      <c r="A2978" s="6">
        <f ca="1">Model!$F$13+RAND()*(Model!$G$13-Model!$F$13)</f>
        <v>1481.0670377985466</v>
      </c>
      <c r="B2978" s="31">
        <f ca="1">Model!$F$14+RAND()*(Model!$G$14-Model!$F$14)</f>
        <v>0.64518920305334515</v>
      </c>
      <c r="C2978" s="32">
        <f ca="1">Model!$F$15+RAND()*(Model!$G$15-Model!$F$15)</f>
        <v>2.6519739597943501E-2</v>
      </c>
      <c r="D2978" s="33">
        <f ca="1">Model!$F$16+RAND()*(Model!$G$16-Model!$F$16)</f>
        <v>51.891463081681643</v>
      </c>
      <c r="E2978" s="33">
        <f>Model!$D$17</f>
        <v>800</v>
      </c>
      <c r="G2978" s="36">
        <f t="shared" ca="1" si="48"/>
        <v>282.59911089886623</v>
      </c>
    </row>
    <row r="2979" spans="1:7" x14ac:dyDescent="0.2">
      <c r="A2979" s="6">
        <f ca="1">Model!$F$13+RAND()*(Model!$G$13-Model!$F$13)</f>
        <v>1298.0809958099785</v>
      </c>
      <c r="B2979" s="31">
        <f ca="1">Model!$F$14+RAND()*(Model!$G$14-Model!$F$14)</f>
        <v>0.7521543214035864</v>
      </c>
      <c r="C2979" s="32">
        <f ca="1">Model!$F$15+RAND()*(Model!$G$15-Model!$F$15)</f>
        <v>3.797978038391691E-2</v>
      </c>
      <c r="D2979" s="33">
        <f ca="1">Model!$F$16+RAND()*(Model!$G$16-Model!$F$16)</f>
        <v>47.208502195608872</v>
      </c>
      <c r="E2979" s="33">
        <f>Model!$D$17</f>
        <v>800</v>
      </c>
      <c r="G2979" s="36">
        <f t="shared" ca="1" si="48"/>
        <v>551.06116465373816</v>
      </c>
    </row>
    <row r="2980" spans="1:7" x14ac:dyDescent="0.2">
      <c r="A2980" s="6">
        <f ca="1">Model!$F$13+RAND()*(Model!$G$13-Model!$F$13)</f>
        <v>1259.4043971225844</v>
      </c>
      <c r="B2980" s="31">
        <f ca="1">Model!$F$14+RAND()*(Model!$G$14-Model!$F$14)</f>
        <v>0.42320033235251803</v>
      </c>
      <c r="C2980" s="32">
        <f ca="1">Model!$F$15+RAND()*(Model!$G$15-Model!$F$15)</f>
        <v>4.6992621305425336E-2</v>
      </c>
      <c r="D2980" s="33">
        <f ca="1">Model!$F$16+RAND()*(Model!$G$16-Model!$F$16)</f>
        <v>48.957150290379516</v>
      </c>
      <c r="E2980" s="33">
        <f>Model!$D$17</f>
        <v>800</v>
      </c>
      <c r="G2980" s="36">
        <f t="shared" ca="1" si="48"/>
        <v>1564.4366597802314</v>
      </c>
    </row>
    <row r="2981" spans="1:7" x14ac:dyDescent="0.2">
      <c r="A2981" s="6">
        <f ca="1">Model!$F$13+RAND()*(Model!$G$13-Model!$F$13)</f>
        <v>1243.3797810372403</v>
      </c>
      <c r="B2981" s="31">
        <f ca="1">Model!$F$14+RAND()*(Model!$G$14-Model!$F$14)</f>
        <v>0.54944278238588407</v>
      </c>
      <c r="C2981" s="32">
        <f ca="1">Model!$F$15+RAND()*(Model!$G$15-Model!$F$15)</f>
        <v>1.196296623616612E-2</v>
      </c>
      <c r="D2981" s="33">
        <f ca="1">Model!$F$16+RAND()*(Model!$G$16-Model!$F$16)</f>
        <v>52.153153744301065</v>
      </c>
      <c r="E2981" s="33">
        <f>Model!$D$17</f>
        <v>800</v>
      </c>
      <c r="G2981" s="36">
        <f t="shared" ca="1" si="48"/>
        <v>-707.41342185978021</v>
      </c>
    </row>
    <row r="2982" spans="1:7" x14ac:dyDescent="0.2">
      <c r="A2982" s="6">
        <f ca="1">Model!$F$13+RAND()*(Model!$G$13-Model!$F$13)</f>
        <v>1226.8446551629784</v>
      </c>
      <c r="B2982" s="31">
        <f ca="1">Model!$F$14+RAND()*(Model!$G$14-Model!$F$14)</f>
        <v>0.21632038958414695</v>
      </c>
      <c r="C2982" s="32">
        <f ca="1">Model!$F$15+RAND()*(Model!$G$15-Model!$F$15)</f>
        <v>3.4123838010492472E-2</v>
      </c>
      <c r="D2982" s="33">
        <f ca="1">Model!$F$16+RAND()*(Model!$G$16-Model!$F$16)</f>
        <v>51.851723525409803</v>
      </c>
      <c r="E2982" s="33">
        <f>Model!$D$17</f>
        <v>800</v>
      </c>
      <c r="G2982" s="36">
        <f t="shared" ca="1" si="48"/>
        <v>1105.3626541741091</v>
      </c>
    </row>
    <row r="2983" spans="1:7" x14ac:dyDescent="0.2">
      <c r="A2983" s="6">
        <f ca="1">Model!$F$13+RAND()*(Model!$G$13-Model!$F$13)</f>
        <v>1562.6832235890472</v>
      </c>
      <c r="B2983" s="31">
        <f ca="1">Model!$F$14+RAND()*(Model!$G$14-Model!$F$14)</f>
        <v>0.73595340163328693</v>
      </c>
      <c r="C2983" s="32">
        <f ca="1">Model!$F$15+RAND()*(Model!$G$15-Model!$F$15)</f>
        <v>3.8932144607165452E-2</v>
      </c>
      <c r="D2983" s="33">
        <f ca="1">Model!$F$16+RAND()*(Model!$G$16-Model!$F$16)</f>
        <v>51.147649059855709</v>
      </c>
      <c r="E2983" s="33">
        <f>Model!$D$17</f>
        <v>800</v>
      </c>
      <c r="G2983" s="36">
        <f t="shared" ca="1" si="48"/>
        <v>1161.6898004149616</v>
      </c>
    </row>
    <row r="2984" spans="1:7" x14ac:dyDescent="0.2">
      <c r="A2984" s="6">
        <f ca="1">Model!$F$13+RAND()*(Model!$G$13-Model!$F$13)</f>
        <v>1657.4414494307628</v>
      </c>
      <c r="B2984" s="31">
        <f ca="1">Model!$F$14+RAND()*(Model!$G$14-Model!$F$14)</f>
        <v>0.77952825804249759</v>
      </c>
      <c r="C2984" s="32">
        <f ca="1">Model!$F$15+RAND()*(Model!$G$15-Model!$F$15)</f>
        <v>4.5242911728863411E-2</v>
      </c>
      <c r="D2984" s="33">
        <f ca="1">Model!$F$16+RAND()*(Model!$G$16-Model!$F$16)</f>
        <v>49.7349594619076</v>
      </c>
      <c r="E2984" s="33">
        <f>Model!$D$17</f>
        <v>800</v>
      </c>
      <c r="G2984" s="36">
        <f t="shared" ca="1" si="48"/>
        <v>1637.4766924303231</v>
      </c>
    </row>
    <row r="2985" spans="1:7" x14ac:dyDescent="0.2">
      <c r="A2985" s="6">
        <f ca="1">Model!$F$13+RAND()*(Model!$G$13-Model!$F$13)</f>
        <v>1260.3397820344426</v>
      </c>
      <c r="B2985" s="31">
        <f ca="1">Model!$F$14+RAND()*(Model!$G$14-Model!$F$14)</f>
        <v>0.59724778832939651</v>
      </c>
      <c r="C2985" s="32">
        <f ca="1">Model!$F$15+RAND()*(Model!$G$15-Model!$F$15)</f>
        <v>3.4823640572954062E-2</v>
      </c>
      <c r="D2985" s="33">
        <f ca="1">Model!$F$16+RAND()*(Model!$G$16-Model!$F$16)</f>
        <v>49.225953336045599</v>
      </c>
      <c r="E2985" s="33">
        <f>Model!$D$17</f>
        <v>800</v>
      </c>
      <c r="G2985" s="36">
        <f t="shared" ref="G2985:G3048" ca="1" si="49">A2985*C2985*D2985-(E2985+A2985*B2985)</f>
        <v>607.77321749461726</v>
      </c>
    </row>
    <row r="2986" spans="1:7" x14ac:dyDescent="0.2">
      <c r="A2986" s="6">
        <f ca="1">Model!$F$13+RAND()*(Model!$G$13-Model!$F$13)</f>
        <v>1580.2937191167364</v>
      </c>
      <c r="B2986" s="31">
        <f ca="1">Model!$F$14+RAND()*(Model!$G$14-Model!$F$14)</f>
        <v>0.70398078061585134</v>
      </c>
      <c r="C2986" s="32">
        <f ca="1">Model!$F$15+RAND()*(Model!$G$15-Model!$F$15)</f>
        <v>1.1243890324525802E-2</v>
      </c>
      <c r="D2986" s="33">
        <f ca="1">Model!$F$16+RAND()*(Model!$G$16-Model!$F$16)</f>
        <v>48.715636072518137</v>
      </c>
      <c r="E2986" s="33">
        <f>Model!$D$17</f>
        <v>800</v>
      </c>
      <c r="G2986" s="36">
        <f t="shared" ca="1" si="49"/>
        <v>-1046.8853552192681</v>
      </c>
    </row>
    <row r="2987" spans="1:7" x14ac:dyDescent="0.2">
      <c r="A2987" s="6">
        <f ca="1">Model!$F$13+RAND()*(Model!$G$13-Model!$F$13)</f>
        <v>1546.6930214763333</v>
      </c>
      <c r="B2987" s="31">
        <f ca="1">Model!$F$14+RAND()*(Model!$G$14-Model!$F$14)</f>
        <v>0.46770333299122141</v>
      </c>
      <c r="C2987" s="32">
        <f ca="1">Model!$F$15+RAND()*(Model!$G$15-Model!$F$15)</f>
        <v>2.7225189221637053E-2</v>
      </c>
      <c r="D2987" s="33">
        <f ca="1">Model!$F$16+RAND()*(Model!$G$16-Model!$F$16)</f>
        <v>51.781769830020096</v>
      </c>
      <c r="E2987" s="33">
        <f>Model!$D$17</f>
        <v>800</v>
      </c>
      <c r="G2987" s="36">
        <f t="shared" ca="1" si="49"/>
        <v>657.08559152143243</v>
      </c>
    </row>
    <row r="2988" spans="1:7" x14ac:dyDescent="0.2">
      <c r="A2988" s="6">
        <f ca="1">Model!$F$13+RAND()*(Model!$G$13-Model!$F$13)</f>
        <v>1503.1958639774118</v>
      </c>
      <c r="B2988" s="31">
        <f ca="1">Model!$F$14+RAND()*(Model!$G$14-Model!$F$14)</f>
        <v>0.38401663432333805</v>
      </c>
      <c r="C2988" s="32">
        <f ca="1">Model!$F$15+RAND()*(Model!$G$15-Model!$F$15)</f>
        <v>4.2517485457210256E-2</v>
      </c>
      <c r="D2988" s="33">
        <f ca="1">Model!$F$16+RAND()*(Model!$G$16-Model!$F$16)</f>
        <v>52.203111046512262</v>
      </c>
      <c r="E2988" s="33">
        <f>Model!$D$17</f>
        <v>800</v>
      </c>
      <c r="G2988" s="36">
        <f t="shared" ca="1" si="49"/>
        <v>1959.1586696573136</v>
      </c>
    </row>
    <row r="2989" spans="1:7" x14ac:dyDescent="0.2">
      <c r="A2989" s="6">
        <f ca="1">Model!$F$13+RAND()*(Model!$G$13-Model!$F$13)</f>
        <v>1770.0805508588637</v>
      </c>
      <c r="B2989" s="31">
        <f ca="1">Model!$F$14+RAND()*(Model!$G$14-Model!$F$14)</f>
        <v>0.52981416235372158</v>
      </c>
      <c r="C2989" s="32">
        <f ca="1">Model!$F$15+RAND()*(Model!$G$15-Model!$F$15)</f>
        <v>1.8317820888841534E-2</v>
      </c>
      <c r="D2989" s="33">
        <f ca="1">Model!$F$16+RAND()*(Model!$G$16-Model!$F$16)</f>
        <v>49.153769904394359</v>
      </c>
      <c r="E2989" s="33">
        <f>Model!$D$17</f>
        <v>800</v>
      </c>
      <c r="G2989" s="36">
        <f t="shared" ca="1" si="49"/>
        <v>-144.05100014542222</v>
      </c>
    </row>
    <row r="2990" spans="1:7" x14ac:dyDescent="0.2">
      <c r="A2990" s="6">
        <f ca="1">Model!$F$13+RAND()*(Model!$G$13-Model!$F$13)</f>
        <v>1530.9049526680183</v>
      </c>
      <c r="B2990" s="31">
        <f ca="1">Model!$F$14+RAND()*(Model!$G$14-Model!$F$14)</f>
        <v>0.42925653861003238</v>
      </c>
      <c r="C2990" s="32">
        <f ca="1">Model!$F$15+RAND()*(Model!$G$15-Model!$F$15)</f>
        <v>3.4949358705040068E-2</v>
      </c>
      <c r="D2990" s="33">
        <f ca="1">Model!$F$16+RAND()*(Model!$G$16-Model!$F$16)</f>
        <v>47.147529665385086</v>
      </c>
      <c r="E2990" s="33">
        <f>Model!$D$17</f>
        <v>800</v>
      </c>
      <c r="G2990" s="36">
        <f t="shared" ca="1" si="49"/>
        <v>1065.4373655856552</v>
      </c>
    </row>
    <row r="2991" spans="1:7" x14ac:dyDescent="0.2">
      <c r="A2991" s="6">
        <f ca="1">Model!$F$13+RAND()*(Model!$G$13-Model!$F$13)</f>
        <v>1229.7816209919517</v>
      </c>
      <c r="B2991" s="31">
        <f ca="1">Model!$F$14+RAND()*(Model!$G$14-Model!$F$14)</f>
        <v>0.28145554962210861</v>
      </c>
      <c r="C2991" s="32">
        <f ca="1">Model!$F$15+RAND()*(Model!$G$15-Model!$F$15)</f>
        <v>1.4055657291921255E-2</v>
      </c>
      <c r="D2991" s="33">
        <f ca="1">Model!$F$16+RAND()*(Model!$G$16-Model!$F$16)</f>
        <v>50.763269615420541</v>
      </c>
      <c r="E2991" s="33">
        <f>Model!$D$17</f>
        <v>800</v>
      </c>
      <c r="G2991" s="36">
        <f t="shared" ca="1" si="49"/>
        <v>-268.66599940218111</v>
      </c>
    </row>
    <row r="2992" spans="1:7" x14ac:dyDescent="0.2">
      <c r="A2992" s="6">
        <f ca="1">Model!$F$13+RAND()*(Model!$G$13-Model!$F$13)</f>
        <v>1370.6126043857885</v>
      </c>
      <c r="B2992" s="31">
        <f ca="1">Model!$F$14+RAND()*(Model!$G$14-Model!$F$14)</f>
        <v>0.7027057334890332</v>
      </c>
      <c r="C2992" s="32">
        <f ca="1">Model!$F$15+RAND()*(Model!$G$15-Model!$F$15)</f>
        <v>3.3002735090779237E-2</v>
      </c>
      <c r="D2992" s="33">
        <f ca="1">Model!$F$16+RAND()*(Model!$G$16-Model!$F$16)</f>
        <v>47.284928039953108</v>
      </c>
      <c r="E2992" s="33">
        <f>Model!$D$17</f>
        <v>800</v>
      </c>
      <c r="G2992" s="36">
        <f t="shared" ca="1" si="49"/>
        <v>375.74743005299638</v>
      </c>
    </row>
    <row r="2993" spans="1:7" x14ac:dyDescent="0.2">
      <c r="A2993" s="6">
        <f ca="1">Model!$F$13+RAND()*(Model!$G$13-Model!$F$13)</f>
        <v>1267.7214733208377</v>
      </c>
      <c r="B2993" s="31">
        <f ca="1">Model!$F$14+RAND()*(Model!$G$14-Model!$F$14)</f>
        <v>0.36693715093825874</v>
      </c>
      <c r="C2993" s="32">
        <f ca="1">Model!$F$15+RAND()*(Model!$G$15-Model!$F$15)</f>
        <v>2.3054349156947776E-2</v>
      </c>
      <c r="D2993" s="33">
        <f ca="1">Model!$F$16+RAND()*(Model!$G$16-Model!$F$16)</f>
        <v>50.002473188659749</v>
      </c>
      <c r="E2993" s="33">
        <f>Model!$D$17</f>
        <v>800</v>
      </c>
      <c r="G2993" s="36">
        <f t="shared" ca="1" si="49"/>
        <v>196.22285101358079</v>
      </c>
    </row>
    <row r="2994" spans="1:7" x14ac:dyDescent="0.2">
      <c r="A2994" s="6">
        <f ca="1">Model!$F$13+RAND()*(Model!$G$13-Model!$F$13)</f>
        <v>1774.6789389673195</v>
      </c>
      <c r="B2994" s="31">
        <f ca="1">Model!$F$14+RAND()*(Model!$G$14-Model!$F$14)</f>
        <v>0.24670899086442138</v>
      </c>
      <c r="C2994" s="32">
        <f ca="1">Model!$F$15+RAND()*(Model!$G$15-Model!$F$15)</f>
        <v>1.118304467922461E-2</v>
      </c>
      <c r="D2994" s="33">
        <f ca="1">Model!$F$16+RAND()*(Model!$G$16-Model!$F$16)</f>
        <v>47.563988686626899</v>
      </c>
      <c r="E2994" s="33">
        <f>Model!$D$17</f>
        <v>800</v>
      </c>
      <c r="G2994" s="36">
        <f t="shared" ca="1" si="49"/>
        <v>-293.85940195916794</v>
      </c>
    </row>
    <row r="2995" spans="1:7" x14ac:dyDescent="0.2">
      <c r="A2995" s="6">
        <f ca="1">Model!$F$13+RAND()*(Model!$G$13-Model!$F$13)</f>
        <v>1280.6750092557386</v>
      </c>
      <c r="B2995" s="31">
        <f ca="1">Model!$F$14+RAND()*(Model!$G$14-Model!$F$14)</f>
        <v>0.38250950575549053</v>
      </c>
      <c r="C2995" s="32">
        <f ca="1">Model!$F$15+RAND()*(Model!$G$15-Model!$F$15)</f>
        <v>1.8614614744348626E-2</v>
      </c>
      <c r="D2995" s="33">
        <f ca="1">Model!$F$16+RAND()*(Model!$G$16-Model!$F$16)</f>
        <v>50.106958058503324</v>
      </c>
      <c r="E2995" s="33">
        <f>Model!$D$17</f>
        <v>800</v>
      </c>
      <c r="G2995" s="36">
        <f t="shared" ca="1" si="49"/>
        <v>-95.356967083659129</v>
      </c>
    </row>
    <row r="2996" spans="1:7" x14ac:dyDescent="0.2">
      <c r="A2996" s="6">
        <f ca="1">Model!$F$13+RAND()*(Model!$G$13-Model!$F$13)</f>
        <v>1416.1180749159532</v>
      </c>
      <c r="B2996" s="31">
        <f ca="1">Model!$F$14+RAND()*(Model!$G$14-Model!$F$14)</f>
        <v>0.72139789591780867</v>
      </c>
      <c r="C2996" s="32">
        <f ca="1">Model!$F$15+RAND()*(Model!$G$15-Model!$F$15)</f>
        <v>1.2834614429034871E-2</v>
      </c>
      <c r="D2996" s="33">
        <f ca="1">Model!$F$16+RAND()*(Model!$G$16-Model!$F$16)</f>
        <v>52.345937567512685</v>
      </c>
      <c r="E2996" s="33">
        <f>Model!$D$17</f>
        <v>800</v>
      </c>
      <c r="G2996" s="36">
        <f t="shared" ca="1" si="49"/>
        <v>-870.17993751561107</v>
      </c>
    </row>
    <row r="2997" spans="1:7" x14ac:dyDescent="0.2">
      <c r="A2997" s="6">
        <f ca="1">Model!$F$13+RAND()*(Model!$G$13-Model!$F$13)</f>
        <v>1303.5677035877077</v>
      </c>
      <c r="B2997" s="31">
        <f ca="1">Model!$F$14+RAND()*(Model!$G$14-Model!$F$14)</f>
        <v>0.43563752284422697</v>
      </c>
      <c r="C2997" s="32">
        <f ca="1">Model!$F$15+RAND()*(Model!$G$15-Model!$F$15)</f>
        <v>2.0486007272990246E-2</v>
      </c>
      <c r="D2997" s="33">
        <f ca="1">Model!$F$16+RAND()*(Model!$G$16-Model!$F$16)</f>
        <v>50.208345454955328</v>
      </c>
      <c r="E2997" s="33">
        <f>Model!$D$17</f>
        <v>800</v>
      </c>
      <c r="G2997" s="36">
        <f t="shared" ca="1" si="49"/>
        <v>-27.074288413921067</v>
      </c>
    </row>
    <row r="2998" spans="1:7" x14ac:dyDescent="0.2">
      <c r="A2998" s="6">
        <f ca="1">Model!$F$13+RAND()*(Model!$G$13-Model!$F$13)</f>
        <v>1248.7517293157277</v>
      </c>
      <c r="B2998" s="31">
        <f ca="1">Model!$F$14+RAND()*(Model!$G$14-Model!$F$14)</f>
        <v>0.23726029653246411</v>
      </c>
      <c r="C2998" s="32">
        <f ca="1">Model!$F$15+RAND()*(Model!$G$15-Model!$F$15)</f>
        <v>2.4360844333188324E-2</v>
      </c>
      <c r="D2998" s="33">
        <f ca="1">Model!$F$16+RAND()*(Model!$G$16-Model!$F$16)</f>
        <v>49.216130313835272</v>
      </c>
      <c r="E2998" s="33">
        <f>Model!$D$17</f>
        <v>800</v>
      </c>
      <c r="G2998" s="36">
        <f t="shared" ca="1" si="49"/>
        <v>400.9072962241371</v>
      </c>
    </row>
    <row r="2999" spans="1:7" x14ac:dyDescent="0.2">
      <c r="A2999" s="6">
        <f ca="1">Model!$F$13+RAND()*(Model!$G$13-Model!$F$13)</f>
        <v>1726.4566128393719</v>
      </c>
      <c r="B2999" s="31">
        <f ca="1">Model!$F$14+RAND()*(Model!$G$14-Model!$F$14)</f>
        <v>0.77761030702392975</v>
      </c>
      <c r="C2999" s="32">
        <f ca="1">Model!$F$15+RAND()*(Model!$G$15-Model!$F$15)</f>
        <v>3.3696913700802057E-2</v>
      </c>
      <c r="D2999" s="33">
        <f ca="1">Model!$F$16+RAND()*(Model!$G$16-Model!$F$16)</f>
        <v>49.217165404370405</v>
      </c>
      <c r="E2999" s="33">
        <f>Model!$D$17</f>
        <v>800</v>
      </c>
      <c r="G2999" s="36">
        <f t="shared" ca="1" si="49"/>
        <v>720.76012920394851</v>
      </c>
    </row>
    <row r="3000" spans="1:7" x14ac:dyDescent="0.2">
      <c r="A3000" s="6">
        <f ca="1">Model!$F$13+RAND()*(Model!$G$13-Model!$F$13)</f>
        <v>1499.7026179417946</v>
      </c>
      <c r="B3000" s="31">
        <f ca="1">Model!$F$14+RAND()*(Model!$G$14-Model!$F$14)</f>
        <v>0.24092616200205191</v>
      </c>
      <c r="C3000" s="32">
        <f ca="1">Model!$F$15+RAND()*(Model!$G$15-Model!$F$15)</f>
        <v>2.3808814725019695E-2</v>
      </c>
      <c r="D3000" s="33">
        <f ca="1">Model!$F$16+RAND()*(Model!$G$16-Model!$F$16)</f>
        <v>47.767303947659805</v>
      </c>
      <c r="E3000" s="33">
        <f>Model!$D$17</f>
        <v>800</v>
      </c>
      <c r="G3000" s="36">
        <f t="shared" ca="1" si="49"/>
        <v>544.26853099368304</v>
      </c>
    </row>
    <row r="3001" spans="1:7" x14ac:dyDescent="0.2">
      <c r="A3001" s="6">
        <f ca="1">Model!$F$13+RAND()*(Model!$G$13-Model!$F$13)</f>
        <v>1444.1431157336237</v>
      </c>
      <c r="B3001" s="31">
        <f ca="1">Model!$F$14+RAND()*(Model!$G$14-Model!$F$14)</f>
        <v>0.34723215138155161</v>
      </c>
      <c r="C3001" s="32">
        <f ca="1">Model!$F$15+RAND()*(Model!$G$15-Model!$F$15)</f>
        <v>4.8344509536924422E-2</v>
      </c>
      <c r="D3001" s="33">
        <f ca="1">Model!$F$16+RAND()*(Model!$G$16-Model!$F$16)</f>
        <v>48.432712527723716</v>
      </c>
      <c r="E3001" s="33">
        <f>Model!$D$17</f>
        <v>800</v>
      </c>
      <c r="G3001" s="36">
        <f t="shared" ca="1" si="49"/>
        <v>2079.9442561884189</v>
      </c>
    </row>
    <row r="3002" spans="1:7" x14ac:dyDescent="0.2">
      <c r="A3002" s="6">
        <f ca="1">Model!$F$13+RAND()*(Model!$G$13-Model!$F$13)</f>
        <v>1401.0388093948015</v>
      </c>
      <c r="B3002" s="31">
        <f ca="1">Model!$F$14+RAND()*(Model!$G$14-Model!$F$14)</f>
        <v>0.64898625467538107</v>
      </c>
      <c r="C3002" s="32">
        <f ca="1">Model!$F$15+RAND()*(Model!$G$15-Model!$F$15)</f>
        <v>2.6815292740184453E-2</v>
      </c>
      <c r="D3002" s="33">
        <f ca="1">Model!$F$16+RAND()*(Model!$G$16-Model!$F$16)</f>
        <v>50.456383353792795</v>
      </c>
      <c r="E3002" s="33">
        <f>Model!$D$17</f>
        <v>800</v>
      </c>
      <c r="G3002" s="36">
        <f t="shared" ca="1" si="49"/>
        <v>186.35434868192169</v>
      </c>
    </row>
    <row r="3003" spans="1:7" x14ac:dyDescent="0.2">
      <c r="A3003" s="6">
        <f ca="1">Model!$F$13+RAND()*(Model!$G$13-Model!$F$13)</f>
        <v>1496.4285477049007</v>
      </c>
      <c r="B3003" s="31">
        <f ca="1">Model!$F$14+RAND()*(Model!$G$14-Model!$F$14)</f>
        <v>0.51082415962765404</v>
      </c>
      <c r="C3003" s="32">
        <f ca="1">Model!$F$15+RAND()*(Model!$G$15-Model!$F$15)</f>
        <v>4.6226359180966847E-2</v>
      </c>
      <c r="D3003" s="33">
        <f ca="1">Model!$F$16+RAND()*(Model!$G$16-Model!$F$16)</f>
        <v>51.086635636529387</v>
      </c>
      <c r="E3003" s="33">
        <f>Model!$D$17</f>
        <v>800</v>
      </c>
      <c r="G3003" s="36">
        <f t="shared" ca="1" si="49"/>
        <v>1969.4777369008473</v>
      </c>
    </row>
    <row r="3004" spans="1:7" x14ac:dyDescent="0.2">
      <c r="A3004" s="6">
        <f ca="1">Model!$F$13+RAND()*(Model!$G$13-Model!$F$13)</f>
        <v>1562.3220062271769</v>
      </c>
      <c r="B3004" s="31">
        <f ca="1">Model!$F$14+RAND()*(Model!$G$14-Model!$F$14)</f>
        <v>0.27380369101186336</v>
      </c>
      <c r="C3004" s="32">
        <f ca="1">Model!$F$15+RAND()*(Model!$G$15-Model!$F$15)</f>
        <v>1.7373856125342479E-2</v>
      </c>
      <c r="D3004" s="33">
        <f ca="1">Model!$F$16+RAND()*(Model!$G$16-Model!$F$16)</f>
        <v>47.19772258877444</v>
      </c>
      <c r="E3004" s="33">
        <f>Model!$D$17</f>
        <v>800</v>
      </c>
      <c r="G3004" s="36">
        <f t="shared" ca="1" si="49"/>
        <v>53.344577263757401</v>
      </c>
    </row>
    <row r="3005" spans="1:7" x14ac:dyDescent="0.2">
      <c r="A3005" s="6">
        <f ca="1">Model!$F$13+RAND()*(Model!$G$13-Model!$F$13)</f>
        <v>1713.2490359420954</v>
      </c>
      <c r="B3005" s="31">
        <f ca="1">Model!$F$14+RAND()*(Model!$G$14-Model!$F$14)</f>
        <v>0.34401383396806129</v>
      </c>
      <c r="C3005" s="32">
        <f ca="1">Model!$F$15+RAND()*(Model!$G$15-Model!$F$15)</f>
        <v>2.3665407828447921E-2</v>
      </c>
      <c r="D3005" s="33">
        <f ca="1">Model!$F$16+RAND()*(Model!$G$16-Model!$F$16)</f>
        <v>50.324256033406861</v>
      </c>
      <c r="E3005" s="33">
        <f>Model!$D$17</f>
        <v>800</v>
      </c>
      <c r="G3005" s="36">
        <f t="shared" ca="1" si="49"/>
        <v>651.00236360961685</v>
      </c>
    </row>
    <row r="3006" spans="1:7" x14ac:dyDescent="0.2">
      <c r="A3006" s="6">
        <f ca="1">Model!$F$13+RAND()*(Model!$G$13-Model!$F$13)</f>
        <v>1661.9180215552271</v>
      </c>
      <c r="B3006" s="31">
        <f ca="1">Model!$F$14+RAND()*(Model!$G$14-Model!$F$14)</f>
        <v>0.51304269207154252</v>
      </c>
      <c r="C3006" s="32">
        <f ca="1">Model!$F$15+RAND()*(Model!$G$15-Model!$F$15)</f>
        <v>1.1421216362107441E-2</v>
      </c>
      <c r="D3006" s="33">
        <f ca="1">Model!$F$16+RAND()*(Model!$G$16-Model!$F$16)</f>
        <v>47.015475681191454</v>
      </c>
      <c r="E3006" s="33">
        <f>Model!$D$17</f>
        <v>800</v>
      </c>
      <c r="G3006" s="36">
        <f t="shared" ca="1" si="49"/>
        <v>-760.22826082451752</v>
      </c>
    </row>
    <row r="3007" spans="1:7" x14ac:dyDescent="0.2">
      <c r="A3007" s="6">
        <f ca="1">Model!$F$13+RAND()*(Model!$G$13-Model!$F$13)</f>
        <v>1755.5924740231171</v>
      </c>
      <c r="B3007" s="31">
        <f ca="1">Model!$F$14+RAND()*(Model!$G$14-Model!$F$14)</f>
        <v>0.7808565135850345</v>
      </c>
      <c r="C3007" s="32">
        <f ca="1">Model!$F$15+RAND()*(Model!$G$15-Model!$F$15)</f>
        <v>1.9415968079437199E-2</v>
      </c>
      <c r="D3007" s="33">
        <f ca="1">Model!$F$16+RAND()*(Model!$G$16-Model!$F$16)</f>
        <v>51.711068555434458</v>
      </c>
      <c r="E3007" s="33">
        <f>Model!$D$17</f>
        <v>800</v>
      </c>
      <c r="G3007" s="36">
        <f t="shared" ca="1" si="49"/>
        <v>-408.21506147524406</v>
      </c>
    </row>
    <row r="3008" spans="1:7" x14ac:dyDescent="0.2">
      <c r="A3008" s="6">
        <f ca="1">Model!$F$13+RAND()*(Model!$G$13-Model!$F$13)</f>
        <v>1512.2331798048531</v>
      </c>
      <c r="B3008" s="31">
        <f ca="1">Model!$F$14+RAND()*(Model!$G$14-Model!$F$14)</f>
        <v>0.66187558026662996</v>
      </c>
      <c r="C3008" s="32">
        <f ca="1">Model!$F$15+RAND()*(Model!$G$15-Model!$F$15)</f>
        <v>3.4093672744790457E-2</v>
      </c>
      <c r="D3008" s="33">
        <f ca="1">Model!$F$16+RAND()*(Model!$G$16-Model!$F$16)</f>
        <v>48.152787982572264</v>
      </c>
      <c r="E3008" s="33">
        <f>Model!$D$17</f>
        <v>800</v>
      </c>
      <c r="G3008" s="36">
        <f t="shared" ca="1" si="49"/>
        <v>681.73115674526844</v>
      </c>
    </row>
    <row r="3009" spans="1:7" x14ac:dyDescent="0.2">
      <c r="A3009" s="6">
        <f ca="1">Model!$F$13+RAND()*(Model!$G$13-Model!$F$13)</f>
        <v>1737.9926257788411</v>
      </c>
      <c r="B3009" s="31">
        <f ca="1">Model!$F$14+RAND()*(Model!$G$14-Model!$F$14)</f>
        <v>0.58039096860263895</v>
      </c>
      <c r="C3009" s="32">
        <f ca="1">Model!$F$15+RAND()*(Model!$G$15-Model!$F$15)</f>
        <v>1.1266984761149748E-2</v>
      </c>
      <c r="D3009" s="33">
        <f ca="1">Model!$F$16+RAND()*(Model!$G$16-Model!$F$16)</f>
        <v>50.282825048978282</v>
      </c>
      <c r="E3009" s="33">
        <f>Model!$D$17</f>
        <v>800</v>
      </c>
      <c r="G3009" s="36">
        <f t="shared" ca="1" si="49"/>
        <v>-824.0801398881805</v>
      </c>
    </row>
    <row r="3010" spans="1:7" x14ac:dyDescent="0.2">
      <c r="A3010" s="6">
        <f ca="1">Model!$F$13+RAND()*(Model!$G$13-Model!$F$13)</f>
        <v>1341.8305347622465</v>
      </c>
      <c r="B3010" s="31">
        <f ca="1">Model!$F$14+RAND()*(Model!$G$14-Model!$F$14)</f>
        <v>0.29657568332747647</v>
      </c>
      <c r="C3010" s="32">
        <f ca="1">Model!$F$15+RAND()*(Model!$G$15-Model!$F$15)</f>
        <v>4.4671545175940117E-2</v>
      </c>
      <c r="D3010" s="33">
        <f ca="1">Model!$F$16+RAND()*(Model!$G$16-Model!$F$16)</f>
        <v>51.256765545205894</v>
      </c>
      <c r="E3010" s="33">
        <f>Model!$D$17</f>
        <v>800</v>
      </c>
      <c r="G3010" s="36">
        <f t="shared" ca="1" si="49"/>
        <v>1874.4604519355162</v>
      </c>
    </row>
    <row r="3011" spans="1:7" x14ac:dyDescent="0.2">
      <c r="A3011" s="6">
        <f ca="1">Model!$F$13+RAND()*(Model!$G$13-Model!$F$13)</f>
        <v>1755.9541773888375</v>
      </c>
      <c r="B3011" s="31">
        <f ca="1">Model!$F$14+RAND()*(Model!$G$14-Model!$F$14)</f>
        <v>0.41677523091935675</v>
      </c>
      <c r="C3011" s="32">
        <f ca="1">Model!$F$15+RAND()*(Model!$G$15-Model!$F$15)</f>
        <v>3.7584795668229906E-2</v>
      </c>
      <c r="D3011" s="33">
        <f ca="1">Model!$F$16+RAND()*(Model!$G$16-Model!$F$16)</f>
        <v>47.631746932181912</v>
      </c>
      <c r="E3011" s="33">
        <f>Model!$D$17</f>
        <v>800</v>
      </c>
      <c r="G3011" s="36">
        <f t="shared" ca="1" si="49"/>
        <v>1611.7227186924642</v>
      </c>
    </row>
    <row r="3012" spans="1:7" x14ac:dyDescent="0.2">
      <c r="A3012" s="6">
        <f ca="1">Model!$F$13+RAND()*(Model!$G$13-Model!$F$13)</f>
        <v>1337.9934769038121</v>
      </c>
      <c r="B3012" s="31">
        <f ca="1">Model!$F$14+RAND()*(Model!$G$14-Model!$F$14)</f>
        <v>0.73046523392182894</v>
      </c>
      <c r="C3012" s="32">
        <f ca="1">Model!$F$15+RAND()*(Model!$G$15-Model!$F$15)</f>
        <v>4.7532444202635096E-2</v>
      </c>
      <c r="D3012" s="33">
        <f ca="1">Model!$F$16+RAND()*(Model!$G$16-Model!$F$16)</f>
        <v>51.01912305153536</v>
      </c>
      <c r="E3012" s="33">
        <f>Model!$D$17</f>
        <v>800</v>
      </c>
      <c r="G3012" s="36">
        <f t="shared" ca="1" si="49"/>
        <v>1467.3615861622943</v>
      </c>
    </row>
    <row r="3013" spans="1:7" x14ac:dyDescent="0.2">
      <c r="A3013" s="6">
        <f ca="1">Model!$F$13+RAND()*(Model!$G$13-Model!$F$13)</f>
        <v>1546.1833178484842</v>
      </c>
      <c r="B3013" s="31">
        <f ca="1">Model!$F$14+RAND()*(Model!$G$14-Model!$F$14)</f>
        <v>0.37600601954307422</v>
      </c>
      <c r="C3013" s="32">
        <f ca="1">Model!$F$15+RAND()*(Model!$G$15-Model!$F$15)</f>
        <v>1.1961987670826972E-2</v>
      </c>
      <c r="D3013" s="33">
        <f ca="1">Model!$F$16+RAND()*(Model!$G$16-Model!$F$16)</f>
        <v>51.961762866313002</v>
      </c>
      <c r="E3013" s="33">
        <f>Model!$D$17</f>
        <v>800</v>
      </c>
      <c r="G3013" s="36">
        <f t="shared" ca="1" si="49"/>
        <v>-420.31930607946992</v>
      </c>
    </row>
    <row r="3014" spans="1:7" x14ac:dyDescent="0.2">
      <c r="A3014" s="6">
        <f ca="1">Model!$F$13+RAND()*(Model!$G$13-Model!$F$13)</f>
        <v>1711.9064663830377</v>
      </c>
      <c r="B3014" s="31">
        <f ca="1">Model!$F$14+RAND()*(Model!$G$14-Model!$F$14)</f>
        <v>0.59763735882569236</v>
      </c>
      <c r="C3014" s="32">
        <f ca="1">Model!$F$15+RAND()*(Model!$G$15-Model!$F$15)</f>
        <v>2.6371842335093716E-2</v>
      </c>
      <c r="D3014" s="33">
        <f ca="1">Model!$F$16+RAND()*(Model!$G$16-Model!$F$16)</f>
        <v>50.642627512129117</v>
      </c>
      <c r="E3014" s="33">
        <f>Model!$D$17</f>
        <v>800</v>
      </c>
      <c r="G3014" s="36">
        <f t="shared" ca="1" si="49"/>
        <v>463.21925561693456</v>
      </c>
    </row>
    <row r="3015" spans="1:7" x14ac:dyDescent="0.2">
      <c r="A3015" s="6">
        <f ca="1">Model!$F$13+RAND()*(Model!$G$13-Model!$F$13)</f>
        <v>1799.2874930185703</v>
      </c>
      <c r="B3015" s="31">
        <f ca="1">Model!$F$14+RAND()*(Model!$G$14-Model!$F$14)</f>
        <v>0.62284980394355471</v>
      </c>
      <c r="C3015" s="32">
        <f ca="1">Model!$F$15+RAND()*(Model!$G$15-Model!$F$15)</f>
        <v>2.6256982753411519E-2</v>
      </c>
      <c r="D3015" s="33">
        <f ca="1">Model!$F$16+RAND()*(Model!$G$16-Model!$F$16)</f>
        <v>48.897249785958344</v>
      </c>
      <c r="E3015" s="33">
        <f>Model!$D$17</f>
        <v>800</v>
      </c>
      <c r="G3015" s="36">
        <f t="shared" ca="1" si="49"/>
        <v>389.4089938972927</v>
      </c>
    </row>
    <row r="3016" spans="1:7" x14ac:dyDescent="0.2">
      <c r="A3016" s="6">
        <f ca="1">Model!$F$13+RAND()*(Model!$G$13-Model!$F$13)</f>
        <v>1553.8910027886859</v>
      </c>
      <c r="B3016" s="31">
        <f ca="1">Model!$F$14+RAND()*(Model!$G$14-Model!$F$14)</f>
        <v>0.45375274115116804</v>
      </c>
      <c r="C3016" s="32">
        <f ca="1">Model!$F$15+RAND()*(Model!$G$15-Model!$F$15)</f>
        <v>2.7824435338401912E-2</v>
      </c>
      <c r="D3016" s="33">
        <f ca="1">Model!$F$16+RAND()*(Model!$G$16-Model!$F$16)</f>
        <v>48.290817892073186</v>
      </c>
      <c r="E3016" s="33">
        <f>Model!$D$17</f>
        <v>800</v>
      </c>
      <c r="G3016" s="36">
        <f t="shared" ca="1" si="49"/>
        <v>582.82624809304025</v>
      </c>
    </row>
    <row r="3017" spans="1:7" x14ac:dyDescent="0.2">
      <c r="A3017" s="6">
        <f ca="1">Model!$F$13+RAND()*(Model!$G$13-Model!$F$13)</f>
        <v>1692.0363639912919</v>
      </c>
      <c r="B3017" s="31">
        <f ca="1">Model!$F$14+RAND()*(Model!$G$14-Model!$F$14)</f>
        <v>0.32835550009726644</v>
      </c>
      <c r="C3017" s="32">
        <f ca="1">Model!$F$15+RAND()*(Model!$G$15-Model!$F$15)</f>
        <v>1.0189957804083246E-2</v>
      </c>
      <c r="D3017" s="33">
        <f ca="1">Model!$F$16+RAND()*(Model!$G$16-Model!$F$16)</f>
        <v>51.928668007438333</v>
      </c>
      <c r="E3017" s="33">
        <f>Model!$D$17</f>
        <v>800</v>
      </c>
      <c r="G3017" s="36">
        <f t="shared" ca="1" si="49"/>
        <v>-460.24682103696784</v>
      </c>
    </row>
    <row r="3018" spans="1:7" x14ac:dyDescent="0.2">
      <c r="A3018" s="6">
        <f ca="1">Model!$F$13+RAND()*(Model!$G$13-Model!$F$13)</f>
        <v>1490.8823380988524</v>
      </c>
      <c r="B3018" s="31">
        <f ca="1">Model!$F$14+RAND()*(Model!$G$14-Model!$F$14)</f>
        <v>0.54170472538296333</v>
      </c>
      <c r="C3018" s="32">
        <f ca="1">Model!$F$15+RAND()*(Model!$G$15-Model!$F$15)</f>
        <v>1.9938358141068906E-2</v>
      </c>
      <c r="D3018" s="33">
        <f ca="1">Model!$F$16+RAND()*(Model!$G$16-Model!$F$16)</f>
        <v>47.523767163962262</v>
      </c>
      <c r="E3018" s="33">
        <f>Model!$D$17</f>
        <v>800</v>
      </c>
      <c r="G3018" s="36">
        <f t="shared" ca="1" si="49"/>
        <v>-194.93857570655791</v>
      </c>
    </row>
    <row r="3019" spans="1:7" x14ac:dyDescent="0.2">
      <c r="A3019" s="6">
        <f ca="1">Model!$F$13+RAND()*(Model!$G$13-Model!$F$13)</f>
        <v>1512.0359687740722</v>
      </c>
      <c r="B3019" s="31">
        <f ca="1">Model!$F$14+RAND()*(Model!$G$14-Model!$F$14)</f>
        <v>0.25647788799311461</v>
      </c>
      <c r="C3019" s="32">
        <f ca="1">Model!$F$15+RAND()*(Model!$G$15-Model!$F$15)</f>
        <v>4.1891510558609943E-2</v>
      </c>
      <c r="D3019" s="33">
        <f ca="1">Model!$F$16+RAND()*(Model!$G$16-Model!$F$16)</f>
        <v>52.359677474629784</v>
      </c>
      <c r="E3019" s="33">
        <f>Model!$D$17</f>
        <v>800</v>
      </c>
      <c r="G3019" s="36">
        <f t="shared" ca="1" si="49"/>
        <v>2128.7351874448686</v>
      </c>
    </row>
    <row r="3020" spans="1:7" x14ac:dyDescent="0.2">
      <c r="A3020" s="6">
        <f ca="1">Model!$F$13+RAND()*(Model!$G$13-Model!$F$13)</f>
        <v>1720.9080025304233</v>
      </c>
      <c r="B3020" s="31">
        <f ca="1">Model!$F$14+RAND()*(Model!$G$14-Model!$F$14)</f>
        <v>0.31084166527966284</v>
      </c>
      <c r="C3020" s="32">
        <f ca="1">Model!$F$15+RAND()*(Model!$G$15-Model!$F$15)</f>
        <v>4.6234989088578052E-2</v>
      </c>
      <c r="D3020" s="33">
        <f ca="1">Model!$F$16+RAND()*(Model!$G$16-Model!$F$16)</f>
        <v>52.559805432260191</v>
      </c>
      <c r="E3020" s="33">
        <f>Model!$D$17</f>
        <v>800</v>
      </c>
      <c r="G3020" s="36">
        <f t="shared" ca="1" si="49"/>
        <v>2847.0521222257057</v>
      </c>
    </row>
    <row r="3021" spans="1:7" x14ac:dyDescent="0.2">
      <c r="A3021" s="6">
        <f ca="1">Model!$F$13+RAND()*(Model!$G$13-Model!$F$13)</f>
        <v>1680.5084248529074</v>
      </c>
      <c r="B3021" s="31">
        <f ca="1">Model!$F$14+RAND()*(Model!$G$14-Model!$F$14)</f>
        <v>0.28502646015484046</v>
      </c>
      <c r="C3021" s="32">
        <f ca="1">Model!$F$15+RAND()*(Model!$G$15-Model!$F$15)</f>
        <v>4.0976280904995423E-2</v>
      </c>
      <c r="D3021" s="33">
        <f ca="1">Model!$F$16+RAND()*(Model!$G$16-Model!$F$16)</f>
        <v>52.267936662181334</v>
      </c>
      <c r="E3021" s="33">
        <f>Model!$D$17</f>
        <v>800</v>
      </c>
      <c r="G3021" s="36">
        <f t="shared" ca="1" si="49"/>
        <v>2320.2322495134003</v>
      </c>
    </row>
    <row r="3022" spans="1:7" x14ac:dyDescent="0.2">
      <c r="A3022" s="6">
        <f ca="1">Model!$F$13+RAND()*(Model!$G$13-Model!$F$13)</f>
        <v>1312.4027737549397</v>
      </c>
      <c r="B3022" s="31">
        <f ca="1">Model!$F$14+RAND()*(Model!$G$14-Model!$F$14)</f>
        <v>0.71909676718937754</v>
      </c>
      <c r="C3022" s="32">
        <f ca="1">Model!$F$15+RAND()*(Model!$G$15-Model!$F$15)</f>
        <v>4.2456103070508226E-2</v>
      </c>
      <c r="D3022" s="33">
        <f ca="1">Model!$F$16+RAND()*(Model!$G$16-Model!$F$16)</f>
        <v>47.576083786272207</v>
      </c>
      <c r="E3022" s="33">
        <f>Model!$D$17</f>
        <v>800</v>
      </c>
      <c r="G3022" s="36">
        <f t="shared" ca="1" si="49"/>
        <v>907.17136228377126</v>
      </c>
    </row>
    <row r="3023" spans="1:7" x14ac:dyDescent="0.2">
      <c r="A3023" s="6">
        <f ca="1">Model!$F$13+RAND()*(Model!$G$13-Model!$F$13)</f>
        <v>1307.2856964324624</v>
      </c>
      <c r="B3023" s="31">
        <f ca="1">Model!$F$14+RAND()*(Model!$G$14-Model!$F$14)</f>
        <v>0.70743891819251203</v>
      </c>
      <c r="C3023" s="32">
        <f ca="1">Model!$F$15+RAND()*(Model!$G$15-Model!$F$15)</f>
        <v>4.5810548357344404E-2</v>
      </c>
      <c r="D3023" s="33">
        <f ca="1">Model!$F$16+RAND()*(Model!$G$16-Model!$F$16)</f>
        <v>48.57433879874452</v>
      </c>
      <c r="E3023" s="33">
        <f>Model!$D$17</f>
        <v>800</v>
      </c>
      <c r="G3023" s="36">
        <f t="shared" ca="1" si="49"/>
        <v>1184.1697028141411</v>
      </c>
    </row>
    <row r="3024" spans="1:7" x14ac:dyDescent="0.2">
      <c r="A3024" s="6">
        <f ca="1">Model!$F$13+RAND()*(Model!$G$13-Model!$F$13)</f>
        <v>1757.8904417022768</v>
      </c>
      <c r="B3024" s="31">
        <f ca="1">Model!$F$14+RAND()*(Model!$G$14-Model!$F$14)</f>
        <v>0.46050627009944212</v>
      </c>
      <c r="C3024" s="32">
        <f ca="1">Model!$F$15+RAND()*(Model!$G$15-Model!$F$15)</f>
        <v>3.2118727431418768E-2</v>
      </c>
      <c r="D3024" s="33">
        <f ca="1">Model!$F$16+RAND()*(Model!$G$16-Model!$F$16)</f>
        <v>48.273712077252476</v>
      </c>
      <c r="E3024" s="33">
        <f>Model!$D$17</f>
        <v>800</v>
      </c>
      <c r="G3024" s="36">
        <f t="shared" ca="1" si="49"/>
        <v>1116.0723325298436</v>
      </c>
    </row>
    <row r="3025" spans="1:7" x14ac:dyDescent="0.2">
      <c r="A3025" s="6">
        <f ca="1">Model!$F$13+RAND()*(Model!$G$13-Model!$F$13)</f>
        <v>1325.4583580523833</v>
      </c>
      <c r="B3025" s="31">
        <f ca="1">Model!$F$14+RAND()*(Model!$G$14-Model!$F$14)</f>
        <v>0.73864183899997937</v>
      </c>
      <c r="C3025" s="32">
        <f ca="1">Model!$F$15+RAND()*(Model!$G$15-Model!$F$15)</f>
        <v>1.2746415288025191E-2</v>
      </c>
      <c r="D3025" s="33">
        <f ca="1">Model!$F$16+RAND()*(Model!$G$16-Model!$F$16)</f>
        <v>50.385891424768175</v>
      </c>
      <c r="E3025" s="33">
        <f>Model!$D$17</f>
        <v>800</v>
      </c>
      <c r="G3025" s="36">
        <f t="shared" ca="1" si="49"/>
        <v>-927.77729026119675</v>
      </c>
    </row>
    <row r="3026" spans="1:7" x14ac:dyDescent="0.2">
      <c r="A3026" s="6">
        <f ca="1">Model!$F$13+RAND()*(Model!$G$13-Model!$F$13)</f>
        <v>1458.8203437758152</v>
      </c>
      <c r="B3026" s="31">
        <f ca="1">Model!$F$14+RAND()*(Model!$G$14-Model!$F$14)</f>
        <v>0.35658723742152326</v>
      </c>
      <c r="C3026" s="32">
        <f ca="1">Model!$F$15+RAND()*(Model!$G$15-Model!$F$15)</f>
        <v>4.153213565915026E-2</v>
      </c>
      <c r="D3026" s="33">
        <f ca="1">Model!$F$16+RAND()*(Model!$G$16-Model!$F$16)</f>
        <v>51.567512910639167</v>
      </c>
      <c r="E3026" s="33">
        <f>Model!$D$17</f>
        <v>800</v>
      </c>
      <c r="G3026" s="36">
        <f t="shared" ca="1" si="49"/>
        <v>1804.1718584771538</v>
      </c>
    </row>
    <row r="3027" spans="1:7" x14ac:dyDescent="0.2">
      <c r="A3027" s="6">
        <f ca="1">Model!$F$13+RAND()*(Model!$G$13-Model!$F$13)</f>
        <v>1447.6882215662772</v>
      </c>
      <c r="B3027" s="31">
        <f ca="1">Model!$F$14+RAND()*(Model!$G$14-Model!$F$14)</f>
        <v>0.69881061594466831</v>
      </c>
      <c r="C3027" s="32">
        <f ca="1">Model!$F$15+RAND()*(Model!$G$15-Model!$F$15)</f>
        <v>1.7780905487854382E-2</v>
      </c>
      <c r="D3027" s="33">
        <f ca="1">Model!$F$16+RAND()*(Model!$G$16-Model!$F$16)</f>
        <v>50.353923835512695</v>
      </c>
      <c r="E3027" s="33">
        <f>Model!$D$17</f>
        <v>800</v>
      </c>
      <c r="G3027" s="36">
        <f t="shared" ca="1" si="49"/>
        <v>-515.4890987619242</v>
      </c>
    </row>
    <row r="3028" spans="1:7" x14ac:dyDescent="0.2">
      <c r="A3028" s="6">
        <f ca="1">Model!$F$13+RAND()*(Model!$G$13-Model!$F$13)</f>
        <v>1486.4180164946572</v>
      </c>
      <c r="B3028" s="31">
        <f ca="1">Model!$F$14+RAND()*(Model!$G$14-Model!$F$14)</f>
        <v>0.25382400317312409</v>
      </c>
      <c r="C3028" s="32">
        <f ca="1">Model!$F$15+RAND()*(Model!$G$15-Model!$F$15)</f>
        <v>2.1724940835050451E-2</v>
      </c>
      <c r="D3028" s="33">
        <f ca="1">Model!$F$16+RAND()*(Model!$G$16-Model!$F$16)</f>
        <v>49.463929185228608</v>
      </c>
      <c r="E3028" s="33">
        <f>Model!$D$17</f>
        <v>800</v>
      </c>
      <c r="G3028" s="36">
        <f t="shared" ca="1" si="49"/>
        <v>420.01761901775308</v>
      </c>
    </row>
    <row r="3029" spans="1:7" x14ac:dyDescent="0.2">
      <c r="A3029" s="6">
        <f ca="1">Model!$F$13+RAND()*(Model!$G$13-Model!$F$13)</f>
        <v>1259.1368065920371</v>
      </c>
      <c r="B3029" s="31">
        <f ca="1">Model!$F$14+RAND()*(Model!$G$14-Model!$F$14)</f>
        <v>0.67716036793662004</v>
      </c>
      <c r="C3029" s="32">
        <f ca="1">Model!$F$15+RAND()*(Model!$G$15-Model!$F$15)</f>
        <v>1.6433159399820541E-2</v>
      </c>
      <c r="D3029" s="33">
        <f ca="1">Model!$F$16+RAND()*(Model!$G$16-Model!$F$16)</f>
        <v>52.08304564584131</v>
      </c>
      <c r="E3029" s="33">
        <f>Model!$D$17</f>
        <v>800</v>
      </c>
      <c r="G3029" s="36">
        <f t="shared" ca="1" si="49"/>
        <v>-574.95621215043138</v>
      </c>
    </row>
    <row r="3030" spans="1:7" x14ac:dyDescent="0.2">
      <c r="A3030" s="6">
        <f ca="1">Model!$F$13+RAND()*(Model!$G$13-Model!$F$13)</f>
        <v>1696.0205579684289</v>
      </c>
      <c r="B3030" s="31">
        <f ca="1">Model!$F$14+RAND()*(Model!$G$14-Model!$F$14)</f>
        <v>0.38681549168229767</v>
      </c>
      <c r="C3030" s="32">
        <f ca="1">Model!$F$15+RAND()*(Model!$G$15-Model!$F$15)</f>
        <v>2.7354328573048751E-2</v>
      </c>
      <c r="D3030" s="33">
        <f ca="1">Model!$F$16+RAND()*(Model!$G$16-Model!$F$16)</f>
        <v>48.082478131278648</v>
      </c>
      <c r="E3030" s="33">
        <f>Model!$D$17</f>
        <v>800</v>
      </c>
      <c r="G3030" s="36">
        <f t="shared" ca="1" si="49"/>
        <v>774.6675966943892</v>
      </c>
    </row>
    <row r="3031" spans="1:7" x14ac:dyDescent="0.2">
      <c r="A3031" s="6">
        <f ca="1">Model!$F$13+RAND()*(Model!$G$13-Model!$F$13)</f>
        <v>1308.2199948878513</v>
      </c>
      <c r="B3031" s="31">
        <f ca="1">Model!$F$14+RAND()*(Model!$G$14-Model!$F$14)</f>
        <v>0.60519142050229835</v>
      </c>
      <c r="C3031" s="32">
        <f ca="1">Model!$F$15+RAND()*(Model!$G$15-Model!$F$15)</f>
        <v>3.4863628972396928E-2</v>
      </c>
      <c r="D3031" s="33">
        <f ca="1">Model!$F$16+RAND()*(Model!$G$16-Model!$F$16)</f>
        <v>49.02618483135722</v>
      </c>
      <c r="E3031" s="33">
        <f>Model!$D$17</f>
        <v>800</v>
      </c>
      <c r="G3031" s="36">
        <f t="shared" ca="1" si="49"/>
        <v>644.3262839879169</v>
      </c>
    </row>
    <row r="3032" spans="1:7" x14ac:dyDescent="0.2">
      <c r="A3032" s="6">
        <f ca="1">Model!$F$13+RAND()*(Model!$G$13-Model!$F$13)</f>
        <v>1350.37147925711</v>
      </c>
      <c r="B3032" s="31">
        <f ca="1">Model!$F$14+RAND()*(Model!$G$14-Model!$F$14)</f>
        <v>0.42596812012833235</v>
      </c>
      <c r="C3032" s="32">
        <f ca="1">Model!$F$15+RAND()*(Model!$G$15-Model!$F$15)</f>
        <v>1.7892492229537267E-2</v>
      </c>
      <c r="D3032" s="33">
        <f ca="1">Model!$F$16+RAND()*(Model!$G$16-Model!$F$16)</f>
        <v>50.652988531059975</v>
      </c>
      <c r="E3032" s="33">
        <f>Model!$D$17</f>
        <v>800</v>
      </c>
      <c r="G3032" s="36">
        <f t="shared" ca="1" si="49"/>
        <v>-151.36245080782351</v>
      </c>
    </row>
    <row r="3033" spans="1:7" x14ac:dyDescent="0.2">
      <c r="A3033" s="6">
        <f ca="1">Model!$F$13+RAND()*(Model!$G$13-Model!$F$13)</f>
        <v>1643.1974144184005</v>
      </c>
      <c r="B3033" s="31">
        <f ca="1">Model!$F$14+RAND()*(Model!$G$14-Model!$F$14)</f>
        <v>0.51956621964347316</v>
      </c>
      <c r="C3033" s="32">
        <f ca="1">Model!$F$15+RAND()*(Model!$G$15-Model!$F$15)</f>
        <v>1.9099570019132001E-2</v>
      </c>
      <c r="D3033" s="33">
        <f ca="1">Model!$F$16+RAND()*(Model!$G$16-Model!$F$16)</f>
        <v>52.362984065238678</v>
      </c>
      <c r="E3033" s="33">
        <f>Model!$D$17</f>
        <v>800</v>
      </c>
      <c r="G3033" s="36">
        <f t="shared" ca="1" si="49"/>
        <v>-10.370912940607013</v>
      </c>
    </row>
    <row r="3034" spans="1:7" x14ac:dyDescent="0.2">
      <c r="A3034" s="6">
        <f ca="1">Model!$F$13+RAND()*(Model!$G$13-Model!$F$13)</f>
        <v>1779.4406446120788</v>
      </c>
      <c r="B3034" s="31">
        <f ca="1">Model!$F$14+RAND()*(Model!$G$14-Model!$F$14)</f>
        <v>0.60876773885082136</v>
      </c>
      <c r="C3034" s="32">
        <f ca="1">Model!$F$15+RAND()*(Model!$G$15-Model!$F$15)</f>
        <v>4.726386324663983E-2</v>
      </c>
      <c r="D3034" s="33">
        <f ca="1">Model!$F$16+RAND()*(Model!$G$16-Model!$F$16)</f>
        <v>50.13065430164712</v>
      </c>
      <c r="E3034" s="33">
        <f>Model!$D$17</f>
        <v>800</v>
      </c>
      <c r="G3034" s="36">
        <f t="shared" ca="1" si="49"/>
        <v>2332.8843564778635</v>
      </c>
    </row>
    <row r="3035" spans="1:7" x14ac:dyDescent="0.2">
      <c r="A3035" s="6">
        <f ca="1">Model!$F$13+RAND()*(Model!$G$13-Model!$F$13)</f>
        <v>1582.9348504680984</v>
      </c>
      <c r="B3035" s="31">
        <f ca="1">Model!$F$14+RAND()*(Model!$G$14-Model!$F$14)</f>
        <v>0.35697608162552263</v>
      </c>
      <c r="C3035" s="32">
        <f ca="1">Model!$F$15+RAND()*(Model!$G$15-Model!$F$15)</f>
        <v>2.6882898876109881E-2</v>
      </c>
      <c r="D3035" s="33">
        <f ca="1">Model!$F$16+RAND()*(Model!$G$16-Model!$F$16)</f>
        <v>47.647276404294907</v>
      </c>
      <c r="E3035" s="33">
        <f>Model!$D$17</f>
        <v>800</v>
      </c>
      <c r="G3035" s="36">
        <f t="shared" ca="1" si="49"/>
        <v>662.50648352896792</v>
      </c>
    </row>
    <row r="3036" spans="1:7" x14ac:dyDescent="0.2">
      <c r="A3036" s="6">
        <f ca="1">Model!$F$13+RAND()*(Model!$G$13-Model!$F$13)</f>
        <v>1696.9543196817494</v>
      </c>
      <c r="B3036" s="31">
        <f ca="1">Model!$F$14+RAND()*(Model!$G$14-Model!$F$14)</f>
        <v>0.77325242852356602</v>
      </c>
      <c r="C3036" s="32">
        <f ca="1">Model!$F$15+RAND()*(Model!$G$15-Model!$F$15)</f>
        <v>1.5162333025717071E-2</v>
      </c>
      <c r="D3036" s="33">
        <f ca="1">Model!$F$16+RAND()*(Model!$G$16-Model!$F$16)</f>
        <v>49.88007365242575</v>
      </c>
      <c r="E3036" s="33">
        <f>Model!$D$17</f>
        <v>800</v>
      </c>
      <c r="G3036" s="36">
        <f t="shared" ca="1" si="49"/>
        <v>-828.77040188701858</v>
      </c>
    </row>
    <row r="3037" spans="1:7" x14ac:dyDescent="0.2">
      <c r="A3037" s="6">
        <f ca="1">Model!$F$13+RAND()*(Model!$G$13-Model!$F$13)</f>
        <v>1547.7107363183586</v>
      </c>
      <c r="B3037" s="31">
        <f ca="1">Model!$F$14+RAND()*(Model!$G$14-Model!$F$14)</f>
        <v>0.28688367579617963</v>
      </c>
      <c r="C3037" s="32">
        <f ca="1">Model!$F$15+RAND()*(Model!$G$15-Model!$F$15)</f>
        <v>2.6207844015587546E-2</v>
      </c>
      <c r="D3037" s="33">
        <f ca="1">Model!$F$16+RAND()*(Model!$G$16-Model!$F$16)</f>
        <v>51.902213041684334</v>
      </c>
      <c r="E3037" s="33">
        <f>Model!$D$17</f>
        <v>800</v>
      </c>
      <c r="G3037" s="36">
        <f t="shared" ca="1" si="49"/>
        <v>861.25300554569321</v>
      </c>
    </row>
    <row r="3038" spans="1:7" x14ac:dyDescent="0.2">
      <c r="A3038" s="6">
        <f ca="1">Model!$F$13+RAND()*(Model!$G$13-Model!$F$13)</f>
        <v>1343.4128560723816</v>
      </c>
      <c r="B3038" s="31">
        <f ca="1">Model!$F$14+RAND()*(Model!$G$14-Model!$F$14)</f>
        <v>0.77792851944953578</v>
      </c>
      <c r="C3038" s="32">
        <f ca="1">Model!$F$15+RAND()*(Model!$G$15-Model!$F$15)</f>
        <v>2.3221119393037011E-2</v>
      </c>
      <c r="D3038" s="33">
        <f ca="1">Model!$F$16+RAND()*(Model!$G$16-Model!$F$16)</f>
        <v>48.114826649012258</v>
      </c>
      <c r="E3038" s="33">
        <f>Model!$D$17</f>
        <v>800</v>
      </c>
      <c r="G3038" s="36">
        <f t="shared" ca="1" si="49"/>
        <v>-344.11067802606158</v>
      </c>
    </row>
    <row r="3039" spans="1:7" x14ac:dyDescent="0.2">
      <c r="A3039" s="6">
        <f ca="1">Model!$F$13+RAND()*(Model!$G$13-Model!$F$13)</f>
        <v>1582.9612174047479</v>
      </c>
      <c r="B3039" s="31">
        <f ca="1">Model!$F$14+RAND()*(Model!$G$14-Model!$F$14)</f>
        <v>0.44888897028574792</v>
      </c>
      <c r="C3039" s="32">
        <f ca="1">Model!$F$15+RAND()*(Model!$G$15-Model!$F$15)</f>
        <v>1.052814776799587E-2</v>
      </c>
      <c r="D3039" s="33">
        <f ca="1">Model!$F$16+RAND()*(Model!$G$16-Model!$F$16)</f>
        <v>48.608837162333892</v>
      </c>
      <c r="E3039" s="33">
        <f>Model!$D$17</f>
        <v>800</v>
      </c>
      <c r="G3039" s="36">
        <f t="shared" ca="1" si="49"/>
        <v>-700.47598289089717</v>
      </c>
    </row>
    <row r="3040" spans="1:7" x14ac:dyDescent="0.2">
      <c r="A3040" s="6">
        <f ca="1">Model!$F$13+RAND()*(Model!$G$13-Model!$F$13)</f>
        <v>1490.8645991783358</v>
      </c>
      <c r="B3040" s="31">
        <f ca="1">Model!$F$14+RAND()*(Model!$G$14-Model!$F$14)</f>
        <v>0.70938024584189896</v>
      </c>
      <c r="C3040" s="32">
        <f ca="1">Model!$F$15+RAND()*(Model!$G$15-Model!$F$15)</f>
        <v>2.0970476482695153E-2</v>
      </c>
      <c r="D3040" s="33">
        <f ca="1">Model!$F$16+RAND()*(Model!$G$16-Model!$F$16)</f>
        <v>51.666362071681689</v>
      </c>
      <c r="E3040" s="33">
        <f>Model!$D$17</f>
        <v>800</v>
      </c>
      <c r="G3040" s="36">
        <f t="shared" ca="1" si="49"/>
        <v>-242.28546629182051</v>
      </c>
    </row>
    <row r="3041" spans="1:7" x14ac:dyDescent="0.2">
      <c r="A3041" s="6">
        <f ca="1">Model!$F$13+RAND()*(Model!$G$13-Model!$F$13)</f>
        <v>1642.6525464578829</v>
      </c>
      <c r="B3041" s="31">
        <f ca="1">Model!$F$14+RAND()*(Model!$G$14-Model!$F$14)</f>
        <v>0.7598152284824371</v>
      </c>
      <c r="C3041" s="32">
        <f ca="1">Model!$F$15+RAND()*(Model!$G$15-Model!$F$15)</f>
        <v>2.653407852639187E-2</v>
      </c>
      <c r="D3041" s="33">
        <f ca="1">Model!$F$16+RAND()*(Model!$G$16-Model!$F$16)</f>
        <v>47.017107591145425</v>
      </c>
      <c r="E3041" s="33">
        <f>Model!$D$17</f>
        <v>800</v>
      </c>
      <c r="G3041" s="36">
        <f t="shared" ca="1" si="49"/>
        <v>1.1880041976260145</v>
      </c>
    </row>
    <row r="3042" spans="1:7" x14ac:dyDescent="0.2">
      <c r="A3042" s="6">
        <f ca="1">Model!$F$13+RAND()*(Model!$G$13-Model!$F$13)</f>
        <v>1205.687332005361</v>
      </c>
      <c r="B3042" s="31">
        <f ca="1">Model!$F$14+RAND()*(Model!$G$14-Model!$F$14)</f>
        <v>0.45628905981789714</v>
      </c>
      <c r="C3042" s="32">
        <f ca="1">Model!$F$15+RAND()*(Model!$G$15-Model!$F$15)</f>
        <v>3.5972024194746037E-2</v>
      </c>
      <c r="D3042" s="33">
        <f ca="1">Model!$F$16+RAND()*(Model!$G$16-Model!$F$16)</f>
        <v>48.926905046185674</v>
      </c>
      <c r="E3042" s="33">
        <f>Model!$D$17</f>
        <v>800</v>
      </c>
      <c r="G3042" s="36">
        <f t="shared" ca="1" si="49"/>
        <v>771.86753862020441</v>
      </c>
    </row>
    <row r="3043" spans="1:7" x14ac:dyDescent="0.2">
      <c r="A3043" s="6">
        <f ca="1">Model!$F$13+RAND()*(Model!$G$13-Model!$F$13)</f>
        <v>1756.1745427742269</v>
      </c>
      <c r="B3043" s="31">
        <f ca="1">Model!$F$14+RAND()*(Model!$G$14-Model!$F$14)</f>
        <v>0.65301656655089624</v>
      </c>
      <c r="C3043" s="32">
        <f ca="1">Model!$F$15+RAND()*(Model!$G$15-Model!$F$15)</f>
        <v>1.6042894354166323E-2</v>
      </c>
      <c r="D3043" s="33">
        <f ca="1">Model!$F$16+RAND()*(Model!$G$16-Model!$F$16)</f>
        <v>48.400870035205166</v>
      </c>
      <c r="E3043" s="33">
        <f>Model!$D$17</f>
        <v>800</v>
      </c>
      <c r="G3043" s="36">
        <f t="shared" ca="1" si="49"/>
        <v>-583.15902109929107</v>
      </c>
    </row>
    <row r="3044" spans="1:7" x14ac:dyDescent="0.2">
      <c r="A3044" s="6">
        <f ca="1">Model!$F$13+RAND()*(Model!$G$13-Model!$F$13)</f>
        <v>1756.2693120152189</v>
      </c>
      <c r="B3044" s="31">
        <f ca="1">Model!$F$14+RAND()*(Model!$G$14-Model!$F$14)</f>
        <v>0.45966237266799015</v>
      </c>
      <c r="C3044" s="32">
        <f ca="1">Model!$F$15+RAND()*(Model!$G$15-Model!$F$15)</f>
        <v>2.4407965241577137E-2</v>
      </c>
      <c r="D3044" s="33">
        <f ca="1">Model!$F$16+RAND()*(Model!$G$16-Model!$F$16)</f>
        <v>52.593542931657531</v>
      </c>
      <c r="E3044" s="33">
        <f>Model!$D$17</f>
        <v>800</v>
      </c>
      <c r="G3044" s="36">
        <f t="shared" ca="1" si="49"/>
        <v>647.23439906701401</v>
      </c>
    </row>
    <row r="3045" spans="1:7" x14ac:dyDescent="0.2">
      <c r="A3045" s="6">
        <f ca="1">Model!$F$13+RAND()*(Model!$G$13-Model!$F$13)</f>
        <v>1339.0296291823213</v>
      </c>
      <c r="B3045" s="31">
        <f ca="1">Model!$F$14+RAND()*(Model!$G$14-Model!$F$14)</f>
        <v>0.20398858230322667</v>
      </c>
      <c r="C3045" s="32">
        <f ca="1">Model!$F$15+RAND()*(Model!$G$15-Model!$F$15)</f>
        <v>2.2140856610526668E-2</v>
      </c>
      <c r="D3045" s="33">
        <f ca="1">Model!$F$16+RAND()*(Model!$G$16-Model!$F$16)</f>
        <v>49.589920990213471</v>
      </c>
      <c r="E3045" s="33">
        <f>Model!$D$17</f>
        <v>800</v>
      </c>
      <c r="G3045" s="36">
        <f t="shared" ca="1" si="49"/>
        <v>397.05867486882562</v>
      </c>
    </row>
    <row r="3046" spans="1:7" x14ac:dyDescent="0.2">
      <c r="A3046" s="6">
        <f ca="1">Model!$F$13+RAND()*(Model!$G$13-Model!$F$13)</f>
        <v>1771.378349913351</v>
      </c>
      <c r="B3046" s="31">
        <f ca="1">Model!$F$14+RAND()*(Model!$G$14-Model!$F$14)</f>
        <v>0.78035552007234865</v>
      </c>
      <c r="C3046" s="32">
        <f ca="1">Model!$F$15+RAND()*(Model!$G$15-Model!$F$15)</f>
        <v>1.0368826188352704E-2</v>
      </c>
      <c r="D3046" s="33">
        <f ca="1">Model!$F$16+RAND()*(Model!$G$16-Model!$F$16)</f>
        <v>49.398665921576445</v>
      </c>
      <c r="E3046" s="33">
        <f>Model!$D$17</f>
        <v>800</v>
      </c>
      <c r="G3046" s="36">
        <f t="shared" ca="1" si="49"/>
        <v>-1274.9939339936309</v>
      </c>
    </row>
    <row r="3047" spans="1:7" x14ac:dyDescent="0.2">
      <c r="A3047" s="6">
        <f ca="1">Model!$F$13+RAND()*(Model!$G$13-Model!$F$13)</f>
        <v>1398.5612906295146</v>
      </c>
      <c r="B3047" s="31">
        <f ca="1">Model!$F$14+RAND()*(Model!$G$14-Model!$F$14)</f>
        <v>0.63525297442120443</v>
      </c>
      <c r="C3047" s="32">
        <f ca="1">Model!$F$15+RAND()*(Model!$G$15-Model!$F$15)</f>
        <v>4.5043419412815117E-2</v>
      </c>
      <c r="D3047" s="33">
        <f ca="1">Model!$F$16+RAND()*(Model!$G$16-Model!$F$16)</f>
        <v>52.957547532785675</v>
      </c>
      <c r="E3047" s="33">
        <f>Model!$D$17</f>
        <v>800</v>
      </c>
      <c r="G3047" s="36">
        <f t="shared" ca="1" si="49"/>
        <v>1647.6725331060074</v>
      </c>
    </row>
    <row r="3048" spans="1:7" x14ac:dyDescent="0.2">
      <c r="A3048" s="6">
        <f ca="1">Model!$F$13+RAND()*(Model!$G$13-Model!$F$13)</f>
        <v>1402.8428956112102</v>
      </c>
      <c r="B3048" s="31">
        <f ca="1">Model!$F$14+RAND()*(Model!$G$14-Model!$F$14)</f>
        <v>0.79805994089066701</v>
      </c>
      <c r="C3048" s="32">
        <f ca="1">Model!$F$15+RAND()*(Model!$G$15-Model!$F$15)</f>
        <v>1.6591412271938482E-2</v>
      </c>
      <c r="D3048" s="33">
        <f ca="1">Model!$F$16+RAND()*(Model!$G$16-Model!$F$16)</f>
        <v>50.79143487357927</v>
      </c>
      <c r="E3048" s="33">
        <f>Model!$D$17</f>
        <v>800</v>
      </c>
      <c r="G3048" s="36">
        <f t="shared" ca="1" si="49"/>
        <v>-737.3747153489835</v>
      </c>
    </row>
    <row r="3049" spans="1:7" x14ac:dyDescent="0.2">
      <c r="A3049" s="6">
        <f ca="1">Model!$F$13+RAND()*(Model!$G$13-Model!$F$13)</f>
        <v>1203.1059935683716</v>
      </c>
      <c r="B3049" s="31">
        <f ca="1">Model!$F$14+RAND()*(Model!$G$14-Model!$F$14)</f>
        <v>0.3476676760092211</v>
      </c>
      <c r="C3049" s="32">
        <f ca="1">Model!$F$15+RAND()*(Model!$G$15-Model!$F$15)</f>
        <v>4.1866164033529822E-2</v>
      </c>
      <c r="D3049" s="33">
        <f ca="1">Model!$F$16+RAND()*(Model!$G$16-Model!$F$16)</f>
        <v>51.602331130832006</v>
      </c>
      <c r="E3049" s="33">
        <f>Model!$D$17</f>
        <v>800</v>
      </c>
      <c r="G3049" s="36">
        <f t="shared" ref="G3049:G3112" ca="1" si="50">A3049*C3049*D3049-(E3049+A3049*B3049)</f>
        <v>1380.8990893864348</v>
      </c>
    </row>
    <row r="3050" spans="1:7" x14ac:dyDescent="0.2">
      <c r="A3050" s="6">
        <f ca="1">Model!$F$13+RAND()*(Model!$G$13-Model!$F$13)</f>
        <v>1377.5949306043462</v>
      </c>
      <c r="B3050" s="31">
        <f ca="1">Model!$F$14+RAND()*(Model!$G$14-Model!$F$14)</f>
        <v>0.74886294046084356</v>
      </c>
      <c r="C3050" s="32">
        <f ca="1">Model!$F$15+RAND()*(Model!$G$15-Model!$F$15)</f>
        <v>2.5875222094221766E-2</v>
      </c>
      <c r="D3050" s="33">
        <f ca="1">Model!$F$16+RAND()*(Model!$G$16-Model!$F$16)</f>
        <v>51.218468752332427</v>
      </c>
      <c r="E3050" s="33">
        <f>Model!$D$17</f>
        <v>800</v>
      </c>
      <c r="G3050" s="36">
        <f t="shared" ca="1" si="50"/>
        <v>-5.9180321984786133</v>
      </c>
    </row>
    <row r="3051" spans="1:7" x14ac:dyDescent="0.2">
      <c r="A3051" s="6">
        <f ca="1">Model!$F$13+RAND()*(Model!$G$13-Model!$F$13)</f>
        <v>1288.4167368809572</v>
      </c>
      <c r="B3051" s="31">
        <f ca="1">Model!$F$14+RAND()*(Model!$G$14-Model!$F$14)</f>
        <v>0.55992938341058729</v>
      </c>
      <c r="C3051" s="32">
        <f ca="1">Model!$F$15+RAND()*(Model!$G$15-Model!$F$15)</f>
        <v>3.1967022295190023E-2</v>
      </c>
      <c r="D3051" s="33">
        <f ca="1">Model!$F$16+RAND()*(Model!$G$16-Model!$F$16)</f>
        <v>52.893155219293561</v>
      </c>
      <c r="E3051" s="33">
        <f>Model!$D$17</f>
        <v>800</v>
      </c>
      <c r="G3051" s="36">
        <f t="shared" ca="1" si="50"/>
        <v>657.07987868296573</v>
      </c>
    </row>
    <row r="3052" spans="1:7" x14ac:dyDescent="0.2">
      <c r="A3052" s="6">
        <f ca="1">Model!$F$13+RAND()*(Model!$G$13-Model!$F$13)</f>
        <v>1663.9343577050522</v>
      </c>
      <c r="B3052" s="31">
        <f ca="1">Model!$F$14+RAND()*(Model!$G$14-Model!$F$14)</f>
        <v>0.33592159877282168</v>
      </c>
      <c r="C3052" s="32">
        <f ca="1">Model!$F$15+RAND()*(Model!$G$15-Model!$F$15)</f>
        <v>3.5485880327609236E-2</v>
      </c>
      <c r="D3052" s="33">
        <f ca="1">Model!$F$16+RAND()*(Model!$G$16-Model!$F$16)</f>
        <v>50.956506564271905</v>
      </c>
      <c r="E3052" s="33">
        <f>Model!$D$17</f>
        <v>800</v>
      </c>
      <c r="G3052" s="36">
        <f t="shared" ca="1" si="50"/>
        <v>1649.8353392844638</v>
      </c>
    </row>
    <row r="3053" spans="1:7" x14ac:dyDescent="0.2">
      <c r="A3053" s="6">
        <f ca="1">Model!$F$13+RAND()*(Model!$G$13-Model!$F$13)</f>
        <v>1632.2411342826995</v>
      </c>
      <c r="B3053" s="31">
        <f ca="1">Model!$F$14+RAND()*(Model!$G$14-Model!$F$14)</f>
        <v>0.21448552262013987</v>
      </c>
      <c r="C3053" s="32">
        <f ca="1">Model!$F$15+RAND()*(Model!$G$15-Model!$F$15)</f>
        <v>2.5386157400238238E-2</v>
      </c>
      <c r="D3053" s="33">
        <f ca="1">Model!$F$16+RAND()*(Model!$G$16-Model!$F$16)</f>
        <v>52.867207040342521</v>
      </c>
      <c r="E3053" s="33">
        <f>Model!$D$17</f>
        <v>800</v>
      </c>
      <c r="G3053" s="36">
        <f t="shared" ca="1" si="50"/>
        <v>1040.5309628790906</v>
      </c>
    </row>
    <row r="3054" spans="1:7" x14ac:dyDescent="0.2">
      <c r="A3054" s="6">
        <f ca="1">Model!$F$13+RAND()*(Model!$G$13-Model!$F$13)</f>
        <v>1325.3136510124784</v>
      </c>
      <c r="B3054" s="31">
        <f ca="1">Model!$F$14+RAND()*(Model!$G$14-Model!$F$14)</f>
        <v>0.38866140490413836</v>
      </c>
      <c r="C3054" s="32">
        <f ca="1">Model!$F$15+RAND()*(Model!$G$15-Model!$F$15)</f>
        <v>1.9004932431909871E-2</v>
      </c>
      <c r="D3054" s="33">
        <f ca="1">Model!$F$16+RAND()*(Model!$G$16-Model!$F$16)</f>
        <v>50.524496380394986</v>
      </c>
      <c r="E3054" s="33">
        <f>Model!$D$17</f>
        <v>800</v>
      </c>
      <c r="G3054" s="36">
        <f t="shared" ca="1" si="50"/>
        <v>-42.512695425124321</v>
      </c>
    </row>
    <row r="3055" spans="1:7" x14ac:dyDescent="0.2">
      <c r="A3055" s="6">
        <f ca="1">Model!$F$13+RAND()*(Model!$G$13-Model!$F$13)</f>
        <v>1565.1075373443537</v>
      </c>
      <c r="B3055" s="31">
        <f ca="1">Model!$F$14+RAND()*(Model!$G$14-Model!$F$14)</f>
        <v>0.20601284948699916</v>
      </c>
      <c r="C3055" s="32">
        <f ca="1">Model!$F$15+RAND()*(Model!$G$15-Model!$F$15)</f>
        <v>1.004792158827136E-2</v>
      </c>
      <c r="D3055" s="33">
        <f ca="1">Model!$F$16+RAND()*(Model!$G$16-Model!$F$16)</f>
        <v>48.078712086875043</v>
      </c>
      <c r="E3055" s="33">
        <f>Model!$D$17</f>
        <v>800</v>
      </c>
      <c r="G3055" s="36">
        <f t="shared" ca="1" si="50"/>
        <v>-366.34269612138246</v>
      </c>
    </row>
    <row r="3056" spans="1:7" x14ac:dyDescent="0.2">
      <c r="A3056" s="6">
        <f ca="1">Model!$F$13+RAND()*(Model!$G$13-Model!$F$13)</f>
        <v>1439.6441571220046</v>
      </c>
      <c r="B3056" s="31">
        <f ca="1">Model!$F$14+RAND()*(Model!$G$14-Model!$F$14)</f>
        <v>0.42331939182174172</v>
      </c>
      <c r="C3056" s="32">
        <f ca="1">Model!$F$15+RAND()*(Model!$G$15-Model!$F$15)</f>
        <v>4.3115187401080342E-2</v>
      </c>
      <c r="D3056" s="33">
        <f ca="1">Model!$F$16+RAND()*(Model!$G$16-Model!$F$16)</f>
        <v>51.604552297492596</v>
      </c>
      <c r="E3056" s="33">
        <f>Model!$D$17</f>
        <v>800</v>
      </c>
      <c r="G3056" s="36">
        <f t="shared" ca="1" si="50"/>
        <v>1793.6924999342368</v>
      </c>
    </row>
    <row r="3057" spans="1:7" x14ac:dyDescent="0.2">
      <c r="A3057" s="6">
        <f ca="1">Model!$F$13+RAND()*(Model!$G$13-Model!$F$13)</f>
        <v>1502.3083504815258</v>
      </c>
      <c r="B3057" s="31">
        <f ca="1">Model!$F$14+RAND()*(Model!$G$14-Model!$F$14)</f>
        <v>0.73490216819480469</v>
      </c>
      <c r="C3057" s="32">
        <f ca="1">Model!$F$15+RAND()*(Model!$G$15-Model!$F$15)</f>
        <v>3.1281455649388182E-2</v>
      </c>
      <c r="D3057" s="33">
        <f ca="1">Model!$F$16+RAND()*(Model!$G$16-Model!$F$16)</f>
        <v>50.089032382043236</v>
      </c>
      <c r="E3057" s="33">
        <f>Model!$D$17</f>
        <v>800</v>
      </c>
      <c r="G3057" s="36">
        <f t="shared" ca="1" si="50"/>
        <v>449.85396046438836</v>
      </c>
    </row>
    <row r="3058" spans="1:7" x14ac:dyDescent="0.2">
      <c r="A3058" s="6">
        <f ca="1">Model!$F$13+RAND()*(Model!$G$13-Model!$F$13)</f>
        <v>1270.1152335270792</v>
      </c>
      <c r="B3058" s="31">
        <f ca="1">Model!$F$14+RAND()*(Model!$G$14-Model!$F$14)</f>
        <v>0.35841098225151846</v>
      </c>
      <c r="C3058" s="32">
        <f ca="1">Model!$F$15+RAND()*(Model!$G$15-Model!$F$15)</f>
        <v>1.7219775677619439E-2</v>
      </c>
      <c r="D3058" s="33">
        <f ca="1">Model!$F$16+RAND()*(Model!$G$16-Model!$F$16)</f>
        <v>52.711404933682566</v>
      </c>
      <c r="E3058" s="33">
        <f>Model!$D$17</f>
        <v>800</v>
      </c>
      <c r="G3058" s="36">
        <f t="shared" ca="1" si="50"/>
        <v>-102.36687128321796</v>
      </c>
    </row>
    <row r="3059" spans="1:7" x14ac:dyDescent="0.2">
      <c r="A3059" s="6">
        <f ca="1">Model!$F$13+RAND()*(Model!$G$13-Model!$F$13)</f>
        <v>1691.5083166238496</v>
      </c>
      <c r="B3059" s="31">
        <f ca="1">Model!$F$14+RAND()*(Model!$G$14-Model!$F$14)</f>
        <v>0.60950990042281061</v>
      </c>
      <c r="C3059" s="32">
        <f ca="1">Model!$F$15+RAND()*(Model!$G$15-Model!$F$15)</f>
        <v>4.5037513871977457E-2</v>
      </c>
      <c r="D3059" s="33">
        <f ca="1">Model!$F$16+RAND()*(Model!$G$16-Model!$F$16)</f>
        <v>52.902799459533206</v>
      </c>
      <c r="E3059" s="33">
        <f>Model!$D$17</f>
        <v>800</v>
      </c>
      <c r="G3059" s="36">
        <f t="shared" ca="1" si="50"/>
        <v>2199.2145195404091</v>
      </c>
    </row>
    <row r="3060" spans="1:7" x14ac:dyDescent="0.2">
      <c r="A3060" s="6">
        <f ca="1">Model!$F$13+RAND()*(Model!$G$13-Model!$F$13)</f>
        <v>1543.2169785880337</v>
      </c>
      <c r="B3060" s="31">
        <f ca="1">Model!$F$14+RAND()*(Model!$G$14-Model!$F$14)</f>
        <v>0.5518463931234725</v>
      </c>
      <c r="C3060" s="32">
        <f ca="1">Model!$F$15+RAND()*(Model!$G$15-Model!$F$15)</f>
        <v>4.6240492988908248E-2</v>
      </c>
      <c r="D3060" s="33">
        <f ca="1">Model!$F$16+RAND()*(Model!$G$16-Model!$F$16)</f>
        <v>47.817906029434582</v>
      </c>
      <c r="E3060" s="33">
        <f>Model!$D$17</f>
        <v>800</v>
      </c>
      <c r="G3060" s="36">
        <f t="shared" ca="1" si="50"/>
        <v>1760.6246783577558</v>
      </c>
    </row>
    <row r="3061" spans="1:7" x14ac:dyDescent="0.2">
      <c r="A3061" s="6">
        <f ca="1">Model!$F$13+RAND()*(Model!$G$13-Model!$F$13)</f>
        <v>1467.2605634363954</v>
      </c>
      <c r="B3061" s="31">
        <f ca="1">Model!$F$14+RAND()*(Model!$G$14-Model!$F$14)</f>
        <v>0.72178409968904034</v>
      </c>
      <c r="C3061" s="32">
        <f ca="1">Model!$F$15+RAND()*(Model!$G$15-Model!$F$15)</f>
        <v>3.11400789164296E-2</v>
      </c>
      <c r="D3061" s="33">
        <f ca="1">Model!$F$16+RAND()*(Model!$G$16-Model!$F$16)</f>
        <v>50.399771037023584</v>
      </c>
      <c r="E3061" s="33">
        <f>Model!$D$17</f>
        <v>800</v>
      </c>
      <c r="G3061" s="36">
        <f t="shared" ca="1" si="50"/>
        <v>443.75092446609324</v>
      </c>
    </row>
    <row r="3062" spans="1:7" x14ac:dyDescent="0.2">
      <c r="A3062" s="6">
        <f ca="1">Model!$F$13+RAND()*(Model!$G$13-Model!$F$13)</f>
        <v>1767.1503322176302</v>
      </c>
      <c r="B3062" s="31">
        <f ca="1">Model!$F$14+RAND()*(Model!$G$14-Model!$F$14)</f>
        <v>0.56711224201694255</v>
      </c>
      <c r="C3062" s="32">
        <f ca="1">Model!$F$15+RAND()*(Model!$G$15-Model!$F$15)</f>
        <v>3.4239911330252906E-2</v>
      </c>
      <c r="D3062" s="33">
        <f ca="1">Model!$F$16+RAND()*(Model!$G$16-Model!$F$16)</f>
        <v>52.470942567813864</v>
      </c>
      <c r="E3062" s="33">
        <f>Model!$D$17</f>
        <v>800</v>
      </c>
      <c r="G3062" s="36">
        <f t="shared" ca="1" si="50"/>
        <v>1372.6904438357685</v>
      </c>
    </row>
    <row r="3063" spans="1:7" x14ac:dyDescent="0.2">
      <c r="A3063" s="6">
        <f ca="1">Model!$F$13+RAND()*(Model!$G$13-Model!$F$13)</f>
        <v>1334.3058998112556</v>
      </c>
      <c r="B3063" s="31">
        <f ca="1">Model!$F$14+RAND()*(Model!$G$14-Model!$F$14)</f>
        <v>0.27223604954170677</v>
      </c>
      <c r="C3063" s="32">
        <f ca="1">Model!$F$15+RAND()*(Model!$G$15-Model!$F$15)</f>
        <v>1.1885338052444046E-2</v>
      </c>
      <c r="D3063" s="33">
        <f ca="1">Model!$F$16+RAND()*(Model!$G$16-Model!$F$16)</f>
        <v>49.677556247110253</v>
      </c>
      <c r="E3063" s="33">
        <f>Model!$D$17</f>
        <v>800</v>
      </c>
      <c r="G3063" s="36">
        <f t="shared" ca="1" si="50"/>
        <v>-375.42586403949952</v>
      </c>
    </row>
    <row r="3064" spans="1:7" x14ac:dyDescent="0.2">
      <c r="A3064" s="6">
        <f ca="1">Model!$F$13+RAND()*(Model!$G$13-Model!$F$13)</f>
        <v>1753.1752431865375</v>
      </c>
      <c r="B3064" s="31">
        <f ca="1">Model!$F$14+RAND()*(Model!$G$14-Model!$F$14)</f>
        <v>0.78048214696238105</v>
      </c>
      <c r="C3064" s="32">
        <f ca="1">Model!$F$15+RAND()*(Model!$G$15-Model!$F$15)</f>
        <v>4.4367320471149281E-2</v>
      </c>
      <c r="D3064" s="33">
        <f ca="1">Model!$F$16+RAND()*(Model!$G$16-Model!$F$16)</f>
        <v>52.74085115848154</v>
      </c>
      <c r="E3064" s="33">
        <f>Model!$D$17</f>
        <v>800</v>
      </c>
      <c r="G3064" s="36">
        <f t="shared" ca="1" si="50"/>
        <v>1934.0559259961556</v>
      </c>
    </row>
    <row r="3065" spans="1:7" x14ac:dyDescent="0.2">
      <c r="A3065" s="6">
        <f ca="1">Model!$F$13+RAND()*(Model!$G$13-Model!$F$13)</f>
        <v>1750.5591789568343</v>
      </c>
      <c r="B3065" s="31">
        <f ca="1">Model!$F$14+RAND()*(Model!$G$14-Model!$F$14)</f>
        <v>0.6294825675475928</v>
      </c>
      <c r="C3065" s="32">
        <f ca="1">Model!$F$15+RAND()*(Model!$G$15-Model!$F$15)</f>
        <v>2.6294881358569062E-2</v>
      </c>
      <c r="D3065" s="33">
        <f ca="1">Model!$F$16+RAND()*(Model!$G$16-Model!$F$16)</f>
        <v>48.848030955198134</v>
      </c>
      <c r="E3065" s="33">
        <f>Model!$D$17</f>
        <v>800</v>
      </c>
      <c r="G3065" s="36">
        <f t="shared" ca="1" si="50"/>
        <v>346.56481506636646</v>
      </c>
    </row>
    <row r="3066" spans="1:7" x14ac:dyDescent="0.2">
      <c r="A3066" s="6">
        <f ca="1">Model!$F$13+RAND()*(Model!$G$13-Model!$F$13)</f>
        <v>1776.792636896354</v>
      </c>
      <c r="B3066" s="31">
        <f ca="1">Model!$F$14+RAND()*(Model!$G$14-Model!$F$14)</f>
        <v>0.31919869363747377</v>
      </c>
      <c r="C3066" s="32">
        <f ca="1">Model!$F$15+RAND()*(Model!$G$15-Model!$F$15)</f>
        <v>3.8136668209239381E-2</v>
      </c>
      <c r="D3066" s="33">
        <f ca="1">Model!$F$16+RAND()*(Model!$G$16-Model!$F$16)</f>
        <v>49.298673744851612</v>
      </c>
      <c r="E3066" s="33">
        <f>Model!$D$17</f>
        <v>800</v>
      </c>
      <c r="G3066" s="36">
        <f t="shared" ca="1" si="50"/>
        <v>1973.3751407353543</v>
      </c>
    </row>
    <row r="3067" spans="1:7" x14ac:dyDescent="0.2">
      <c r="A3067" s="6">
        <f ca="1">Model!$F$13+RAND()*(Model!$G$13-Model!$F$13)</f>
        <v>1606.3348593954124</v>
      </c>
      <c r="B3067" s="31">
        <f ca="1">Model!$F$14+RAND()*(Model!$G$14-Model!$F$14)</f>
        <v>0.67410304446324587</v>
      </c>
      <c r="C3067" s="32">
        <f ca="1">Model!$F$15+RAND()*(Model!$G$15-Model!$F$15)</f>
        <v>3.3140240704698024E-2</v>
      </c>
      <c r="D3067" s="33">
        <f ca="1">Model!$F$16+RAND()*(Model!$G$16-Model!$F$16)</f>
        <v>48.12432315123003</v>
      </c>
      <c r="E3067" s="33">
        <f>Model!$D$17</f>
        <v>800</v>
      </c>
      <c r="G3067" s="36">
        <f t="shared" ca="1" si="50"/>
        <v>679.0305866041931</v>
      </c>
    </row>
    <row r="3068" spans="1:7" x14ac:dyDescent="0.2">
      <c r="A3068" s="6">
        <f ca="1">Model!$F$13+RAND()*(Model!$G$13-Model!$F$13)</f>
        <v>1305.1684209238576</v>
      </c>
      <c r="B3068" s="31">
        <f ca="1">Model!$F$14+RAND()*(Model!$G$14-Model!$F$14)</f>
        <v>0.51790592916503231</v>
      </c>
      <c r="C3068" s="32">
        <f ca="1">Model!$F$15+RAND()*(Model!$G$15-Model!$F$15)</f>
        <v>2.1860176710887573E-2</v>
      </c>
      <c r="D3068" s="33">
        <f ca="1">Model!$F$16+RAND()*(Model!$G$16-Model!$F$16)</f>
        <v>49.002435069482637</v>
      </c>
      <c r="E3068" s="33">
        <f>Model!$D$17</f>
        <v>800</v>
      </c>
      <c r="G3068" s="36">
        <f t="shared" ca="1" si="50"/>
        <v>-77.855584646592888</v>
      </c>
    </row>
    <row r="3069" spans="1:7" x14ac:dyDescent="0.2">
      <c r="A3069" s="6">
        <f ca="1">Model!$F$13+RAND()*(Model!$G$13-Model!$F$13)</f>
        <v>1787.1964308543318</v>
      </c>
      <c r="B3069" s="31">
        <f ca="1">Model!$F$14+RAND()*(Model!$G$14-Model!$F$14)</f>
        <v>0.24368533562882877</v>
      </c>
      <c r="C3069" s="32">
        <f ca="1">Model!$F$15+RAND()*(Model!$G$15-Model!$F$15)</f>
        <v>3.8551789811626089E-2</v>
      </c>
      <c r="D3069" s="33">
        <f ca="1">Model!$F$16+RAND()*(Model!$G$16-Model!$F$16)</f>
        <v>47.21547502754543</v>
      </c>
      <c r="E3069" s="33">
        <f>Model!$D$17</f>
        <v>800</v>
      </c>
      <c r="G3069" s="36">
        <f t="shared" ca="1" si="50"/>
        <v>2017.6147799348012</v>
      </c>
    </row>
    <row r="3070" spans="1:7" x14ac:dyDescent="0.2">
      <c r="A3070" s="6">
        <f ca="1">Model!$F$13+RAND()*(Model!$G$13-Model!$F$13)</f>
        <v>1656.9765156917565</v>
      </c>
      <c r="B3070" s="31">
        <f ca="1">Model!$F$14+RAND()*(Model!$G$14-Model!$F$14)</f>
        <v>0.22795239509621815</v>
      </c>
      <c r="C3070" s="32">
        <f ca="1">Model!$F$15+RAND()*(Model!$G$15-Model!$F$15)</f>
        <v>4.8499973643745933E-2</v>
      </c>
      <c r="D3070" s="33">
        <f ca="1">Model!$F$16+RAND()*(Model!$G$16-Model!$F$16)</f>
        <v>50.751875992609065</v>
      </c>
      <c r="E3070" s="33">
        <f>Model!$D$17</f>
        <v>800</v>
      </c>
      <c r="G3070" s="36">
        <f t="shared" ca="1" si="50"/>
        <v>2900.8773505915715</v>
      </c>
    </row>
    <row r="3071" spans="1:7" x14ac:dyDescent="0.2">
      <c r="A3071" s="6">
        <f ca="1">Model!$F$13+RAND()*(Model!$G$13-Model!$F$13)</f>
        <v>1703.3272678107862</v>
      </c>
      <c r="B3071" s="31">
        <f ca="1">Model!$F$14+RAND()*(Model!$G$14-Model!$F$14)</f>
        <v>0.35236109844491253</v>
      </c>
      <c r="C3071" s="32">
        <f ca="1">Model!$F$15+RAND()*(Model!$G$15-Model!$F$15)</f>
        <v>3.083375994062517E-2</v>
      </c>
      <c r="D3071" s="33">
        <f ca="1">Model!$F$16+RAND()*(Model!$G$16-Model!$F$16)</f>
        <v>50.125679653791039</v>
      </c>
      <c r="E3071" s="33">
        <f>Model!$D$17</f>
        <v>800</v>
      </c>
      <c r="G3071" s="36">
        <f t="shared" ca="1" si="50"/>
        <v>1232.4136301187391</v>
      </c>
    </row>
    <row r="3072" spans="1:7" x14ac:dyDescent="0.2">
      <c r="A3072" s="6">
        <f ca="1">Model!$F$13+RAND()*(Model!$G$13-Model!$F$13)</f>
        <v>1207.5324648653846</v>
      </c>
      <c r="B3072" s="31">
        <f ca="1">Model!$F$14+RAND()*(Model!$G$14-Model!$F$14)</f>
        <v>0.72031485627158975</v>
      </c>
      <c r="C3072" s="32">
        <f ca="1">Model!$F$15+RAND()*(Model!$G$15-Model!$F$15)</f>
        <v>3.9666456233783121E-2</v>
      </c>
      <c r="D3072" s="33">
        <f ca="1">Model!$F$16+RAND()*(Model!$G$16-Model!$F$16)</f>
        <v>51.358224840931207</v>
      </c>
      <c r="E3072" s="33">
        <f>Model!$D$17</f>
        <v>800</v>
      </c>
      <c r="G3072" s="36">
        <f t="shared" ca="1" si="50"/>
        <v>790.18008782263905</v>
      </c>
    </row>
    <row r="3073" spans="1:7" x14ac:dyDescent="0.2">
      <c r="A3073" s="6">
        <f ca="1">Model!$F$13+RAND()*(Model!$G$13-Model!$F$13)</f>
        <v>1541.2693087730022</v>
      </c>
      <c r="B3073" s="31">
        <f ca="1">Model!$F$14+RAND()*(Model!$G$14-Model!$F$14)</f>
        <v>0.22092843333915932</v>
      </c>
      <c r="C3073" s="32">
        <f ca="1">Model!$F$15+RAND()*(Model!$G$15-Model!$F$15)</f>
        <v>4.3288661206936224E-2</v>
      </c>
      <c r="D3073" s="33">
        <f ca="1">Model!$F$16+RAND()*(Model!$G$16-Model!$F$16)</f>
        <v>51.883308511972864</v>
      </c>
      <c r="E3073" s="33">
        <f>Model!$D$17</f>
        <v>800</v>
      </c>
      <c r="G3073" s="36">
        <f t="shared" ca="1" si="50"/>
        <v>2321.117406959861</v>
      </c>
    </row>
    <row r="3074" spans="1:7" x14ac:dyDescent="0.2">
      <c r="A3074" s="6">
        <f ca="1">Model!$F$13+RAND()*(Model!$G$13-Model!$F$13)</f>
        <v>1763.2125823020594</v>
      </c>
      <c r="B3074" s="31">
        <f ca="1">Model!$F$14+RAND()*(Model!$G$14-Model!$F$14)</f>
        <v>0.60925632964418819</v>
      </c>
      <c r="C3074" s="32">
        <f ca="1">Model!$F$15+RAND()*(Model!$G$15-Model!$F$15)</f>
        <v>3.7764702974923806E-2</v>
      </c>
      <c r="D3074" s="33">
        <f ca="1">Model!$F$16+RAND()*(Model!$G$16-Model!$F$16)</f>
        <v>47.046916828940027</v>
      </c>
      <c r="E3074" s="33">
        <f>Model!$D$17</f>
        <v>800</v>
      </c>
      <c r="G3074" s="36">
        <f t="shared" ca="1" si="50"/>
        <v>1258.4740082279213</v>
      </c>
    </row>
    <row r="3075" spans="1:7" x14ac:dyDescent="0.2">
      <c r="A3075" s="6">
        <f ca="1">Model!$F$13+RAND()*(Model!$G$13-Model!$F$13)</f>
        <v>1210.0230397181901</v>
      </c>
      <c r="B3075" s="31">
        <f ca="1">Model!$F$14+RAND()*(Model!$G$14-Model!$F$14)</f>
        <v>0.70275944660648215</v>
      </c>
      <c r="C3075" s="32">
        <f ca="1">Model!$F$15+RAND()*(Model!$G$15-Model!$F$15)</f>
        <v>1.4791669971714071E-2</v>
      </c>
      <c r="D3075" s="33">
        <f ca="1">Model!$F$16+RAND()*(Model!$G$16-Model!$F$16)</f>
        <v>51.662019167702844</v>
      </c>
      <c r="E3075" s="33">
        <f>Model!$D$17</f>
        <v>800</v>
      </c>
      <c r="G3075" s="36">
        <f t="shared" ca="1" si="50"/>
        <v>-725.69479507148981</v>
      </c>
    </row>
    <row r="3076" spans="1:7" x14ac:dyDescent="0.2">
      <c r="A3076" s="6">
        <f ca="1">Model!$F$13+RAND()*(Model!$G$13-Model!$F$13)</f>
        <v>1274.7757426709022</v>
      </c>
      <c r="B3076" s="31">
        <f ca="1">Model!$F$14+RAND()*(Model!$G$14-Model!$F$14)</f>
        <v>0.26788464756697072</v>
      </c>
      <c r="C3076" s="32">
        <f ca="1">Model!$F$15+RAND()*(Model!$G$15-Model!$F$15)</f>
        <v>3.6056866600501683E-2</v>
      </c>
      <c r="D3076" s="33">
        <f ca="1">Model!$F$16+RAND()*(Model!$G$16-Model!$F$16)</f>
        <v>47.215765427923969</v>
      </c>
      <c r="E3076" s="33">
        <f>Model!$D$17</f>
        <v>800</v>
      </c>
      <c r="G3076" s="36">
        <f t="shared" ca="1" si="50"/>
        <v>1028.7523702155986</v>
      </c>
    </row>
    <row r="3077" spans="1:7" x14ac:dyDescent="0.2">
      <c r="A3077" s="6">
        <f ca="1">Model!$F$13+RAND()*(Model!$G$13-Model!$F$13)</f>
        <v>1755.9892758611422</v>
      </c>
      <c r="B3077" s="31">
        <f ca="1">Model!$F$14+RAND()*(Model!$G$14-Model!$F$14)</f>
        <v>0.52457679801782575</v>
      </c>
      <c r="C3077" s="32">
        <f ca="1">Model!$F$15+RAND()*(Model!$G$15-Model!$F$15)</f>
        <v>3.3356914075051647E-2</v>
      </c>
      <c r="D3077" s="33">
        <f ca="1">Model!$F$16+RAND()*(Model!$G$16-Model!$F$16)</f>
        <v>47.963678636748092</v>
      </c>
      <c r="E3077" s="33">
        <f>Model!$D$17</f>
        <v>800</v>
      </c>
      <c r="G3077" s="36">
        <f t="shared" ca="1" si="50"/>
        <v>1088.2916696560883</v>
      </c>
    </row>
    <row r="3078" spans="1:7" x14ac:dyDescent="0.2">
      <c r="A3078" s="6">
        <f ca="1">Model!$F$13+RAND()*(Model!$G$13-Model!$F$13)</f>
        <v>1207.6688594354789</v>
      </c>
      <c r="B3078" s="31">
        <f ca="1">Model!$F$14+RAND()*(Model!$G$14-Model!$F$14)</f>
        <v>0.53550265379603845</v>
      </c>
      <c r="C3078" s="32">
        <f ca="1">Model!$F$15+RAND()*(Model!$G$15-Model!$F$15)</f>
        <v>4.2122254609277675E-2</v>
      </c>
      <c r="D3078" s="33">
        <f ca="1">Model!$F$16+RAND()*(Model!$G$16-Model!$F$16)</f>
        <v>49.996842469402665</v>
      </c>
      <c r="E3078" s="33">
        <f>Model!$D$17</f>
        <v>800</v>
      </c>
      <c r="G3078" s="36">
        <f t="shared" ca="1" si="50"/>
        <v>1096.6162571620148</v>
      </c>
    </row>
    <row r="3079" spans="1:7" x14ac:dyDescent="0.2">
      <c r="A3079" s="6">
        <f ca="1">Model!$F$13+RAND()*(Model!$G$13-Model!$F$13)</f>
        <v>1216.6256159964871</v>
      </c>
      <c r="B3079" s="31">
        <f ca="1">Model!$F$14+RAND()*(Model!$G$14-Model!$F$14)</f>
        <v>0.59830843840349968</v>
      </c>
      <c r="C3079" s="32">
        <f ca="1">Model!$F$15+RAND()*(Model!$G$15-Model!$F$15)</f>
        <v>4.8413969800416741E-2</v>
      </c>
      <c r="D3079" s="33">
        <f ca="1">Model!$F$16+RAND()*(Model!$G$16-Model!$F$16)</f>
        <v>49.611295959861238</v>
      </c>
      <c r="E3079" s="33">
        <f>Model!$D$17</f>
        <v>800</v>
      </c>
      <c r="G3079" s="36">
        <f t="shared" ca="1" si="50"/>
        <v>1394.2710997682559</v>
      </c>
    </row>
    <row r="3080" spans="1:7" x14ac:dyDescent="0.2">
      <c r="A3080" s="6">
        <f ca="1">Model!$F$13+RAND()*(Model!$G$13-Model!$F$13)</f>
        <v>1483.6476091634104</v>
      </c>
      <c r="B3080" s="31">
        <f ca="1">Model!$F$14+RAND()*(Model!$G$14-Model!$F$14)</f>
        <v>0.25867934762559247</v>
      </c>
      <c r="C3080" s="32">
        <f ca="1">Model!$F$15+RAND()*(Model!$G$15-Model!$F$15)</f>
        <v>2.3818032020235705E-2</v>
      </c>
      <c r="D3080" s="33">
        <f ca="1">Model!$F$16+RAND()*(Model!$G$16-Model!$F$16)</f>
        <v>48.664632929152148</v>
      </c>
      <c r="E3080" s="33">
        <f>Model!$D$17</f>
        <v>800</v>
      </c>
      <c r="G3080" s="36">
        <f t="shared" ca="1" si="50"/>
        <v>535.90069509543969</v>
      </c>
    </row>
    <row r="3081" spans="1:7" x14ac:dyDescent="0.2">
      <c r="A3081" s="6">
        <f ca="1">Model!$F$13+RAND()*(Model!$G$13-Model!$F$13)</f>
        <v>1719.7133388889069</v>
      </c>
      <c r="B3081" s="31">
        <f ca="1">Model!$F$14+RAND()*(Model!$G$14-Model!$F$14)</f>
        <v>0.5860772041576533</v>
      </c>
      <c r="C3081" s="32">
        <f ca="1">Model!$F$15+RAND()*(Model!$G$15-Model!$F$15)</f>
        <v>3.8142612891882435E-2</v>
      </c>
      <c r="D3081" s="33">
        <f ca="1">Model!$F$16+RAND()*(Model!$G$16-Model!$F$16)</f>
        <v>49.944004590754091</v>
      </c>
      <c r="E3081" s="33">
        <f>Model!$D$17</f>
        <v>800</v>
      </c>
      <c r="G3081" s="36">
        <f t="shared" ca="1" si="50"/>
        <v>1468.1602398617201</v>
      </c>
    </row>
    <row r="3082" spans="1:7" x14ac:dyDescent="0.2">
      <c r="A3082" s="6">
        <f ca="1">Model!$F$13+RAND()*(Model!$G$13-Model!$F$13)</f>
        <v>1416.3147880758252</v>
      </c>
      <c r="B3082" s="31">
        <f ca="1">Model!$F$14+RAND()*(Model!$G$14-Model!$F$14)</f>
        <v>0.21036461742466522</v>
      </c>
      <c r="C3082" s="32">
        <f ca="1">Model!$F$15+RAND()*(Model!$G$15-Model!$F$15)</f>
        <v>4.3429225523579307E-2</v>
      </c>
      <c r="D3082" s="33">
        <f ca="1">Model!$F$16+RAND()*(Model!$G$16-Model!$F$16)</f>
        <v>48.574365123567567</v>
      </c>
      <c r="E3082" s="33">
        <f>Model!$D$17</f>
        <v>800</v>
      </c>
      <c r="G3082" s="36">
        <f t="shared" ca="1" si="50"/>
        <v>1889.8401752970619</v>
      </c>
    </row>
    <row r="3083" spans="1:7" x14ac:dyDescent="0.2">
      <c r="A3083" s="6">
        <f ca="1">Model!$F$13+RAND()*(Model!$G$13-Model!$F$13)</f>
        <v>1682.9345819724285</v>
      </c>
      <c r="B3083" s="31">
        <f ca="1">Model!$F$14+RAND()*(Model!$G$14-Model!$F$14)</f>
        <v>0.3329244285793711</v>
      </c>
      <c r="C3083" s="32">
        <f ca="1">Model!$F$15+RAND()*(Model!$G$15-Model!$F$15)</f>
        <v>2.333672437694366E-2</v>
      </c>
      <c r="D3083" s="33">
        <f ca="1">Model!$F$16+RAND()*(Model!$G$16-Model!$F$16)</f>
        <v>47.468140538879695</v>
      </c>
      <c r="E3083" s="33">
        <f>Model!$D$17</f>
        <v>800</v>
      </c>
      <c r="G3083" s="36">
        <f t="shared" ca="1" si="50"/>
        <v>503.98228472028654</v>
      </c>
    </row>
    <row r="3084" spans="1:7" x14ac:dyDescent="0.2">
      <c r="A3084" s="6">
        <f ca="1">Model!$F$13+RAND()*(Model!$G$13-Model!$F$13)</f>
        <v>1775.4180799789046</v>
      </c>
      <c r="B3084" s="31">
        <f ca="1">Model!$F$14+RAND()*(Model!$G$14-Model!$F$14)</f>
        <v>0.29302149014249684</v>
      </c>
      <c r="C3084" s="32">
        <f ca="1">Model!$F$15+RAND()*(Model!$G$15-Model!$F$15)</f>
        <v>4.4923360036068116E-2</v>
      </c>
      <c r="D3084" s="33">
        <f ca="1">Model!$F$16+RAND()*(Model!$G$16-Model!$F$16)</f>
        <v>50.539321921088451</v>
      </c>
      <c r="E3084" s="33">
        <f>Model!$D$17</f>
        <v>800</v>
      </c>
      <c r="G3084" s="36">
        <f t="shared" ca="1" si="50"/>
        <v>2710.6667302407436</v>
      </c>
    </row>
    <row r="3085" spans="1:7" x14ac:dyDescent="0.2">
      <c r="A3085" s="6">
        <f ca="1">Model!$F$13+RAND()*(Model!$G$13-Model!$F$13)</f>
        <v>1633.6059268467034</v>
      </c>
      <c r="B3085" s="31">
        <f ca="1">Model!$F$14+RAND()*(Model!$G$14-Model!$F$14)</f>
        <v>0.45589079015171463</v>
      </c>
      <c r="C3085" s="32">
        <f ca="1">Model!$F$15+RAND()*(Model!$G$15-Model!$F$15)</f>
        <v>4.9423973435581227E-2</v>
      </c>
      <c r="D3085" s="33">
        <f ca="1">Model!$F$16+RAND()*(Model!$G$16-Model!$F$16)</f>
        <v>51.447773861184707</v>
      </c>
      <c r="E3085" s="33">
        <f>Model!$D$17</f>
        <v>800</v>
      </c>
      <c r="G3085" s="36">
        <f t="shared" ca="1" si="50"/>
        <v>2609.1111420690977</v>
      </c>
    </row>
    <row r="3086" spans="1:7" x14ac:dyDescent="0.2">
      <c r="A3086" s="6">
        <f ca="1">Model!$F$13+RAND()*(Model!$G$13-Model!$F$13)</f>
        <v>1229.0469345917732</v>
      </c>
      <c r="B3086" s="31">
        <f ca="1">Model!$F$14+RAND()*(Model!$G$14-Model!$F$14)</f>
        <v>0.56862045784106563</v>
      </c>
      <c r="C3086" s="32">
        <f ca="1">Model!$F$15+RAND()*(Model!$G$15-Model!$F$15)</f>
        <v>4.1333252114385557E-2</v>
      </c>
      <c r="D3086" s="33">
        <f ca="1">Model!$F$16+RAND()*(Model!$G$16-Model!$F$16)</f>
        <v>49.493361005563976</v>
      </c>
      <c r="E3086" s="33">
        <f>Model!$D$17</f>
        <v>800</v>
      </c>
      <c r="G3086" s="36">
        <f t="shared" ca="1" si="50"/>
        <v>1015.4265920530004</v>
      </c>
    </row>
    <row r="3087" spans="1:7" x14ac:dyDescent="0.2">
      <c r="A3087" s="6">
        <f ca="1">Model!$F$13+RAND()*(Model!$G$13-Model!$F$13)</f>
        <v>1517.3957816603088</v>
      </c>
      <c r="B3087" s="31">
        <f ca="1">Model!$F$14+RAND()*(Model!$G$14-Model!$F$14)</f>
        <v>0.56691498369560378</v>
      </c>
      <c r="C3087" s="32">
        <f ca="1">Model!$F$15+RAND()*(Model!$G$15-Model!$F$15)</f>
        <v>3.5413279320709777E-2</v>
      </c>
      <c r="D3087" s="33">
        <f ca="1">Model!$F$16+RAND()*(Model!$G$16-Model!$F$16)</f>
        <v>50.784033088156683</v>
      </c>
      <c r="E3087" s="33">
        <f>Model!$D$17</f>
        <v>800</v>
      </c>
      <c r="G3087" s="36">
        <f t="shared" ca="1" si="50"/>
        <v>1068.6943991586236</v>
      </c>
    </row>
    <row r="3088" spans="1:7" x14ac:dyDescent="0.2">
      <c r="A3088" s="6">
        <f ca="1">Model!$F$13+RAND()*(Model!$G$13-Model!$F$13)</f>
        <v>1532.9408763110496</v>
      </c>
      <c r="B3088" s="31">
        <f ca="1">Model!$F$14+RAND()*(Model!$G$14-Model!$F$14)</f>
        <v>0.36027944597400419</v>
      </c>
      <c r="C3088" s="32">
        <f ca="1">Model!$F$15+RAND()*(Model!$G$15-Model!$F$15)</f>
        <v>3.6329365356804713E-2</v>
      </c>
      <c r="D3088" s="33">
        <f ca="1">Model!$F$16+RAND()*(Model!$G$16-Model!$F$16)</f>
        <v>49.672357409759499</v>
      </c>
      <c r="E3088" s="33">
        <f>Model!$D$17</f>
        <v>800</v>
      </c>
      <c r="G3088" s="36">
        <f t="shared" ca="1" si="50"/>
        <v>1414.0047008039796</v>
      </c>
    </row>
    <row r="3089" spans="1:7" x14ac:dyDescent="0.2">
      <c r="A3089" s="6">
        <f ca="1">Model!$F$13+RAND()*(Model!$G$13-Model!$F$13)</f>
        <v>1601.2702422038205</v>
      </c>
      <c r="B3089" s="31">
        <f ca="1">Model!$F$14+RAND()*(Model!$G$14-Model!$F$14)</f>
        <v>0.51489788595999753</v>
      </c>
      <c r="C3089" s="32">
        <f ca="1">Model!$F$15+RAND()*(Model!$G$15-Model!$F$15)</f>
        <v>2.5583980122103535E-2</v>
      </c>
      <c r="D3089" s="33">
        <f ca="1">Model!$F$16+RAND()*(Model!$G$16-Model!$F$16)</f>
        <v>48.095228049746112</v>
      </c>
      <c r="E3089" s="33">
        <f>Model!$D$17</f>
        <v>800</v>
      </c>
      <c r="G3089" s="36">
        <f t="shared" ca="1" si="50"/>
        <v>345.82010243603918</v>
      </c>
    </row>
    <row r="3090" spans="1:7" x14ac:dyDescent="0.2">
      <c r="A3090" s="6">
        <f ca="1">Model!$F$13+RAND()*(Model!$G$13-Model!$F$13)</f>
        <v>1364.0689004557976</v>
      </c>
      <c r="B3090" s="31">
        <f ca="1">Model!$F$14+RAND()*(Model!$G$14-Model!$F$14)</f>
        <v>0.21113317976487206</v>
      </c>
      <c r="C3090" s="32">
        <f ca="1">Model!$F$15+RAND()*(Model!$G$15-Model!$F$15)</f>
        <v>2.6237240663644128E-2</v>
      </c>
      <c r="D3090" s="33">
        <f ca="1">Model!$F$16+RAND()*(Model!$G$16-Model!$F$16)</f>
        <v>50.292907757589596</v>
      </c>
      <c r="E3090" s="33">
        <f>Model!$D$17</f>
        <v>800</v>
      </c>
      <c r="G3090" s="36">
        <f t="shared" ca="1" si="50"/>
        <v>711.95299085881379</v>
      </c>
    </row>
    <row r="3091" spans="1:7" x14ac:dyDescent="0.2">
      <c r="A3091" s="6">
        <f ca="1">Model!$F$13+RAND()*(Model!$G$13-Model!$F$13)</f>
        <v>1788.6895993028525</v>
      </c>
      <c r="B3091" s="31">
        <f ca="1">Model!$F$14+RAND()*(Model!$G$14-Model!$F$14)</f>
        <v>0.29775379945026192</v>
      </c>
      <c r="C3091" s="32">
        <f ca="1">Model!$F$15+RAND()*(Model!$G$15-Model!$F$15)</f>
        <v>3.6713034722540935E-2</v>
      </c>
      <c r="D3091" s="33">
        <f ca="1">Model!$F$16+RAND()*(Model!$G$16-Model!$F$16)</f>
        <v>50.426643282004228</v>
      </c>
      <c r="E3091" s="33">
        <f>Model!$D$17</f>
        <v>800</v>
      </c>
      <c r="G3091" s="36">
        <f t="shared" ca="1" si="50"/>
        <v>1978.8389504637883</v>
      </c>
    </row>
    <row r="3092" spans="1:7" x14ac:dyDescent="0.2">
      <c r="A3092" s="6">
        <f ca="1">Model!$F$13+RAND()*(Model!$G$13-Model!$F$13)</f>
        <v>1417.6380918192667</v>
      </c>
      <c r="B3092" s="31">
        <f ca="1">Model!$F$14+RAND()*(Model!$G$14-Model!$F$14)</f>
        <v>0.41474808334515201</v>
      </c>
      <c r="C3092" s="32">
        <f ca="1">Model!$F$15+RAND()*(Model!$G$15-Model!$F$15)</f>
        <v>4.7082903843222751E-2</v>
      </c>
      <c r="D3092" s="33">
        <f ca="1">Model!$F$16+RAND()*(Model!$G$16-Model!$F$16)</f>
        <v>50.817539717673299</v>
      </c>
      <c r="E3092" s="33">
        <f>Model!$D$17</f>
        <v>800</v>
      </c>
      <c r="G3092" s="36">
        <f t="shared" ca="1" si="50"/>
        <v>2003.931146071712</v>
      </c>
    </row>
    <row r="3093" spans="1:7" x14ac:dyDescent="0.2">
      <c r="A3093" s="6">
        <f ca="1">Model!$F$13+RAND()*(Model!$G$13-Model!$F$13)</f>
        <v>1410.2467497522218</v>
      </c>
      <c r="B3093" s="31">
        <f ca="1">Model!$F$14+RAND()*(Model!$G$14-Model!$F$14)</f>
        <v>0.55170722269357197</v>
      </c>
      <c r="C3093" s="32">
        <f ca="1">Model!$F$15+RAND()*(Model!$G$15-Model!$F$15)</f>
        <v>2.0389543443040174E-2</v>
      </c>
      <c r="D3093" s="33">
        <f ca="1">Model!$F$16+RAND()*(Model!$G$16-Model!$F$16)</f>
        <v>49.848532058393751</v>
      </c>
      <c r="E3093" s="33">
        <f>Model!$D$17</f>
        <v>800</v>
      </c>
      <c r="G3093" s="36">
        <f t="shared" ca="1" si="50"/>
        <v>-144.68430186468822</v>
      </c>
    </row>
    <row r="3094" spans="1:7" x14ac:dyDescent="0.2">
      <c r="A3094" s="6">
        <f ca="1">Model!$F$13+RAND()*(Model!$G$13-Model!$F$13)</f>
        <v>1365.8389950974945</v>
      </c>
      <c r="B3094" s="31">
        <f ca="1">Model!$F$14+RAND()*(Model!$G$14-Model!$F$14)</f>
        <v>0.2105118804948205</v>
      </c>
      <c r="C3094" s="32">
        <f ca="1">Model!$F$15+RAND()*(Model!$G$15-Model!$F$15)</f>
        <v>3.8056212796686251E-2</v>
      </c>
      <c r="D3094" s="33">
        <f ca="1">Model!$F$16+RAND()*(Model!$G$16-Model!$F$16)</f>
        <v>51.897833963529273</v>
      </c>
      <c r="E3094" s="33">
        <f>Model!$D$17</f>
        <v>800</v>
      </c>
      <c r="G3094" s="36">
        <f t="shared" ca="1" si="50"/>
        <v>1610.0545021314749</v>
      </c>
    </row>
    <row r="3095" spans="1:7" x14ac:dyDescent="0.2">
      <c r="A3095" s="6">
        <f ca="1">Model!$F$13+RAND()*(Model!$G$13-Model!$F$13)</f>
        <v>1428.4902233008233</v>
      </c>
      <c r="B3095" s="31">
        <f ca="1">Model!$F$14+RAND()*(Model!$G$14-Model!$F$14)</f>
        <v>0.75199454586448766</v>
      </c>
      <c r="C3095" s="32">
        <f ca="1">Model!$F$15+RAND()*(Model!$G$15-Model!$F$15)</f>
        <v>1.5748203756808632E-2</v>
      </c>
      <c r="D3095" s="33">
        <f ca="1">Model!$F$16+RAND()*(Model!$G$16-Model!$F$16)</f>
        <v>48.418210988275128</v>
      </c>
      <c r="E3095" s="33">
        <f>Model!$D$17</f>
        <v>800</v>
      </c>
      <c r="G3095" s="36">
        <f t="shared" ca="1" si="50"/>
        <v>-784.99327263050009</v>
      </c>
    </row>
    <row r="3096" spans="1:7" x14ac:dyDescent="0.2">
      <c r="A3096" s="6">
        <f ca="1">Model!$F$13+RAND()*(Model!$G$13-Model!$F$13)</f>
        <v>1221.2532065884309</v>
      </c>
      <c r="B3096" s="31">
        <f ca="1">Model!$F$14+RAND()*(Model!$G$14-Model!$F$14)</f>
        <v>0.24101365750941528</v>
      </c>
      <c r="C3096" s="32">
        <f ca="1">Model!$F$15+RAND()*(Model!$G$15-Model!$F$15)</f>
        <v>2.3169856826166929E-2</v>
      </c>
      <c r="D3096" s="33">
        <f ca="1">Model!$F$16+RAND()*(Model!$G$16-Model!$F$16)</f>
        <v>52.01926574729417</v>
      </c>
      <c r="E3096" s="33">
        <f>Model!$D$17</f>
        <v>800</v>
      </c>
      <c r="G3096" s="36">
        <f t="shared" ca="1" si="50"/>
        <v>377.61206771488833</v>
      </c>
    </row>
    <row r="3097" spans="1:7" x14ac:dyDescent="0.2">
      <c r="A3097" s="6">
        <f ca="1">Model!$F$13+RAND()*(Model!$G$13-Model!$F$13)</f>
        <v>1760.0401703019036</v>
      </c>
      <c r="B3097" s="31">
        <f ca="1">Model!$F$14+RAND()*(Model!$G$14-Model!$F$14)</f>
        <v>0.42847787205267479</v>
      </c>
      <c r="C3097" s="32">
        <f ca="1">Model!$F$15+RAND()*(Model!$G$15-Model!$F$15)</f>
        <v>3.9083241922098881E-2</v>
      </c>
      <c r="D3097" s="33">
        <f ca="1">Model!$F$16+RAND()*(Model!$G$16-Model!$F$16)</f>
        <v>49.277505843615984</v>
      </c>
      <c r="E3097" s="33">
        <f>Model!$D$17</f>
        <v>800</v>
      </c>
      <c r="G3097" s="36">
        <f t="shared" ca="1" si="50"/>
        <v>1835.5665387562258</v>
      </c>
    </row>
    <row r="3098" spans="1:7" x14ac:dyDescent="0.2">
      <c r="A3098" s="6">
        <f ca="1">Model!$F$13+RAND()*(Model!$G$13-Model!$F$13)</f>
        <v>1585.2292493181519</v>
      </c>
      <c r="B3098" s="31">
        <f ca="1">Model!$F$14+RAND()*(Model!$G$14-Model!$F$14)</f>
        <v>0.706832158150136</v>
      </c>
      <c r="C3098" s="32">
        <f ca="1">Model!$F$15+RAND()*(Model!$G$15-Model!$F$15)</f>
        <v>3.0073624087963519E-2</v>
      </c>
      <c r="D3098" s="33">
        <f ca="1">Model!$F$16+RAND()*(Model!$G$16-Model!$F$16)</f>
        <v>50.250716045954121</v>
      </c>
      <c r="E3098" s="33">
        <f>Model!$D$17</f>
        <v>800</v>
      </c>
      <c r="G3098" s="36">
        <f t="shared" ca="1" si="50"/>
        <v>475.14094901816588</v>
      </c>
    </row>
    <row r="3099" spans="1:7" x14ac:dyDescent="0.2">
      <c r="A3099" s="6">
        <f ca="1">Model!$F$13+RAND()*(Model!$G$13-Model!$F$13)</f>
        <v>1655.4311239046042</v>
      </c>
      <c r="B3099" s="31">
        <f ca="1">Model!$F$14+RAND()*(Model!$G$14-Model!$F$14)</f>
        <v>0.57941569131241</v>
      </c>
      <c r="C3099" s="32">
        <f ca="1">Model!$F$15+RAND()*(Model!$G$15-Model!$F$15)</f>
        <v>3.7056699011010281E-2</v>
      </c>
      <c r="D3099" s="33">
        <f ca="1">Model!$F$16+RAND()*(Model!$G$16-Model!$F$16)</f>
        <v>49.304671873492687</v>
      </c>
      <c r="E3099" s="33">
        <f>Model!$D$17</f>
        <v>800</v>
      </c>
      <c r="G3099" s="36">
        <f t="shared" ca="1" si="50"/>
        <v>1265.403101703173</v>
      </c>
    </row>
    <row r="3100" spans="1:7" x14ac:dyDescent="0.2">
      <c r="A3100" s="6">
        <f ca="1">Model!$F$13+RAND()*(Model!$G$13-Model!$F$13)</f>
        <v>1790.2440974375347</v>
      </c>
      <c r="B3100" s="31">
        <f ca="1">Model!$F$14+RAND()*(Model!$G$14-Model!$F$14)</f>
        <v>0.74085736915260192</v>
      </c>
      <c r="C3100" s="32">
        <f ca="1">Model!$F$15+RAND()*(Model!$G$15-Model!$F$15)</f>
        <v>3.0494570540956209E-2</v>
      </c>
      <c r="D3100" s="33">
        <f ca="1">Model!$F$16+RAND()*(Model!$G$16-Model!$F$16)</f>
        <v>52.400989710948977</v>
      </c>
      <c r="E3100" s="33">
        <f>Model!$D$17</f>
        <v>800</v>
      </c>
      <c r="G3100" s="36">
        <f t="shared" ca="1" si="50"/>
        <v>734.39728438661996</v>
      </c>
    </row>
    <row r="3101" spans="1:7" x14ac:dyDescent="0.2">
      <c r="A3101" s="6">
        <f ca="1">Model!$F$13+RAND()*(Model!$G$13-Model!$F$13)</f>
        <v>1663.1698933362493</v>
      </c>
      <c r="B3101" s="31">
        <f ca="1">Model!$F$14+RAND()*(Model!$G$14-Model!$F$14)</f>
        <v>0.50006245529327753</v>
      </c>
      <c r="C3101" s="32">
        <f ca="1">Model!$F$15+RAND()*(Model!$G$15-Model!$F$15)</f>
        <v>2.6559262264585971E-2</v>
      </c>
      <c r="D3101" s="33">
        <f ca="1">Model!$F$16+RAND()*(Model!$G$16-Model!$F$16)</f>
        <v>48.317312575446877</v>
      </c>
      <c r="E3101" s="33">
        <f>Model!$D$17</f>
        <v>800</v>
      </c>
      <c r="G3101" s="36">
        <f t="shared" ca="1" si="50"/>
        <v>502.61082866436163</v>
      </c>
    </row>
    <row r="3102" spans="1:7" x14ac:dyDescent="0.2">
      <c r="A3102" s="6">
        <f ca="1">Model!$F$13+RAND()*(Model!$G$13-Model!$F$13)</f>
        <v>1465.3689450433394</v>
      </c>
      <c r="B3102" s="31">
        <f ca="1">Model!$F$14+RAND()*(Model!$G$14-Model!$F$14)</f>
        <v>0.71984011967881756</v>
      </c>
      <c r="C3102" s="32">
        <f ca="1">Model!$F$15+RAND()*(Model!$G$15-Model!$F$15)</f>
        <v>2.3185454755389658E-2</v>
      </c>
      <c r="D3102" s="33">
        <f ca="1">Model!$F$16+RAND()*(Model!$G$16-Model!$F$16)</f>
        <v>52.737067747902969</v>
      </c>
      <c r="E3102" s="33">
        <f>Model!$D$17</f>
        <v>800</v>
      </c>
      <c r="G3102" s="36">
        <f t="shared" ca="1" si="50"/>
        <v>-63.076539667147927</v>
      </c>
    </row>
    <row r="3103" spans="1:7" x14ac:dyDescent="0.2">
      <c r="A3103" s="6">
        <f ca="1">Model!$F$13+RAND()*(Model!$G$13-Model!$F$13)</f>
        <v>1397.9304911617046</v>
      </c>
      <c r="B3103" s="31">
        <f ca="1">Model!$F$14+RAND()*(Model!$G$14-Model!$F$14)</f>
        <v>0.79338610449834279</v>
      </c>
      <c r="C3103" s="32">
        <f ca="1">Model!$F$15+RAND()*(Model!$G$15-Model!$F$15)</f>
        <v>2.0720192914325978E-2</v>
      </c>
      <c r="D3103" s="33">
        <f ca="1">Model!$F$16+RAND()*(Model!$G$16-Model!$F$16)</f>
        <v>52.323585967242444</v>
      </c>
      <c r="E3103" s="33">
        <f>Model!$D$17</f>
        <v>800</v>
      </c>
      <c r="G3103" s="36">
        <f t="shared" ca="1" si="50"/>
        <v>-393.5255813781921</v>
      </c>
    </row>
    <row r="3104" spans="1:7" x14ac:dyDescent="0.2">
      <c r="A3104" s="6">
        <f ca="1">Model!$F$13+RAND()*(Model!$G$13-Model!$F$13)</f>
        <v>1316.7806070190818</v>
      </c>
      <c r="B3104" s="31">
        <f ca="1">Model!$F$14+RAND()*(Model!$G$14-Model!$F$14)</f>
        <v>0.30678428398590279</v>
      </c>
      <c r="C3104" s="32">
        <f ca="1">Model!$F$15+RAND()*(Model!$G$15-Model!$F$15)</f>
        <v>4.2995477440155756E-2</v>
      </c>
      <c r="D3104" s="33">
        <f ca="1">Model!$F$16+RAND()*(Model!$G$16-Model!$F$16)</f>
        <v>48.774420845569729</v>
      </c>
      <c r="E3104" s="33">
        <f>Model!$D$17</f>
        <v>800</v>
      </c>
      <c r="G3104" s="36">
        <f t="shared" ca="1" si="50"/>
        <v>1557.4260359321038</v>
      </c>
    </row>
    <row r="3105" spans="1:7" x14ac:dyDescent="0.2">
      <c r="A3105" s="6">
        <f ca="1">Model!$F$13+RAND()*(Model!$G$13-Model!$F$13)</f>
        <v>1435.1427577629709</v>
      </c>
      <c r="B3105" s="31">
        <f ca="1">Model!$F$14+RAND()*(Model!$G$14-Model!$F$14)</f>
        <v>0.70155036204929755</v>
      </c>
      <c r="C3105" s="32">
        <f ca="1">Model!$F$15+RAND()*(Model!$G$15-Model!$F$15)</f>
        <v>4.6518952807506397E-2</v>
      </c>
      <c r="D3105" s="33">
        <f ca="1">Model!$F$16+RAND()*(Model!$G$16-Model!$F$16)</f>
        <v>52.65689887395304</v>
      </c>
      <c r="E3105" s="33">
        <f>Model!$D$17</f>
        <v>800</v>
      </c>
      <c r="G3105" s="36">
        <f t="shared" ca="1" si="50"/>
        <v>1708.6201140608778</v>
      </c>
    </row>
    <row r="3106" spans="1:7" x14ac:dyDescent="0.2">
      <c r="A3106" s="6">
        <f ca="1">Model!$F$13+RAND()*(Model!$G$13-Model!$F$13)</f>
        <v>1303.9624835058819</v>
      </c>
      <c r="B3106" s="31">
        <f ca="1">Model!$F$14+RAND()*(Model!$G$14-Model!$F$14)</f>
        <v>0.30398866121435647</v>
      </c>
      <c r="C3106" s="32">
        <f ca="1">Model!$F$15+RAND()*(Model!$G$15-Model!$F$15)</f>
        <v>3.0961238837606458E-2</v>
      </c>
      <c r="D3106" s="33">
        <f ca="1">Model!$F$16+RAND()*(Model!$G$16-Model!$F$16)</f>
        <v>47.932822581618574</v>
      </c>
      <c r="E3106" s="33">
        <f>Model!$D$17</f>
        <v>800</v>
      </c>
      <c r="G3106" s="36">
        <f t="shared" ca="1" si="50"/>
        <v>738.76819046882338</v>
      </c>
    </row>
    <row r="3107" spans="1:7" x14ac:dyDescent="0.2">
      <c r="A3107" s="6">
        <f ca="1">Model!$F$13+RAND()*(Model!$G$13-Model!$F$13)</f>
        <v>1579.5409289921827</v>
      </c>
      <c r="B3107" s="31">
        <f ca="1">Model!$F$14+RAND()*(Model!$G$14-Model!$F$14)</f>
        <v>0.32609187107926879</v>
      </c>
      <c r="C3107" s="32">
        <f ca="1">Model!$F$15+RAND()*(Model!$G$15-Model!$F$15)</f>
        <v>4.7174992955519489E-2</v>
      </c>
      <c r="D3107" s="33">
        <f ca="1">Model!$F$16+RAND()*(Model!$G$16-Model!$F$16)</f>
        <v>49.076125882396298</v>
      </c>
      <c r="E3107" s="33">
        <f>Model!$D$17</f>
        <v>800</v>
      </c>
      <c r="G3107" s="36">
        <f t="shared" ca="1" si="50"/>
        <v>2341.8238280812357</v>
      </c>
    </row>
    <row r="3108" spans="1:7" x14ac:dyDescent="0.2">
      <c r="A3108" s="6">
        <f ca="1">Model!$F$13+RAND()*(Model!$G$13-Model!$F$13)</f>
        <v>1213.8198017753107</v>
      </c>
      <c r="B3108" s="31">
        <f ca="1">Model!$F$14+RAND()*(Model!$G$14-Model!$F$14)</f>
        <v>0.32278095229373005</v>
      </c>
      <c r="C3108" s="32">
        <f ca="1">Model!$F$15+RAND()*(Model!$G$15-Model!$F$15)</f>
        <v>2.6846155747421496E-2</v>
      </c>
      <c r="D3108" s="33">
        <f ca="1">Model!$F$16+RAND()*(Model!$G$16-Model!$F$16)</f>
        <v>51.070352805380836</v>
      </c>
      <c r="E3108" s="33">
        <f>Model!$D$17</f>
        <v>800</v>
      </c>
      <c r="G3108" s="36">
        <f t="shared" ca="1" si="50"/>
        <v>472.40080064295626</v>
      </c>
    </row>
    <row r="3109" spans="1:7" x14ac:dyDescent="0.2">
      <c r="A3109" s="6">
        <f ca="1">Model!$F$13+RAND()*(Model!$G$13-Model!$F$13)</f>
        <v>1737.4203068501442</v>
      </c>
      <c r="B3109" s="31">
        <f ca="1">Model!$F$14+RAND()*(Model!$G$14-Model!$F$14)</f>
        <v>0.41672057695979448</v>
      </c>
      <c r="C3109" s="32">
        <f ca="1">Model!$F$15+RAND()*(Model!$G$15-Model!$F$15)</f>
        <v>3.2431290597991366E-2</v>
      </c>
      <c r="D3109" s="33">
        <f ca="1">Model!$F$16+RAND()*(Model!$G$16-Model!$F$16)</f>
        <v>52.670883008090584</v>
      </c>
      <c r="E3109" s="33">
        <f>Model!$D$17</f>
        <v>800</v>
      </c>
      <c r="G3109" s="36">
        <f t="shared" ca="1" si="50"/>
        <v>1443.8160153306717</v>
      </c>
    </row>
    <row r="3110" spans="1:7" x14ac:dyDescent="0.2">
      <c r="A3110" s="6">
        <f ca="1">Model!$F$13+RAND()*(Model!$G$13-Model!$F$13)</f>
        <v>1798.4195075577968</v>
      </c>
      <c r="B3110" s="31">
        <f ca="1">Model!$F$14+RAND()*(Model!$G$14-Model!$F$14)</f>
        <v>0.76858943421503079</v>
      </c>
      <c r="C3110" s="32">
        <f ca="1">Model!$F$15+RAND()*(Model!$G$15-Model!$F$15)</f>
        <v>1.2387133455330903E-2</v>
      </c>
      <c r="D3110" s="33">
        <f ca="1">Model!$F$16+RAND()*(Model!$G$16-Model!$F$16)</f>
        <v>47.968904062993794</v>
      </c>
      <c r="E3110" s="33">
        <f>Model!$D$17</f>
        <v>800</v>
      </c>
      <c r="G3110" s="36">
        <f t="shared" ca="1" si="50"/>
        <v>-1113.6303666030317</v>
      </c>
    </row>
    <row r="3111" spans="1:7" x14ac:dyDescent="0.2">
      <c r="A3111" s="6">
        <f ca="1">Model!$F$13+RAND()*(Model!$G$13-Model!$F$13)</f>
        <v>1239.9424539144063</v>
      </c>
      <c r="B3111" s="31">
        <f ca="1">Model!$F$14+RAND()*(Model!$G$14-Model!$F$14)</f>
        <v>0.38827403483114875</v>
      </c>
      <c r="C3111" s="32">
        <f ca="1">Model!$F$15+RAND()*(Model!$G$15-Model!$F$15)</f>
        <v>3.7305703449868534E-2</v>
      </c>
      <c r="D3111" s="33">
        <f ca="1">Model!$F$16+RAND()*(Model!$G$16-Model!$F$16)</f>
        <v>48.173280477627131</v>
      </c>
      <c r="E3111" s="33">
        <f>Model!$D$17</f>
        <v>800</v>
      </c>
      <c r="G3111" s="36">
        <f t="shared" ca="1" si="50"/>
        <v>946.91038567145461</v>
      </c>
    </row>
    <row r="3112" spans="1:7" x14ac:dyDescent="0.2">
      <c r="A3112" s="6">
        <f ca="1">Model!$F$13+RAND()*(Model!$G$13-Model!$F$13)</f>
        <v>1331.073621686098</v>
      </c>
      <c r="B3112" s="31">
        <f ca="1">Model!$F$14+RAND()*(Model!$G$14-Model!$F$14)</f>
        <v>0.73279366253317435</v>
      </c>
      <c r="C3112" s="32">
        <f ca="1">Model!$F$15+RAND()*(Model!$G$15-Model!$F$15)</f>
        <v>4.0315047293213127E-2</v>
      </c>
      <c r="D3112" s="33">
        <f ca="1">Model!$F$16+RAND()*(Model!$G$16-Model!$F$16)</f>
        <v>52.947824513937363</v>
      </c>
      <c r="E3112" s="33">
        <f>Model!$D$17</f>
        <v>800</v>
      </c>
      <c r="G3112" s="36">
        <f t="shared" ca="1" si="50"/>
        <v>1065.8995177640859</v>
      </c>
    </row>
    <row r="3113" spans="1:7" x14ac:dyDescent="0.2">
      <c r="A3113" s="6">
        <f ca="1">Model!$F$13+RAND()*(Model!$G$13-Model!$F$13)</f>
        <v>1720.0711336959762</v>
      </c>
      <c r="B3113" s="31">
        <f ca="1">Model!$F$14+RAND()*(Model!$G$14-Model!$F$14)</f>
        <v>0.29906184627027149</v>
      </c>
      <c r="C3113" s="32">
        <f ca="1">Model!$F$15+RAND()*(Model!$G$15-Model!$F$15)</f>
        <v>3.1745920034170691E-2</v>
      </c>
      <c r="D3113" s="33">
        <f ca="1">Model!$F$16+RAND()*(Model!$G$16-Model!$F$16)</f>
        <v>49.361190135039578</v>
      </c>
      <c r="E3113" s="33">
        <f>Model!$D$17</f>
        <v>800</v>
      </c>
      <c r="G3113" s="36">
        <f t="shared" ref="G3113:G3176" ca="1" si="51">A3113*C3113*D3113-(E3113+A3113*B3113)</f>
        <v>1380.9720177962554</v>
      </c>
    </row>
    <row r="3114" spans="1:7" x14ac:dyDescent="0.2">
      <c r="A3114" s="6">
        <f ca="1">Model!$F$13+RAND()*(Model!$G$13-Model!$F$13)</f>
        <v>1618.3782554065151</v>
      </c>
      <c r="B3114" s="31">
        <f ca="1">Model!$F$14+RAND()*(Model!$G$14-Model!$F$14)</f>
        <v>0.28507864657202797</v>
      </c>
      <c r="C3114" s="32">
        <f ca="1">Model!$F$15+RAND()*(Model!$G$15-Model!$F$15)</f>
        <v>2.5673264524591947E-2</v>
      </c>
      <c r="D3114" s="33">
        <f ca="1">Model!$F$16+RAND()*(Model!$G$16-Model!$F$16)</f>
        <v>51.369354543431655</v>
      </c>
      <c r="E3114" s="33">
        <f>Model!$D$17</f>
        <v>800</v>
      </c>
      <c r="G3114" s="36">
        <f t="shared" ca="1" si="51"/>
        <v>872.9829544739664</v>
      </c>
    </row>
    <row r="3115" spans="1:7" x14ac:dyDescent="0.2">
      <c r="A3115" s="6">
        <f ca="1">Model!$F$13+RAND()*(Model!$G$13-Model!$F$13)</f>
        <v>1242.6413887453396</v>
      </c>
      <c r="B3115" s="31">
        <f ca="1">Model!$F$14+RAND()*(Model!$G$14-Model!$F$14)</f>
        <v>0.34278662522904324</v>
      </c>
      <c r="C3115" s="32">
        <f ca="1">Model!$F$15+RAND()*(Model!$G$15-Model!$F$15)</f>
        <v>4.1250602559967972E-2</v>
      </c>
      <c r="D3115" s="33">
        <f ca="1">Model!$F$16+RAND()*(Model!$G$16-Model!$F$16)</f>
        <v>48.345467919743449</v>
      </c>
      <c r="E3115" s="33">
        <f>Model!$D$17</f>
        <v>800</v>
      </c>
      <c r="G3115" s="36">
        <f t="shared" ca="1" si="51"/>
        <v>1252.2136264800267</v>
      </c>
    </row>
    <row r="3116" spans="1:7" x14ac:dyDescent="0.2">
      <c r="A3116" s="6">
        <f ca="1">Model!$F$13+RAND()*(Model!$G$13-Model!$F$13)</f>
        <v>1293.2803179390378</v>
      </c>
      <c r="B3116" s="31">
        <f ca="1">Model!$F$14+RAND()*(Model!$G$14-Model!$F$14)</f>
        <v>0.25817711915558272</v>
      </c>
      <c r="C3116" s="32">
        <f ca="1">Model!$F$15+RAND()*(Model!$G$15-Model!$F$15)</f>
        <v>3.9309332205781602E-2</v>
      </c>
      <c r="D3116" s="33">
        <f ca="1">Model!$F$16+RAND()*(Model!$G$16-Model!$F$16)</f>
        <v>48.132563547933337</v>
      </c>
      <c r="E3116" s="33">
        <f>Model!$D$17</f>
        <v>800</v>
      </c>
      <c r="G3116" s="36">
        <f t="shared" ca="1" si="51"/>
        <v>1313.0671883489326</v>
      </c>
    </row>
    <row r="3117" spans="1:7" x14ac:dyDescent="0.2">
      <c r="A3117" s="6">
        <f ca="1">Model!$F$13+RAND()*(Model!$G$13-Model!$F$13)</f>
        <v>1603.3689639577465</v>
      </c>
      <c r="B3117" s="31">
        <f ca="1">Model!$F$14+RAND()*(Model!$G$14-Model!$F$14)</f>
        <v>0.79434006127089507</v>
      </c>
      <c r="C3117" s="32">
        <f ca="1">Model!$F$15+RAND()*(Model!$G$15-Model!$F$15)</f>
        <v>4.8996694944049277E-2</v>
      </c>
      <c r="D3117" s="33">
        <f ca="1">Model!$F$16+RAND()*(Model!$G$16-Model!$F$16)</f>
        <v>47.399633201372353</v>
      </c>
      <c r="E3117" s="33">
        <f>Model!$D$17</f>
        <v>800</v>
      </c>
      <c r="G3117" s="36">
        <f t="shared" ca="1" si="51"/>
        <v>1650.0845557746934</v>
      </c>
    </row>
    <row r="3118" spans="1:7" x14ac:dyDescent="0.2">
      <c r="A3118" s="6">
        <f ca="1">Model!$F$13+RAND()*(Model!$G$13-Model!$F$13)</f>
        <v>1500.7747450104714</v>
      </c>
      <c r="B3118" s="31">
        <f ca="1">Model!$F$14+RAND()*(Model!$G$14-Model!$F$14)</f>
        <v>0.53794372818628877</v>
      </c>
      <c r="C3118" s="32">
        <f ca="1">Model!$F$15+RAND()*(Model!$G$15-Model!$F$15)</f>
        <v>4.1765286428142541E-2</v>
      </c>
      <c r="D3118" s="33">
        <f ca="1">Model!$F$16+RAND()*(Model!$G$16-Model!$F$16)</f>
        <v>47.859283685219197</v>
      </c>
      <c r="E3118" s="33">
        <f>Model!$D$17</f>
        <v>800</v>
      </c>
      <c r="G3118" s="36">
        <f t="shared" ca="1" si="51"/>
        <v>1392.5012797878812</v>
      </c>
    </row>
    <row r="3119" spans="1:7" x14ac:dyDescent="0.2">
      <c r="A3119" s="6">
        <f ca="1">Model!$F$13+RAND()*(Model!$G$13-Model!$F$13)</f>
        <v>1694.1812210942794</v>
      </c>
      <c r="B3119" s="31">
        <f ca="1">Model!$F$14+RAND()*(Model!$G$14-Model!$F$14)</f>
        <v>0.72858321255355585</v>
      </c>
      <c r="C3119" s="32">
        <f ca="1">Model!$F$15+RAND()*(Model!$G$15-Model!$F$15)</f>
        <v>3.3653715657836349E-2</v>
      </c>
      <c r="D3119" s="33">
        <f ca="1">Model!$F$16+RAND()*(Model!$G$16-Model!$F$16)</f>
        <v>48.721454481574185</v>
      </c>
      <c r="E3119" s="33">
        <f>Model!$D$17</f>
        <v>800</v>
      </c>
      <c r="G3119" s="36">
        <f t="shared" ca="1" si="51"/>
        <v>743.52575449693791</v>
      </c>
    </row>
    <row r="3120" spans="1:7" x14ac:dyDescent="0.2">
      <c r="A3120" s="6">
        <f ca="1">Model!$F$13+RAND()*(Model!$G$13-Model!$F$13)</f>
        <v>1566.2102397652434</v>
      </c>
      <c r="B3120" s="31">
        <f ca="1">Model!$F$14+RAND()*(Model!$G$14-Model!$F$14)</f>
        <v>0.3933628266568131</v>
      </c>
      <c r="C3120" s="32">
        <f ca="1">Model!$F$15+RAND()*(Model!$G$15-Model!$F$15)</f>
        <v>2.9552181632471093E-2</v>
      </c>
      <c r="D3120" s="33">
        <f ca="1">Model!$F$16+RAND()*(Model!$G$16-Model!$F$16)</f>
        <v>49.439441739661554</v>
      </c>
      <c r="E3120" s="33">
        <f>Model!$D$17</f>
        <v>800</v>
      </c>
      <c r="G3120" s="36">
        <f t="shared" ca="1" si="51"/>
        <v>872.21218740673112</v>
      </c>
    </row>
    <row r="3121" spans="1:7" x14ac:dyDescent="0.2">
      <c r="A3121" s="6">
        <f ca="1">Model!$F$13+RAND()*(Model!$G$13-Model!$F$13)</f>
        <v>1690.3630361925443</v>
      </c>
      <c r="B3121" s="31">
        <f ca="1">Model!$F$14+RAND()*(Model!$G$14-Model!$F$14)</f>
        <v>0.51737639358673304</v>
      </c>
      <c r="C3121" s="32">
        <f ca="1">Model!$F$15+RAND()*(Model!$G$15-Model!$F$15)</f>
        <v>2.4284817642762052E-2</v>
      </c>
      <c r="D3121" s="33">
        <f ca="1">Model!$F$16+RAND()*(Model!$G$16-Model!$F$16)</f>
        <v>52.291440432054074</v>
      </c>
      <c r="E3121" s="33">
        <f>Model!$D$17</f>
        <v>800</v>
      </c>
      <c r="G3121" s="36">
        <f t="shared" ca="1" si="51"/>
        <v>472.01796465835014</v>
      </c>
    </row>
    <row r="3122" spans="1:7" x14ac:dyDescent="0.2">
      <c r="A3122" s="6">
        <f ca="1">Model!$F$13+RAND()*(Model!$G$13-Model!$F$13)</f>
        <v>1793.548125246481</v>
      </c>
      <c r="B3122" s="31">
        <f ca="1">Model!$F$14+RAND()*(Model!$G$14-Model!$F$14)</f>
        <v>0.26493795940387921</v>
      </c>
      <c r="C3122" s="32">
        <f ca="1">Model!$F$15+RAND()*(Model!$G$15-Model!$F$15)</f>
        <v>2.2896019842149257E-2</v>
      </c>
      <c r="D3122" s="33">
        <f ca="1">Model!$F$16+RAND()*(Model!$G$16-Model!$F$16)</f>
        <v>49.992746390609838</v>
      </c>
      <c r="E3122" s="33">
        <f>Model!$D$17</f>
        <v>800</v>
      </c>
      <c r="G3122" s="36">
        <f t="shared" ca="1" si="51"/>
        <v>777.77882248656874</v>
      </c>
    </row>
    <row r="3123" spans="1:7" x14ac:dyDescent="0.2">
      <c r="A3123" s="6">
        <f ca="1">Model!$F$13+RAND()*(Model!$G$13-Model!$F$13)</f>
        <v>1557.8693338901821</v>
      </c>
      <c r="B3123" s="31">
        <f ca="1">Model!$F$14+RAND()*(Model!$G$14-Model!$F$14)</f>
        <v>0.27668185930665007</v>
      </c>
      <c r="C3123" s="32">
        <f ca="1">Model!$F$15+RAND()*(Model!$G$15-Model!$F$15)</f>
        <v>4.4115360721220409E-2</v>
      </c>
      <c r="D3123" s="33">
        <f ca="1">Model!$F$16+RAND()*(Model!$G$16-Model!$F$16)</f>
        <v>48.884552887403466</v>
      </c>
      <c r="E3123" s="33">
        <f>Model!$D$17</f>
        <v>800</v>
      </c>
      <c r="G3123" s="36">
        <f t="shared" ca="1" si="51"/>
        <v>2128.6040150537383</v>
      </c>
    </row>
    <row r="3124" spans="1:7" x14ac:dyDescent="0.2">
      <c r="A3124" s="6">
        <f ca="1">Model!$F$13+RAND()*(Model!$G$13-Model!$F$13)</f>
        <v>1373.0939590914884</v>
      </c>
      <c r="B3124" s="31">
        <f ca="1">Model!$F$14+RAND()*(Model!$G$14-Model!$F$14)</f>
        <v>0.33668493058652071</v>
      </c>
      <c r="C3124" s="32">
        <f ca="1">Model!$F$15+RAND()*(Model!$G$15-Model!$F$15)</f>
        <v>2.7446129588562872E-2</v>
      </c>
      <c r="D3124" s="33">
        <f ca="1">Model!$F$16+RAND()*(Model!$G$16-Model!$F$16)</f>
        <v>52.263643011786264</v>
      </c>
      <c r="E3124" s="33">
        <f>Model!$D$17</f>
        <v>800</v>
      </c>
      <c r="G3124" s="36">
        <f t="shared" ca="1" si="51"/>
        <v>707.313602888579</v>
      </c>
    </row>
    <row r="3125" spans="1:7" x14ac:dyDescent="0.2">
      <c r="A3125" s="6">
        <f ca="1">Model!$F$13+RAND()*(Model!$G$13-Model!$F$13)</f>
        <v>1726.6079172405525</v>
      </c>
      <c r="B3125" s="31">
        <f ca="1">Model!$F$14+RAND()*(Model!$G$14-Model!$F$14)</f>
        <v>0.32689348681736341</v>
      </c>
      <c r="C3125" s="32">
        <f ca="1">Model!$F$15+RAND()*(Model!$G$15-Model!$F$15)</f>
        <v>3.1883962200129637E-2</v>
      </c>
      <c r="D3125" s="33">
        <f ca="1">Model!$F$16+RAND()*(Model!$G$16-Model!$F$16)</f>
        <v>48.149350494924299</v>
      </c>
      <c r="E3125" s="33">
        <f>Model!$D$17</f>
        <v>800</v>
      </c>
      <c r="G3125" s="36">
        <f t="shared" ca="1" si="51"/>
        <v>1286.2579020836727</v>
      </c>
    </row>
    <row r="3126" spans="1:7" x14ac:dyDescent="0.2">
      <c r="A3126" s="6">
        <f ca="1">Model!$F$13+RAND()*(Model!$G$13-Model!$F$13)</f>
        <v>1219.7548138985646</v>
      </c>
      <c r="B3126" s="31">
        <f ca="1">Model!$F$14+RAND()*(Model!$G$14-Model!$F$14)</f>
        <v>0.23264027269551113</v>
      </c>
      <c r="C3126" s="32">
        <f ca="1">Model!$F$15+RAND()*(Model!$G$15-Model!$F$15)</f>
        <v>4.7065504636447528E-2</v>
      </c>
      <c r="D3126" s="33">
        <f ca="1">Model!$F$16+RAND()*(Model!$G$16-Model!$F$16)</f>
        <v>48.145479946547802</v>
      </c>
      <c r="E3126" s="33">
        <f>Model!$D$17</f>
        <v>800</v>
      </c>
      <c r="G3126" s="36">
        <f t="shared" ca="1" si="51"/>
        <v>1680.1897156687253</v>
      </c>
    </row>
    <row r="3127" spans="1:7" x14ac:dyDescent="0.2">
      <c r="A3127" s="6">
        <f ca="1">Model!$F$13+RAND()*(Model!$G$13-Model!$F$13)</f>
        <v>1422.1917983169192</v>
      </c>
      <c r="B3127" s="31">
        <f ca="1">Model!$F$14+RAND()*(Model!$G$14-Model!$F$14)</f>
        <v>0.67732509609427627</v>
      </c>
      <c r="C3127" s="32">
        <f ca="1">Model!$F$15+RAND()*(Model!$G$15-Model!$F$15)</f>
        <v>1.7774661498858001E-2</v>
      </c>
      <c r="D3127" s="33">
        <f ca="1">Model!$F$16+RAND()*(Model!$G$16-Model!$F$16)</f>
        <v>52.852680527588959</v>
      </c>
      <c r="E3127" s="33">
        <f>Model!$D$17</f>
        <v>800</v>
      </c>
      <c r="G3127" s="36">
        <f t="shared" ca="1" si="51"/>
        <v>-427.22445865093732</v>
      </c>
    </row>
    <row r="3128" spans="1:7" x14ac:dyDescent="0.2">
      <c r="A3128" s="6">
        <f ca="1">Model!$F$13+RAND()*(Model!$G$13-Model!$F$13)</f>
        <v>1633.0743957314107</v>
      </c>
      <c r="B3128" s="31">
        <f ca="1">Model!$F$14+RAND()*(Model!$G$14-Model!$F$14)</f>
        <v>0.63876550931918019</v>
      </c>
      <c r="C3128" s="32">
        <f ca="1">Model!$F$15+RAND()*(Model!$G$15-Model!$F$15)</f>
        <v>2.6412644189524111E-2</v>
      </c>
      <c r="D3128" s="33">
        <f ca="1">Model!$F$16+RAND()*(Model!$G$16-Model!$F$16)</f>
        <v>51.731970940577824</v>
      </c>
      <c r="E3128" s="33">
        <f>Model!$D$17</f>
        <v>800</v>
      </c>
      <c r="G3128" s="36">
        <f t="shared" ca="1" si="51"/>
        <v>388.24555991311695</v>
      </c>
    </row>
    <row r="3129" spans="1:7" x14ac:dyDescent="0.2">
      <c r="A3129" s="6">
        <f ca="1">Model!$F$13+RAND()*(Model!$G$13-Model!$F$13)</f>
        <v>1341.8012899644204</v>
      </c>
      <c r="B3129" s="31">
        <f ca="1">Model!$F$14+RAND()*(Model!$G$14-Model!$F$14)</f>
        <v>0.5306352176605752</v>
      </c>
      <c r="C3129" s="32">
        <f ca="1">Model!$F$15+RAND()*(Model!$G$15-Model!$F$15)</f>
        <v>4.5155233248254018E-2</v>
      </c>
      <c r="D3129" s="33">
        <f ca="1">Model!$F$16+RAND()*(Model!$G$16-Model!$F$16)</f>
        <v>47.046743162060579</v>
      </c>
      <c r="E3129" s="33">
        <f>Model!$D$17</f>
        <v>800</v>
      </c>
      <c r="G3129" s="36">
        <f t="shared" ca="1" si="51"/>
        <v>1338.5245786531436</v>
      </c>
    </row>
    <row r="3130" spans="1:7" x14ac:dyDescent="0.2">
      <c r="A3130" s="6">
        <f ca="1">Model!$F$13+RAND()*(Model!$G$13-Model!$F$13)</f>
        <v>1762.9405527380259</v>
      </c>
      <c r="B3130" s="31">
        <f ca="1">Model!$F$14+RAND()*(Model!$G$14-Model!$F$14)</f>
        <v>0.52851327220860056</v>
      </c>
      <c r="C3130" s="32">
        <f ca="1">Model!$F$15+RAND()*(Model!$G$15-Model!$F$15)</f>
        <v>4.2579437051733469E-2</v>
      </c>
      <c r="D3130" s="33">
        <f ca="1">Model!$F$16+RAND()*(Model!$G$16-Model!$F$16)</f>
        <v>48.118026556859377</v>
      </c>
      <c r="E3130" s="33">
        <f>Model!$D$17</f>
        <v>800</v>
      </c>
      <c r="G3130" s="36">
        <f t="shared" ca="1" si="51"/>
        <v>1880.2429671569721</v>
      </c>
    </row>
    <row r="3131" spans="1:7" x14ac:dyDescent="0.2">
      <c r="A3131" s="6">
        <f ca="1">Model!$F$13+RAND()*(Model!$G$13-Model!$F$13)</f>
        <v>1428.6340604148047</v>
      </c>
      <c r="B3131" s="31">
        <f ca="1">Model!$F$14+RAND()*(Model!$G$14-Model!$F$14)</f>
        <v>0.3801089178297119</v>
      </c>
      <c r="C3131" s="32">
        <f ca="1">Model!$F$15+RAND()*(Model!$G$15-Model!$F$15)</f>
        <v>2.6241420288001291E-2</v>
      </c>
      <c r="D3131" s="33">
        <f ca="1">Model!$F$16+RAND()*(Model!$G$16-Model!$F$16)</f>
        <v>52.236284660114237</v>
      </c>
      <c r="E3131" s="33">
        <f>Model!$D$17</f>
        <v>800</v>
      </c>
      <c r="G3131" s="36">
        <f t="shared" ca="1" si="51"/>
        <v>615.2697348321642</v>
      </c>
    </row>
    <row r="3132" spans="1:7" x14ac:dyDescent="0.2">
      <c r="A3132" s="6">
        <f ca="1">Model!$F$13+RAND()*(Model!$G$13-Model!$F$13)</f>
        <v>1491.9655065058757</v>
      </c>
      <c r="B3132" s="31">
        <f ca="1">Model!$F$14+RAND()*(Model!$G$14-Model!$F$14)</f>
        <v>0.25718615942103634</v>
      </c>
      <c r="C3132" s="32">
        <f ca="1">Model!$F$15+RAND()*(Model!$G$15-Model!$F$15)</f>
        <v>2.2998095164990871E-2</v>
      </c>
      <c r="D3132" s="33">
        <f ca="1">Model!$F$16+RAND()*(Model!$G$16-Model!$F$16)</f>
        <v>49.549161283433008</v>
      </c>
      <c r="E3132" s="33">
        <f>Model!$D$17</f>
        <v>800</v>
      </c>
      <c r="G3132" s="36">
        <f t="shared" ca="1" si="51"/>
        <v>516.4360140039837</v>
      </c>
    </row>
    <row r="3133" spans="1:7" x14ac:dyDescent="0.2">
      <c r="A3133" s="6">
        <f ca="1">Model!$F$13+RAND()*(Model!$G$13-Model!$F$13)</f>
        <v>1529.7225450279582</v>
      </c>
      <c r="B3133" s="31">
        <f ca="1">Model!$F$14+RAND()*(Model!$G$14-Model!$F$14)</f>
        <v>0.45544656359628749</v>
      </c>
      <c r="C3133" s="32">
        <f ca="1">Model!$F$15+RAND()*(Model!$G$15-Model!$F$15)</f>
        <v>4.7882915886040607E-2</v>
      </c>
      <c r="D3133" s="33">
        <f ca="1">Model!$F$16+RAND()*(Model!$G$16-Model!$F$16)</f>
        <v>49.094077659405741</v>
      </c>
      <c r="E3133" s="33">
        <f>Model!$D$17</f>
        <v>800</v>
      </c>
      <c r="G3133" s="36">
        <f t="shared" ca="1" si="51"/>
        <v>2099.3153057891404</v>
      </c>
    </row>
    <row r="3134" spans="1:7" x14ac:dyDescent="0.2">
      <c r="A3134" s="6">
        <f ca="1">Model!$F$13+RAND()*(Model!$G$13-Model!$F$13)</f>
        <v>1684.3548775440327</v>
      </c>
      <c r="B3134" s="31">
        <f ca="1">Model!$F$14+RAND()*(Model!$G$14-Model!$F$14)</f>
        <v>0.48127562206037555</v>
      </c>
      <c r="C3134" s="32">
        <f ca="1">Model!$F$15+RAND()*(Model!$G$15-Model!$F$15)</f>
        <v>4.7149745572611243E-2</v>
      </c>
      <c r="D3134" s="33">
        <f ca="1">Model!$F$16+RAND()*(Model!$G$16-Model!$F$16)</f>
        <v>50.001452771578791</v>
      </c>
      <c r="E3134" s="33">
        <f>Model!$D$17</f>
        <v>800</v>
      </c>
      <c r="G3134" s="36">
        <f t="shared" ca="1" si="51"/>
        <v>2360.3216296698683</v>
      </c>
    </row>
    <row r="3135" spans="1:7" x14ac:dyDescent="0.2">
      <c r="A3135" s="6">
        <f ca="1">Model!$F$13+RAND()*(Model!$G$13-Model!$F$13)</f>
        <v>1295.4740919740045</v>
      </c>
      <c r="B3135" s="31">
        <f ca="1">Model!$F$14+RAND()*(Model!$G$14-Model!$F$14)</f>
        <v>0.65611506276157783</v>
      </c>
      <c r="C3135" s="32">
        <f ca="1">Model!$F$15+RAND()*(Model!$G$15-Model!$F$15)</f>
        <v>3.9206357546287658E-2</v>
      </c>
      <c r="D3135" s="33">
        <f ca="1">Model!$F$16+RAND()*(Model!$G$16-Model!$F$16)</f>
        <v>52.171254638475865</v>
      </c>
      <c r="E3135" s="33">
        <f>Model!$D$17</f>
        <v>800</v>
      </c>
      <c r="G3135" s="36">
        <f t="shared" ca="1" si="51"/>
        <v>999.84076140917432</v>
      </c>
    </row>
    <row r="3136" spans="1:7" x14ac:dyDescent="0.2">
      <c r="A3136" s="6">
        <f ca="1">Model!$F$13+RAND()*(Model!$G$13-Model!$F$13)</f>
        <v>1261.2066576625605</v>
      </c>
      <c r="B3136" s="31">
        <f ca="1">Model!$F$14+RAND()*(Model!$G$14-Model!$F$14)</f>
        <v>0.72028408228360097</v>
      </c>
      <c r="C3136" s="32">
        <f ca="1">Model!$F$15+RAND()*(Model!$G$15-Model!$F$15)</f>
        <v>1.618042328573626E-2</v>
      </c>
      <c r="D3136" s="33">
        <f ca="1">Model!$F$16+RAND()*(Model!$G$16-Model!$F$16)</f>
        <v>52.272119507616338</v>
      </c>
      <c r="E3136" s="33">
        <f>Model!$D$17</f>
        <v>800</v>
      </c>
      <c r="G3136" s="36">
        <f t="shared" ca="1" si="51"/>
        <v>-641.71738221803616</v>
      </c>
    </row>
    <row r="3137" spans="1:7" x14ac:dyDescent="0.2">
      <c r="A3137" s="6">
        <f ca="1">Model!$F$13+RAND()*(Model!$G$13-Model!$F$13)</f>
        <v>1740.7128610065088</v>
      </c>
      <c r="B3137" s="31">
        <f ca="1">Model!$F$14+RAND()*(Model!$G$14-Model!$F$14)</f>
        <v>0.46922309117297772</v>
      </c>
      <c r="C3137" s="32">
        <f ca="1">Model!$F$15+RAND()*(Model!$G$15-Model!$F$15)</f>
        <v>1.2347081405136304E-2</v>
      </c>
      <c r="D3137" s="33">
        <f ca="1">Model!$F$16+RAND()*(Model!$G$16-Model!$F$16)</f>
        <v>48.287093150695505</v>
      </c>
      <c r="E3137" s="33">
        <f>Model!$D$17</f>
        <v>800</v>
      </c>
      <c r="G3137" s="36">
        <f t="shared" ca="1" si="51"/>
        <v>-578.96153271360231</v>
      </c>
    </row>
    <row r="3138" spans="1:7" x14ac:dyDescent="0.2">
      <c r="A3138" s="6">
        <f ca="1">Model!$F$13+RAND()*(Model!$G$13-Model!$F$13)</f>
        <v>1234.3163039965825</v>
      </c>
      <c r="B3138" s="31">
        <f ca="1">Model!$F$14+RAND()*(Model!$G$14-Model!$F$14)</f>
        <v>0.46888061688523419</v>
      </c>
      <c r="C3138" s="32">
        <f ca="1">Model!$F$15+RAND()*(Model!$G$15-Model!$F$15)</f>
        <v>1.8217027065243696E-2</v>
      </c>
      <c r="D3138" s="33">
        <f ca="1">Model!$F$16+RAND()*(Model!$G$16-Model!$F$16)</f>
        <v>48.243973081089699</v>
      </c>
      <c r="E3138" s="33">
        <f>Model!$D$17</f>
        <v>800</v>
      </c>
      <c r="G3138" s="36">
        <f t="shared" ca="1" si="51"/>
        <v>-293.95358658350301</v>
      </c>
    </row>
    <row r="3139" spans="1:7" x14ac:dyDescent="0.2">
      <c r="A3139" s="6">
        <f ca="1">Model!$F$13+RAND()*(Model!$G$13-Model!$F$13)</f>
        <v>1329.2371701343986</v>
      </c>
      <c r="B3139" s="31">
        <f ca="1">Model!$F$14+RAND()*(Model!$G$14-Model!$F$14)</f>
        <v>0.55021831392677811</v>
      </c>
      <c r="C3139" s="32">
        <f ca="1">Model!$F$15+RAND()*(Model!$G$15-Model!$F$15)</f>
        <v>4.2507782100708304E-2</v>
      </c>
      <c r="D3139" s="33">
        <f ca="1">Model!$F$16+RAND()*(Model!$G$16-Model!$F$16)</f>
        <v>50.121599514061153</v>
      </c>
      <c r="E3139" s="33">
        <f>Model!$D$17</f>
        <v>800</v>
      </c>
      <c r="G3139" s="36">
        <f t="shared" ca="1" si="51"/>
        <v>1300.6462929516101</v>
      </c>
    </row>
    <row r="3140" spans="1:7" x14ac:dyDescent="0.2">
      <c r="A3140" s="6">
        <f ca="1">Model!$F$13+RAND()*(Model!$G$13-Model!$F$13)</f>
        <v>1286.6828640472702</v>
      </c>
      <c r="B3140" s="31">
        <f ca="1">Model!$F$14+RAND()*(Model!$G$14-Model!$F$14)</f>
        <v>0.64760838419255018</v>
      </c>
      <c r="C3140" s="32">
        <f ca="1">Model!$F$15+RAND()*(Model!$G$15-Model!$F$15)</f>
        <v>1.4046191115183695E-2</v>
      </c>
      <c r="D3140" s="33">
        <f ca="1">Model!$F$16+RAND()*(Model!$G$16-Model!$F$16)</f>
        <v>50.385454801387674</v>
      </c>
      <c r="E3140" s="33">
        <f>Model!$D$17</f>
        <v>800</v>
      </c>
      <c r="G3140" s="36">
        <f t="shared" ca="1" si="51"/>
        <v>-722.65061781539748</v>
      </c>
    </row>
    <row r="3141" spans="1:7" x14ac:dyDescent="0.2">
      <c r="A3141" s="6">
        <f ca="1">Model!$F$13+RAND()*(Model!$G$13-Model!$F$13)</f>
        <v>1369.5449156415336</v>
      </c>
      <c r="B3141" s="31">
        <f ca="1">Model!$F$14+RAND()*(Model!$G$14-Model!$F$14)</f>
        <v>0.28068456063080383</v>
      </c>
      <c r="C3141" s="32">
        <f ca="1">Model!$F$15+RAND()*(Model!$G$15-Model!$F$15)</f>
        <v>1.3647418315022688E-2</v>
      </c>
      <c r="D3141" s="33">
        <f ca="1">Model!$F$16+RAND()*(Model!$G$16-Model!$F$16)</f>
        <v>47.335390501546911</v>
      </c>
      <c r="E3141" s="33">
        <f>Model!$D$17</f>
        <v>800</v>
      </c>
      <c r="G3141" s="36">
        <f t="shared" ca="1" si="51"/>
        <v>-299.67605094731198</v>
      </c>
    </row>
    <row r="3142" spans="1:7" x14ac:dyDescent="0.2">
      <c r="A3142" s="6">
        <f ca="1">Model!$F$13+RAND()*(Model!$G$13-Model!$F$13)</f>
        <v>1530.8700888039748</v>
      </c>
      <c r="B3142" s="31">
        <f ca="1">Model!$F$14+RAND()*(Model!$G$14-Model!$F$14)</f>
        <v>0.45437497901183049</v>
      </c>
      <c r="C3142" s="32">
        <f ca="1">Model!$F$15+RAND()*(Model!$G$15-Model!$F$15)</f>
        <v>3.4266375182766047E-2</v>
      </c>
      <c r="D3142" s="33">
        <f ca="1">Model!$F$16+RAND()*(Model!$G$16-Model!$F$16)</f>
        <v>47.455594478826427</v>
      </c>
      <c r="E3142" s="33">
        <f>Model!$D$17</f>
        <v>800</v>
      </c>
      <c r="G3142" s="36">
        <f t="shared" ca="1" si="51"/>
        <v>993.80655763204163</v>
      </c>
    </row>
    <row r="3143" spans="1:7" x14ac:dyDescent="0.2">
      <c r="A3143" s="6">
        <f ca="1">Model!$F$13+RAND()*(Model!$G$13-Model!$F$13)</f>
        <v>1266.5986028635261</v>
      </c>
      <c r="B3143" s="31">
        <f ca="1">Model!$F$14+RAND()*(Model!$G$14-Model!$F$14)</f>
        <v>0.73590961514793629</v>
      </c>
      <c r="C3143" s="32">
        <f ca="1">Model!$F$15+RAND()*(Model!$G$15-Model!$F$15)</f>
        <v>4.8264557919734989E-2</v>
      </c>
      <c r="D3143" s="33">
        <f ca="1">Model!$F$16+RAND()*(Model!$G$16-Model!$F$16)</f>
        <v>50.053408181518812</v>
      </c>
      <c r="E3143" s="33">
        <f>Model!$D$17</f>
        <v>800</v>
      </c>
      <c r="G3143" s="36">
        <f t="shared" ca="1" si="51"/>
        <v>1327.7539304940274</v>
      </c>
    </row>
    <row r="3144" spans="1:7" x14ac:dyDescent="0.2">
      <c r="A3144" s="6">
        <f ca="1">Model!$F$13+RAND()*(Model!$G$13-Model!$F$13)</f>
        <v>1385.2944348664967</v>
      </c>
      <c r="B3144" s="31">
        <f ca="1">Model!$F$14+RAND()*(Model!$G$14-Model!$F$14)</f>
        <v>0.55009637751427554</v>
      </c>
      <c r="C3144" s="32">
        <f ca="1">Model!$F$15+RAND()*(Model!$G$15-Model!$F$15)</f>
        <v>3.8597632200069655E-2</v>
      </c>
      <c r="D3144" s="33">
        <f ca="1">Model!$F$16+RAND()*(Model!$G$16-Model!$F$16)</f>
        <v>48.547627853511933</v>
      </c>
      <c r="E3144" s="33">
        <f>Model!$D$17</f>
        <v>800</v>
      </c>
      <c r="G3144" s="36">
        <f t="shared" ca="1" si="51"/>
        <v>1033.7517940014864</v>
      </c>
    </row>
    <row r="3145" spans="1:7" x14ac:dyDescent="0.2">
      <c r="A3145" s="6">
        <f ca="1">Model!$F$13+RAND()*(Model!$G$13-Model!$F$13)</f>
        <v>1512.9284746523522</v>
      </c>
      <c r="B3145" s="31">
        <f ca="1">Model!$F$14+RAND()*(Model!$G$14-Model!$F$14)</f>
        <v>0.78432717061352863</v>
      </c>
      <c r="C3145" s="32">
        <f ca="1">Model!$F$15+RAND()*(Model!$G$15-Model!$F$15)</f>
        <v>4.7248865887636424E-2</v>
      </c>
      <c r="D3145" s="33">
        <f ca="1">Model!$F$16+RAND()*(Model!$G$16-Model!$F$16)</f>
        <v>49.423609400957226</v>
      </c>
      <c r="E3145" s="33">
        <f>Model!$D$17</f>
        <v>800</v>
      </c>
      <c r="G3145" s="36">
        <f t="shared" ca="1" si="51"/>
        <v>1546.3740252671396</v>
      </c>
    </row>
    <row r="3146" spans="1:7" x14ac:dyDescent="0.2">
      <c r="A3146" s="6">
        <f ca="1">Model!$F$13+RAND()*(Model!$G$13-Model!$F$13)</f>
        <v>1462.1618612925442</v>
      </c>
      <c r="B3146" s="31">
        <f ca="1">Model!$F$14+RAND()*(Model!$G$14-Model!$F$14)</f>
        <v>0.67276370678321018</v>
      </c>
      <c r="C3146" s="32">
        <f ca="1">Model!$F$15+RAND()*(Model!$G$15-Model!$F$15)</f>
        <v>4.0647820849263383E-2</v>
      </c>
      <c r="D3146" s="33">
        <f ca="1">Model!$F$16+RAND()*(Model!$G$16-Model!$F$16)</f>
        <v>52.661415750937948</v>
      </c>
      <c r="E3146" s="33">
        <f>Model!$D$17</f>
        <v>800</v>
      </c>
      <c r="G3146" s="36">
        <f t="shared" ca="1" si="51"/>
        <v>1346.1730035277783</v>
      </c>
    </row>
    <row r="3147" spans="1:7" x14ac:dyDescent="0.2">
      <c r="A3147" s="6">
        <f ca="1">Model!$F$13+RAND()*(Model!$G$13-Model!$F$13)</f>
        <v>1417.1432948679858</v>
      </c>
      <c r="B3147" s="31">
        <f ca="1">Model!$F$14+RAND()*(Model!$G$14-Model!$F$14)</f>
        <v>0.31554387344433044</v>
      </c>
      <c r="C3147" s="32">
        <f ca="1">Model!$F$15+RAND()*(Model!$G$15-Model!$F$15)</f>
        <v>3.4169407171224526E-2</v>
      </c>
      <c r="D3147" s="33">
        <f ca="1">Model!$F$16+RAND()*(Model!$G$16-Model!$F$16)</f>
        <v>48.761414859612508</v>
      </c>
      <c r="E3147" s="33">
        <f>Model!$D$17</f>
        <v>800</v>
      </c>
      <c r="G3147" s="36">
        <f t="shared" ca="1" si="51"/>
        <v>1114.0004869331551</v>
      </c>
    </row>
    <row r="3148" spans="1:7" x14ac:dyDescent="0.2">
      <c r="A3148" s="6">
        <f ca="1">Model!$F$13+RAND()*(Model!$G$13-Model!$F$13)</f>
        <v>1492.7353567337852</v>
      </c>
      <c r="B3148" s="31">
        <f ca="1">Model!$F$14+RAND()*(Model!$G$14-Model!$F$14)</f>
        <v>0.46837173070704191</v>
      </c>
      <c r="C3148" s="32">
        <f ca="1">Model!$F$15+RAND()*(Model!$G$15-Model!$F$15)</f>
        <v>3.1702509085267935E-2</v>
      </c>
      <c r="D3148" s="33">
        <f ca="1">Model!$F$16+RAND()*(Model!$G$16-Model!$F$16)</f>
        <v>51.645675518748874</v>
      </c>
      <c r="E3148" s="33">
        <f>Model!$D$17</f>
        <v>800</v>
      </c>
      <c r="G3148" s="36">
        <f t="shared" ca="1" si="51"/>
        <v>944.89682126200842</v>
      </c>
    </row>
    <row r="3149" spans="1:7" x14ac:dyDescent="0.2">
      <c r="A3149" s="6">
        <f ca="1">Model!$F$13+RAND()*(Model!$G$13-Model!$F$13)</f>
        <v>1784.8048409748949</v>
      </c>
      <c r="B3149" s="31">
        <f ca="1">Model!$F$14+RAND()*(Model!$G$14-Model!$F$14)</f>
        <v>0.41710245947754243</v>
      </c>
      <c r="C3149" s="32">
        <f ca="1">Model!$F$15+RAND()*(Model!$G$15-Model!$F$15)</f>
        <v>2.2295219919226963E-2</v>
      </c>
      <c r="D3149" s="33">
        <f ca="1">Model!$F$16+RAND()*(Model!$G$16-Model!$F$16)</f>
        <v>49.715323859179847</v>
      </c>
      <c r="E3149" s="33">
        <f>Model!$D$17</f>
        <v>800</v>
      </c>
      <c r="G3149" s="36">
        <f t="shared" ca="1" si="51"/>
        <v>433.85632478178741</v>
      </c>
    </row>
    <row r="3150" spans="1:7" x14ac:dyDescent="0.2">
      <c r="A3150" s="6">
        <f ca="1">Model!$F$13+RAND()*(Model!$G$13-Model!$F$13)</f>
        <v>1451.329325047129</v>
      </c>
      <c r="B3150" s="31">
        <f ca="1">Model!$F$14+RAND()*(Model!$G$14-Model!$F$14)</f>
        <v>0.39903796500982136</v>
      </c>
      <c r="C3150" s="32">
        <f ca="1">Model!$F$15+RAND()*(Model!$G$15-Model!$F$15)</f>
        <v>3.0019125076180937E-2</v>
      </c>
      <c r="D3150" s="33">
        <f ca="1">Model!$F$16+RAND()*(Model!$G$16-Model!$F$16)</f>
        <v>52.058648819784267</v>
      </c>
      <c r="E3150" s="33">
        <f>Model!$D$17</f>
        <v>800</v>
      </c>
      <c r="G3150" s="36">
        <f t="shared" ca="1" si="51"/>
        <v>888.93678987429166</v>
      </c>
    </row>
    <row r="3151" spans="1:7" x14ac:dyDescent="0.2">
      <c r="A3151" s="6">
        <f ca="1">Model!$F$13+RAND()*(Model!$G$13-Model!$F$13)</f>
        <v>1784.8866006462445</v>
      </c>
      <c r="B3151" s="31">
        <f ca="1">Model!$F$14+RAND()*(Model!$G$14-Model!$F$14)</f>
        <v>0.79246587439010452</v>
      </c>
      <c r="C3151" s="32">
        <f ca="1">Model!$F$15+RAND()*(Model!$G$15-Model!$F$15)</f>
        <v>3.9378567949044221E-2</v>
      </c>
      <c r="D3151" s="33">
        <f ca="1">Model!$F$16+RAND()*(Model!$G$16-Model!$F$16)</f>
        <v>52.12017489183787</v>
      </c>
      <c r="E3151" s="33">
        <f>Model!$D$17</f>
        <v>800</v>
      </c>
      <c r="G3151" s="36">
        <f t="shared" ca="1" si="51"/>
        <v>1448.8713960363734</v>
      </c>
    </row>
    <row r="3152" spans="1:7" x14ac:dyDescent="0.2">
      <c r="A3152" s="6">
        <f ca="1">Model!$F$13+RAND()*(Model!$G$13-Model!$F$13)</f>
        <v>1570.3148648292042</v>
      </c>
      <c r="B3152" s="31">
        <f ca="1">Model!$F$14+RAND()*(Model!$G$14-Model!$F$14)</f>
        <v>0.28959255221569086</v>
      </c>
      <c r="C3152" s="32">
        <f ca="1">Model!$F$15+RAND()*(Model!$G$15-Model!$F$15)</f>
        <v>4.6644554097636425E-2</v>
      </c>
      <c r="D3152" s="33">
        <f ca="1">Model!$F$16+RAND()*(Model!$G$16-Model!$F$16)</f>
        <v>52.872003236377161</v>
      </c>
      <c r="E3152" s="33">
        <f>Model!$D$17</f>
        <v>800</v>
      </c>
      <c r="G3152" s="36">
        <f t="shared" ca="1" si="51"/>
        <v>2617.944921203738</v>
      </c>
    </row>
    <row r="3153" spans="1:7" x14ac:dyDescent="0.2">
      <c r="A3153" s="6">
        <f ca="1">Model!$F$13+RAND()*(Model!$G$13-Model!$F$13)</f>
        <v>1273.0555807266046</v>
      </c>
      <c r="B3153" s="31">
        <f ca="1">Model!$F$14+RAND()*(Model!$G$14-Model!$F$14)</f>
        <v>0.39466974433561353</v>
      </c>
      <c r="C3153" s="32">
        <f ca="1">Model!$F$15+RAND()*(Model!$G$15-Model!$F$15)</f>
        <v>3.4514050497070729E-2</v>
      </c>
      <c r="D3153" s="33">
        <f ca="1">Model!$F$16+RAND()*(Model!$G$16-Model!$F$16)</f>
        <v>52.916201287847542</v>
      </c>
      <c r="E3153" s="33">
        <f>Model!$D$17</f>
        <v>800</v>
      </c>
      <c r="G3153" s="36">
        <f t="shared" ca="1" si="51"/>
        <v>1022.6116498251793</v>
      </c>
    </row>
    <row r="3154" spans="1:7" x14ac:dyDescent="0.2">
      <c r="A3154" s="6">
        <f ca="1">Model!$F$13+RAND()*(Model!$G$13-Model!$F$13)</f>
        <v>1388.1354425149439</v>
      </c>
      <c r="B3154" s="31">
        <f ca="1">Model!$F$14+RAND()*(Model!$G$14-Model!$F$14)</f>
        <v>0.30347737674735958</v>
      </c>
      <c r="C3154" s="32">
        <f ca="1">Model!$F$15+RAND()*(Model!$G$15-Model!$F$15)</f>
        <v>2.0664348366191746E-2</v>
      </c>
      <c r="D3154" s="33">
        <f ca="1">Model!$F$16+RAND()*(Model!$G$16-Model!$F$16)</f>
        <v>47.266379005475194</v>
      </c>
      <c r="E3154" s="33">
        <f>Model!$D$17</f>
        <v>800</v>
      </c>
      <c r="G3154" s="36">
        <f t="shared" ca="1" si="51"/>
        <v>134.56433138441025</v>
      </c>
    </row>
    <row r="3155" spans="1:7" x14ac:dyDescent="0.2">
      <c r="A3155" s="6">
        <f ca="1">Model!$F$13+RAND()*(Model!$G$13-Model!$F$13)</f>
        <v>1459.3166962034443</v>
      </c>
      <c r="B3155" s="31">
        <f ca="1">Model!$F$14+RAND()*(Model!$G$14-Model!$F$14)</f>
        <v>0.60817744623158732</v>
      </c>
      <c r="C3155" s="32">
        <f ca="1">Model!$F$15+RAND()*(Model!$G$15-Model!$F$15)</f>
        <v>2.3486947175867863E-2</v>
      </c>
      <c r="D3155" s="33">
        <f ca="1">Model!$F$16+RAND()*(Model!$G$16-Model!$F$16)</f>
        <v>50.203351243542713</v>
      </c>
      <c r="E3155" s="33">
        <f>Model!$D$17</f>
        <v>800</v>
      </c>
      <c r="G3155" s="36">
        <f t="shared" ca="1" si="51"/>
        <v>33.191048638525217</v>
      </c>
    </row>
    <row r="3156" spans="1:7" x14ac:dyDescent="0.2">
      <c r="A3156" s="6">
        <f ca="1">Model!$F$13+RAND()*(Model!$G$13-Model!$F$13)</f>
        <v>1286.7277334846838</v>
      </c>
      <c r="B3156" s="31">
        <f ca="1">Model!$F$14+RAND()*(Model!$G$14-Model!$F$14)</f>
        <v>0.53232974872963146</v>
      </c>
      <c r="C3156" s="32">
        <f ca="1">Model!$F$15+RAND()*(Model!$G$15-Model!$F$15)</f>
        <v>4.6712337513249595E-2</v>
      </c>
      <c r="D3156" s="33">
        <f ca="1">Model!$F$16+RAND()*(Model!$G$16-Model!$F$16)</f>
        <v>47.99451862806152</v>
      </c>
      <c r="E3156" s="33">
        <f>Model!$D$17</f>
        <v>800</v>
      </c>
      <c r="G3156" s="36">
        <f t="shared" ca="1" si="51"/>
        <v>1399.7979736404493</v>
      </c>
    </row>
    <row r="3157" spans="1:7" x14ac:dyDescent="0.2">
      <c r="A3157" s="6">
        <f ca="1">Model!$F$13+RAND()*(Model!$G$13-Model!$F$13)</f>
        <v>1665.6890926380354</v>
      </c>
      <c r="B3157" s="31">
        <f ca="1">Model!$F$14+RAND()*(Model!$G$14-Model!$F$14)</f>
        <v>0.59297153074326847</v>
      </c>
      <c r="C3157" s="32">
        <f ca="1">Model!$F$15+RAND()*(Model!$G$15-Model!$F$15)</f>
        <v>3.3694613296817548E-2</v>
      </c>
      <c r="D3157" s="33">
        <f ca="1">Model!$F$16+RAND()*(Model!$G$16-Model!$F$16)</f>
        <v>48.29348166940828</v>
      </c>
      <c r="E3157" s="33">
        <f>Model!$D$17</f>
        <v>800</v>
      </c>
      <c r="G3157" s="36">
        <f t="shared" ca="1" si="51"/>
        <v>922.75336703685753</v>
      </c>
    </row>
    <row r="3158" spans="1:7" x14ac:dyDescent="0.2">
      <c r="A3158" s="6">
        <f ca="1">Model!$F$13+RAND()*(Model!$G$13-Model!$F$13)</f>
        <v>1495.9884907330263</v>
      </c>
      <c r="B3158" s="31">
        <f ca="1">Model!$F$14+RAND()*(Model!$G$14-Model!$F$14)</f>
        <v>0.77232911781533709</v>
      </c>
      <c r="C3158" s="32">
        <f ca="1">Model!$F$15+RAND()*(Model!$G$15-Model!$F$15)</f>
        <v>3.7972017948065311E-2</v>
      </c>
      <c r="D3158" s="33">
        <f ca="1">Model!$F$16+RAND()*(Model!$G$16-Model!$F$16)</f>
        <v>49.167417090542727</v>
      </c>
      <c r="E3158" s="33">
        <f>Model!$D$17</f>
        <v>800</v>
      </c>
      <c r="G3158" s="36">
        <f t="shared" ca="1" si="51"/>
        <v>837.59416320570904</v>
      </c>
    </row>
    <row r="3159" spans="1:7" x14ac:dyDescent="0.2">
      <c r="A3159" s="6">
        <f ca="1">Model!$F$13+RAND()*(Model!$G$13-Model!$F$13)</f>
        <v>1373.4230508732062</v>
      </c>
      <c r="B3159" s="31">
        <f ca="1">Model!$F$14+RAND()*(Model!$G$14-Model!$F$14)</f>
        <v>0.58962716401575366</v>
      </c>
      <c r="C3159" s="32">
        <f ca="1">Model!$F$15+RAND()*(Model!$G$15-Model!$F$15)</f>
        <v>2.6975390230926953E-2</v>
      </c>
      <c r="D3159" s="33">
        <f ca="1">Model!$F$16+RAND()*(Model!$G$16-Model!$F$16)</f>
        <v>49.001677101553447</v>
      </c>
      <c r="E3159" s="33">
        <f>Model!$D$17</f>
        <v>800</v>
      </c>
      <c r="G3159" s="36">
        <f t="shared" ca="1" si="51"/>
        <v>205.63711054582723</v>
      </c>
    </row>
    <row r="3160" spans="1:7" x14ac:dyDescent="0.2">
      <c r="A3160" s="6">
        <f ca="1">Model!$F$13+RAND()*(Model!$G$13-Model!$F$13)</f>
        <v>1562.9596114065018</v>
      </c>
      <c r="B3160" s="31">
        <f ca="1">Model!$F$14+RAND()*(Model!$G$14-Model!$F$14)</f>
        <v>0.45287316270491934</v>
      </c>
      <c r="C3160" s="32">
        <f ca="1">Model!$F$15+RAND()*(Model!$G$15-Model!$F$15)</f>
        <v>3.7284185646232634E-2</v>
      </c>
      <c r="D3160" s="33">
        <f ca="1">Model!$F$16+RAND()*(Model!$G$16-Model!$F$16)</f>
        <v>50.219690617584888</v>
      </c>
      <c r="E3160" s="33">
        <f>Model!$D$17</f>
        <v>800</v>
      </c>
      <c r="G3160" s="36">
        <f t="shared" ca="1" si="51"/>
        <v>1418.6635330017873</v>
      </c>
    </row>
    <row r="3161" spans="1:7" x14ac:dyDescent="0.2">
      <c r="A3161" s="6">
        <f ca="1">Model!$F$13+RAND()*(Model!$G$13-Model!$F$13)</f>
        <v>1254.1421603781059</v>
      </c>
      <c r="B3161" s="31">
        <f ca="1">Model!$F$14+RAND()*(Model!$G$14-Model!$F$14)</f>
        <v>0.43452658395023847</v>
      </c>
      <c r="C3161" s="32">
        <f ca="1">Model!$F$15+RAND()*(Model!$G$15-Model!$F$15)</f>
        <v>4.7318967689337424E-2</v>
      </c>
      <c r="D3161" s="33">
        <f ca="1">Model!$F$16+RAND()*(Model!$G$16-Model!$F$16)</f>
        <v>50.818764803154089</v>
      </c>
      <c r="E3161" s="33">
        <f>Model!$D$17</f>
        <v>800</v>
      </c>
      <c r="G3161" s="36">
        <f t="shared" ca="1" si="51"/>
        <v>1670.8668712388755</v>
      </c>
    </row>
    <row r="3162" spans="1:7" x14ac:dyDescent="0.2">
      <c r="A3162" s="6">
        <f ca="1">Model!$F$13+RAND()*(Model!$G$13-Model!$F$13)</f>
        <v>1629.6885660684761</v>
      </c>
      <c r="B3162" s="31">
        <f ca="1">Model!$F$14+RAND()*(Model!$G$14-Model!$F$14)</f>
        <v>0.50638608266512497</v>
      </c>
      <c r="C3162" s="32">
        <f ca="1">Model!$F$15+RAND()*(Model!$G$15-Model!$F$15)</f>
        <v>1.0305867468346839E-2</v>
      </c>
      <c r="D3162" s="33">
        <f ca="1">Model!$F$16+RAND()*(Model!$G$16-Model!$F$16)</f>
        <v>51.113240203508418</v>
      </c>
      <c r="E3162" s="33">
        <f>Model!$D$17</f>
        <v>800</v>
      </c>
      <c r="G3162" s="36">
        <f t="shared" ca="1" si="51"/>
        <v>-766.78662638228252</v>
      </c>
    </row>
    <row r="3163" spans="1:7" x14ac:dyDescent="0.2">
      <c r="A3163" s="6">
        <f ca="1">Model!$F$13+RAND()*(Model!$G$13-Model!$F$13)</f>
        <v>1774.4265908968905</v>
      </c>
      <c r="B3163" s="31">
        <f ca="1">Model!$F$14+RAND()*(Model!$G$14-Model!$F$14)</f>
        <v>0.37801012541431456</v>
      </c>
      <c r="C3163" s="32">
        <f ca="1">Model!$F$15+RAND()*(Model!$G$15-Model!$F$15)</f>
        <v>3.5863409142863761E-2</v>
      </c>
      <c r="D3163" s="33">
        <f ca="1">Model!$F$16+RAND()*(Model!$G$16-Model!$F$16)</f>
        <v>52.566493658062683</v>
      </c>
      <c r="E3163" s="33">
        <f>Model!$D$17</f>
        <v>800</v>
      </c>
      <c r="G3163" s="36">
        <f t="shared" ca="1" si="51"/>
        <v>1874.422046102427</v>
      </c>
    </row>
    <row r="3164" spans="1:7" x14ac:dyDescent="0.2">
      <c r="A3164" s="6">
        <f ca="1">Model!$F$13+RAND()*(Model!$G$13-Model!$F$13)</f>
        <v>1668.3232794620876</v>
      </c>
      <c r="B3164" s="31">
        <f ca="1">Model!$F$14+RAND()*(Model!$G$14-Model!$F$14)</f>
        <v>0.26194101405692388</v>
      </c>
      <c r="C3164" s="32">
        <f ca="1">Model!$F$15+RAND()*(Model!$G$15-Model!$F$15)</f>
        <v>3.2109956871426544E-2</v>
      </c>
      <c r="D3164" s="33">
        <f ca="1">Model!$F$16+RAND()*(Model!$G$16-Model!$F$16)</f>
        <v>50.486221399420735</v>
      </c>
      <c r="E3164" s="33">
        <f>Model!$D$17</f>
        <v>800</v>
      </c>
      <c r="G3164" s="36">
        <f t="shared" ca="1" si="51"/>
        <v>1467.5339135151548</v>
      </c>
    </row>
    <row r="3165" spans="1:7" x14ac:dyDescent="0.2">
      <c r="A3165" s="6">
        <f ca="1">Model!$F$13+RAND()*(Model!$G$13-Model!$F$13)</f>
        <v>1742.3073466616988</v>
      </c>
      <c r="B3165" s="31">
        <f ca="1">Model!$F$14+RAND()*(Model!$G$14-Model!$F$14)</f>
        <v>0.46275367806879858</v>
      </c>
      <c r="C3165" s="32">
        <f ca="1">Model!$F$15+RAND()*(Model!$G$15-Model!$F$15)</f>
        <v>4.4452246804280379E-2</v>
      </c>
      <c r="D3165" s="33">
        <f ca="1">Model!$F$16+RAND()*(Model!$G$16-Model!$F$16)</f>
        <v>49.717758565056144</v>
      </c>
      <c r="E3165" s="33">
        <f>Model!$D$17</f>
        <v>800</v>
      </c>
      <c r="G3165" s="36">
        <f t="shared" ca="1" si="51"/>
        <v>2244.3552248483857</v>
      </c>
    </row>
    <row r="3166" spans="1:7" x14ac:dyDescent="0.2">
      <c r="A3166" s="6">
        <f ca="1">Model!$F$13+RAND()*(Model!$G$13-Model!$F$13)</f>
        <v>1340.6566315266648</v>
      </c>
      <c r="B3166" s="31">
        <f ca="1">Model!$F$14+RAND()*(Model!$G$14-Model!$F$14)</f>
        <v>0.42049122615980611</v>
      </c>
      <c r="C3166" s="32">
        <f ca="1">Model!$F$15+RAND()*(Model!$G$15-Model!$F$15)</f>
        <v>1.0430117776835474E-2</v>
      </c>
      <c r="D3166" s="33">
        <f ca="1">Model!$F$16+RAND()*(Model!$G$16-Model!$F$16)</f>
        <v>50.400350417229973</v>
      </c>
      <c r="E3166" s="33">
        <f>Model!$D$17</f>
        <v>800</v>
      </c>
      <c r="G3166" s="36">
        <f t="shared" ca="1" si="51"/>
        <v>-658.97584001143275</v>
      </c>
    </row>
    <row r="3167" spans="1:7" x14ac:dyDescent="0.2">
      <c r="A3167" s="6">
        <f ca="1">Model!$F$13+RAND()*(Model!$G$13-Model!$F$13)</f>
        <v>1487.9646894176481</v>
      </c>
      <c r="B3167" s="31">
        <f ca="1">Model!$F$14+RAND()*(Model!$G$14-Model!$F$14)</f>
        <v>0.74631068605683581</v>
      </c>
      <c r="C3167" s="32">
        <f ca="1">Model!$F$15+RAND()*(Model!$G$15-Model!$F$15)</f>
        <v>3.8041030174496393E-2</v>
      </c>
      <c r="D3167" s="33">
        <f ca="1">Model!$F$16+RAND()*(Model!$G$16-Model!$F$16)</f>
        <v>48.597454125855187</v>
      </c>
      <c r="E3167" s="33">
        <f>Model!$D$17</f>
        <v>800</v>
      </c>
      <c r="G3167" s="36">
        <f t="shared" ca="1" si="51"/>
        <v>840.31223481935785</v>
      </c>
    </row>
    <row r="3168" spans="1:7" x14ac:dyDescent="0.2">
      <c r="A3168" s="6">
        <f ca="1">Model!$F$13+RAND()*(Model!$G$13-Model!$F$13)</f>
        <v>1294.6353272020413</v>
      </c>
      <c r="B3168" s="31">
        <f ca="1">Model!$F$14+RAND()*(Model!$G$14-Model!$F$14)</f>
        <v>0.34937138145933466</v>
      </c>
      <c r="C3168" s="32">
        <f ca="1">Model!$F$15+RAND()*(Model!$G$15-Model!$F$15)</f>
        <v>2.3166240229404226E-2</v>
      </c>
      <c r="D3168" s="33">
        <f ca="1">Model!$F$16+RAND()*(Model!$G$16-Model!$F$16)</f>
        <v>49.981723007333564</v>
      </c>
      <c r="E3168" s="33">
        <f>Model!$D$17</f>
        <v>800</v>
      </c>
      <c r="G3168" s="36">
        <f t="shared" ca="1" si="51"/>
        <v>246.73495670937314</v>
      </c>
    </row>
    <row r="3169" spans="1:7" x14ac:dyDescent="0.2">
      <c r="A3169" s="6">
        <f ca="1">Model!$F$13+RAND()*(Model!$G$13-Model!$F$13)</f>
        <v>1494.9068438205841</v>
      </c>
      <c r="B3169" s="31">
        <f ca="1">Model!$F$14+RAND()*(Model!$G$14-Model!$F$14)</f>
        <v>0.53616976057847698</v>
      </c>
      <c r="C3169" s="32">
        <f ca="1">Model!$F$15+RAND()*(Model!$G$15-Model!$F$15)</f>
        <v>1.8221924915067335E-2</v>
      </c>
      <c r="D3169" s="33">
        <f ca="1">Model!$F$16+RAND()*(Model!$G$16-Model!$F$16)</f>
        <v>50.850094398647023</v>
      </c>
      <c r="E3169" s="33">
        <f>Model!$D$17</f>
        <v>800</v>
      </c>
      <c r="G3169" s="36">
        <f t="shared" ca="1" si="51"/>
        <v>-216.3631917320879</v>
      </c>
    </row>
    <row r="3170" spans="1:7" x14ac:dyDescent="0.2">
      <c r="A3170" s="6">
        <f ca="1">Model!$F$13+RAND()*(Model!$G$13-Model!$F$13)</f>
        <v>1287.5462638136651</v>
      </c>
      <c r="B3170" s="31">
        <f ca="1">Model!$F$14+RAND()*(Model!$G$14-Model!$F$14)</f>
        <v>0.59489967830989565</v>
      </c>
      <c r="C3170" s="32">
        <f ca="1">Model!$F$15+RAND()*(Model!$G$15-Model!$F$15)</f>
        <v>1.8241354137386409E-2</v>
      </c>
      <c r="D3170" s="33">
        <f ca="1">Model!$F$16+RAND()*(Model!$G$16-Model!$F$16)</f>
        <v>47.111019416746885</v>
      </c>
      <c r="E3170" s="33">
        <f>Model!$D$17</f>
        <v>800</v>
      </c>
      <c r="G3170" s="36">
        <f t="shared" ca="1" si="51"/>
        <v>-459.48378469584532</v>
      </c>
    </row>
    <row r="3171" spans="1:7" x14ac:dyDescent="0.2">
      <c r="A3171" s="6">
        <f ca="1">Model!$F$13+RAND()*(Model!$G$13-Model!$F$13)</f>
        <v>1446.1812539884693</v>
      </c>
      <c r="B3171" s="31">
        <f ca="1">Model!$F$14+RAND()*(Model!$G$14-Model!$F$14)</f>
        <v>0.79182618657365111</v>
      </c>
      <c r="C3171" s="32">
        <f ca="1">Model!$F$15+RAND()*(Model!$G$15-Model!$F$15)</f>
        <v>3.2165162312400415E-2</v>
      </c>
      <c r="D3171" s="33">
        <f ca="1">Model!$F$16+RAND()*(Model!$G$16-Model!$F$16)</f>
        <v>47.084400521811425</v>
      </c>
      <c r="E3171" s="33">
        <f>Model!$D$17</f>
        <v>800</v>
      </c>
      <c r="G3171" s="36">
        <f t="shared" ca="1" si="51"/>
        <v>245.08461657674911</v>
      </c>
    </row>
    <row r="3172" spans="1:7" x14ac:dyDescent="0.2">
      <c r="A3172" s="6">
        <f ca="1">Model!$F$13+RAND()*(Model!$G$13-Model!$F$13)</f>
        <v>1230.5206936141985</v>
      </c>
      <c r="B3172" s="31">
        <f ca="1">Model!$F$14+RAND()*(Model!$G$14-Model!$F$14)</f>
        <v>0.53456419496964924</v>
      </c>
      <c r="C3172" s="32">
        <f ca="1">Model!$F$15+RAND()*(Model!$G$15-Model!$F$15)</f>
        <v>3.5397299992423206E-2</v>
      </c>
      <c r="D3172" s="33">
        <f ca="1">Model!$F$16+RAND()*(Model!$G$16-Model!$F$16)</f>
        <v>50.943235419443319</v>
      </c>
      <c r="E3172" s="33">
        <f>Model!$D$17</f>
        <v>800</v>
      </c>
      <c r="G3172" s="36">
        <f t="shared" ca="1" si="51"/>
        <v>761.14781201341407</v>
      </c>
    </row>
    <row r="3173" spans="1:7" x14ac:dyDescent="0.2">
      <c r="A3173" s="6">
        <f ca="1">Model!$F$13+RAND()*(Model!$G$13-Model!$F$13)</f>
        <v>1311.3293398659293</v>
      </c>
      <c r="B3173" s="31">
        <f ca="1">Model!$F$14+RAND()*(Model!$G$14-Model!$F$14)</f>
        <v>0.55461019922845123</v>
      </c>
      <c r="C3173" s="32">
        <f ca="1">Model!$F$15+RAND()*(Model!$G$15-Model!$F$15)</f>
        <v>4.085457749623421E-2</v>
      </c>
      <c r="D3173" s="33">
        <f ca="1">Model!$F$16+RAND()*(Model!$G$16-Model!$F$16)</f>
        <v>50.505864959615209</v>
      </c>
      <c r="E3173" s="33">
        <f>Model!$D$17</f>
        <v>800</v>
      </c>
      <c r="G3173" s="36">
        <f t="shared" ca="1" si="51"/>
        <v>1178.5147917735117</v>
      </c>
    </row>
    <row r="3174" spans="1:7" x14ac:dyDescent="0.2">
      <c r="A3174" s="6">
        <f ca="1">Model!$F$13+RAND()*(Model!$G$13-Model!$F$13)</f>
        <v>1239.0015352934211</v>
      </c>
      <c r="B3174" s="31">
        <f ca="1">Model!$F$14+RAND()*(Model!$G$14-Model!$F$14)</f>
        <v>0.37274819948702165</v>
      </c>
      <c r="C3174" s="32">
        <f ca="1">Model!$F$15+RAND()*(Model!$G$15-Model!$F$15)</f>
        <v>4.4449576772861397E-2</v>
      </c>
      <c r="D3174" s="33">
        <f ca="1">Model!$F$16+RAND()*(Model!$G$16-Model!$F$16)</f>
        <v>47.615448601670842</v>
      </c>
      <c r="E3174" s="33">
        <f>Model!$D$17</f>
        <v>800</v>
      </c>
      <c r="G3174" s="36">
        <f t="shared" ca="1" si="51"/>
        <v>1360.4944788081984</v>
      </c>
    </row>
    <row r="3175" spans="1:7" x14ac:dyDescent="0.2">
      <c r="A3175" s="6">
        <f ca="1">Model!$F$13+RAND()*(Model!$G$13-Model!$F$13)</f>
        <v>1658.6553481890967</v>
      </c>
      <c r="B3175" s="31">
        <f ca="1">Model!$F$14+RAND()*(Model!$G$14-Model!$F$14)</f>
        <v>0.77587454409381529</v>
      </c>
      <c r="C3175" s="32">
        <f ca="1">Model!$F$15+RAND()*(Model!$G$15-Model!$F$15)</f>
        <v>3.7400716772124351E-2</v>
      </c>
      <c r="D3175" s="33">
        <f ca="1">Model!$F$16+RAND()*(Model!$G$16-Model!$F$16)</f>
        <v>48.940181369944071</v>
      </c>
      <c r="E3175" s="33">
        <f>Model!$D$17</f>
        <v>800</v>
      </c>
      <c r="G3175" s="36">
        <f t="shared" ca="1" si="51"/>
        <v>949.0907413564446</v>
      </c>
    </row>
    <row r="3176" spans="1:7" x14ac:dyDescent="0.2">
      <c r="A3176" s="6">
        <f ca="1">Model!$F$13+RAND()*(Model!$G$13-Model!$F$13)</f>
        <v>1519.5169020053861</v>
      </c>
      <c r="B3176" s="31">
        <f ca="1">Model!$F$14+RAND()*(Model!$G$14-Model!$F$14)</f>
        <v>0.73380671150915755</v>
      </c>
      <c r="C3176" s="32">
        <f ca="1">Model!$F$15+RAND()*(Model!$G$15-Model!$F$15)</f>
        <v>2.37632287968817E-2</v>
      </c>
      <c r="D3176" s="33">
        <f ca="1">Model!$F$16+RAND()*(Model!$G$16-Model!$F$16)</f>
        <v>48.269869477097494</v>
      </c>
      <c r="E3176" s="33">
        <f>Model!$D$17</f>
        <v>800</v>
      </c>
      <c r="G3176" s="36">
        <f t="shared" ca="1" si="51"/>
        <v>-172.07294989125171</v>
      </c>
    </row>
    <row r="3177" spans="1:7" x14ac:dyDescent="0.2">
      <c r="A3177" s="6">
        <f ca="1">Model!$F$13+RAND()*(Model!$G$13-Model!$F$13)</f>
        <v>1253.8481785044685</v>
      </c>
      <c r="B3177" s="31">
        <f ca="1">Model!$F$14+RAND()*(Model!$G$14-Model!$F$14)</f>
        <v>0.61253160139246632</v>
      </c>
      <c r="C3177" s="32">
        <f ca="1">Model!$F$15+RAND()*(Model!$G$15-Model!$F$15)</f>
        <v>2.2844638237863826E-2</v>
      </c>
      <c r="D3177" s="33">
        <f ca="1">Model!$F$16+RAND()*(Model!$G$16-Model!$F$16)</f>
        <v>47.034646876600313</v>
      </c>
      <c r="E3177" s="33">
        <f>Model!$D$17</f>
        <v>800</v>
      </c>
      <c r="G3177" s="36">
        <f t="shared" ref="G3177:G3240" ca="1" si="52">A3177*C3177*D3177-(E3177+A3177*B3177)</f>
        <v>-220.77493963688585</v>
      </c>
    </row>
    <row r="3178" spans="1:7" x14ac:dyDescent="0.2">
      <c r="A3178" s="6">
        <f ca="1">Model!$F$13+RAND()*(Model!$G$13-Model!$F$13)</f>
        <v>1294.8001902209035</v>
      </c>
      <c r="B3178" s="31">
        <f ca="1">Model!$F$14+RAND()*(Model!$G$14-Model!$F$14)</f>
        <v>0.59431443301510922</v>
      </c>
      <c r="C3178" s="32">
        <f ca="1">Model!$F$15+RAND()*(Model!$G$15-Model!$F$15)</f>
        <v>2.2693403039968293E-2</v>
      </c>
      <c r="D3178" s="33">
        <f ca="1">Model!$F$16+RAND()*(Model!$G$16-Model!$F$16)</f>
        <v>50.925019635562052</v>
      </c>
      <c r="E3178" s="33">
        <f>Model!$D$17</f>
        <v>800</v>
      </c>
      <c r="G3178" s="36">
        <f t="shared" ca="1" si="52"/>
        <v>-73.167069433503684</v>
      </c>
    </row>
    <row r="3179" spans="1:7" x14ac:dyDescent="0.2">
      <c r="A3179" s="6">
        <f ca="1">Model!$F$13+RAND()*(Model!$G$13-Model!$F$13)</f>
        <v>1297.2696269223759</v>
      </c>
      <c r="B3179" s="31">
        <f ca="1">Model!$F$14+RAND()*(Model!$G$14-Model!$F$14)</f>
        <v>0.55609835809781605</v>
      </c>
      <c r="C3179" s="32">
        <f ca="1">Model!$F$15+RAND()*(Model!$G$15-Model!$F$15)</f>
        <v>1.9393960407364994E-2</v>
      </c>
      <c r="D3179" s="33">
        <f ca="1">Model!$F$16+RAND()*(Model!$G$16-Model!$F$16)</f>
        <v>52.242353725478957</v>
      </c>
      <c r="E3179" s="33">
        <f>Model!$D$17</f>
        <v>800</v>
      </c>
      <c r="G3179" s="36">
        <f t="shared" ca="1" si="52"/>
        <v>-207.03390403892149</v>
      </c>
    </row>
    <row r="3180" spans="1:7" x14ac:dyDescent="0.2">
      <c r="A3180" s="6">
        <f ca="1">Model!$F$13+RAND()*(Model!$G$13-Model!$F$13)</f>
        <v>1590.548992159743</v>
      </c>
      <c r="B3180" s="31">
        <f ca="1">Model!$F$14+RAND()*(Model!$G$14-Model!$F$14)</f>
        <v>0.78954190146837866</v>
      </c>
      <c r="C3180" s="32">
        <f ca="1">Model!$F$15+RAND()*(Model!$G$15-Model!$F$15)</f>
        <v>1.8567170308999285E-2</v>
      </c>
      <c r="D3180" s="33">
        <f ca="1">Model!$F$16+RAND()*(Model!$G$16-Model!$F$16)</f>
        <v>52.606599651068606</v>
      </c>
      <c r="E3180" s="33">
        <f>Model!$D$17</f>
        <v>800</v>
      </c>
      <c r="G3180" s="36">
        <f t="shared" ca="1" si="52"/>
        <v>-502.2272892228375</v>
      </c>
    </row>
    <row r="3181" spans="1:7" x14ac:dyDescent="0.2">
      <c r="A3181" s="6">
        <f ca="1">Model!$F$13+RAND()*(Model!$G$13-Model!$F$13)</f>
        <v>1768.5653016939796</v>
      </c>
      <c r="B3181" s="31">
        <f ca="1">Model!$F$14+RAND()*(Model!$G$14-Model!$F$14)</f>
        <v>0.64703051332863182</v>
      </c>
      <c r="C3181" s="32">
        <f ca="1">Model!$F$15+RAND()*(Model!$G$15-Model!$F$15)</f>
        <v>1.408506265720543E-2</v>
      </c>
      <c r="D3181" s="33">
        <f ca="1">Model!$F$16+RAND()*(Model!$G$16-Model!$F$16)</f>
        <v>50.206995625065311</v>
      </c>
      <c r="E3181" s="33">
        <f>Model!$D$17</f>
        <v>800</v>
      </c>
      <c r="G3181" s="36">
        <f t="shared" ca="1" si="52"/>
        <v>-693.64172651631588</v>
      </c>
    </row>
    <row r="3182" spans="1:7" x14ac:dyDescent="0.2">
      <c r="A3182" s="6">
        <f ca="1">Model!$F$13+RAND()*(Model!$G$13-Model!$F$13)</f>
        <v>1458.8088794689602</v>
      </c>
      <c r="B3182" s="31">
        <f ca="1">Model!$F$14+RAND()*(Model!$G$14-Model!$F$14)</f>
        <v>0.43464608470938837</v>
      </c>
      <c r="C3182" s="32">
        <f ca="1">Model!$F$15+RAND()*(Model!$G$15-Model!$F$15)</f>
        <v>1.9039749134397821E-2</v>
      </c>
      <c r="D3182" s="33">
        <f ca="1">Model!$F$16+RAND()*(Model!$G$16-Model!$F$16)</f>
        <v>49.407772187566657</v>
      </c>
      <c r="E3182" s="33">
        <f>Model!$D$17</f>
        <v>800</v>
      </c>
      <c r="G3182" s="36">
        <f t="shared" ca="1" si="52"/>
        <v>-61.747150584928022</v>
      </c>
    </row>
    <row r="3183" spans="1:7" x14ac:dyDescent="0.2">
      <c r="A3183" s="6">
        <f ca="1">Model!$F$13+RAND()*(Model!$G$13-Model!$F$13)</f>
        <v>1704.0430491601342</v>
      </c>
      <c r="B3183" s="31">
        <f ca="1">Model!$F$14+RAND()*(Model!$G$14-Model!$F$14)</f>
        <v>0.79456469048080569</v>
      </c>
      <c r="C3183" s="32">
        <f ca="1">Model!$F$15+RAND()*(Model!$G$15-Model!$F$15)</f>
        <v>1.6123300936743502E-2</v>
      </c>
      <c r="D3183" s="33">
        <f ca="1">Model!$F$16+RAND()*(Model!$G$16-Model!$F$16)</f>
        <v>48.621597744566408</v>
      </c>
      <c r="E3183" s="33">
        <f>Model!$D$17</f>
        <v>800</v>
      </c>
      <c r="G3183" s="36">
        <f t="shared" ca="1" si="52"/>
        <v>-818.10381814177663</v>
      </c>
    </row>
    <row r="3184" spans="1:7" x14ac:dyDescent="0.2">
      <c r="A3184" s="6">
        <f ca="1">Model!$F$13+RAND()*(Model!$G$13-Model!$F$13)</f>
        <v>1278.7726439596759</v>
      </c>
      <c r="B3184" s="31">
        <f ca="1">Model!$F$14+RAND()*(Model!$G$14-Model!$F$14)</f>
        <v>0.55317852361876851</v>
      </c>
      <c r="C3184" s="32">
        <f ca="1">Model!$F$15+RAND()*(Model!$G$15-Model!$F$15)</f>
        <v>3.3597316978413248E-2</v>
      </c>
      <c r="D3184" s="33">
        <f ca="1">Model!$F$16+RAND()*(Model!$G$16-Model!$F$16)</f>
        <v>49.805012562566866</v>
      </c>
      <c r="E3184" s="33">
        <f>Model!$D$17</f>
        <v>800</v>
      </c>
      <c r="G3184" s="36">
        <f t="shared" ca="1" si="52"/>
        <v>632.3996202986873</v>
      </c>
    </row>
    <row r="3185" spans="1:7" x14ac:dyDescent="0.2">
      <c r="A3185" s="6">
        <f ca="1">Model!$F$13+RAND()*(Model!$G$13-Model!$F$13)</f>
        <v>1203.5794153771055</v>
      </c>
      <c r="B3185" s="31">
        <f ca="1">Model!$F$14+RAND()*(Model!$G$14-Model!$F$14)</f>
        <v>0.4848590009040078</v>
      </c>
      <c r="C3185" s="32">
        <f ca="1">Model!$F$15+RAND()*(Model!$G$15-Model!$F$15)</f>
        <v>4.7317428319240053E-2</v>
      </c>
      <c r="D3185" s="33">
        <f ca="1">Model!$F$16+RAND()*(Model!$G$16-Model!$F$16)</f>
        <v>47.440299658191904</v>
      </c>
      <c r="E3185" s="33">
        <f>Model!$D$17</f>
        <v>800</v>
      </c>
      <c r="G3185" s="36">
        <f t="shared" ca="1" si="52"/>
        <v>1318.1721647044603</v>
      </c>
    </row>
    <row r="3186" spans="1:7" x14ac:dyDescent="0.2">
      <c r="A3186" s="6">
        <f ca="1">Model!$F$13+RAND()*(Model!$G$13-Model!$F$13)</f>
        <v>1350.3417313248842</v>
      </c>
      <c r="B3186" s="31">
        <f ca="1">Model!$F$14+RAND()*(Model!$G$14-Model!$F$14)</f>
        <v>0.63396660647890113</v>
      </c>
      <c r="C3186" s="32">
        <f ca="1">Model!$F$15+RAND()*(Model!$G$15-Model!$F$15)</f>
        <v>4.7228540963067257E-2</v>
      </c>
      <c r="D3186" s="33">
        <f ca="1">Model!$F$16+RAND()*(Model!$G$16-Model!$F$16)</f>
        <v>47.735769234494029</v>
      </c>
      <c r="E3186" s="33">
        <f>Model!$D$17</f>
        <v>800</v>
      </c>
      <c r="G3186" s="36">
        <f t="shared" ca="1" si="52"/>
        <v>1388.2613542481583</v>
      </c>
    </row>
    <row r="3187" spans="1:7" x14ac:dyDescent="0.2">
      <c r="A3187" s="6">
        <f ca="1">Model!$F$13+RAND()*(Model!$G$13-Model!$F$13)</f>
        <v>1222.1802447443986</v>
      </c>
      <c r="B3187" s="31">
        <f ca="1">Model!$F$14+RAND()*(Model!$G$14-Model!$F$14)</f>
        <v>0.78346735166951964</v>
      </c>
      <c r="C3187" s="32">
        <f ca="1">Model!$F$15+RAND()*(Model!$G$15-Model!$F$15)</f>
        <v>3.7139501035220381E-2</v>
      </c>
      <c r="D3187" s="33">
        <f ca="1">Model!$F$16+RAND()*(Model!$G$16-Model!$F$16)</f>
        <v>49.435973070253716</v>
      </c>
      <c r="E3187" s="33">
        <f>Model!$D$17</f>
        <v>800</v>
      </c>
      <c r="G3187" s="36">
        <f t="shared" ca="1" si="52"/>
        <v>486.41806450207309</v>
      </c>
    </row>
    <row r="3188" spans="1:7" x14ac:dyDescent="0.2">
      <c r="A3188" s="6">
        <f ca="1">Model!$F$13+RAND()*(Model!$G$13-Model!$F$13)</f>
        <v>1347.3507840733325</v>
      </c>
      <c r="B3188" s="31">
        <f ca="1">Model!$F$14+RAND()*(Model!$G$14-Model!$F$14)</f>
        <v>0.33802235706965028</v>
      </c>
      <c r="C3188" s="32">
        <f ca="1">Model!$F$15+RAND()*(Model!$G$15-Model!$F$15)</f>
        <v>3.6628838123815337E-2</v>
      </c>
      <c r="D3188" s="33">
        <f ca="1">Model!$F$16+RAND()*(Model!$G$16-Model!$F$16)</f>
        <v>50.796968386938318</v>
      </c>
      <c r="E3188" s="33">
        <f>Model!$D$17</f>
        <v>800</v>
      </c>
      <c r="G3188" s="36">
        <f t="shared" ca="1" si="52"/>
        <v>1251.4918996256743</v>
      </c>
    </row>
    <row r="3189" spans="1:7" x14ac:dyDescent="0.2">
      <c r="A3189" s="6">
        <f ca="1">Model!$F$13+RAND()*(Model!$G$13-Model!$F$13)</f>
        <v>1211.3454631920556</v>
      </c>
      <c r="B3189" s="31">
        <f ca="1">Model!$F$14+RAND()*(Model!$G$14-Model!$F$14)</f>
        <v>0.58820360503484714</v>
      </c>
      <c r="C3189" s="32">
        <f ca="1">Model!$F$15+RAND()*(Model!$G$15-Model!$F$15)</f>
        <v>3.7383711216911204E-2</v>
      </c>
      <c r="D3189" s="33">
        <f ca="1">Model!$F$16+RAND()*(Model!$G$16-Model!$F$16)</f>
        <v>47.473245847675244</v>
      </c>
      <c r="E3189" s="33">
        <f>Model!$D$17</f>
        <v>800</v>
      </c>
      <c r="G3189" s="36">
        <f t="shared" ca="1" si="52"/>
        <v>637.28865736094303</v>
      </c>
    </row>
    <row r="3190" spans="1:7" x14ac:dyDescent="0.2">
      <c r="A3190" s="6">
        <f ca="1">Model!$F$13+RAND()*(Model!$G$13-Model!$F$13)</f>
        <v>1617.9530880867096</v>
      </c>
      <c r="B3190" s="31">
        <f ca="1">Model!$F$14+RAND()*(Model!$G$14-Model!$F$14)</f>
        <v>0.48765879848161381</v>
      </c>
      <c r="C3190" s="32">
        <f ca="1">Model!$F$15+RAND()*(Model!$G$15-Model!$F$15)</f>
        <v>1.2413456225373385E-2</v>
      </c>
      <c r="D3190" s="33">
        <f ca="1">Model!$F$16+RAND()*(Model!$G$16-Model!$F$16)</f>
        <v>52.670353303680805</v>
      </c>
      <c r="E3190" s="33">
        <f>Model!$D$17</f>
        <v>800</v>
      </c>
      <c r="G3190" s="36">
        <f t="shared" ca="1" si="52"/>
        <v>-531.15715050761924</v>
      </c>
    </row>
    <row r="3191" spans="1:7" x14ac:dyDescent="0.2">
      <c r="A3191" s="6">
        <f ca="1">Model!$F$13+RAND()*(Model!$G$13-Model!$F$13)</f>
        <v>1280.5777021136325</v>
      </c>
      <c r="B3191" s="31">
        <f ca="1">Model!$F$14+RAND()*(Model!$G$14-Model!$F$14)</f>
        <v>0.5511985857813112</v>
      </c>
      <c r="C3191" s="32">
        <f ca="1">Model!$F$15+RAND()*(Model!$G$15-Model!$F$15)</f>
        <v>4.2226608825949953E-2</v>
      </c>
      <c r="D3191" s="33">
        <f ca="1">Model!$F$16+RAND()*(Model!$G$16-Model!$F$16)</f>
        <v>47.782727140494679</v>
      </c>
      <c r="E3191" s="33">
        <f>Model!$D$17</f>
        <v>800</v>
      </c>
      <c r="G3191" s="36">
        <f t="shared" ca="1" si="52"/>
        <v>1077.972247953187</v>
      </c>
    </row>
    <row r="3192" spans="1:7" x14ac:dyDescent="0.2">
      <c r="A3192" s="6">
        <f ca="1">Model!$F$13+RAND()*(Model!$G$13-Model!$F$13)</f>
        <v>1384.7146641400968</v>
      </c>
      <c r="B3192" s="31">
        <f ca="1">Model!$F$14+RAND()*(Model!$G$14-Model!$F$14)</f>
        <v>0.41884468516451706</v>
      </c>
      <c r="C3192" s="32">
        <f ca="1">Model!$F$15+RAND()*(Model!$G$15-Model!$F$15)</f>
        <v>2.7705427554840706E-2</v>
      </c>
      <c r="D3192" s="33">
        <f ca="1">Model!$F$16+RAND()*(Model!$G$16-Model!$F$16)</f>
        <v>51.409181953512771</v>
      </c>
      <c r="E3192" s="33">
        <f>Model!$D$17</f>
        <v>800</v>
      </c>
      <c r="G3192" s="36">
        <f t="shared" ca="1" si="52"/>
        <v>592.28722705575706</v>
      </c>
    </row>
    <row r="3193" spans="1:7" x14ac:dyDescent="0.2">
      <c r="A3193" s="6">
        <f ca="1">Model!$F$13+RAND()*(Model!$G$13-Model!$F$13)</f>
        <v>1730.4011175214309</v>
      </c>
      <c r="B3193" s="31">
        <f ca="1">Model!$F$14+RAND()*(Model!$G$14-Model!$F$14)</f>
        <v>0.63254959559487201</v>
      </c>
      <c r="C3193" s="32">
        <f ca="1">Model!$F$15+RAND()*(Model!$G$15-Model!$F$15)</f>
        <v>4.0995452206232914E-2</v>
      </c>
      <c r="D3193" s="33">
        <f ca="1">Model!$F$16+RAND()*(Model!$G$16-Model!$F$16)</f>
        <v>51.040518064947335</v>
      </c>
      <c r="E3193" s="33">
        <f>Model!$D$17</f>
        <v>800</v>
      </c>
      <c r="G3193" s="36">
        <f t="shared" ca="1" si="52"/>
        <v>1726.1771585961974</v>
      </c>
    </row>
    <row r="3194" spans="1:7" x14ac:dyDescent="0.2">
      <c r="A3194" s="6">
        <f ca="1">Model!$F$13+RAND()*(Model!$G$13-Model!$F$13)</f>
        <v>1491.2096625698466</v>
      </c>
      <c r="B3194" s="31">
        <f ca="1">Model!$F$14+RAND()*(Model!$G$14-Model!$F$14)</f>
        <v>0.71676805593192028</v>
      </c>
      <c r="C3194" s="32">
        <f ca="1">Model!$F$15+RAND()*(Model!$G$15-Model!$F$15)</f>
        <v>3.6623660396520437E-2</v>
      </c>
      <c r="D3194" s="33">
        <f ca="1">Model!$F$16+RAND()*(Model!$G$16-Model!$F$16)</f>
        <v>49.257730126753948</v>
      </c>
      <c r="E3194" s="33">
        <f>Model!$D$17</f>
        <v>800</v>
      </c>
      <c r="G3194" s="36">
        <f t="shared" ca="1" si="52"/>
        <v>821.28836478722405</v>
      </c>
    </row>
    <row r="3195" spans="1:7" x14ac:dyDescent="0.2">
      <c r="A3195" s="6">
        <f ca="1">Model!$F$13+RAND()*(Model!$G$13-Model!$F$13)</f>
        <v>1206.6988792441468</v>
      </c>
      <c r="B3195" s="31">
        <f ca="1">Model!$F$14+RAND()*(Model!$G$14-Model!$F$14)</f>
        <v>0.22870442542170993</v>
      </c>
      <c r="C3195" s="32">
        <f ca="1">Model!$F$15+RAND()*(Model!$G$15-Model!$F$15)</f>
        <v>2.4053678359715856E-2</v>
      </c>
      <c r="D3195" s="33">
        <f ca="1">Model!$F$16+RAND()*(Model!$G$16-Model!$F$16)</f>
        <v>51.497223326139128</v>
      </c>
      <c r="E3195" s="33">
        <f>Model!$D$17</f>
        <v>800</v>
      </c>
      <c r="G3195" s="36">
        <f t="shared" ca="1" si="52"/>
        <v>418.75768768454373</v>
      </c>
    </row>
    <row r="3196" spans="1:7" x14ac:dyDescent="0.2">
      <c r="A3196" s="6">
        <f ca="1">Model!$F$13+RAND()*(Model!$G$13-Model!$F$13)</f>
        <v>1551.4913574765528</v>
      </c>
      <c r="B3196" s="31">
        <f ca="1">Model!$F$14+RAND()*(Model!$G$14-Model!$F$14)</f>
        <v>0.41211618873781952</v>
      </c>
      <c r="C3196" s="32">
        <f ca="1">Model!$F$15+RAND()*(Model!$G$15-Model!$F$15)</f>
        <v>4.5733687211095823E-2</v>
      </c>
      <c r="D3196" s="33">
        <f ca="1">Model!$F$16+RAND()*(Model!$G$16-Model!$F$16)</f>
        <v>52.171729291559423</v>
      </c>
      <c r="E3196" s="33">
        <f>Model!$D$17</f>
        <v>800</v>
      </c>
      <c r="G3196" s="36">
        <f t="shared" ca="1" si="52"/>
        <v>2262.4722825685449</v>
      </c>
    </row>
    <row r="3197" spans="1:7" x14ac:dyDescent="0.2">
      <c r="A3197" s="6">
        <f ca="1">Model!$F$13+RAND()*(Model!$G$13-Model!$F$13)</f>
        <v>1403.0153110898373</v>
      </c>
      <c r="B3197" s="31">
        <f ca="1">Model!$F$14+RAND()*(Model!$G$14-Model!$F$14)</f>
        <v>0.59021460062679953</v>
      </c>
      <c r="C3197" s="32">
        <f ca="1">Model!$F$15+RAND()*(Model!$G$15-Model!$F$15)</f>
        <v>2.1011234411775236E-2</v>
      </c>
      <c r="D3197" s="33">
        <f ca="1">Model!$F$16+RAND()*(Model!$G$16-Model!$F$16)</f>
        <v>51.46154539249801</v>
      </c>
      <c r="E3197" s="33">
        <f>Model!$D$17</f>
        <v>800</v>
      </c>
      <c r="G3197" s="36">
        <f t="shared" ca="1" si="52"/>
        <v>-111.04092348909444</v>
      </c>
    </row>
    <row r="3198" spans="1:7" x14ac:dyDescent="0.2">
      <c r="A3198" s="6">
        <f ca="1">Model!$F$13+RAND()*(Model!$G$13-Model!$F$13)</f>
        <v>1723.0745464718416</v>
      </c>
      <c r="B3198" s="31">
        <f ca="1">Model!$F$14+RAND()*(Model!$G$14-Model!$F$14)</f>
        <v>0.32338717601969674</v>
      </c>
      <c r="C3198" s="32">
        <f ca="1">Model!$F$15+RAND()*(Model!$G$15-Model!$F$15)</f>
        <v>4.4523415172112571E-2</v>
      </c>
      <c r="D3198" s="33">
        <f ca="1">Model!$F$16+RAND()*(Model!$G$16-Model!$F$16)</f>
        <v>47.838255576976614</v>
      </c>
      <c r="E3198" s="33">
        <f>Model!$D$17</f>
        <v>800</v>
      </c>
      <c r="G3198" s="36">
        <f t="shared" ca="1" si="52"/>
        <v>2312.7950584572463</v>
      </c>
    </row>
    <row r="3199" spans="1:7" x14ac:dyDescent="0.2">
      <c r="A3199" s="6">
        <f ca="1">Model!$F$13+RAND()*(Model!$G$13-Model!$F$13)</f>
        <v>1506.4780783661067</v>
      </c>
      <c r="B3199" s="31">
        <f ca="1">Model!$F$14+RAND()*(Model!$G$14-Model!$F$14)</f>
        <v>0.39907556526592258</v>
      </c>
      <c r="C3199" s="32">
        <f ca="1">Model!$F$15+RAND()*(Model!$G$15-Model!$F$15)</f>
        <v>1.5753233278043705E-2</v>
      </c>
      <c r="D3199" s="33">
        <f ca="1">Model!$F$16+RAND()*(Model!$G$16-Model!$F$16)</f>
        <v>47.251240924402858</v>
      </c>
      <c r="E3199" s="33">
        <f>Model!$D$17</f>
        <v>800</v>
      </c>
      <c r="G3199" s="36">
        <f t="shared" ca="1" si="52"/>
        <v>-279.83683799317487</v>
      </c>
    </row>
    <row r="3200" spans="1:7" x14ac:dyDescent="0.2">
      <c r="A3200" s="6">
        <f ca="1">Model!$F$13+RAND()*(Model!$G$13-Model!$F$13)</f>
        <v>1306.2547239049084</v>
      </c>
      <c r="B3200" s="31">
        <f ca="1">Model!$F$14+RAND()*(Model!$G$14-Model!$F$14)</f>
        <v>0.45576855701149543</v>
      </c>
      <c r="C3200" s="32">
        <f ca="1">Model!$F$15+RAND()*(Model!$G$15-Model!$F$15)</f>
        <v>3.1397163940723317E-2</v>
      </c>
      <c r="D3200" s="33">
        <f ca="1">Model!$F$16+RAND()*(Model!$G$16-Model!$F$16)</f>
        <v>49.340532806505145</v>
      </c>
      <c r="E3200" s="33">
        <f>Model!$D$17</f>
        <v>800</v>
      </c>
      <c r="G3200" s="36">
        <f t="shared" ca="1" si="52"/>
        <v>628.23832911398995</v>
      </c>
    </row>
    <row r="3201" spans="1:7" x14ac:dyDescent="0.2">
      <c r="A3201" s="6">
        <f ca="1">Model!$F$13+RAND()*(Model!$G$13-Model!$F$13)</f>
        <v>1799.2022258547247</v>
      </c>
      <c r="B3201" s="31">
        <f ca="1">Model!$F$14+RAND()*(Model!$G$14-Model!$F$14)</f>
        <v>0.29048109226581625</v>
      </c>
      <c r="C3201" s="32">
        <f ca="1">Model!$F$15+RAND()*(Model!$G$15-Model!$F$15)</f>
        <v>2.639409053120273E-2</v>
      </c>
      <c r="D3201" s="33">
        <f ca="1">Model!$F$16+RAND()*(Model!$G$16-Model!$F$16)</f>
        <v>47.260492085949458</v>
      </c>
      <c r="E3201" s="33">
        <f>Model!$D$17</f>
        <v>800</v>
      </c>
      <c r="G3201" s="36">
        <f t="shared" ca="1" si="52"/>
        <v>921.68650258571051</v>
      </c>
    </row>
    <row r="3202" spans="1:7" x14ac:dyDescent="0.2">
      <c r="A3202" s="6">
        <f ca="1">Model!$F$13+RAND()*(Model!$G$13-Model!$F$13)</f>
        <v>1250.1035019162985</v>
      </c>
      <c r="B3202" s="31">
        <f ca="1">Model!$F$14+RAND()*(Model!$G$14-Model!$F$14)</f>
        <v>0.43445713257832907</v>
      </c>
      <c r="C3202" s="32">
        <f ca="1">Model!$F$15+RAND()*(Model!$G$15-Model!$F$15)</f>
        <v>1.9301717445194457E-2</v>
      </c>
      <c r="D3202" s="33">
        <f ca="1">Model!$F$16+RAND()*(Model!$G$16-Model!$F$16)</f>
        <v>52.005992885709041</v>
      </c>
      <c r="E3202" s="33">
        <f>Model!$D$17</f>
        <v>800</v>
      </c>
      <c r="G3202" s="36">
        <f t="shared" ca="1" si="52"/>
        <v>-88.25626195871223</v>
      </c>
    </row>
    <row r="3203" spans="1:7" x14ac:dyDescent="0.2">
      <c r="A3203" s="6">
        <f ca="1">Model!$F$13+RAND()*(Model!$G$13-Model!$F$13)</f>
        <v>1650.6839699067409</v>
      </c>
      <c r="B3203" s="31">
        <f ca="1">Model!$F$14+RAND()*(Model!$G$14-Model!$F$14)</f>
        <v>0.47192173659407793</v>
      </c>
      <c r="C3203" s="32">
        <f ca="1">Model!$F$15+RAND()*(Model!$G$15-Model!$F$15)</f>
        <v>3.9001329711014825E-2</v>
      </c>
      <c r="D3203" s="33">
        <f ca="1">Model!$F$16+RAND()*(Model!$G$16-Model!$F$16)</f>
        <v>50.86708734365866</v>
      </c>
      <c r="E3203" s="33">
        <f>Model!$D$17</f>
        <v>800</v>
      </c>
      <c r="G3203" s="36">
        <f t="shared" ca="1" si="52"/>
        <v>1695.7719454716832</v>
      </c>
    </row>
    <row r="3204" spans="1:7" x14ac:dyDescent="0.2">
      <c r="A3204" s="6">
        <f ca="1">Model!$F$13+RAND()*(Model!$G$13-Model!$F$13)</f>
        <v>1519.1113903911319</v>
      </c>
      <c r="B3204" s="31">
        <f ca="1">Model!$F$14+RAND()*(Model!$G$14-Model!$F$14)</f>
        <v>0.70671816248677133</v>
      </c>
      <c r="C3204" s="32">
        <f ca="1">Model!$F$15+RAND()*(Model!$G$15-Model!$F$15)</f>
        <v>2.8763015577167719E-2</v>
      </c>
      <c r="D3204" s="33">
        <f ca="1">Model!$F$16+RAND()*(Model!$G$16-Model!$F$16)</f>
        <v>47.592030531986993</v>
      </c>
      <c r="E3204" s="33">
        <f>Model!$D$17</f>
        <v>800</v>
      </c>
      <c r="G3204" s="36">
        <f t="shared" ca="1" si="52"/>
        <v>205.91326010386592</v>
      </c>
    </row>
    <row r="3205" spans="1:7" x14ac:dyDescent="0.2">
      <c r="A3205" s="6">
        <f ca="1">Model!$F$13+RAND()*(Model!$G$13-Model!$F$13)</f>
        <v>1233.9728738041897</v>
      </c>
      <c r="B3205" s="31">
        <f ca="1">Model!$F$14+RAND()*(Model!$G$14-Model!$F$14)</f>
        <v>0.66485630200720658</v>
      </c>
      <c r="C3205" s="32">
        <f ca="1">Model!$F$15+RAND()*(Model!$G$15-Model!$F$15)</f>
        <v>2.9381256929410932E-2</v>
      </c>
      <c r="D3205" s="33">
        <f ca="1">Model!$F$16+RAND()*(Model!$G$16-Model!$F$16)</f>
        <v>51.920250311719286</v>
      </c>
      <c r="E3205" s="33">
        <f>Model!$D$17</f>
        <v>800</v>
      </c>
      <c r="G3205" s="36">
        <f t="shared" ca="1" si="52"/>
        <v>261.98903019806539</v>
      </c>
    </row>
    <row r="3206" spans="1:7" x14ac:dyDescent="0.2">
      <c r="A3206" s="6">
        <f ca="1">Model!$F$13+RAND()*(Model!$G$13-Model!$F$13)</f>
        <v>1535.2198426394971</v>
      </c>
      <c r="B3206" s="31">
        <f ca="1">Model!$F$14+RAND()*(Model!$G$14-Model!$F$14)</f>
        <v>0.68544443307976199</v>
      </c>
      <c r="C3206" s="32">
        <f ca="1">Model!$F$15+RAND()*(Model!$G$15-Model!$F$15)</f>
        <v>3.6317916770744488E-2</v>
      </c>
      <c r="D3206" s="33">
        <f ca="1">Model!$F$16+RAND()*(Model!$G$16-Model!$F$16)</f>
        <v>52.789999041730397</v>
      </c>
      <c r="E3206" s="33">
        <f>Model!$D$17</f>
        <v>800</v>
      </c>
      <c r="G3206" s="36">
        <f t="shared" ca="1" si="52"/>
        <v>1091.0505776194134</v>
      </c>
    </row>
    <row r="3207" spans="1:7" x14ac:dyDescent="0.2">
      <c r="A3207" s="6">
        <f ca="1">Model!$F$13+RAND()*(Model!$G$13-Model!$F$13)</f>
        <v>1339.243688998034</v>
      </c>
      <c r="B3207" s="31">
        <f ca="1">Model!$F$14+RAND()*(Model!$G$14-Model!$F$14)</f>
        <v>0.2132479214002794</v>
      </c>
      <c r="C3207" s="32">
        <f ca="1">Model!$F$15+RAND()*(Model!$G$15-Model!$F$15)</f>
        <v>4.5874961080326307E-2</v>
      </c>
      <c r="D3207" s="33">
        <f ca="1">Model!$F$16+RAND()*(Model!$G$16-Model!$F$16)</f>
        <v>49.901629756282894</v>
      </c>
      <c r="E3207" s="33">
        <f>Model!$D$17</f>
        <v>800</v>
      </c>
      <c r="G3207" s="36">
        <f t="shared" ca="1" si="52"/>
        <v>1980.2530259171212</v>
      </c>
    </row>
    <row r="3208" spans="1:7" x14ac:dyDescent="0.2">
      <c r="A3208" s="6">
        <f ca="1">Model!$F$13+RAND()*(Model!$G$13-Model!$F$13)</f>
        <v>1605.355866604328</v>
      </c>
      <c r="B3208" s="31">
        <f ca="1">Model!$F$14+RAND()*(Model!$G$14-Model!$F$14)</f>
        <v>0.37769939795759644</v>
      </c>
      <c r="C3208" s="32">
        <f ca="1">Model!$F$15+RAND()*(Model!$G$15-Model!$F$15)</f>
        <v>3.9432718501609752E-2</v>
      </c>
      <c r="D3208" s="33">
        <f ca="1">Model!$F$16+RAND()*(Model!$G$16-Model!$F$16)</f>
        <v>50.317359520225196</v>
      </c>
      <c r="E3208" s="33">
        <f>Model!$D$17</f>
        <v>800</v>
      </c>
      <c r="G3208" s="36">
        <f t="shared" ca="1" si="52"/>
        <v>1778.9253377932901</v>
      </c>
    </row>
    <row r="3209" spans="1:7" x14ac:dyDescent="0.2">
      <c r="A3209" s="6">
        <f ca="1">Model!$F$13+RAND()*(Model!$G$13-Model!$F$13)</f>
        <v>1346.502344526657</v>
      </c>
      <c r="B3209" s="31">
        <f ca="1">Model!$F$14+RAND()*(Model!$G$14-Model!$F$14)</f>
        <v>0.43085790648744426</v>
      </c>
      <c r="C3209" s="32">
        <f ca="1">Model!$F$15+RAND()*(Model!$G$15-Model!$F$15)</f>
        <v>1.8597390721094165E-2</v>
      </c>
      <c r="D3209" s="33">
        <f ca="1">Model!$F$16+RAND()*(Model!$G$16-Model!$F$16)</f>
        <v>48.286209197525835</v>
      </c>
      <c r="E3209" s="33">
        <f>Model!$D$17</f>
        <v>800</v>
      </c>
      <c r="G3209" s="36">
        <f t="shared" ca="1" si="52"/>
        <v>-170.99544361293465</v>
      </c>
    </row>
    <row r="3210" spans="1:7" x14ac:dyDescent="0.2">
      <c r="A3210" s="6">
        <f ca="1">Model!$F$13+RAND()*(Model!$G$13-Model!$F$13)</f>
        <v>1403.2209826799992</v>
      </c>
      <c r="B3210" s="31">
        <f ca="1">Model!$F$14+RAND()*(Model!$G$14-Model!$F$14)</f>
        <v>0.77328770271113023</v>
      </c>
      <c r="C3210" s="32">
        <f ca="1">Model!$F$15+RAND()*(Model!$G$15-Model!$F$15)</f>
        <v>4.0468458018944123E-2</v>
      </c>
      <c r="D3210" s="33">
        <f ca="1">Model!$F$16+RAND()*(Model!$G$16-Model!$F$16)</f>
        <v>52.938480958881762</v>
      </c>
      <c r="E3210" s="33">
        <f>Model!$D$17</f>
        <v>800</v>
      </c>
      <c r="G3210" s="36">
        <f t="shared" ca="1" si="52"/>
        <v>1121.0810777159195</v>
      </c>
    </row>
    <row r="3211" spans="1:7" x14ac:dyDescent="0.2">
      <c r="A3211" s="6">
        <f ca="1">Model!$F$13+RAND()*(Model!$G$13-Model!$F$13)</f>
        <v>1666.45338858171</v>
      </c>
      <c r="B3211" s="31">
        <f ca="1">Model!$F$14+RAND()*(Model!$G$14-Model!$F$14)</f>
        <v>0.51348094645922404</v>
      </c>
      <c r="C3211" s="32">
        <f ca="1">Model!$F$15+RAND()*(Model!$G$15-Model!$F$15)</f>
        <v>3.9853716893613618E-2</v>
      </c>
      <c r="D3211" s="33">
        <f ca="1">Model!$F$16+RAND()*(Model!$G$16-Model!$F$16)</f>
        <v>48.598791473370632</v>
      </c>
      <c r="E3211" s="33">
        <f>Model!$D$17</f>
        <v>800</v>
      </c>
      <c r="G3211" s="36">
        <f t="shared" ca="1" si="52"/>
        <v>1571.9656453323728</v>
      </c>
    </row>
    <row r="3212" spans="1:7" x14ac:dyDescent="0.2">
      <c r="A3212" s="6">
        <f ca="1">Model!$F$13+RAND()*(Model!$G$13-Model!$F$13)</f>
        <v>1441.3822132539083</v>
      </c>
      <c r="B3212" s="31">
        <f ca="1">Model!$F$14+RAND()*(Model!$G$14-Model!$F$14)</f>
        <v>0.69037815958237103</v>
      </c>
      <c r="C3212" s="32">
        <f ca="1">Model!$F$15+RAND()*(Model!$G$15-Model!$F$15)</f>
        <v>2.6037126957955813E-2</v>
      </c>
      <c r="D3212" s="33">
        <f ca="1">Model!$F$16+RAND()*(Model!$G$16-Model!$F$16)</f>
        <v>51.628278195553435</v>
      </c>
      <c r="E3212" s="33">
        <f>Model!$D$17</f>
        <v>800</v>
      </c>
      <c r="G3212" s="36">
        <f t="shared" ca="1" si="52"/>
        <v>142.4821722945203</v>
      </c>
    </row>
    <row r="3213" spans="1:7" x14ac:dyDescent="0.2">
      <c r="A3213" s="6">
        <f ca="1">Model!$F$13+RAND()*(Model!$G$13-Model!$F$13)</f>
        <v>1377.1004655828986</v>
      </c>
      <c r="B3213" s="31">
        <f ca="1">Model!$F$14+RAND()*(Model!$G$14-Model!$F$14)</f>
        <v>0.23676224116494332</v>
      </c>
      <c r="C3213" s="32">
        <f ca="1">Model!$F$15+RAND()*(Model!$G$15-Model!$F$15)</f>
        <v>1.2397537469071294E-2</v>
      </c>
      <c r="D3213" s="33">
        <f ca="1">Model!$F$16+RAND()*(Model!$G$16-Model!$F$16)</f>
        <v>48.678010192502384</v>
      </c>
      <c r="E3213" s="33">
        <f>Model!$D$17</f>
        <v>800</v>
      </c>
      <c r="G3213" s="36">
        <f t="shared" ca="1" si="52"/>
        <v>-294.9825368992631</v>
      </c>
    </row>
    <row r="3214" spans="1:7" x14ac:dyDescent="0.2">
      <c r="A3214" s="6">
        <f ca="1">Model!$F$13+RAND()*(Model!$G$13-Model!$F$13)</f>
        <v>1486.3346959563637</v>
      </c>
      <c r="B3214" s="31">
        <f ca="1">Model!$F$14+RAND()*(Model!$G$14-Model!$F$14)</f>
        <v>0.77357768213768763</v>
      </c>
      <c r="C3214" s="32">
        <f ca="1">Model!$F$15+RAND()*(Model!$G$15-Model!$F$15)</f>
        <v>4.9490862917414176E-2</v>
      </c>
      <c r="D3214" s="33">
        <f ca="1">Model!$F$16+RAND()*(Model!$G$16-Model!$F$16)</f>
        <v>47.50122581073515</v>
      </c>
      <c r="E3214" s="33">
        <f>Model!$D$17</f>
        <v>800</v>
      </c>
      <c r="G3214" s="36">
        <f t="shared" ca="1" si="52"/>
        <v>1544.3941892738214</v>
      </c>
    </row>
    <row r="3215" spans="1:7" x14ac:dyDescent="0.2">
      <c r="A3215" s="6">
        <f ca="1">Model!$F$13+RAND()*(Model!$G$13-Model!$F$13)</f>
        <v>1657.7928007429241</v>
      </c>
      <c r="B3215" s="31">
        <f ca="1">Model!$F$14+RAND()*(Model!$G$14-Model!$F$14)</f>
        <v>0.36079102275510672</v>
      </c>
      <c r="C3215" s="32">
        <f ca="1">Model!$F$15+RAND()*(Model!$G$15-Model!$F$15)</f>
        <v>3.8501320337714223E-2</v>
      </c>
      <c r="D3215" s="33">
        <f ca="1">Model!$F$16+RAND()*(Model!$G$16-Model!$F$16)</f>
        <v>47.91716190121543</v>
      </c>
      <c r="E3215" s="33">
        <f>Model!$D$17</f>
        <v>800</v>
      </c>
      <c r="G3215" s="36">
        <f t="shared" ca="1" si="52"/>
        <v>1660.3020754361023</v>
      </c>
    </row>
    <row r="3216" spans="1:7" x14ac:dyDescent="0.2">
      <c r="A3216" s="6">
        <f ca="1">Model!$F$13+RAND()*(Model!$G$13-Model!$F$13)</f>
        <v>1638.0768324388416</v>
      </c>
      <c r="B3216" s="31">
        <f ca="1">Model!$F$14+RAND()*(Model!$G$14-Model!$F$14)</f>
        <v>0.59390361126915869</v>
      </c>
      <c r="C3216" s="32">
        <f ca="1">Model!$F$15+RAND()*(Model!$G$15-Model!$F$15)</f>
        <v>3.5988590182912124E-2</v>
      </c>
      <c r="D3216" s="33">
        <f ca="1">Model!$F$16+RAND()*(Model!$G$16-Model!$F$16)</f>
        <v>48.604268044952754</v>
      </c>
      <c r="E3216" s="33">
        <f>Model!$D$17</f>
        <v>800</v>
      </c>
      <c r="G3216" s="36">
        <f t="shared" ca="1" si="52"/>
        <v>1092.4627481909902</v>
      </c>
    </row>
    <row r="3217" spans="1:7" x14ac:dyDescent="0.2">
      <c r="A3217" s="6">
        <f ca="1">Model!$F$13+RAND()*(Model!$G$13-Model!$F$13)</f>
        <v>1297.0810390100985</v>
      </c>
      <c r="B3217" s="31">
        <f ca="1">Model!$F$14+RAND()*(Model!$G$14-Model!$F$14)</f>
        <v>0.67861592109514923</v>
      </c>
      <c r="C3217" s="32">
        <f ca="1">Model!$F$15+RAND()*(Model!$G$15-Model!$F$15)</f>
        <v>4.4526777530437177E-2</v>
      </c>
      <c r="D3217" s="33">
        <f ca="1">Model!$F$16+RAND()*(Model!$G$16-Model!$F$16)</f>
        <v>50.573223531720274</v>
      </c>
      <c r="E3217" s="33">
        <f>Model!$D$17</f>
        <v>800</v>
      </c>
      <c r="G3217" s="36">
        <f t="shared" ca="1" si="52"/>
        <v>1240.6285318316127</v>
      </c>
    </row>
    <row r="3218" spans="1:7" x14ac:dyDescent="0.2">
      <c r="A3218" s="6">
        <f ca="1">Model!$F$13+RAND()*(Model!$G$13-Model!$F$13)</f>
        <v>1474.2320281100551</v>
      </c>
      <c r="B3218" s="31">
        <f ca="1">Model!$F$14+RAND()*(Model!$G$14-Model!$F$14)</f>
        <v>0.6124348101103736</v>
      </c>
      <c r="C3218" s="32">
        <f ca="1">Model!$F$15+RAND()*(Model!$G$15-Model!$F$15)</f>
        <v>2.7298925341061556E-2</v>
      </c>
      <c r="D3218" s="33">
        <f ca="1">Model!$F$16+RAND()*(Model!$G$16-Model!$F$16)</f>
        <v>48.467497489710858</v>
      </c>
      <c r="E3218" s="33">
        <f>Model!$D$17</f>
        <v>800</v>
      </c>
      <c r="G3218" s="36">
        <f t="shared" ca="1" si="52"/>
        <v>247.70100433476637</v>
      </c>
    </row>
    <row r="3219" spans="1:7" x14ac:dyDescent="0.2">
      <c r="A3219" s="6">
        <f ca="1">Model!$F$13+RAND()*(Model!$G$13-Model!$F$13)</f>
        <v>1585.4330667844049</v>
      </c>
      <c r="B3219" s="31">
        <f ca="1">Model!$F$14+RAND()*(Model!$G$14-Model!$F$14)</f>
        <v>0.70589288195300703</v>
      </c>
      <c r="C3219" s="32">
        <f ca="1">Model!$F$15+RAND()*(Model!$G$15-Model!$F$15)</f>
        <v>1.9390942409988506E-2</v>
      </c>
      <c r="D3219" s="33">
        <f ca="1">Model!$F$16+RAND()*(Model!$G$16-Model!$F$16)</f>
        <v>47.954579557530323</v>
      </c>
      <c r="E3219" s="33">
        <f>Model!$D$17</f>
        <v>800</v>
      </c>
      <c r="G3219" s="36">
        <f t="shared" ca="1" si="52"/>
        <v>-444.87629713484807</v>
      </c>
    </row>
    <row r="3220" spans="1:7" x14ac:dyDescent="0.2">
      <c r="A3220" s="6">
        <f ca="1">Model!$F$13+RAND()*(Model!$G$13-Model!$F$13)</f>
        <v>1353.2768913914999</v>
      </c>
      <c r="B3220" s="31">
        <f ca="1">Model!$F$14+RAND()*(Model!$G$14-Model!$F$14)</f>
        <v>0.77339829069927468</v>
      </c>
      <c r="C3220" s="32">
        <f ca="1">Model!$F$15+RAND()*(Model!$G$15-Model!$F$15)</f>
        <v>1.8087722534587999E-2</v>
      </c>
      <c r="D3220" s="33">
        <f ca="1">Model!$F$16+RAND()*(Model!$G$16-Model!$F$16)</f>
        <v>50.759998614515936</v>
      </c>
      <c r="E3220" s="33">
        <f>Model!$D$17</f>
        <v>800</v>
      </c>
      <c r="G3220" s="36">
        <f t="shared" ca="1" si="52"/>
        <v>-604.13417269830256</v>
      </c>
    </row>
    <row r="3221" spans="1:7" x14ac:dyDescent="0.2">
      <c r="A3221" s="6">
        <f ca="1">Model!$F$13+RAND()*(Model!$G$13-Model!$F$13)</f>
        <v>1538.3345197122285</v>
      </c>
      <c r="B3221" s="31">
        <f ca="1">Model!$F$14+RAND()*(Model!$G$14-Model!$F$14)</f>
        <v>0.72994483451287606</v>
      </c>
      <c r="C3221" s="32">
        <f ca="1">Model!$F$15+RAND()*(Model!$G$15-Model!$F$15)</f>
        <v>1.5100588953922744E-2</v>
      </c>
      <c r="D3221" s="33">
        <f ca="1">Model!$F$16+RAND()*(Model!$G$16-Model!$F$16)</f>
        <v>47.357560785415053</v>
      </c>
      <c r="E3221" s="33">
        <f>Model!$D$17</f>
        <v>800</v>
      </c>
      <c r="G3221" s="36">
        <f t="shared" ca="1" si="52"/>
        <v>-822.79469514458788</v>
      </c>
    </row>
    <row r="3222" spans="1:7" x14ac:dyDescent="0.2">
      <c r="A3222" s="6">
        <f ca="1">Model!$F$13+RAND()*(Model!$G$13-Model!$F$13)</f>
        <v>1262.0290444465672</v>
      </c>
      <c r="B3222" s="31">
        <f ca="1">Model!$F$14+RAND()*(Model!$G$14-Model!$F$14)</f>
        <v>0.7780011067668966</v>
      </c>
      <c r="C3222" s="32">
        <f ca="1">Model!$F$15+RAND()*(Model!$G$15-Model!$F$15)</f>
        <v>2.3843329768148368E-2</v>
      </c>
      <c r="D3222" s="33">
        <f ca="1">Model!$F$16+RAND()*(Model!$G$16-Model!$F$16)</f>
        <v>50.648369315032589</v>
      </c>
      <c r="E3222" s="33">
        <f>Model!$D$17</f>
        <v>800</v>
      </c>
      <c r="G3222" s="36">
        <f t="shared" ca="1" si="52"/>
        <v>-257.80119452101758</v>
      </c>
    </row>
    <row r="3223" spans="1:7" x14ac:dyDescent="0.2">
      <c r="A3223" s="6">
        <f ca="1">Model!$F$13+RAND()*(Model!$G$13-Model!$F$13)</f>
        <v>1767.6090182622297</v>
      </c>
      <c r="B3223" s="31">
        <f ca="1">Model!$F$14+RAND()*(Model!$G$14-Model!$F$14)</f>
        <v>0.5343928400125959</v>
      </c>
      <c r="C3223" s="32">
        <f ca="1">Model!$F$15+RAND()*(Model!$G$15-Model!$F$15)</f>
        <v>1.5249197095500695E-2</v>
      </c>
      <c r="D3223" s="33">
        <f ca="1">Model!$F$16+RAND()*(Model!$G$16-Model!$F$16)</f>
        <v>49.558605740707165</v>
      </c>
      <c r="E3223" s="33">
        <f>Model!$D$17</f>
        <v>800</v>
      </c>
      <c r="G3223" s="36">
        <f t="shared" ca="1" si="52"/>
        <v>-408.76430172002438</v>
      </c>
    </row>
    <row r="3224" spans="1:7" x14ac:dyDescent="0.2">
      <c r="A3224" s="6">
        <f ca="1">Model!$F$13+RAND()*(Model!$G$13-Model!$F$13)</f>
        <v>1573.891754058164</v>
      </c>
      <c r="B3224" s="31">
        <f ca="1">Model!$F$14+RAND()*(Model!$G$14-Model!$F$14)</f>
        <v>0.35477886085654198</v>
      </c>
      <c r="C3224" s="32">
        <f ca="1">Model!$F$15+RAND()*(Model!$G$15-Model!$F$15)</f>
        <v>3.4908191052966026E-2</v>
      </c>
      <c r="D3224" s="33">
        <f ca="1">Model!$F$16+RAND()*(Model!$G$16-Model!$F$16)</f>
        <v>51.79226821226041</v>
      </c>
      <c r="E3224" s="33">
        <f>Model!$D$17</f>
        <v>800</v>
      </c>
      <c r="G3224" s="36">
        <f t="shared" ca="1" si="52"/>
        <v>1487.172466365417</v>
      </c>
    </row>
    <row r="3225" spans="1:7" x14ac:dyDescent="0.2">
      <c r="A3225" s="6">
        <f ca="1">Model!$F$13+RAND()*(Model!$G$13-Model!$F$13)</f>
        <v>1292.7309330720941</v>
      </c>
      <c r="B3225" s="31">
        <f ca="1">Model!$F$14+RAND()*(Model!$G$14-Model!$F$14)</f>
        <v>0.38215664384558817</v>
      </c>
      <c r="C3225" s="32">
        <f ca="1">Model!$F$15+RAND()*(Model!$G$15-Model!$F$15)</f>
        <v>3.5678024340349161E-2</v>
      </c>
      <c r="D3225" s="33">
        <f ca="1">Model!$F$16+RAND()*(Model!$G$16-Model!$F$16)</f>
        <v>49.360884501319518</v>
      </c>
      <c r="E3225" s="33">
        <f>Model!$D$17</f>
        <v>800</v>
      </c>
      <c r="G3225" s="36">
        <f t="shared" ca="1" si="52"/>
        <v>982.60123020564424</v>
      </c>
    </row>
    <row r="3226" spans="1:7" x14ac:dyDescent="0.2">
      <c r="A3226" s="6">
        <f ca="1">Model!$F$13+RAND()*(Model!$G$13-Model!$F$13)</f>
        <v>1458.3919043630763</v>
      </c>
      <c r="B3226" s="31">
        <f ca="1">Model!$F$14+RAND()*(Model!$G$14-Model!$F$14)</f>
        <v>0.70480576666055916</v>
      </c>
      <c r="C3226" s="32">
        <f ca="1">Model!$F$15+RAND()*(Model!$G$15-Model!$F$15)</f>
        <v>1.0349429520288608E-2</v>
      </c>
      <c r="D3226" s="33">
        <f ca="1">Model!$F$16+RAND()*(Model!$G$16-Model!$F$16)</f>
        <v>52.561790450301963</v>
      </c>
      <c r="E3226" s="33">
        <f>Model!$D$17</f>
        <v>800</v>
      </c>
      <c r="G3226" s="36">
        <f t="shared" ca="1" si="52"/>
        <v>-1034.5403666613608</v>
      </c>
    </row>
    <row r="3227" spans="1:7" x14ac:dyDescent="0.2">
      <c r="A3227" s="6">
        <f ca="1">Model!$F$13+RAND()*(Model!$G$13-Model!$F$13)</f>
        <v>1348.0456456545126</v>
      </c>
      <c r="B3227" s="31">
        <f ca="1">Model!$F$14+RAND()*(Model!$G$14-Model!$F$14)</f>
        <v>0.42828349267960181</v>
      </c>
      <c r="C3227" s="32">
        <f ca="1">Model!$F$15+RAND()*(Model!$G$15-Model!$F$15)</f>
        <v>2.7088782798248098E-2</v>
      </c>
      <c r="D3227" s="33">
        <f ca="1">Model!$F$16+RAND()*(Model!$G$16-Model!$F$16)</f>
        <v>47.215136528833852</v>
      </c>
      <c r="E3227" s="33">
        <f>Model!$D$17</f>
        <v>800</v>
      </c>
      <c r="G3227" s="36">
        <f t="shared" ca="1" si="52"/>
        <v>346.8054628455659</v>
      </c>
    </row>
    <row r="3228" spans="1:7" x14ac:dyDescent="0.2">
      <c r="A3228" s="6">
        <f ca="1">Model!$F$13+RAND()*(Model!$G$13-Model!$F$13)</f>
        <v>1563.6186120394084</v>
      </c>
      <c r="B3228" s="31">
        <f ca="1">Model!$F$14+RAND()*(Model!$G$14-Model!$F$14)</f>
        <v>0.27061995369350456</v>
      </c>
      <c r="C3228" s="32">
        <f ca="1">Model!$F$15+RAND()*(Model!$G$15-Model!$F$15)</f>
        <v>1.9367096659373535E-2</v>
      </c>
      <c r="D3228" s="33">
        <f ca="1">Model!$F$16+RAND()*(Model!$G$16-Model!$F$16)</f>
        <v>50.729235726608614</v>
      </c>
      <c r="E3228" s="33">
        <f>Model!$D$17</f>
        <v>800</v>
      </c>
      <c r="G3228" s="36">
        <f t="shared" ca="1" si="52"/>
        <v>313.07450874391452</v>
      </c>
    </row>
    <row r="3229" spans="1:7" x14ac:dyDescent="0.2">
      <c r="A3229" s="6">
        <f ca="1">Model!$F$13+RAND()*(Model!$G$13-Model!$F$13)</f>
        <v>1609.481701916141</v>
      </c>
      <c r="B3229" s="31">
        <f ca="1">Model!$F$14+RAND()*(Model!$G$14-Model!$F$14)</f>
        <v>0.27802722863541535</v>
      </c>
      <c r="C3229" s="32">
        <f ca="1">Model!$F$15+RAND()*(Model!$G$15-Model!$F$15)</f>
        <v>2.837725177417779E-2</v>
      </c>
      <c r="D3229" s="33">
        <f ca="1">Model!$F$16+RAND()*(Model!$G$16-Model!$F$16)</f>
        <v>47.931708098705698</v>
      </c>
      <c r="E3229" s="33">
        <f>Model!$D$17</f>
        <v>800</v>
      </c>
      <c r="G3229" s="36">
        <f t="shared" ca="1" si="52"/>
        <v>941.68922867528158</v>
      </c>
    </row>
    <row r="3230" spans="1:7" x14ac:dyDescent="0.2">
      <c r="A3230" s="6">
        <f ca="1">Model!$F$13+RAND()*(Model!$G$13-Model!$F$13)</f>
        <v>1732.3593844980544</v>
      </c>
      <c r="B3230" s="31">
        <f ca="1">Model!$F$14+RAND()*(Model!$G$14-Model!$F$14)</f>
        <v>0.66123426361961113</v>
      </c>
      <c r="C3230" s="32">
        <f ca="1">Model!$F$15+RAND()*(Model!$G$15-Model!$F$15)</f>
        <v>4.7745926404272249E-2</v>
      </c>
      <c r="D3230" s="33">
        <f ca="1">Model!$F$16+RAND()*(Model!$G$16-Model!$F$16)</f>
        <v>50.821275715103965</v>
      </c>
      <c r="E3230" s="33">
        <f>Model!$D$17</f>
        <v>800</v>
      </c>
      <c r="G3230" s="36">
        <f t="shared" ca="1" si="52"/>
        <v>2258.0900653382432</v>
      </c>
    </row>
    <row r="3231" spans="1:7" x14ac:dyDescent="0.2">
      <c r="A3231" s="6">
        <f ca="1">Model!$F$13+RAND()*(Model!$G$13-Model!$F$13)</f>
        <v>1342.8091756253098</v>
      </c>
      <c r="B3231" s="31">
        <f ca="1">Model!$F$14+RAND()*(Model!$G$14-Model!$F$14)</f>
        <v>0.53571985644752784</v>
      </c>
      <c r="C3231" s="32">
        <f ca="1">Model!$F$15+RAND()*(Model!$G$15-Model!$F$15)</f>
        <v>3.3456288717497402E-2</v>
      </c>
      <c r="D3231" s="33">
        <f ca="1">Model!$F$16+RAND()*(Model!$G$16-Model!$F$16)</f>
        <v>52.134798735476544</v>
      </c>
      <c r="E3231" s="33">
        <f>Model!$D$17</f>
        <v>800</v>
      </c>
      <c r="G3231" s="36">
        <f t="shared" ca="1" si="52"/>
        <v>822.80774641050698</v>
      </c>
    </row>
    <row r="3232" spans="1:7" x14ac:dyDescent="0.2">
      <c r="A3232" s="6">
        <f ca="1">Model!$F$13+RAND()*(Model!$G$13-Model!$F$13)</f>
        <v>1494.1366156909539</v>
      </c>
      <c r="B3232" s="31">
        <f ca="1">Model!$F$14+RAND()*(Model!$G$14-Model!$F$14)</f>
        <v>0.67430020626711418</v>
      </c>
      <c r="C3232" s="32">
        <f ca="1">Model!$F$15+RAND()*(Model!$G$15-Model!$F$15)</f>
        <v>4.1022326356088594E-2</v>
      </c>
      <c r="D3232" s="33">
        <f ca="1">Model!$F$16+RAND()*(Model!$G$16-Model!$F$16)</f>
        <v>47.615415999477023</v>
      </c>
      <c r="E3232" s="33">
        <f>Model!$D$17</f>
        <v>800</v>
      </c>
      <c r="G3232" s="36">
        <f t="shared" ca="1" si="52"/>
        <v>1110.9931538717419</v>
      </c>
    </row>
    <row r="3233" spans="1:7" x14ac:dyDescent="0.2">
      <c r="A3233" s="6">
        <f ca="1">Model!$F$13+RAND()*(Model!$G$13-Model!$F$13)</f>
        <v>1443.6754879825201</v>
      </c>
      <c r="B3233" s="31">
        <f ca="1">Model!$F$14+RAND()*(Model!$G$14-Model!$F$14)</f>
        <v>0.29633726188732873</v>
      </c>
      <c r="C3233" s="32">
        <f ca="1">Model!$F$15+RAND()*(Model!$G$15-Model!$F$15)</f>
        <v>2.11904456346011E-2</v>
      </c>
      <c r="D3233" s="33">
        <f ca="1">Model!$F$16+RAND()*(Model!$G$16-Model!$F$16)</f>
        <v>47.551202855649997</v>
      </c>
      <c r="E3233" s="33">
        <f>Model!$D$17</f>
        <v>800</v>
      </c>
      <c r="G3233" s="36">
        <f t="shared" ca="1" si="52"/>
        <v>226.87759284699018</v>
      </c>
    </row>
    <row r="3234" spans="1:7" x14ac:dyDescent="0.2">
      <c r="A3234" s="6">
        <f ca="1">Model!$F$13+RAND()*(Model!$G$13-Model!$F$13)</f>
        <v>1303.9177561811816</v>
      </c>
      <c r="B3234" s="31">
        <f ca="1">Model!$F$14+RAND()*(Model!$G$14-Model!$F$14)</f>
        <v>0.46590868775772648</v>
      </c>
      <c r="C3234" s="32">
        <f ca="1">Model!$F$15+RAND()*(Model!$G$15-Model!$F$15)</f>
        <v>1.8094986829613309E-2</v>
      </c>
      <c r="D3234" s="33">
        <f ca="1">Model!$F$16+RAND()*(Model!$G$16-Model!$F$16)</f>
        <v>49.628280606095451</v>
      </c>
      <c r="E3234" s="33">
        <f>Model!$D$17</f>
        <v>800</v>
      </c>
      <c r="G3234" s="36">
        <f t="shared" ca="1" si="52"/>
        <v>-236.55836611166319</v>
      </c>
    </row>
    <row r="3235" spans="1:7" x14ac:dyDescent="0.2">
      <c r="A3235" s="6">
        <f ca="1">Model!$F$13+RAND()*(Model!$G$13-Model!$F$13)</f>
        <v>1244.7612930928622</v>
      </c>
      <c r="B3235" s="31">
        <f ca="1">Model!$F$14+RAND()*(Model!$G$14-Model!$F$14)</f>
        <v>0.77786519399614851</v>
      </c>
      <c r="C3235" s="32">
        <f ca="1">Model!$F$15+RAND()*(Model!$G$15-Model!$F$15)</f>
        <v>2.3105718669742262E-2</v>
      </c>
      <c r="D3235" s="33">
        <f ca="1">Model!$F$16+RAND()*(Model!$G$16-Model!$F$16)</f>
        <v>49.721021383566146</v>
      </c>
      <c r="E3235" s="33">
        <f>Model!$D$17</f>
        <v>800</v>
      </c>
      <c r="G3235" s="36">
        <f t="shared" ca="1" si="52"/>
        <v>-338.22500534171104</v>
      </c>
    </row>
    <row r="3236" spans="1:7" x14ac:dyDescent="0.2">
      <c r="A3236" s="6">
        <f ca="1">Model!$F$13+RAND()*(Model!$G$13-Model!$F$13)</f>
        <v>1613.5722794806768</v>
      </c>
      <c r="B3236" s="31">
        <f ca="1">Model!$F$14+RAND()*(Model!$G$14-Model!$F$14)</f>
        <v>0.26942028463387557</v>
      </c>
      <c r="C3236" s="32">
        <f ca="1">Model!$F$15+RAND()*(Model!$G$15-Model!$F$15)</f>
        <v>2.8283093395264594E-2</v>
      </c>
      <c r="D3236" s="33">
        <f ca="1">Model!$F$16+RAND()*(Model!$G$16-Model!$F$16)</f>
        <v>48.327648514851546</v>
      </c>
      <c r="E3236" s="33">
        <f>Model!$D$17</f>
        <v>800</v>
      </c>
      <c r="G3236" s="36">
        <f t="shared" ca="1" si="52"/>
        <v>970.79087506671931</v>
      </c>
    </row>
    <row r="3237" spans="1:7" x14ac:dyDescent="0.2">
      <c r="A3237" s="6">
        <f ca="1">Model!$F$13+RAND()*(Model!$G$13-Model!$F$13)</f>
        <v>1622.1798947062066</v>
      </c>
      <c r="B3237" s="31">
        <f ca="1">Model!$F$14+RAND()*(Model!$G$14-Model!$F$14)</f>
        <v>0.20461089791015</v>
      </c>
      <c r="C3237" s="32">
        <f ca="1">Model!$F$15+RAND()*(Model!$G$15-Model!$F$15)</f>
        <v>4.1084711080346809E-2</v>
      </c>
      <c r="D3237" s="33">
        <f ca="1">Model!$F$16+RAND()*(Model!$G$16-Model!$F$16)</f>
        <v>47.970884080484332</v>
      </c>
      <c r="E3237" s="33">
        <f>Model!$D$17</f>
        <v>800</v>
      </c>
      <c r="G3237" s="36">
        <f t="shared" ca="1" si="52"/>
        <v>2065.1898626608427</v>
      </c>
    </row>
    <row r="3238" spans="1:7" x14ac:dyDescent="0.2">
      <c r="A3238" s="6">
        <f ca="1">Model!$F$13+RAND()*(Model!$G$13-Model!$F$13)</f>
        <v>1462.6209481537662</v>
      </c>
      <c r="B3238" s="31">
        <f ca="1">Model!$F$14+RAND()*(Model!$G$14-Model!$F$14)</f>
        <v>0.3460062478072865</v>
      </c>
      <c r="C3238" s="32">
        <f ca="1">Model!$F$15+RAND()*(Model!$G$15-Model!$F$15)</f>
        <v>2.569192096473713E-2</v>
      </c>
      <c r="D3238" s="33">
        <f ca="1">Model!$F$16+RAND()*(Model!$G$16-Model!$F$16)</f>
        <v>49.318723181336793</v>
      </c>
      <c r="E3238" s="33">
        <f>Model!$D$17</f>
        <v>800</v>
      </c>
      <c r="G3238" s="36">
        <f t="shared" ca="1" si="52"/>
        <v>547.20039570015433</v>
      </c>
    </row>
    <row r="3239" spans="1:7" x14ac:dyDescent="0.2">
      <c r="A3239" s="6">
        <f ca="1">Model!$F$13+RAND()*(Model!$G$13-Model!$F$13)</f>
        <v>1607.3616450461329</v>
      </c>
      <c r="B3239" s="31">
        <f ca="1">Model!$F$14+RAND()*(Model!$G$14-Model!$F$14)</f>
        <v>0.55277303977601711</v>
      </c>
      <c r="C3239" s="32">
        <f ca="1">Model!$F$15+RAND()*(Model!$G$15-Model!$F$15)</f>
        <v>1.9274368638855573E-2</v>
      </c>
      <c r="D3239" s="33">
        <f ca="1">Model!$F$16+RAND()*(Model!$G$16-Model!$F$16)</f>
        <v>49.358085326428579</v>
      </c>
      <c r="E3239" s="33">
        <f>Model!$D$17</f>
        <v>800</v>
      </c>
      <c r="G3239" s="36">
        <f t="shared" ca="1" si="52"/>
        <v>-159.34922046140036</v>
      </c>
    </row>
    <row r="3240" spans="1:7" x14ac:dyDescent="0.2">
      <c r="A3240" s="6">
        <f ca="1">Model!$F$13+RAND()*(Model!$G$13-Model!$F$13)</f>
        <v>1220.154612432628</v>
      </c>
      <c r="B3240" s="31">
        <f ca="1">Model!$F$14+RAND()*(Model!$G$14-Model!$F$14)</f>
        <v>0.61206271768140319</v>
      </c>
      <c r="C3240" s="32">
        <f ca="1">Model!$F$15+RAND()*(Model!$G$15-Model!$F$15)</f>
        <v>3.4929742519895959E-2</v>
      </c>
      <c r="D3240" s="33">
        <f ca="1">Model!$F$16+RAND()*(Model!$G$16-Model!$F$16)</f>
        <v>47.004724973947646</v>
      </c>
      <c r="E3240" s="33">
        <f>Model!$D$17</f>
        <v>800</v>
      </c>
      <c r="G3240" s="36">
        <f t="shared" ca="1" si="52"/>
        <v>456.51549182765598</v>
      </c>
    </row>
    <row r="3241" spans="1:7" x14ac:dyDescent="0.2">
      <c r="A3241" s="6">
        <f ca="1">Model!$F$13+RAND()*(Model!$G$13-Model!$F$13)</f>
        <v>1770.1795366978813</v>
      </c>
      <c r="B3241" s="31">
        <f ca="1">Model!$F$14+RAND()*(Model!$G$14-Model!$F$14)</f>
        <v>0.58467834801490748</v>
      </c>
      <c r="C3241" s="32">
        <f ca="1">Model!$F$15+RAND()*(Model!$G$15-Model!$F$15)</f>
        <v>2.7674990677646581E-2</v>
      </c>
      <c r="D3241" s="33">
        <f ca="1">Model!$F$16+RAND()*(Model!$G$16-Model!$F$16)</f>
        <v>51.84587121655214</v>
      </c>
      <c r="E3241" s="33">
        <f>Model!$D$17</f>
        <v>800</v>
      </c>
      <c r="G3241" s="36">
        <f t="shared" ref="G3241:G3304" ca="1" si="53">A3241*C3241*D3241-(E3241+A3241*B3241)</f>
        <v>704.92814274132797</v>
      </c>
    </row>
    <row r="3242" spans="1:7" x14ac:dyDescent="0.2">
      <c r="A3242" s="6">
        <f ca="1">Model!$F$13+RAND()*(Model!$G$13-Model!$F$13)</f>
        <v>1665.1948409323763</v>
      </c>
      <c r="B3242" s="31">
        <f ca="1">Model!$F$14+RAND()*(Model!$G$14-Model!$F$14)</f>
        <v>0.48296206578584699</v>
      </c>
      <c r="C3242" s="32">
        <f ca="1">Model!$F$15+RAND()*(Model!$G$15-Model!$F$15)</f>
        <v>3.2771476397182656E-2</v>
      </c>
      <c r="D3242" s="33">
        <f ca="1">Model!$F$16+RAND()*(Model!$G$16-Model!$F$16)</f>
        <v>52.568975695070691</v>
      </c>
      <c r="E3242" s="33">
        <f>Model!$D$17</f>
        <v>800</v>
      </c>
      <c r="G3242" s="36">
        <f t="shared" ca="1" si="53"/>
        <v>1264.5100298741731</v>
      </c>
    </row>
    <row r="3243" spans="1:7" x14ac:dyDescent="0.2">
      <c r="A3243" s="6">
        <f ca="1">Model!$F$13+RAND()*(Model!$G$13-Model!$F$13)</f>
        <v>1551.7947144305922</v>
      </c>
      <c r="B3243" s="31">
        <f ca="1">Model!$F$14+RAND()*(Model!$G$14-Model!$F$14)</f>
        <v>0.66848965052949016</v>
      </c>
      <c r="C3243" s="32">
        <f ca="1">Model!$F$15+RAND()*(Model!$G$15-Model!$F$15)</f>
        <v>4.8670804264943343E-2</v>
      </c>
      <c r="D3243" s="33">
        <f ca="1">Model!$F$16+RAND()*(Model!$G$16-Model!$F$16)</f>
        <v>49.304548137180369</v>
      </c>
      <c r="E3243" s="33">
        <f>Model!$D$17</f>
        <v>800</v>
      </c>
      <c r="G3243" s="36">
        <f t="shared" ca="1" si="53"/>
        <v>1886.4706737613424</v>
      </c>
    </row>
    <row r="3244" spans="1:7" x14ac:dyDescent="0.2">
      <c r="A3244" s="6">
        <f ca="1">Model!$F$13+RAND()*(Model!$G$13-Model!$F$13)</f>
        <v>1569.2495402555153</v>
      </c>
      <c r="B3244" s="31">
        <f ca="1">Model!$F$14+RAND()*(Model!$G$14-Model!$F$14)</f>
        <v>0.60437021419002845</v>
      </c>
      <c r="C3244" s="32">
        <f ca="1">Model!$F$15+RAND()*(Model!$G$15-Model!$F$15)</f>
        <v>1.6723165776449739E-2</v>
      </c>
      <c r="D3244" s="33">
        <f ca="1">Model!$F$16+RAND()*(Model!$G$16-Model!$F$16)</f>
        <v>51.856383267060082</v>
      </c>
      <c r="E3244" s="33">
        <f>Model!$D$17</f>
        <v>800</v>
      </c>
      <c r="G3244" s="36">
        <f t="shared" ca="1" si="53"/>
        <v>-387.54993813484225</v>
      </c>
    </row>
    <row r="3245" spans="1:7" x14ac:dyDescent="0.2">
      <c r="A3245" s="6">
        <f ca="1">Model!$F$13+RAND()*(Model!$G$13-Model!$F$13)</f>
        <v>1466.9683794774044</v>
      </c>
      <c r="B3245" s="31">
        <f ca="1">Model!$F$14+RAND()*(Model!$G$14-Model!$F$14)</f>
        <v>0.52941960889851591</v>
      </c>
      <c r="C3245" s="32">
        <f ca="1">Model!$F$15+RAND()*(Model!$G$15-Model!$F$15)</f>
        <v>2.1239661325932861E-2</v>
      </c>
      <c r="D3245" s="33">
        <f ca="1">Model!$F$16+RAND()*(Model!$G$16-Model!$F$16)</f>
        <v>50.595625242144664</v>
      </c>
      <c r="E3245" s="33">
        <f>Model!$D$17</f>
        <v>800</v>
      </c>
      <c r="G3245" s="36">
        <f t="shared" ca="1" si="53"/>
        <v>-0.18780931654964661</v>
      </c>
    </row>
    <row r="3246" spans="1:7" x14ac:dyDescent="0.2">
      <c r="A3246" s="6">
        <f ca="1">Model!$F$13+RAND()*(Model!$G$13-Model!$F$13)</f>
        <v>1356.863190777661</v>
      </c>
      <c r="B3246" s="31">
        <f ca="1">Model!$F$14+RAND()*(Model!$G$14-Model!$F$14)</f>
        <v>0.68453148646730688</v>
      </c>
      <c r="C3246" s="32">
        <f ca="1">Model!$F$15+RAND()*(Model!$G$15-Model!$F$15)</f>
        <v>4.1301943385580235E-2</v>
      </c>
      <c r="D3246" s="33">
        <f ca="1">Model!$F$16+RAND()*(Model!$G$16-Model!$F$16)</f>
        <v>47.621034428133932</v>
      </c>
      <c r="E3246" s="33">
        <f>Model!$D$17</f>
        <v>800</v>
      </c>
      <c r="G3246" s="36">
        <f t="shared" ca="1" si="53"/>
        <v>939.91894161856135</v>
      </c>
    </row>
    <row r="3247" spans="1:7" x14ac:dyDescent="0.2">
      <c r="A3247" s="6">
        <f ca="1">Model!$F$13+RAND()*(Model!$G$13-Model!$F$13)</f>
        <v>1440.8374087754646</v>
      </c>
      <c r="B3247" s="31">
        <f ca="1">Model!$F$14+RAND()*(Model!$G$14-Model!$F$14)</f>
        <v>0.35485491624103477</v>
      </c>
      <c r="C3247" s="32">
        <f ca="1">Model!$F$15+RAND()*(Model!$G$15-Model!$F$15)</f>
        <v>1.851568936700598E-2</v>
      </c>
      <c r="D3247" s="33">
        <f ca="1">Model!$F$16+RAND()*(Model!$G$16-Model!$F$16)</f>
        <v>48.074708982244253</v>
      </c>
      <c r="E3247" s="33">
        <f>Model!$D$17</f>
        <v>800</v>
      </c>
      <c r="G3247" s="36">
        <f t="shared" ca="1" si="53"/>
        <v>-28.746445782529463</v>
      </c>
    </row>
    <row r="3248" spans="1:7" x14ac:dyDescent="0.2">
      <c r="A3248" s="6">
        <f ca="1">Model!$F$13+RAND()*(Model!$G$13-Model!$F$13)</f>
        <v>1782.5187839764931</v>
      </c>
      <c r="B3248" s="31">
        <f ca="1">Model!$F$14+RAND()*(Model!$G$14-Model!$F$14)</f>
        <v>0.3112799554444064</v>
      </c>
      <c r="C3248" s="32">
        <f ca="1">Model!$F$15+RAND()*(Model!$G$15-Model!$F$15)</f>
        <v>2.5060044155675761E-2</v>
      </c>
      <c r="D3248" s="33">
        <f ca="1">Model!$F$16+RAND()*(Model!$G$16-Model!$F$16)</f>
        <v>47.129032883511805</v>
      </c>
      <c r="E3248" s="33">
        <f>Model!$D$17</f>
        <v>800</v>
      </c>
      <c r="G3248" s="36">
        <f t="shared" ca="1" si="53"/>
        <v>750.39150461282088</v>
      </c>
    </row>
    <row r="3249" spans="1:7" x14ac:dyDescent="0.2">
      <c r="A3249" s="6">
        <f ca="1">Model!$F$13+RAND()*(Model!$G$13-Model!$F$13)</f>
        <v>1591.6700585823799</v>
      </c>
      <c r="B3249" s="31">
        <f ca="1">Model!$F$14+RAND()*(Model!$G$14-Model!$F$14)</f>
        <v>0.30811277849810975</v>
      </c>
      <c r="C3249" s="32">
        <f ca="1">Model!$F$15+RAND()*(Model!$G$15-Model!$F$15)</f>
        <v>1.2763538810451518E-2</v>
      </c>
      <c r="D3249" s="33">
        <f ca="1">Model!$F$16+RAND()*(Model!$G$16-Model!$F$16)</f>
        <v>48.114763576083917</v>
      </c>
      <c r="E3249" s="33">
        <f>Model!$D$17</f>
        <v>800</v>
      </c>
      <c r="G3249" s="36">
        <f t="shared" ca="1" si="53"/>
        <v>-312.9459796646122</v>
      </c>
    </row>
    <row r="3250" spans="1:7" x14ac:dyDescent="0.2">
      <c r="A3250" s="6">
        <f ca="1">Model!$F$13+RAND()*(Model!$G$13-Model!$F$13)</f>
        <v>1667.3135641994224</v>
      </c>
      <c r="B3250" s="31">
        <f ca="1">Model!$F$14+RAND()*(Model!$G$14-Model!$F$14)</f>
        <v>0.29040538810511662</v>
      </c>
      <c r="C3250" s="32">
        <f ca="1">Model!$F$15+RAND()*(Model!$G$15-Model!$F$15)</f>
        <v>1.6954233931702586E-2</v>
      </c>
      <c r="D3250" s="33">
        <f ca="1">Model!$F$16+RAND()*(Model!$G$16-Model!$F$16)</f>
        <v>47.575279289321927</v>
      </c>
      <c r="E3250" s="33">
        <f>Model!$D$17</f>
        <v>800</v>
      </c>
      <c r="G3250" s="36">
        <f t="shared" ca="1" si="53"/>
        <v>60.662303802970882</v>
      </c>
    </row>
    <row r="3251" spans="1:7" x14ac:dyDescent="0.2">
      <c r="A3251" s="6">
        <f ca="1">Model!$F$13+RAND()*(Model!$G$13-Model!$F$13)</f>
        <v>1589.0671500910159</v>
      </c>
      <c r="B3251" s="31">
        <f ca="1">Model!$F$14+RAND()*(Model!$G$14-Model!$F$14)</f>
        <v>0.7427779878540075</v>
      </c>
      <c r="C3251" s="32">
        <f ca="1">Model!$F$15+RAND()*(Model!$G$15-Model!$F$15)</f>
        <v>3.3609312798674178E-2</v>
      </c>
      <c r="D3251" s="33">
        <f ca="1">Model!$F$16+RAND()*(Model!$G$16-Model!$F$16)</f>
        <v>51.148678756777819</v>
      </c>
      <c r="E3251" s="33">
        <f>Model!$D$17</f>
        <v>800</v>
      </c>
      <c r="G3251" s="36">
        <f t="shared" ca="1" si="53"/>
        <v>751.39665386935189</v>
      </c>
    </row>
    <row r="3252" spans="1:7" x14ac:dyDescent="0.2">
      <c r="A3252" s="6">
        <f ca="1">Model!$F$13+RAND()*(Model!$G$13-Model!$F$13)</f>
        <v>1767.2708276028711</v>
      </c>
      <c r="B3252" s="31">
        <f ca="1">Model!$F$14+RAND()*(Model!$G$14-Model!$F$14)</f>
        <v>0.32188519500501916</v>
      </c>
      <c r="C3252" s="32">
        <f ca="1">Model!$F$15+RAND()*(Model!$G$15-Model!$F$15)</f>
        <v>4.1888656108392895E-2</v>
      </c>
      <c r="D3252" s="33">
        <f ca="1">Model!$F$16+RAND()*(Model!$G$16-Model!$F$16)</f>
        <v>51.691979635332643</v>
      </c>
      <c r="E3252" s="33">
        <f>Model!$D$17</f>
        <v>800</v>
      </c>
      <c r="G3252" s="36">
        <f t="shared" ca="1" si="53"/>
        <v>2457.8265659668987</v>
      </c>
    </row>
    <row r="3253" spans="1:7" x14ac:dyDescent="0.2">
      <c r="A3253" s="6">
        <f ca="1">Model!$F$13+RAND()*(Model!$G$13-Model!$F$13)</f>
        <v>1761.2605022439598</v>
      </c>
      <c r="B3253" s="31">
        <f ca="1">Model!$F$14+RAND()*(Model!$G$14-Model!$F$14)</f>
        <v>0.6050272098087609</v>
      </c>
      <c r="C3253" s="32">
        <f ca="1">Model!$F$15+RAND()*(Model!$G$15-Model!$F$15)</f>
        <v>1.6858832855376427E-2</v>
      </c>
      <c r="D3253" s="33">
        <f ca="1">Model!$F$16+RAND()*(Model!$G$16-Model!$F$16)</f>
        <v>49.550410229550465</v>
      </c>
      <c r="E3253" s="33">
        <f>Model!$D$17</f>
        <v>800</v>
      </c>
      <c r="G3253" s="36">
        <f t="shared" ca="1" si="53"/>
        <v>-394.32028384109708</v>
      </c>
    </row>
    <row r="3254" spans="1:7" x14ac:dyDescent="0.2">
      <c r="A3254" s="6">
        <f ca="1">Model!$F$13+RAND()*(Model!$G$13-Model!$F$13)</f>
        <v>1387.6772158404929</v>
      </c>
      <c r="B3254" s="31">
        <f ca="1">Model!$F$14+RAND()*(Model!$G$14-Model!$F$14)</f>
        <v>0.45137661569984955</v>
      </c>
      <c r="C3254" s="32">
        <f ca="1">Model!$F$15+RAND()*(Model!$G$15-Model!$F$15)</f>
        <v>4.6959927625419846E-2</v>
      </c>
      <c r="D3254" s="33">
        <f ca="1">Model!$F$16+RAND()*(Model!$G$16-Model!$F$16)</f>
        <v>50.911635147964134</v>
      </c>
      <c r="E3254" s="33">
        <f>Model!$D$17</f>
        <v>800</v>
      </c>
      <c r="G3254" s="36">
        <f t="shared" ca="1" si="53"/>
        <v>1891.3029422524967</v>
      </c>
    </row>
    <row r="3255" spans="1:7" x14ac:dyDescent="0.2">
      <c r="A3255" s="6">
        <f ca="1">Model!$F$13+RAND()*(Model!$G$13-Model!$F$13)</f>
        <v>1573.1184301380442</v>
      </c>
      <c r="B3255" s="31">
        <f ca="1">Model!$F$14+RAND()*(Model!$G$14-Model!$F$14)</f>
        <v>0.33794003304452574</v>
      </c>
      <c r="C3255" s="32">
        <f ca="1">Model!$F$15+RAND()*(Model!$G$15-Model!$F$15)</f>
        <v>1.8129176142685083E-2</v>
      </c>
      <c r="D3255" s="33">
        <f ca="1">Model!$F$16+RAND()*(Model!$G$16-Model!$F$16)</f>
        <v>51.329926289104449</v>
      </c>
      <c r="E3255" s="33">
        <f>Model!$D$17</f>
        <v>800</v>
      </c>
      <c r="G3255" s="36">
        <f t="shared" ca="1" si="53"/>
        <v>132.27598289452317</v>
      </c>
    </row>
    <row r="3256" spans="1:7" x14ac:dyDescent="0.2">
      <c r="A3256" s="6">
        <f ca="1">Model!$F$13+RAND()*(Model!$G$13-Model!$F$13)</f>
        <v>1247.9601217883537</v>
      </c>
      <c r="B3256" s="31">
        <f ca="1">Model!$F$14+RAND()*(Model!$G$14-Model!$F$14)</f>
        <v>0.67322087055325053</v>
      </c>
      <c r="C3256" s="32">
        <f ca="1">Model!$F$15+RAND()*(Model!$G$15-Model!$F$15)</f>
        <v>4.3203966554970892E-2</v>
      </c>
      <c r="D3256" s="33">
        <f ca="1">Model!$F$16+RAND()*(Model!$G$16-Model!$F$16)</f>
        <v>50.044913653660245</v>
      </c>
      <c r="E3256" s="33">
        <f>Model!$D$17</f>
        <v>800</v>
      </c>
      <c r="G3256" s="36">
        <f t="shared" ca="1" si="53"/>
        <v>1058.1101702886474</v>
      </c>
    </row>
    <row r="3257" spans="1:7" x14ac:dyDescent="0.2">
      <c r="A3257" s="6">
        <f ca="1">Model!$F$13+RAND()*(Model!$G$13-Model!$F$13)</f>
        <v>1286.4051285686216</v>
      </c>
      <c r="B3257" s="31">
        <f ca="1">Model!$F$14+RAND()*(Model!$G$14-Model!$F$14)</f>
        <v>0.32812745106066732</v>
      </c>
      <c r="C3257" s="32">
        <f ca="1">Model!$F$15+RAND()*(Model!$G$15-Model!$F$15)</f>
        <v>4.4263839823593235E-2</v>
      </c>
      <c r="D3257" s="33">
        <f ca="1">Model!$F$16+RAND()*(Model!$G$16-Model!$F$16)</f>
        <v>52.329875771810897</v>
      </c>
      <c r="E3257" s="33">
        <f>Model!$D$17</f>
        <v>800</v>
      </c>
      <c r="G3257" s="36">
        <f t="shared" ca="1" si="53"/>
        <v>1757.622685588927</v>
      </c>
    </row>
    <row r="3258" spans="1:7" x14ac:dyDescent="0.2">
      <c r="A3258" s="6">
        <f ca="1">Model!$F$13+RAND()*(Model!$G$13-Model!$F$13)</f>
        <v>1779.5295573772526</v>
      </c>
      <c r="B3258" s="31">
        <f ca="1">Model!$F$14+RAND()*(Model!$G$14-Model!$F$14)</f>
        <v>0.55480607848391728</v>
      </c>
      <c r="C3258" s="32">
        <f ca="1">Model!$F$15+RAND()*(Model!$G$15-Model!$F$15)</f>
        <v>1.0876038683691105E-2</v>
      </c>
      <c r="D3258" s="33">
        <f ca="1">Model!$F$16+RAND()*(Model!$G$16-Model!$F$16)</f>
        <v>49.911493218738599</v>
      </c>
      <c r="E3258" s="33">
        <f>Model!$D$17</f>
        <v>800</v>
      </c>
      <c r="G3258" s="36">
        <f t="shared" ca="1" si="53"/>
        <v>-821.29518083944322</v>
      </c>
    </row>
    <row r="3259" spans="1:7" x14ac:dyDescent="0.2">
      <c r="A3259" s="6">
        <f ca="1">Model!$F$13+RAND()*(Model!$G$13-Model!$F$13)</f>
        <v>1736.2355955977043</v>
      </c>
      <c r="B3259" s="31">
        <f ca="1">Model!$F$14+RAND()*(Model!$G$14-Model!$F$14)</f>
        <v>0.69393437244113054</v>
      </c>
      <c r="C3259" s="32">
        <f ca="1">Model!$F$15+RAND()*(Model!$G$15-Model!$F$15)</f>
        <v>4.2957712608034167E-2</v>
      </c>
      <c r="D3259" s="33">
        <f ca="1">Model!$F$16+RAND()*(Model!$G$16-Model!$F$16)</f>
        <v>50.28390665426442</v>
      </c>
      <c r="E3259" s="33">
        <f>Model!$D$17</f>
        <v>800</v>
      </c>
      <c r="G3259" s="36">
        <f t="shared" ca="1" si="53"/>
        <v>1745.5770237355111</v>
      </c>
    </row>
    <row r="3260" spans="1:7" x14ac:dyDescent="0.2">
      <c r="A3260" s="6">
        <f ca="1">Model!$F$13+RAND()*(Model!$G$13-Model!$F$13)</f>
        <v>1599.0146799362292</v>
      </c>
      <c r="B3260" s="31">
        <f ca="1">Model!$F$14+RAND()*(Model!$G$14-Model!$F$14)</f>
        <v>0.36724247976926266</v>
      </c>
      <c r="C3260" s="32">
        <f ca="1">Model!$F$15+RAND()*(Model!$G$15-Model!$F$15)</f>
        <v>1.8020183801597173E-2</v>
      </c>
      <c r="D3260" s="33">
        <f ca="1">Model!$F$16+RAND()*(Model!$G$16-Model!$F$16)</f>
        <v>51.120205811065262</v>
      </c>
      <c r="E3260" s="33">
        <f>Model!$D$17</f>
        <v>800</v>
      </c>
      <c r="G3260" s="36">
        <f t="shared" ca="1" si="53"/>
        <v>85.779018844732946</v>
      </c>
    </row>
    <row r="3261" spans="1:7" x14ac:dyDescent="0.2">
      <c r="A3261" s="6">
        <f ca="1">Model!$F$13+RAND()*(Model!$G$13-Model!$F$13)</f>
        <v>1432.7176736643896</v>
      </c>
      <c r="B3261" s="31">
        <f ca="1">Model!$F$14+RAND()*(Model!$G$14-Model!$F$14)</f>
        <v>0.29055278306602694</v>
      </c>
      <c r="C3261" s="32">
        <f ca="1">Model!$F$15+RAND()*(Model!$G$15-Model!$F$15)</f>
        <v>1.52999301743444E-2</v>
      </c>
      <c r="D3261" s="33">
        <f ca="1">Model!$F$16+RAND()*(Model!$G$16-Model!$F$16)</f>
        <v>48.160074554585584</v>
      </c>
      <c r="E3261" s="33">
        <f>Model!$D$17</f>
        <v>800</v>
      </c>
      <c r="G3261" s="36">
        <f t="shared" ca="1" si="53"/>
        <v>-160.58813870259746</v>
      </c>
    </row>
    <row r="3262" spans="1:7" x14ac:dyDescent="0.2">
      <c r="A3262" s="6">
        <f ca="1">Model!$F$13+RAND()*(Model!$G$13-Model!$F$13)</f>
        <v>1441.2547543083285</v>
      </c>
      <c r="B3262" s="31">
        <f ca="1">Model!$F$14+RAND()*(Model!$G$14-Model!$F$14)</f>
        <v>0.32546573803628864</v>
      </c>
      <c r="C3262" s="32">
        <f ca="1">Model!$F$15+RAND()*(Model!$G$15-Model!$F$15)</f>
        <v>3.7455645501606662E-2</v>
      </c>
      <c r="D3262" s="33">
        <f ca="1">Model!$F$16+RAND()*(Model!$G$16-Model!$F$16)</f>
        <v>51.272421133364325</v>
      </c>
      <c r="E3262" s="33">
        <f>Model!$D$17</f>
        <v>800</v>
      </c>
      <c r="G3262" s="36">
        <f t="shared" ca="1" si="53"/>
        <v>1498.7665872715884</v>
      </c>
    </row>
    <row r="3263" spans="1:7" x14ac:dyDescent="0.2">
      <c r="A3263" s="6">
        <f ca="1">Model!$F$13+RAND()*(Model!$G$13-Model!$F$13)</f>
        <v>1315.4990909349501</v>
      </c>
      <c r="B3263" s="31">
        <f ca="1">Model!$F$14+RAND()*(Model!$G$14-Model!$F$14)</f>
        <v>0.72446216703772937</v>
      </c>
      <c r="C3263" s="32">
        <f ca="1">Model!$F$15+RAND()*(Model!$G$15-Model!$F$15)</f>
        <v>4.4982702378122921E-2</v>
      </c>
      <c r="D3263" s="33">
        <f ca="1">Model!$F$16+RAND()*(Model!$G$16-Model!$F$16)</f>
        <v>47.938083212885324</v>
      </c>
      <c r="E3263" s="33">
        <f>Model!$D$17</f>
        <v>800</v>
      </c>
      <c r="G3263" s="36">
        <f t="shared" ca="1" si="53"/>
        <v>1083.6925664280925</v>
      </c>
    </row>
    <row r="3264" spans="1:7" x14ac:dyDescent="0.2">
      <c r="A3264" s="6">
        <f ca="1">Model!$F$13+RAND()*(Model!$G$13-Model!$F$13)</f>
        <v>1466.1299154707585</v>
      </c>
      <c r="B3264" s="31">
        <f ca="1">Model!$F$14+RAND()*(Model!$G$14-Model!$F$14)</f>
        <v>0.55169634146766189</v>
      </c>
      <c r="C3264" s="32">
        <f ca="1">Model!$F$15+RAND()*(Model!$G$15-Model!$F$15)</f>
        <v>2.1397975600842192E-2</v>
      </c>
      <c r="D3264" s="33">
        <f ca="1">Model!$F$16+RAND()*(Model!$G$16-Model!$F$16)</f>
        <v>51.18906170130996</v>
      </c>
      <c r="E3264" s="33">
        <f>Model!$D$17</f>
        <v>800</v>
      </c>
      <c r="G3264" s="36">
        <f t="shared" ca="1" si="53"/>
        <v>-2.9444065725756445</v>
      </c>
    </row>
    <row r="3265" spans="1:7" x14ac:dyDescent="0.2">
      <c r="A3265" s="6">
        <f ca="1">Model!$F$13+RAND()*(Model!$G$13-Model!$F$13)</f>
        <v>1373.8847626703264</v>
      </c>
      <c r="B3265" s="31">
        <f ca="1">Model!$F$14+RAND()*(Model!$G$14-Model!$F$14)</f>
        <v>0.6104768327300335</v>
      </c>
      <c r="C3265" s="32">
        <f ca="1">Model!$F$15+RAND()*(Model!$G$15-Model!$F$15)</f>
        <v>2.2597007290483799E-2</v>
      </c>
      <c r="D3265" s="33">
        <f ca="1">Model!$F$16+RAND()*(Model!$G$16-Model!$F$16)</f>
        <v>48.867158224268664</v>
      </c>
      <c r="E3265" s="33">
        <f>Model!$D$17</f>
        <v>800</v>
      </c>
      <c r="G3265" s="36">
        <f t="shared" ca="1" si="53"/>
        <v>-121.61046632321631</v>
      </c>
    </row>
    <row r="3266" spans="1:7" x14ac:dyDescent="0.2">
      <c r="A3266" s="6">
        <f ca="1">Model!$F$13+RAND()*(Model!$G$13-Model!$F$13)</f>
        <v>1286.7791266075674</v>
      </c>
      <c r="B3266" s="31">
        <f ca="1">Model!$F$14+RAND()*(Model!$G$14-Model!$F$14)</f>
        <v>0.60322342885626679</v>
      </c>
      <c r="C3266" s="32">
        <f ca="1">Model!$F$15+RAND()*(Model!$G$15-Model!$F$15)</f>
        <v>4.9239852363458896E-2</v>
      </c>
      <c r="D3266" s="33">
        <f ca="1">Model!$F$16+RAND()*(Model!$G$16-Model!$F$16)</f>
        <v>50.272212488170098</v>
      </c>
      <c r="E3266" s="33">
        <f>Model!$D$17</f>
        <v>800</v>
      </c>
      <c r="G3266" s="36">
        <f t="shared" ca="1" si="53"/>
        <v>1609.0729988848825</v>
      </c>
    </row>
    <row r="3267" spans="1:7" x14ac:dyDescent="0.2">
      <c r="A3267" s="6">
        <f ca="1">Model!$F$13+RAND()*(Model!$G$13-Model!$F$13)</f>
        <v>1646.5540507041183</v>
      </c>
      <c r="B3267" s="31">
        <f ca="1">Model!$F$14+RAND()*(Model!$G$14-Model!$F$14)</f>
        <v>0.47903568986123229</v>
      </c>
      <c r="C3267" s="32">
        <f ca="1">Model!$F$15+RAND()*(Model!$G$15-Model!$F$15)</f>
        <v>2.968985099641868E-2</v>
      </c>
      <c r="D3267" s="33">
        <f ca="1">Model!$F$16+RAND()*(Model!$G$16-Model!$F$16)</f>
        <v>47.618333125397399</v>
      </c>
      <c r="E3267" s="33">
        <f>Model!$D$17</f>
        <v>800</v>
      </c>
      <c r="G3267" s="36">
        <f t="shared" ca="1" si="53"/>
        <v>739.10903110907475</v>
      </c>
    </row>
    <row r="3268" spans="1:7" x14ac:dyDescent="0.2">
      <c r="A3268" s="6">
        <f ca="1">Model!$F$13+RAND()*(Model!$G$13-Model!$F$13)</f>
        <v>1728.8230374009374</v>
      </c>
      <c r="B3268" s="31">
        <f ca="1">Model!$F$14+RAND()*(Model!$G$14-Model!$F$14)</f>
        <v>0.68753394373732324</v>
      </c>
      <c r="C3268" s="32">
        <f ca="1">Model!$F$15+RAND()*(Model!$G$15-Model!$F$15)</f>
        <v>4.6561694911710125E-2</v>
      </c>
      <c r="D3268" s="33">
        <f ca="1">Model!$F$16+RAND()*(Model!$G$16-Model!$F$16)</f>
        <v>50.252724763706667</v>
      </c>
      <c r="E3268" s="33">
        <f>Model!$D$17</f>
        <v>800</v>
      </c>
      <c r="G3268" s="36">
        <f t="shared" ca="1" si="53"/>
        <v>2056.5655880832755</v>
      </c>
    </row>
    <row r="3269" spans="1:7" x14ac:dyDescent="0.2">
      <c r="A3269" s="6">
        <f ca="1">Model!$F$13+RAND()*(Model!$G$13-Model!$F$13)</f>
        <v>1340.0386510327328</v>
      </c>
      <c r="B3269" s="31">
        <f ca="1">Model!$F$14+RAND()*(Model!$G$14-Model!$F$14)</f>
        <v>0.78888082928270298</v>
      </c>
      <c r="C3269" s="32">
        <f ca="1">Model!$F$15+RAND()*(Model!$G$15-Model!$F$15)</f>
        <v>3.2216673100254258E-2</v>
      </c>
      <c r="D3269" s="33">
        <f ca="1">Model!$F$16+RAND()*(Model!$G$16-Model!$F$16)</f>
        <v>47.586869054688897</v>
      </c>
      <c r="E3269" s="33">
        <f>Model!$D$17</f>
        <v>800</v>
      </c>
      <c r="G3269" s="36">
        <f t="shared" ca="1" si="53"/>
        <v>197.26986286490182</v>
      </c>
    </row>
    <row r="3270" spans="1:7" x14ac:dyDescent="0.2">
      <c r="A3270" s="6">
        <f ca="1">Model!$F$13+RAND()*(Model!$G$13-Model!$F$13)</f>
        <v>1581.262687402507</v>
      </c>
      <c r="B3270" s="31">
        <f ca="1">Model!$F$14+RAND()*(Model!$G$14-Model!$F$14)</f>
        <v>0.40675916676868046</v>
      </c>
      <c r="C3270" s="32">
        <f ca="1">Model!$F$15+RAND()*(Model!$G$15-Model!$F$15)</f>
        <v>3.4288778376730951E-2</v>
      </c>
      <c r="D3270" s="33">
        <f ca="1">Model!$F$16+RAND()*(Model!$G$16-Model!$F$16)</f>
        <v>47.274433598588594</v>
      </c>
      <c r="E3270" s="33">
        <f>Model!$D$17</f>
        <v>800</v>
      </c>
      <c r="G3270" s="36">
        <f t="shared" ca="1" si="53"/>
        <v>1120.0061720538724</v>
      </c>
    </row>
    <row r="3271" spans="1:7" x14ac:dyDescent="0.2">
      <c r="A3271" s="6">
        <f ca="1">Model!$F$13+RAND()*(Model!$G$13-Model!$F$13)</f>
        <v>1263.6600884366183</v>
      </c>
      <c r="B3271" s="31">
        <f ca="1">Model!$F$14+RAND()*(Model!$G$14-Model!$F$14)</f>
        <v>0.6288849038792157</v>
      </c>
      <c r="C3271" s="32">
        <f ca="1">Model!$F$15+RAND()*(Model!$G$15-Model!$F$15)</f>
        <v>2.4280194248049673E-2</v>
      </c>
      <c r="D3271" s="33">
        <f ca="1">Model!$F$16+RAND()*(Model!$G$16-Model!$F$16)</f>
        <v>47.012580853814114</v>
      </c>
      <c r="E3271" s="33">
        <f>Model!$D$17</f>
        <v>800</v>
      </c>
      <c r="G3271" s="36">
        <f t="shared" ca="1" si="53"/>
        <v>-152.26086529249687</v>
      </c>
    </row>
    <row r="3272" spans="1:7" x14ac:dyDescent="0.2">
      <c r="A3272" s="6">
        <f ca="1">Model!$F$13+RAND()*(Model!$G$13-Model!$F$13)</f>
        <v>1686.1585665956263</v>
      </c>
      <c r="B3272" s="31">
        <f ca="1">Model!$F$14+RAND()*(Model!$G$14-Model!$F$14)</f>
        <v>0.72498217169913293</v>
      </c>
      <c r="C3272" s="32">
        <f ca="1">Model!$F$15+RAND()*(Model!$G$15-Model!$F$15)</f>
        <v>3.1570879961694429E-2</v>
      </c>
      <c r="D3272" s="33">
        <f ca="1">Model!$F$16+RAND()*(Model!$G$16-Model!$F$16)</f>
        <v>50.76332296157085</v>
      </c>
      <c r="E3272" s="33">
        <f>Model!$D$17</f>
        <v>800</v>
      </c>
      <c r="G3272" s="36">
        <f t="shared" ca="1" si="53"/>
        <v>679.87494595989529</v>
      </c>
    </row>
    <row r="3273" spans="1:7" x14ac:dyDescent="0.2">
      <c r="A3273" s="6">
        <f ca="1">Model!$F$13+RAND()*(Model!$G$13-Model!$F$13)</f>
        <v>1515.2680486055363</v>
      </c>
      <c r="B3273" s="31">
        <f ca="1">Model!$F$14+RAND()*(Model!$G$14-Model!$F$14)</f>
        <v>0.66007780371744673</v>
      </c>
      <c r="C3273" s="32">
        <f ca="1">Model!$F$15+RAND()*(Model!$G$15-Model!$F$15)</f>
        <v>2.0870572932821078E-2</v>
      </c>
      <c r="D3273" s="33">
        <f ca="1">Model!$F$16+RAND()*(Model!$G$16-Model!$F$16)</f>
        <v>49.699525500313676</v>
      </c>
      <c r="E3273" s="33">
        <f>Model!$D$17</f>
        <v>800</v>
      </c>
      <c r="G3273" s="36">
        <f t="shared" ca="1" si="53"/>
        <v>-228.47154902453281</v>
      </c>
    </row>
    <row r="3274" spans="1:7" x14ac:dyDescent="0.2">
      <c r="A3274" s="6">
        <f ca="1">Model!$F$13+RAND()*(Model!$G$13-Model!$F$13)</f>
        <v>1342.1630806750388</v>
      </c>
      <c r="B3274" s="31">
        <f ca="1">Model!$F$14+RAND()*(Model!$G$14-Model!$F$14)</f>
        <v>0.61213821746150698</v>
      </c>
      <c r="C3274" s="32">
        <f ca="1">Model!$F$15+RAND()*(Model!$G$15-Model!$F$15)</f>
        <v>1.2972779360127773E-2</v>
      </c>
      <c r="D3274" s="33">
        <f ca="1">Model!$F$16+RAND()*(Model!$G$16-Model!$F$16)</f>
        <v>51.246567116753667</v>
      </c>
      <c r="E3274" s="33">
        <f>Model!$D$17</f>
        <v>800</v>
      </c>
      <c r="G3274" s="36">
        <f t="shared" ca="1" si="53"/>
        <v>-729.30533025328987</v>
      </c>
    </row>
    <row r="3275" spans="1:7" x14ac:dyDescent="0.2">
      <c r="A3275" s="6">
        <f ca="1">Model!$F$13+RAND()*(Model!$G$13-Model!$F$13)</f>
        <v>1580.0017618928882</v>
      </c>
      <c r="B3275" s="31">
        <f ca="1">Model!$F$14+RAND()*(Model!$G$14-Model!$F$14)</f>
        <v>0.27944680983071479</v>
      </c>
      <c r="C3275" s="32">
        <f ca="1">Model!$F$15+RAND()*(Model!$G$15-Model!$F$15)</f>
        <v>3.7939001361241863E-2</v>
      </c>
      <c r="D3275" s="33">
        <f ca="1">Model!$F$16+RAND()*(Model!$G$16-Model!$F$16)</f>
        <v>51.273832303178729</v>
      </c>
      <c r="E3275" s="33">
        <f>Model!$D$17</f>
        <v>800</v>
      </c>
      <c r="G3275" s="36">
        <f t="shared" ca="1" si="53"/>
        <v>1832.0162052868741</v>
      </c>
    </row>
    <row r="3276" spans="1:7" x14ac:dyDescent="0.2">
      <c r="A3276" s="6">
        <f ca="1">Model!$F$13+RAND()*(Model!$G$13-Model!$F$13)</f>
        <v>1281.8432494255001</v>
      </c>
      <c r="B3276" s="31">
        <f ca="1">Model!$F$14+RAND()*(Model!$G$14-Model!$F$14)</f>
        <v>0.63102946296001772</v>
      </c>
      <c r="C3276" s="32">
        <f ca="1">Model!$F$15+RAND()*(Model!$G$15-Model!$F$15)</f>
        <v>4.1123835819623734E-2</v>
      </c>
      <c r="D3276" s="33">
        <f ca="1">Model!$F$16+RAND()*(Model!$G$16-Model!$F$16)</f>
        <v>51.319247589051685</v>
      </c>
      <c r="E3276" s="33">
        <f>Model!$D$17</f>
        <v>800</v>
      </c>
      <c r="G3276" s="36">
        <f t="shared" ca="1" si="53"/>
        <v>1096.3779376478283</v>
      </c>
    </row>
    <row r="3277" spans="1:7" x14ac:dyDescent="0.2">
      <c r="A3277" s="6">
        <f ca="1">Model!$F$13+RAND()*(Model!$G$13-Model!$F$13)</f>
        <v>1725.8231548682061</v>
      </c>
      <c r="B3277" s="31">
        <f ca="1">Model!$F$14+RAND()*(Model!$G$14-Model!$F$14)</f>
        <v>0.58983913716005043</v>
      </c>
      <c r="C3277" s="32">
        <f ca="1">Model!$F$15+RAND()*(Model!$G$15-Model!$F$15)</f>
        <v>1.8868713590675084E-2</v>
      </c>
      <c r="D3277" s="33">
        <f ca="1">Model!$F$16+RAND()*(Model!$G$16-Model!$F$16)</f>
        <v>49.588044969698124</v>
      </c>
      <c r="E3277" s="33">
        <f>Model!$D$17</f>
        <v>800</v>
      </c>
      <c r="G3277" s="36">
        <f t="shared" ca="1" si="53"/>
        <v>-203.16982917480436</v>
      </c>
    </row>
    <row r="3278" spans="1:7" x14ac:dyDescent="0.2">
      <c r="A3278" s="6">
        <f ca="1">Model!$F$13+RAND()*(Model!$G$13-Model!$F$13)</f>
        <v>1414.3693678513694</v>
      </c>
      <c r="B3278" s="31">
        <f ca="1">Model!$F$14+RAND()*(Model!$G$14-Model!$F$14)</f>
        <v>0.757163374001669</v>
      </c>
      <c r="C3278" s="32">
        <f ca="1">Model!$F$15+RAND()*(Model!$G$15-Model!$F$15)</f>
        <v>3.2432493604120108E-2</v>
      </c>
      <c r="D3278" s="33">
        <f ca="1">Model!$F$16+RAND()*(Model!$G$16-Model!$F$16)</f>
        <v>48.704464563517071</v>
      </c>
      <c r="E3278" s="33">
        <f>Model!$D$17</f>
        <v>800</v>
      </c>
      <c r="G3278" s="36">
        <f t="shared" ca="1" si="53"/>
        <v>363.23940440759816</v>
      </c>
    </row>
    <row r="3279" spans="1:7" x14ac:dyDescent="0.2">
      <c r="A3279" s="6">
        <f ca="1">Model!$F$13+RAND()*(Model!$G$13-Model!$F$13)</f>
        <v>1422.5059663485713</v>
      </c>
      <c r="B3279" s="31">
        <f ca="1">Model!$F$14+RAND()*(Model!$G$14-Model!$F$14)</f>
        <v>0.66700588787717252</v>
      </c>
      <c r="C3279" s="32">
        <f ca="1">Model!$F$15+RAND()*(Model!$G$15-Model!$F$15)</f>
        <v>4.7065814210461424E-2</v>
      </c>
      <c r="D3279" s="33">
        <f ca="1">Model!$F$16+RAND()*(Model!$G$16-Model!$F$16)</f>
        <v>49.944959438905805</v>
      </c>
      <c r="E3279" s="33">
        <f>Model!$D$17</f>
        <v>800</v>
      </c>
      <c r="G3279" s="36">
        <f t="shared" ca="1" si="53"/>
        <v>1595.0651784708307</v>
      </c>
    </row>
    <row r="3280" spans="1:7" x14ac:dyDescent="0.2">
      <c r="A3280" s="6">
        <f ca="1">Model!$F$13+RAND()*(Model!$G$13-Model!$F$13)</f>
        <v>1434.3830748061848</v>
      </c>
      <c r="B3280" s="31">
        <f ca="1">Model!$F$14+RAND()*(Model!$G$14-Model!$F$14)</f>
        <v>0.32475432470251275</v>
      </c>
      <c r="C3280" s="32">
        <f ca="1">Model!$F$15+RAND()*(Model!$G$15-Model!$F$15)</f>
        <v>2.9192624508898687E-2</v>
      </c>
      <c r="D3280" s="33">
        <f ca="1">Model!$F$16+RAND()*(Model!$G$16-Model!$F$16)</f>
        <v>47.70200001886613</v>
      </c>
      <c r="E3280" s="33">
        <f>Model!$D$17</f>
        <v>800</v>
      </c>
      <c r="G3280" s="36">
        <f t="shared" ca="1" si="53"/>
        <v>731.62313105553312</v>
      </c>
    </row>
    <row r="3281" spans="1:7" x14ac:dyDescent="0.2">
      <c r="A3281" s="6">
        <f ca="1">Model!$F$13+RAND()*(Model!$G$13-Model!$F$13)</f>
        <v>1339.806173727286</v>
      </c>
      <c r="B3281" s="31">
        <f ca="1">Model!$F$14+RAND()*(Model!$G$14-Model!$F$14)</f>
        <v>0.36555112098937964</v>
      </c>
      <c r="C3281" s="32">
        <f ca="1">Model!$F$15+RAND()*(Model!$G$15-Model!$F$15)</f>
        <v>3.5185570083981176E-2</v>
      </c>
      <c r="D3281" s="33">
        <f ca="1">Model!$F$16+RAND()*(Model!$G$16-Model!$F$16)</f>
        <v>48.147042930930837</v>
      </c>
      <c r="E3281" s="33">
        <f>Model!$D$17</f>
        <v>800</v>
      </c>
      <c r="G3281" s="36">
        <f t="shared" ca="1" si="53"/>
        <v>979.97273938270519</v>
      </c>
    </row>
    <row r="3282" spans="1:7" x14ac:dyDescent="0.2">
      <c r="A3282" s="6">
        <f ca="1">Model!$F$13+RAND()*(Model!$G$13-Model!$F$13)</f>
        <v>1276.5377070753532</v>
      </c>
      <c r="B3282" s="31">
        <f ca="1">Model!$F$14+RAND()*(Model!$G$14-Model!$F$14)</f>
        <v>0.61811770730197724</v>
      </c>
      <c r="C3282" s="32">
        <f ca="1">Model!$F$15+RAND()*(Model!$G$15-Model!$F$15)</f>
        <v>1.1896208420534991E-2</v>
      </c>
      <c r="D3282" s="33">
        <f ca="1">Model!$F$16+RAND()*(Model!$G$16-Model!$F$16)</f>
        <v>49.236979148322924</v>
      </c>
      <c r="E3282" s="33">
        <f>Model!$D$17</f>
        <v>800</v>
      </c>
      <c r="G3282" s="36">
        <f t="shared" ca="1" si="53"/>
        <v>-841.33983285972408</v>
      </c>
    </row>
    <row r="3283" spans="1:7" x14ac:dyDescent="0.2">
      <c r="A3283" s="6">
        <f ca="1">Model!$F$13+RAND()*(Model!$G$13-Model!$F$13)</f>
        <v>1426.7392001729522</v>
      </c>
      <c r="B3283" s="31">
        <f ca="1">Model!$F$14+RAND()*(Model!$G$14-Model!$F$14)</f>
        <v>0.51190345187748687</v>
      </c>
      <c r="C3283" s="32">
        <f ca="1">Model!$F$15+RAND()*(Model!$G$15-Model!$F$15)</f>
        <v>3.9995613226374162E-2</v>
      </c>
      <c r="D3283" s="33">
        <f ca="1">Model!$F$16+RAND()*(Model!$G$16-Model!$F$16)</f>
        <v>50.308239360718929</v>
      </c>
      <c r="E3283" s="33">
        <f>Model!$D$17</f>
        <v>800</v>
      </c>
      <c r="G3283" s="36">
        <f t="shared" ca="1" si="53"/>
        <v>1340.4018977097603</v>
      </c>
    </row>
    <row r="3284" spans="1:7" x14ac:dyDescent="0.2">
      <c r="A3284" s="6">
        <f ca="1">Model!$F$13+RAND()*(Model!$G$13-Model!$F$13)</f>
        <v>1615.1631649754095</v>
      </c>
      <c r="B3284" s="31">
        <f ca="1">Model!$F$14+RAND()*(Model!$G$14-Model!$F$14)</f>
        <v>0.42162351547952792</v>
      </c>
      <c r="C3284" s="32">
        <f ca="1">Model!$F$15+RAND()*(Model!$G$15-Model!$F$15)</f>
        <v>1.8925384801657293E-2</v>
      </c>
      <c r="D3284" s="33">
        <f ca="1">Model!$F$16+RAND()*(Model!$G$16-Model!$F$16)</f>
        <v>48.049168130026523</v>
      </c>
      <c r="E3284" s="33">
        <f>Model!$D$17</f>
        <v>800</v>
      </c>
      <c r="G3284" s="36">
        <f t="shared" ca="1" si="53"/>
        <v>-12.243768823007258</v>
      </c>
    </row>
    <row r="3285" spans="1:7" x14ac:dyDescent="0.2">
      <c r="A3285" s="6">
        <f ca="1">Model!$F$13+RAND()*(Model!$G$13-Model!$F$13)</f>
        <v>1207.7987400023517</v>
      </c>
      <c r="B3285" s="31">
        <f ca="1">Model!$F$14+RAND()*(Model!$G$14-Model!$F$14)</f>
        <v>0.45759391130424987</v>
      </c>
      <c r="C3285" s="32">
        <f ca="1">Model!$F$15+RAND()*(Model!$G$15-Model!$F$15)</f>
        <v>1.5191005081853533E-2</v>
      </c>
      <c r="D3285" s="33">
        <f ca="1">Model!$F$16+RAND()*(Model!$G$16-Model!$F$16)</f>
        <v>50.705270406370687</v>
      </c>
      <c r="E3285" s="33">
        <f>Model!$D$17</f>
        <v>800</v>
      </c>
      <c r="G3285" s="36">
        <f t="shared" ca="1" si="53"/>
        <v>-422.35743617367814</v>
      </c>
    </row>
    <row r="3286" spans="1:7" x14ac:dyDescent="0.2">
      <c r="A3286" s="6">
        <f ca="1">Model!$F$13+RAND()*(Model!$G$13-Model!$F$13)</f>
        <v>1641.7000260057944</v>
      </c>
      <c r="B3286" s="31">
        <f ca="1">Model!$F$14+RAND()*(Model!$G$14-Model!$F$14)</f>
        <v>0.71221664095427273</v>
      </c>
      <c r="C3286" s="32">
        <f ca="1">Model!$F$15+RAND()*(Model!$G$15-Model!$F$15)</f>
        <v>3.551187777623982E-2</v>
      </c>
      <c r="D3286" s="33">
        <f ca="1">Model!$F$16+RAND()*(Model!$G$16-Model!$F$16)</f>
        <v>48.566143980280522</v>
      </c>
      <c r="E3286" s="33">
        <f>Model!$D$17</f>
        <v>800</v>
      </c>
      <c r="G3286" s="36">
        <f t="shared" ca="1" si="53"/>
        <v>862.15286363182736</v>
      </c>
    </row>
    <row r="3287" spans="1:7" x14ac:dyDescent="0.2">
      <c r="A3287" s="6">
        <f ca="1">Model!$F$13+RAND()*(Model!$G$13-Model!$F$13)</f>
        <v>1617.935937525792</v>
      </c>
      <c r="B3287" s="31">
        <f ca="1">Model!$F$14+RAND()*(Model!$G$14-Model!$F$14)</f>
        <v>0.7484192077585734</v>
      </c>
      <c r="C3287" s="32">
        <f ca="1">Model!$F$15+RAND()*(Model!$G$15-Model!$F$15)</f>
        <v>3.2354838089508717E-2</v>
      </c>
      <c r="D3287" s="33">
        <f ca="1">Model!$F$16+RAND()*(Model!$G$16-Model!$F$16)</f>
        <v>49.740245255960872</v>
      </c>
      <c r="E3287" s="33">
        <f>Model!$D$17</f>
        <v>800</v>
      </c>
      <c r="G3287" s="36">
        <f t="shared" ca="1" si="53"/>
        <v>592.91077662020871</v>
      </c>
    </row>
    <row r="3288" spans="1:7" x14ac:dyDescent="0.2">
      <c r="A3288" s="6">
        <f ca="1">Model!$F$13+RAND()*(Model!$G$13-Model!$F$13)</f>
        <v>1469.631680276414</v>
      </c>
      <c r="B3288" s="31">
        <f ca="1">Model!$F$14+RAND()*(Model!$G$14-Model!$F$14)</f>
        <v>0.58206336759372657</v>
      </c>
      <c r="C3288" s="32">
        <f ca="1">Model!$F$15+RAND()*(Model!$G$15-Model!$F$15)</f>
        <v>1.163505136948836E-2</v>
      </c>
      <c r="D3288" s="33">
        <f ca="1">Model!$F$16+RAND()*(Model!$G$16-Model!$F$16)</f>
        <v>47.469758404517052</v>
      </c>
      <c r="E3288" s="33">
        <f>Model!$D$17</f>
        <v>800</v>
      </c>
      <c r="G3288" s="36">
        <f t="shared" ca="1" si="53"/>
        <v>-843.72196876954263</v>
      </c>
    </row>
    <row r="3289" spans="1:7" x14ac:dyDescent="0.2">
      <c r="A3289" s="6">
        <f ca="1">Model!$F$13+RAND()*(Model!$G$13-Model!$F$13)</f>
        <v>1641.0674776875671</v>
      </c>
      <c r="B3289" s="31">
        <f ca="1">Model!$F$14+RAND()*(Model!$G$14-Model!$F$14)</f>
        <v>0.53596173961980575</v>
      </c>
      <c r="C3289" s="32">
        <f ca="1">Model!$F$15+RAND()*(Model!$G$15-Model!$F$15)</f>
        <v>3.0133145455582357E-2</v>
      </c>
      <c r="D3289" s="33">
        <f ca="1">Model!$F$16+RAND()*(Model!$G$16-Model!$F$16)</f>
        <v>50.374037268000691</v>
      </c>
      <c r="E3289" s="33">
        <f>Model!$D$17</f>
        <v>800</v>
      </c>
      <c r="G3289" s="36">
        <f t="shared" ca="1" si="53"/>
        <v>811.4732094793776</v>
      </c>
    </row>
    <row r="3290" spans="1:7" x14ac:dyDescent="0.2">
      <c r="A3290" s="6">
        <f ca="1">Model!$F$13+RAND()*(Model!$G$13-Model!$F$13)</f>
        <v>1700.0243094125037</v>
      </c>
      <c r="B3290" s="31">
        <f ca="1">Model!$F$14+RAND()*(Model!$G$14-Model!$F$14)</f>
        <v>0.67304843127833902</v>
      </c>
      <c r="C3290" s="32">
        <f ca="1">Model!$F$15+RAND()*(Model!$G$15-Model!$F$15)</f>
        <v>4.1873569824268667E-2</v>
      </c>
      <c r="D3290" s="33">
        <f ca="1">Model!$F$16+RAND()*(Model!$G$16-Model!$F$16)</f>
        <v>51.068731678392446</v>
      </c>
      <c r="E3290" s="33">
        <f>Model!$D$17</f>
        <v>800</v>
      </c>
      <c r="G3290" s="36">
        <f t="shared" ca="1" si="53"/>
        <v>1691.1844624067394</v>
      </c>
    </row>
    <row r="3291" spans="1:7" x14ac:dyDescent="0.2">
      <c r="A3291" s="6">
        <f ca="1">Model!$F$13+RAND()*(Model!$G$13-Model!$F$13)</f>
        <v>1659.8734055877258</v>
      </c>
      <c r="B3291" s="31">
        <f ca="1">Model!$F$14+RAND()*(Model!$G$14-Model!$F$14)</f>
        <v>0.31465660386504501</v>
      </c>
      <c r="C3291" s="32">
        <f ca="1">Model!$F$15+RAND()*(Model!$G$15-Model!$F$15)</f>
        <v>1.3718313570840902E-2</v>
      </c>
      <c r="D3291" s="33">
        <f ca="1">Model!$F$16+RAND()*(Model!$G$16-Model!$F$16)</f>
        <v>52.663783064844409</v>
      </c>
      <c r="E3291" s="33">
        <f>Model!$D$17</f>
        <v>800</v>
      </c>
      <c r="G3291" s="36">
        <f t="shared" ca="1" si="53"/>
        <v>-123.10082657968519</v>
      </c>
    </row>
    <row r="3292" spans="1:7" x14ac:dyDescent="0.2">
      <c r="A3292" s="6">
        <f ca="1">Model!$F$13+RAND()*(Model!$G$13-Model!$F$13)</f>
        <v>1416.5566164574373</v>
      </c>
      <c r="B3292" s="31">
        <f ca="1">Model!$F$14+RAND()*(Model!$G$14-Model!$F$14)</f>
        <v>0.71985098837453543</v>
      </c>
      <c r="C3292" s="32">
        <f ca="1">Model!$F$15+RAND()*(Model!$G$15-Model!$F$15)</f>
        <v>2.6915079888391494E-2</v>
      </c>
      <c r="D3292" s="33">
        <f ca="1">Model!$F$16+RAND()*(Model!$G$16-Model!$F$16)</f>
        <v>50.637980208103762</v>
      </c>
      <c r="E3292" s="33">
        <f>Model!$D$17</f>
        <v>800</v>
      </c>
      <c r="G3292" s="36">
        <f t="shared" ca="1" si="53"/>
        <v>110.951146483294</v>
      </c>
    </row>
    <row r="3293" spans="1:7" x14ac:dyDescent="0.2">
      <c r="A3293" s="6">
        <f ca="1">Model!$F$13+RAND()*(Model!$G$13-Model!$F$13)</f>
        <v>1519.0285187846619</v>
      </c>
      <c r="B3293" s="31">
        <f ca="1">Model!$F$14+RAND()*(Model!$G$14-Model!$F$14)</f>
        <v>0.38974074240512596</v>
      </c>
      <c r="C3293" s="32">
        <f ca="1">Model!$F$15+RAND()*(Model!$G$15-Model!$F$15)</f>
        <v>4.8093754116525902E-2</v>
      </c>
      <c r="D3293" s="33">
        <f ca="1">Model!$F$16+RAND()*(Model!$G$16-Model!$F$16)</f>
        <v>47.857631421638786</v>
      </c>
      <c r="E3293" s="33">
        <f>Model!$D$17</f>
        <v>800</v>
      </c>
      <c r="G3293" s="36">
        <f t="shared" ca="1" si="53"/>
        <v>2104.2494849981622</v>
      </c>
    </row>
    <row r="3294" spans="1:7" x14ac:dyDescent="0.2">
      <c r="A3294" s="6">
        <f ca="1">Model!$F$13+RAND()*(Model!$G$13-Model!$F$13)</f>
        <v>1350.1517560165023</v>
      </c>
      <c r="B3294" s="31">
        <f ca="1">Model!$F$14+RAND()*(Model!$G$14-Model!$F$14)</f>
        <v>0.37195178699194853</v>
      </c>
      <c r="C3294" s="32">
        <f ca="1">Model!$F$15+RAND()*(Model!$G$15-Model!$F$15)</f>
        <v>2.0870658479653074E-2</v>
      </c>
      <c r="D3294" s="33">
        <f ca="1">Model!$F$16+RAND()*(Model!$G$16-Model!$F$16)</f>
        <v>47.856029843564777</v>
      </c>
      <c r="E3294" s="33">
        <f>Model!$D$17</f>
        <v>800</v>
      </c>
      <c r="G3294" s="36">
        <f t="shared" ca="1" si="53"/>
        <v>46.322467880922659</v>
      </c>
    </row>
    <row r="3295" spans="1:7" x14ac:dyDescent="0.2">
      <c r="A3295" s="6">
        <f ca="1">Model!$F$13+RAND()*(Model!$G$13-Model!$F$13)</f>
        <v>1323.690057325093</v>
      </c>
      <c r="B3295" s="31">
        <f ca="1">Model!$F$14+RAND()*(Model!$G$14-Model!$F$14)</f>
        <v>0.38292332835569409</v>
      </c>
      <c r="C3295" s="32">
        <f ca="1">Model!$F$15+RAND()*(Model!$G$15-Model!$F$15)</f>
        <v>2.214188351070176E-2</v>
      </c>
      <c r="D3295" s="33">
        <f ca="1">Model!$F$16+RAND()*(Model!$G$16-Model!$F$16)</f>
        <v>49.540865096358175</v>
      </c>
      <c r="E3295" s="33">
        <f>Model!$D$17</f>
        <v>800</v>
      </c>
      <c r="G3295" s="36">
        <f t="shared" ca="1" si="53"/>
        <v>145.12096943283495</v>
      </c>
    </row>
    <row r="3296" spans="1:7" x14ac:dyDescent="0.2">
      <c r="A3296" s="6">
        <f ca="1">Model!$F$13+RAND()*(Model!$G$13-Model!$F$13)</f>
        <v>1570.3135656283675</v>
      </c>
      <c r="B3296" s="31">
        <f ca="1">Model!$F$14+RAND()*(Model!$G$14-Model!$F$14)</f>
        <v>0.25572699216208816</v>
      </c>
      <c r="C3296" s="32">
        <f ca="1">Model!$F$15+RAND()*(Model!$G$15-Model!$F$15)</f>
        <v>3.413135264451414E-2</v>
      </c>
      <c r="D3296" s="33">
        <f ca="1">Model!$F$16+RAND()*(Model!$G$16-Model!$F$16)</f>
        <v>50.691826879785381</v>
      </c>
      <c r="E3296" s="33">
        <f>Model!$D$17</f>
        <v>800</v>
      </c>
      <c r="G3296" s="36">
        <f t="shared" ca="1" si="53"/>
        <v>1515.3545327865806</v>
      </c>
    </row>
    <row r="3297" spans="1:7" x14ac:dyDescent="0.2">
      <c r="A3297" s="6">
        <f ca="1">Model!$F$13+RAND()*(Model!$G$13-Model!$F$13)</f>
        <v>1639.9937179517708</v>
      </c>
      <c r="B3297" s="31">
        <f ca="1">Model!$F$14+RAND()*(Model!$G$14-Model!$F$14)</f>
        <v>0.3365525620167133</v>
      </c>
      <c r="C3297" s="32">
        <f ca="1">Model!$F$15+RAND()*(Model!$G$15-Model!$F$15)</f>
        <v>2.298702401013792E-2</v>
      </c>
      <c r="D3297" s="33">
        <f ca="1">Model!$F$16+RAND()*(Model!$G$16-Model!$F$16)</f>
        <v>50.648428982906267</v>
      </c>
      <c r="E3297" s="33">
        <f>Model!$D$17</f>
        <v>800</v>
      </c>
      <c r="G3297" s="36">
        <f t="shared" ca="1" si="53"/>
        <v>557.42950970913444</v>
      </c>
    </row>
    <row r="3298" spans="1:7" x14ac:dyDescent="0.2">
      <c r="A3298" s="6">
        <f ca="1">Model!$F$13+RAND()*(Model!$G$13-Model!$F$13)</f>
        <v>1557.1667445819085</v>
      </c>
      <c r="B3298" s="31">
        <f ca="1">Model!$F$14+RAND()*(Model!$G$14-Model!$F$14)</f>
        <v>0.56075948155958</v>
      </c>
      <c r="C3298" s="32">
        <f ca="1">Model!$F$15+RAND()*(Model!$G$15-Model!$F$15)</f>
        <v>1.3654686854525356E-2</v>
      </c>
      <c r="D3298" s="33">
        <f ca="1">Model!$F$16+RAND()*(Model!$G$16-Model!$F$16)</f>
        <v>50.591433264670556</v>
      </c>
      <c r="E3298" s="33">
        <f>Model!$D$17</f>
        <v>800</v>
      </c>
      <c r="G3298" s="36">
        <f t="shared" ca="1" si="53"/>
        <v>-597.48937922430582</v>
      </c>
    </row>
    <row r="3299" spans="1:7" x14ac:dyDescent="0.2">
      <c r="A3299" s="6">
        <f ca="1">Model!$F$13+RAND()*(Model!$G$13-Model!$F$13)</f>
        <v>1593.0465591159418</v>
      </c>
      <c r="B3299" s="31">
        <f ca="1">Model!$F$14+RAND()*(Model!$G$14-Model!$F$14)</f>
        <v>0.54256159908263646</v>
      </c>
      <c r="C3299" s="32">
        <f ca="1">Model!$F$15+RAND()*(Model!$G$15-Model!$F$15)</f>
        <v>2.8404053708848027E-2</v>
      </c>
      <c r="D3299" s="33">
        <f ca="1">Model!$F$16+RAND()*(Model!$G$16-Model!$F$16)</f>
        <v>49.463993590000342</v>
      </c>
      <c r="E3299" s="33">
        <f>Model!$D$17</f>
        <v>800</v>
      </c>
      <c r="G3299" s="36">
        <f t="shared" ca="1" si="53"/>
        <v>573.86936942441207</v>
      </c>
    </row>
    <row r="3300" spans="1:7" x14ac:dyDescent="0.2">
      <c r="A3300" s="6">
        <f ca="1">Model!$F$13+RAND()*(Model!$G$13-Model!$F$13)</f>
        <v>1395.7469117931942</v>
      </c>
      <c r="B3300" s="31">
        <f ca="1">Model!$F$14+RAND()*(Model!$G$14-Model!$F$14)</f>
        <v>0.63357206651976861</v>
      </c>
      <c r="C3300" s="32">
        <f ca="1">Model!$F$15+RAND()*(Model!$G$15-Model!$F$15)</f>
        <v>4.8630017233178301E-2</v>
      </c>
      <c r="D3300" s="33">
        <f ca="1">Model!$F$16+RAND()*(Model!$G$16-Model!$F$16)</f>
        <v>50.813112874424171</v>
      </c>
      <c r="E3300" s="33">
        <f>Model!$D$17</f>
        <v>800</v>
      </c>
      <c r="G3300" s="36">
        <f t="shared" ca="1" si="53"/>
        <v>1764.6437594650126</v>
      </c>
    </row>
    <row r="3301" spans="1:7" x14ac:dyDescent="0.2">
      <c r="A3301" s="6">
        <f ca="1">Model!$F$13+RAND()*(Model!$G$13-Model!$F$13)</f>
        <v>1396.7935663192384</v>
      </c>
      <c r="B3301" s="31">
        <f ca="1">Model!$F$14+RAND()*(Model!$G$14-Model!$F$14)</f>
        <v>0.74086876418802694</v>
      </c>
      <c r="C3301" s="32">
        <f ca="1">Model!$F$15+RAND()*(Model!$G$15-Model!$F$15)</f>
        <v>3.494787136357623E-2</v>
      </c>
      <c r="D3301" s="33">
        <f ca="1">Model!$F$16+RAND()*(Model!$G$16-Model!$F$16)</f>
        <v>49.340262419561398</v>
      </c>
      <c r="E3301" s="33">
        <f>Model!$D$17</f>
        <v>800</v>
      </c>
      <c r="G3301" s="36">
        <f t="shared" ca="1" si="53"/>
        <v>573.70230571699676</v>
      </c>
    </row>
    <row r="3302" spans="1:7" x14ac:dyDescent="0.2">
      <c r="A3302" s="6">
        <f ca="1">Model!$F$13+RAND()*(Model!$G$13-Model!$F$13)</f>
        <v>1629.0660532155021</v>
      </c>
      <c r="B3302" s="31">
        <f ca="1">Model!$F$14+RAND()*(Model!$G$14-Model!$F$14)</f>
        <v>0.4351901896304638</v>
      </c>
      <c r="C3302" s="32">
        <f ca="1">Model!$F$15+RAND()*(Model!$G$15-Model!$F$15)</f>
        <v>1.2327827287230133E-2</v>
      </c>
      <c r="D3302" s="33">
        <f ca="1">Model!$F$16+RAND()*(Model!$G$16-Model!$F$16)</f>
        <v>48.122059729744699</v>
      </c>
      <c r="E3302" s="33">
        <f>Model!$D$17</f>
        <v>800</v>
      </c>
      <c r="G3302" s="36">
        <f t="shared" ca="1" si="53"/>
        <v>-542.52570070363629</v>
      </c>
    </row>
    <row r="3303" spans="1:7" x14ac:dyDescent="0.2">
      <c r="A3303" s="6">
        <f ca="1">Model!$F$13+RAND()*(Model!$G$13-Model!$F$13)</f>
        <v>1435.6850461457714</v>
      </c>
      <c r="B3303" s="31">
        <f ca="1">Model!$F$14+RAND()*(Model!$G$14-Model!$F$14)</f>
        <v>0.42875132538419836</v>
      </c>
      <c r="C3303" s="32">
        <f ca="1">Model!$F$15+RAND()*(Model!$G$15-Model!$F$15)</f>
        <v>4.8767515743712048E-2</v>
      </c>
      <c r="D3303" s="33">
        <f ca="1">Model!$F$16+RAND()*(Model!$G$16-Model!$F$16)</f>
        <v>47.18023625314693</v>
      </c>
      <c r="E3303" s="33">
        <f>Model!$D$17</f>
        <v>800</v>
      </c>
      <c r="G3303" s="36">
        <f t="shared" ca="1" si="53"/>
        <v>1887.7626128758084</v>
      </c>
    </row>
    <row r="3304" spans="1:7" x14ac:dyDescent="0.2">
      <c r="A3304" s="6">
        <f ca="1">Model!$F$13+RAND()*(Model!$G$13-Model!$F$13)</f>
        <v>1493.3887412684435</v>
      </c>
      <c r="B3304" s="31">
        <f ca="1">Model!$F$14+RAND()*(Model!$G$14-Model!$F$14)</f>
        <v>0.57355187426351306</v>
      </c>
      <c r="C3304" s="32">
        <f ca="1">Model!$F$15+RAND()*(Model!$G$15-Model!$F$15)</f>
        <v>2.7289533703998628E-2</v>
      </c>
      <c r="D3304" s="33">
        <f ca="1">Model!$F$16+RAND()*(Model!$G$16-Model!$F$16)</f>
        <v>49.722955299759981</v>
      </c>
      <c r="E3304" s="33">
        <f>Model!$D$17</f>
        <v>800</v>
      </c>
      <c r="G3304" s="36">
        <f t="shared" ca="1" si="53"/>
        <v>369.86756071251421</v>
      </c>
    </row>
    <row r="3305" spans="1:7" x14ac:dyDescent="0.2">
      <c r="A3305" s="6">
        <f ca="1">Model!$F$13+RAND()*(Model!$G$13-Model!$F$13)</f>
        <v>1518.8786440950171</v>
      </c>
      <c r="B3305" s="31">
        <f ca="1">Model!$F$14+RAND()*(Model!$G$14-Model!$F$14)</f>
        <v>0.64552021128542791</v>
      </c>
      <c r="C3305" s="32">
        <f ca="1">Model!$F$15+RAND()*(Model!$G$15-Model!$F$15)</f>
        <v>2.3402455919076769E-2</v>
      </c>
      <c r="D3305" s="33">
        <f ca="1">Model!$F$16+RAND()*(Model!$G$16-Model!$F$16)</f>
        <v>49.611355671061453</v>
      </c>
      <c r="E3305" s="33">
        <f>Model!$D$17</f>
        <v>800</v>
      </c>
      <c r="G3305" s="36">
        <f t="shared" ref="G3305:G3368" ca="1" si="54">A3305*C3305*D3305-(E3305+A3305*B3305)</f>
        <v>-17.006890818042848</v>
      </c>
    </row>
    <row r="3306" spans="1:7" x14ac:dyDescent="0.2">
      <c r="A3306" s="6">
        <f ca="1">Model!$F$13+RAND()*(Model!$G$13-Model!$F$13)</f>
        <v>1449.9211194841655</v>
      </c>
      <c r="B3306" s="31">
        <f ca="1">Model!$F$14+RAND()*(Model!$G$14-Model!$F$14)</f>
        <v>0.41977749054170727</v>
      </c>
      <c r="C3306" s="32">
        <f ca="1">Model!$F$15+RAND()*(Model!$G$15-Model!$F$15)</f>
        <v>3.0386724499406596E-2</v>
      </c>
      <c r="D3306" s="33">
        <f ca="1">Model!$F$16+RAND()*(Model!$G$16-Model!$F$16)</f>
        <v>51.303020557078817</v>
      </c>
      <c r="E3306" s="33">
        <f>Model!$D$17</f>
        <v>800</v>
      </c>
      <c r="G3306" s="36">
        <f t="shared" ca="1" si="54"/>
        <v>851.68237161792695</v>
      </c>
    </row>
    <row r="3307" spans="1:7" x14ac:dyDescent="0.2">
      <c r="A3307" s="6">
        <f ca="1">Model!$F$13+RAND()*(Model!$G$13-Model!$F$13)</f>
        <v>1434.3212776403457</v>
      </c>
      <c r="B3307" s="31">
        <f ca="1">Model!$F$14+RAND()*(Model!$G$14-Model!$F$14)</f>
        <v>0.51635359208560261</v>
      </c>
      <c r="C3307" s="32">
        <f ca="1">Model!$F$15+RAND()*(Model!$G$15-Model!$F$15)</f>
        <v>4.7235771419229279E-2</v>
      </c>
      <c r="D3307" s="33">
        <f ca="1">Model!$F$16+RAND()*(Model!$G$16-Model!$F$16)</f>
        <v>47.010439517536845</v>
      </c>
      <c r="E3307" s="33">
        <f>Model!$D$17</f>
        <v>800</v>
      </c>
      <c r="G3307" s="36">
        <f t="shared" ca="1" si="54"/>
        <v>1644.4001312586577</v>
      </c>
    </row>
    <row r="3308" spans="1:7" x14ac:dyDescent="0.2">
      <c r="A3308" s="6">
        <f ca="1">Model!$F$13+RAND()*(Model!$G$13-Model!$F$13)</f>
        <v>1694.7171515275465</v>
      </c>
      <c r="B3308" s="31">
        <f ca="1">Model!$F$14+RAND()*(Model!$G$14-Model!$F$14)</f>
        <v>0.5496447625880474</v>
      </c>
      <c r="C3308" s="32">
        <f ca="1">Model!$F$15+RAND()*(Model!$G$15-Model!$F$15)</f>
        <v>1.1587361538569235E-2</v>
      </c>
      <c r="D3308" s="33">
        <f ca="1">Model!$F$16+RAND()*(Model!$G$16-Model!$F$16)</f>
        <v>49.183971598200756</v>
      </c>
      <c r="E3308" s="33">
        <f>Model!$D$17</f>
        <v>800</v>
      </c>
      <c r="G3308" s="36">
        <f t="shared" ca="1" si="54"/>
        <v>-765.65198419945398</v>
      </c>
    </row>
    <row r="3309" spans="1:7" x14ac:dyDescent="0.2">
      <c r="A3309" s="6">
        <f ca="1">Model!$F$13+RAND()*(Model!$G$13-Model!$F$13)</f>
        <v>1530.2873118924874</v>
      </c>
      <c r="B3309" s="31">
        <f ca="1">Model!$F$14+RAND()*(Model!$G$14-Model!$F$14)</f>
        <v>0.51529485936901387</v>
      </c>
      <c r="C3309" s="32">
        <f ca="1">Model!$F$15+RAND()*(Model!$G$15-Model!$F$15)</f>
        <v>4.9863963791927521E-2</v>
      </c>
      <c r="D3309" s="33">
        <f ca="1">Model!$F$16+RAND()*(Model!$G$16-Model!$F$16)</f>
        <v>49.603214295228661</v>
      </c>
      <c r="E3309" s="33">
        <f>Model!$D$17</f>
        <v>800</v>
      </c>
      <c r="G3309" s="36">
        <f t="shared" ca="1" si="54"/>
        <v>2196.4831645782542</v>
      </c>
    </row>
    <row r="3310" spans="1:7" x14ac:dyDescent="0.2">
      <c r="A3310" s="6">
        <f ca="1">Model!$F$13+RAND()*(Model!$G$13-Model!$F$13)</f>
        <v>1402.5319027053097</v>
      </c>
      <c r="B3310" s="31">
        <f ca="1">Model!$F$14+RAND()*(Model!$G$14-Model!$F$14)</f>
        <v>0.7878771656149548</v>
      </c>
      <c r="C3310" s="32">
        <f ca="1">Model!$F$15+RAND()*(Model!$G$15-Model!$F$15)</f>
        <v>3.4865909068336157E-2</v>
      </c>
      <c r="D3310" s="33">
        <f ca="1">Model!$F$16+RAND()*(Model!$G$16-Model!$F$16)</f>
        <v>48.870933647790693</v>
      </c>
      <c r="E3310" s="33">
        <f>Model!$D$17</f>
        <v>800</v>
      </c>
      <c r="G3310" s="36">
        <f t="shared" ca="1" si="54"/>
        <v>484.79266370321739</v>
      </c>
    </row>
    <row r="3311" spans="1:7" x14ac:dyDescent="0.2">
      <c r="A3311" s="6">
        <f ca="1">Model!$F$13+RAND()*(Model!$G$13-Model!$F$13)</f>
        <v>1599.1198023665206</v>
      </c>
      <c r="B3311" s="31">
        <f ca="1">Model!$F$14+RAND()*(Model!$G$14-Model!$F$14)</f>
        <v>0.77131054572044144</v>
      </c>
      <c r="C3311" s="32">
        <f ca="1">Model!$F$15+RAND()*(Model!$G$15-Model!$F$15)</f>
        <v>2.7414792846568406E-2</v>
      </c>
      <c r="D3311" s="33">
        <f ca="1">Model!$F$16+RAND()*(Model!$G$16-Model!$F$16)</f>
        <v>52.7691178734147</v>
      </c>
      <c r="E3311" s="33">
        <f>Model!$D$17</f>
        <v>800</v>
      </c>
      <c r="G3311" s="36">
        <f t="shared" ca="1" si="54"/>
        <v>279.95578706729566</v>
      </c>
    </row>
    <row r="3312" spans="1:7" x14ac:dyDescent="0.2">
      <c r="A3312" s="6">
        <f ca="1">Model!$F$13+RAND()*(Model!$G$13-Model!$F$13)</f>
        <v>1314.4218464365335</v>
      </c>
      <c r="B3312" s="31">
        <f ca="1">Model!$F$14+RAND()*(Model!$G$14-Model!$F$14)</f>
        <v>0.54802273327552675</v>
      </c>
      <c r="C3312" s="32">
        <f ca="1">Model!$F$15+RAND()*(Model!$G$15-Model!$F$15)</f>
        <v>1.9414347794938114E-2</v>
      </c>
      <c r="D3312" s="33">
        <f ca="1">Model!$F$16+RAND()*(Model!$G$16-Model!$F$16)</f>
        <v>47.841451139589573</v>
      </c>
      <c r="E3312" s="33">
        <f>Model!$D$17</f>
        <v>800</v>
      </c>
      <c r="G3312" s="36">
        <f t="shared" ca="1" si="54"/>
        <v>-299.4841466612088</v>
      </c>
    </row>
    <row r="3313" spans="1:7" x14ac:dyDescent="0.2">
      <c r="A3313" s="6">
        <f ca="1">Model!$F$13+RAND()*(Model!$G$13-Model!$F$13)</f>
        <v>1764.5560357761738</v>
      </c>
      <c r="B3313" s="31">
        <f ca="1">Model!$F$14+RAND()*(Model!$G$14-Model!$F$14)</f>
        <v>0.68873702721831898</v>
      </c>
      <c r="C3313" s="32">
        <f ca="1">Model!$F$15+RAND()*(Model!$G$15-Model!$F$15)</f>
        <v>2.1823410920918246E-2</v>
      </c>
      <c r="D3313" s="33">
        <f ca="1">Model!$F$16+RAND()*(Model!$G$16-Model!$F$16)</f>
        <v>52.602625483523077</v>
      </c>
      <c r="E3313" s="33">
        <f>Model!$D$17</f>
        <v>800</v>
      </c>
      <c r="G3313" s="36">
        <f t="shared" ca="1" si="54"/>
        <v>10.340040223770984</v>
      </c>
    </row>
    <row r="3314" spans="1:7" x14ac:dyDescent="0.2">
      <c r="A3314" s="6">
        <f ca="1">Model!$F$13+RAND()*(Model!$G$13-Model!$F$13)</f>
        <v>1546.7626008548773</v>
      </c>
      <c r="B3314" s="31">
        <f ca="1">Model!$F$14+RAND()*(Model!$G$14-Model!$F$14)</f>
        <v>0.51271655106352432</v>
      </c>
      <c r="C3314" s="32">
        <f ca="1">Model!$F$15+RAND()*(Model!$G$15-Model!$F$15)</f>
        <v>2.3444249539817157E-2</v>
      </c>
      <c r="D3314" s="33">
        <f ca="1">Model!$F$16+RAND()*(Model!$G$16-Model!$F$16)</f>
        <v>49.530136482601655</v>
      </c>
      <c r="E3314" s="33">
        <f>Model!$D$17</f>
        <v>800</v>
      </c>
      <c r="G3314" s="36">
        <f t="shared" ca="1" si="54"/>
        <v>203.04511932176274</v>
      </c>
    </row>
    <row r="3315" spans="1:7" x14ac:dyDescent="0.2">
      <c r="A3315" s="6">
        <f ca="1">Model!$F$13+RAND()*(Model!$G$13-Model!$F$13)</f>
        <v>1633.732544477409</v>
      </c>
      <c r="B3315" s="31">
        <f ca="1">Model!$F$14+RAND()*(Model!$G$14-Model!$F$14)</f>
        <v>0.25769962932766399</v>
      </c>
      <c r="C3315" s="32">
        <f ca="1">Model!$F$15+RAND()*(Model!$G$15-Model!$F$15)</f>
        <v>2.1738407552705757E-2</v>
      </c>
      <c r="D3315" s="33">
        <f ca="1">Model!$F$16+RAND()*(Model!$G$16-Model!$F$16)</f>
        <v>50.570069997812084</v>
      </c>
      <c r="E3315" s="33">
        <f>Model!$D$17</f>
        <v>800</v>
      </c>
      <c r="G3315" s="36">
        <f t="shared" ca="1" si="54"/>
        <v>574.97081303430627</v>
      </c>
    </row>
    <row r="3316" spans="1:7" x14ac:dyDescent="0.2">
      <c r="A3316" s="6">
        <f ca="1">Model!$F$13+RAND()*(Model!$G$13-Model!$F$13)</f>
        <v>1770.3932660095088</v>
      </c>
      <c r="B3316" s="31">
        <f ca="1">Model!$F$14+RAND()*(Model!$G$14-Model!$F$14)</f>
        <v>0.53870618219385324</v>
      </c>
      <c r="C3316" s="32">
        <f ca="1">Model!$F$15+RAND()*(Model!$G$15-Model!$F$15)</f>
        <v>4.4904810003547097E-2</v>
      </c>
      <c r="D3316" s="33">
        <f ca="1">Model!$F$16+RAND()*(Model!$G$16-Model!$F$16)</f>
        <v>51.949733533367962</v>
      </c>
      <c r="E3316" s="33">
        <f>Model!$D$17</f>
        <v>800</v>
      </c>
      <c r="G3316" s="36">
        <f t="shared" ca="1" si="54"/>
        <v>2376.2390687165243</v>
      </c>
    </row>
    <row r="3317" spans="1:7" x14ac:dyDescent="0.2">
      <c r="A3317" s="6">
        <f ca="1">Model!$F$13+RAND()*(Model!$G$13-Model!$F$13)</f>
        <v>1332.5570134953841</v>
      </c>
      <c r="B3317" s="31">
        <f ca="1">Model!$F$14+RAND()*(Model!$G$14-Model!$F$14)</f>
        <v>0.4699987577859433</v>
      </c>
      <c r="C3317" s="32">
        <f ca="1">Model!$F$15+RAND()*(Model!$G$15-Model!$F$15)</f>
        <v>4.7014490049646043E-2</v>
      </c>
      <c r="D3317" s="33">
        <f ca="1">Model!$F$16+RAND()*(Model!$G$16-Model!$F$16)</f>
        <v>47.786722316116972</v>
      </c>
      <c r="E3317" s="33">
        <f>Model!$D$17</f>
        <v>800</v>
      </c>
      <c r="G3317" s="36">
        <f t="shared" ca="1" si="54"/>
        <v>1567.5135668599264</v>
      </c>
    </row>
    <row r="3318" spans="1:7" x14ac:dyDescent="0.2">
      <c r="A3318" s="6">
        <f ca="1">Model!$F$13+RAND()*(Model!$G$13-Model!$F$13)</f>
        <v>1542.6668276264518</v>
      </c>
      <c r="B3318" s="31">
        <f ca="1">Model!$F$14+RAND()*(Model!$G$14-Model!$F$14)</f>
        <v>0.57990911018404523</v>
      </c>
      <c r="C3318" s="32">
        <f ca="1">Model!$F$15+RAND()*(Model!$G$15-Model!$F$15)</f>
        <v>4.7075286167180423E-2</v>
      </c>
      <c r="D3318" s="33">
        <f ca="1">Model!$F$16+RAND()*(Model!$G$16-Model!$F$16)</f>
        <v>48.695955091416103</v>
      </c>
      <c r="E3318" s="33">
        <f>Model!$D$17</f>
        <v>800</v>
      </c>
      <c r="G3318" s="36">
        <f t="shared" ca="1" si="54"/>
        <v>1841.7658968973913</v>
      </c>
    </row>
    <row r="3319" spans="1:7" x14ac:dyDescent="0.2">
      <c r="A3319" s="6">
        <f ca="1">Model!$F$13+RAND()*(Model!$G$13-Model!$F$13)</f>
        <v>1617.3824359217285</v>
      </c>
      <c r="B3319" s="31">
        <f ca="1">Model!$F$14+RAND()*(Model!$G$14-Model!$F$14)</f>
        <v>0.62200900063829567</v>
      </c>
      <c r="C3319" s="32">
        <f ca="1">Model!$F$15+RAND()*(Model!$G$15-Model!$F$15)</f>
        <v>1.8319055544034249E-2</v>
      </c>
      <c r="D3319" s="33">
        <f ca="1">Model!$F$16+RAND()*(Model!$G$16-Model!$F$16)</f>
        <v>48.888594389870214</v>
      </c>
      <c r="E3319" s="33">
        <f>Model!$D$17</f>
        <v>800</v>
      </c>
      <c r="G3319" s="36">
        <f t="shared" ca="1" si="54"/>
        <v>-357.51024508041019</v>
      </c>
    </row>
    <row r="3320" spans="1:7" x14ac:dyDescent="0.2">
      <c r="A3320" s="6">
        <f ca="1">Model!$F$13+RAND()*(Model!$G$13-Model!$F$13)</f>
        <v>1569.5037391553356</v>
      </c>
      <c r="B3320" s="31">
        <f ca="1">Model!$F$14+RAND()*(Model!$G$14-Model!$F$14)</f>
        <v>0.74148635579314415</v>
      </c>
      <c r="C3320" s="32">
        <f ca="1">Model!$F$15+RAND()*(Model!$G$15-Model!$F$15)</f>
        <v>2.4768640988806129E-2</v>
      </c>
      <c r="D3320" s="33">
        <f ca="1">Model!$F$16+RAND()*(Model!$G$16-Model!$F$16)</f>
        <v>52.928734345457869</v>
      </c>
      <c r="E3320" s="33">
        <f>Model!$D$17</f>
        <v>800</v>
      </c>
      <c r="G3320" s="36">
        <f t="shared" ca="1" si="54"/>
        <v>93.811133392935744</v>
      </c>
    </row>
    <row r="3321" spans="1:7" x14ac:dyDescent="0.2">
      <c r="A3321" s="6">
        <f ca="1">Model!$F$13+RAND()*(Model!$G$13-Model!$F$13)</f>
        <v>1582.9889532298741</v>
      </c>
      <c r="B3321" s="31">
        <f ca="1">Model!$F$14+RAND()*(Model!$G$14-Model!$F$14)</f>
        <v>0.21786482920229289</v>
      </c>
      <c r="C3321" s="32">
        <f ca="1">Model!$F$15+RAND()*(Model!$G$15-Model!$F$15)</f>
        <v>3.1390701740745534E-2</v>
      </c>
      <c r="D3321" s="33">
        <f ca="1">Model!$F$16+RAND()*(Model!$G$16-Model!$F$16)</f>
        <v>47.634290806411819</v>
      </c>
      <c r="E3321" s="33">
        <f>Model!$D$17</f>
        <v>800</v>
      </c>
      <c r="G3321" s="36">
        <f t="shared" ca="1" si="54"/>
        <v>1222.1243138062487</v>
      </c>
    </row>
    <row r="3322" spans="1:7" x14ac:dyDescent="0.2">
      <c r="A3322" s="6">
        <f ca="1">Model!$F$13+RAND()*(Model!$G$13-Model!$F$13)</f>
        <v>1789.7389711454362</v>
      </c>
      <c r="B3322" s="31">
        <f ca="1">Model!$F$14+RAND()*(Model!$G$14-Model!$F$14)</f>
        <v>0.44136153961243341</v>
      </c>
      <c r="C3322" s="32">
        <f ca="1">Model!$F$15+RAND()*(Model!$G$15-Model!$F$15)</f>
        <v>4.9283572966211081E-2</v>
      </c>
      <c r="D3322" s="33">
        <f ca="1">Model!$F$16+RAND()*(Model!$G$16-Model!$F$16)</f>
        <v>49.271928456043931</v>
      </c>
      <c r="E3322" s="33">
        <f>Model!$D$17</f>
        <v>800</v>
      </c>
      <c r="G3322" s="36">
        <f t="shared" ca="1" si="54"/>
        <v>2756.0952561260078</v>
      </c>
    </row>
    <row r="3323" spans="1:7" x14ac:dyDescent="0.2">
      <c r="A3323" s="6">
        <f ca="1">Model!$F$13+RAND()*(Model!$G$13-Model!$F$13)</f>
        <v>1213.3956485082813</v>
      </c>
      <c r="B3323" s="31">
        <f ca="1">Model!$F$14+RAND()*(Model!$G$14-Model!$F$14)</f>
        <v>0.6578190590357349</v>
      </c>
      <c r="C3323" s="32">
        <f ca="1">Model!$F$15+RAND()*(Model!$G$15-Model!$F$15)</f>
        <v>4.9936747477279844E-2</v>
      </c>
      <c r="D3323" s="33">
        <f ca="1">Model!$F$16+RAND()*(Model!$G$16-Model!$F$16)</f>
        <v>48.438058270282738</v>
      </c>
      <c r="E3323" s="33">
        <f>Model!$D$17</f>
        <v>800</v>
      </c>
      <c r="G3323" s="36">
        <f t="shared" ca="1" si="54"/>
        <v>1336.8140353888148</v>
      </c>
    </row>
    <row r="3324" spans="1:7" x14ac:dyDescent="0.2">
      <c r="A3324" s="6">
        <f ca="1">Model!$F$13+RAND()*(Model!$G$13-Model!$F$13)</f>
        <v>1641.6086944816668</v>
      </c>
      <c r="B3324" s="31">
        <f ca="1">Model!$F$14+RAND()*(Model!$G$14-Model!$F$14)</f>
        <v>0.46124027540132512</v>
      </c>
      <c r="C3324" s="32">
        <f ca="1">Model!$F$15+RAND()*(Model!$G$15-Model!$F$15)</f>
        <v>3.3257833068540237E-2</v>
      </c>
      <c r="D3324" s="33">
        <f ca="1">Model!$F$16+RAND()*(Model!$G$16-Model!$F$16)</f>
        <v>50.844594448932746</v>
      </c>
      <c r="E3324" s="33">
        <f>Model!$D$17</f>
        <v>800</v>
      </c>
      <c r="G3324" s="36">
        <f t="shared" ca="1" si="54"/>
        <v>1218.7531222922448</v>
      </c>
    </row>
    <row r="3325" spans="1:7" x14ac:dyDescent="0.2">
      <c r="A3325" s="6">
        <f ca="1">Model!$F$13+RAND()*(Model!$G$13-Model!$F$13)</f>
        <v>1742.8402813228963</v>
      </c>
      <c r="B3325" s="31">
        <f ca="1">Model!$F$14+RAND()*(Model!$G$14-Model!$F$14)</f>
        <v>0.41060799381296059</v>
      </c>
      <c r="C3325" s="32">
        <f ca="1">Model!$F$15+RAND()*(Model!$G$15-Model!$F$15)</f>
        <v>4.284930418471903E-2</v>
      </c>
      <c r="D3325" s="33">
        <f ca="1">Model!$F$16+RAND()*(Model!$G$16-Model!$F$16)</f>
        <v>51.341026460849996</v>
      </c>
      <c r="E3325" s="33">
        <f>Model!$D$17</f>
        <v>800</v>
      </c>
      <c r="G3325" s="36">
        <f t="shared" ca="1" si="54"/>
        <v>2318.4976932172376</v>
      </c>
    </row>
    <row r="3326" spans="1:7" x14ac:dyDescent="0.2">
      <c r="A3326" s="6">
        <f ca="1">Model!$F$13+RAND()*(Model!$G$13-Model!$F$13)</f>
        <v>1476.814349751643</v>
      </c>
      <c r="B3326" s="31">
        <f ca="1">Model!$F$14+RAND()*(Model!$G$14-Model!$F$14)</f>
        <v>0.48029889786911867</v>
      </c>
      <c r="C3326" s="32">
        <f ca="1">Model!$F$15+RAND()*(Model!$G$15-Model!$F$15)</f>
        <v>4.0930415724864611E-2</v>
      </c>
      <c r="D3326" s="33">
        <f ca="1">Model!$F$16+RAND()*(Model!$G$16-Model!$F$16)</f>
        <v>48.357599609817093</v>
      </c>
      <c r="E3326" s="33">
        <f>Model!$D$17</f>
        <v>800</v>
      </c>
      <c r="G3326" s="36">
        <f t="shared" ca="1" si="54"/>
        <v>1413.7413986946835</v>
      </c>
    </row>
    <row r="3327" spans="1:7" x14ac:dyDescent="0.2">
      <c r="A3327" s="6">
        <f ca="1">Model!$F$13+RAND()*(Model!$G$13-Model!$F$13)</f>
        <v>1379.1097148838751</v>
      </c>
      <c r="B3327" s="31">
        <f ca="1">Model!$F$14+RAND()*(Model!$G$14-Model!$F$14)</f>
        <v>0.77342735828183873</v>
      </c>
      <c r="C3327" s="32">
        <f ca="1">Model!$F$15+RAND()*(Model!$G$15-Model!$F$15)</f>
        <v>1.8965986460025595E-2</v>
      </c>
      <c r="D3327" s="33">
        <f ca="1">Model!$F$16+RAND()*(Model!$G$16-Model!$F$16)</f>
        <v>50.987243543859122</v>
      </c>
      <c r="E3327" s="33">
        <f>Model!$D$17</f>
        <v>800</v>
      </c>
      <c r="G3327" s="36">
        <f t="shared" ca="1" si="54"/>
        <v>-533.00985852945655</v>
      </c>
    </row>
    <row r="3328" spans="1:7" x14ac:dyDescent="0.2">
      <c r="A3328" s="6">
        <f ca="1">Model!$F$13+RAND()*(Model!$G$13-Model!$F$13)</f>
        <v>1392.066497646754</v>
      </c>
      <c r="B3328" s="31">
        <f ca="1">Model!$F$14+RAND()*(Model!$G$14-Model!$F$14)</f>
        <v>0.72243146833253724</v>
      </c>
      <c r="C3328" s="32">
        <f ca="1">Model!$F$15+RAND()*(Model!$G$15-Model!$F$15)</f>
        <v>4.7468917984410192E-2</v>
      </c>
      <c r="D3328" s="33">
        <f ca="1">Model!$F$16+RAND()*(Model!$G$16-Model!$F$16)</f>
        <v>50.259181804421658</v>
      </c>
      <c r="E3328" s="33">
        <f>Model!$D$17</f>
        <v>800</v>
      </c>
      <c r="G3328" s="36">
        <f t="shared" ca="1" si="54"/>
        <v>1515.4485816017873</v>
      </c>
    </row>
    <row r="3329" spans="1:7" x14ac:dyDescent="0.2">
      <c r="A3329" s="6">
        <f ca="1">Model!$F$13+RAND()*(Model!$G$13-Model!$F$13)</f>
        <v>1555.9825008532475</v>
      </c>
      <c r="B3329" s="31">
        <f ca="1">Model!$F$14+RAND()*(Model!$G$14-Model!$F$14)</f>
        <v>0.77889072384054803</v>
      </c>
      <c r="C3329" s="32">
        <f ca="1">Model!$F$15+RAND()*(Model!$G$15-Model!$F$15)</f>
        <v>2.1709261331171056E-2</v>
      </c>
      <c r="D3329" s="33">
        <f ca="1">Model!$F$16+RAND()*(Model!$G$16-Model!$F$16)</f>
        <v>49.270230208282051</v>
      </c>
      <c r="E3329" s="33">
        <f>Model!$D$17</f>
        <v>800</v>
      </c>
      <c r="G3329" s="36">
        <f t="shared" ca="1" si="54"/>
        <v>-347.62986166508176</v>
      </c>
    </row>
    <row r="3330" spans="1:7" x14ac:dyDescent="0.2">
      <c r="A3330" s="6">
        <f ca="1">Model!$F$13+RAND()*(Model!$G$13-Model!$F$13)</f>
        <v>1504.8301451799807</v>
      </c>
      <c r="B3330" s="31">
        <f ca="1">Model!$F$14+RAND()*(Model!$G$14-Model!$F$14)</f>
        <v>0.71036216920521422</v>
      </c>
      <c r="C3330" s="32">
        <f ca="1">Model!$F$15+RAND()*(Model!$G$15-Model!$F$15)</f>
        <v>3.3696105123789753E-2</v>
      </c>
      <c r="D3330" s="33">
        <f ca="1">Model!$F$16+RAND()*(Model!$G$16-Model!$F$16)</f>
        <v>51.972017378513847</v>
      </c>
      <c r="E3330" s="33">
        <f>Model!$D$17</f>
        <v>800</v>
      </c>
      <c r="G3330" s="36">
        <f t="shared" ca="1" si="54"/>
        <v>766.36624918442612</v>
      </c>
    </row>
    <row r="3331" spans="1:7" x14ac:dyDescent="0.2">
      <c r="A3331" s="6">
        <f ca="1">Model!$F$13+RAND()*(Model!$G$13-Model!$F$13)</f>
        <v>1450.5008717461042</v>
      </c>
      <c r="B3331" s="31">
        <f ca="1">Model!$F$14+RAND()*(Model!$G$14-Model!$F$14)</f>
        <v>0.7583526161449845</v>
      </c>
      <c r="C3331" s="32">
        <f ca="1">Model!$F$15+RAND()*(Model!$G$15-Model!$F$15)</f>
        <v>2.7172536122783399E-2</v>
      </c>
      <c r="D3331" s="33">
        <f ca="1">Model!$F$16+RAND()*(Model!$G$16-Model!$F$16)</f>
        <v>47.402386732057579</v>
      </c>
      <c r="E3331" s="33">
        <f>Model!$D$17</f>
        <v>800</v>
      </c>
      <c r="G3331" s="36">
        <f t="shared" ca="1" si="54"/>
        <v>-31.68354104449736</v>
      </c>
    </row>
    <row r="3332" spans="1:7" x14ac:dyDescent="0.2">
      <c r="A3332" s="6">
        <f ca="1">Model!$F$13+RAND()*(Model!$G$13-Model!$F$13)</f>
        <v>1711.9407822392554</v>
      </c>
      <c r="B3332" s="31">
        <f ca="1">Model!$F$14+RAND()*(Model!$G$14-Model!$F$14)</f>
        <v>0.29468341871297882</v>
      </c>
      <c r="C3332" s="32">
        <f ca="1">Model!$F$15+RAND()*(Model!$G$15-Model!$F$15)</f>
        <v>2.4929583762140162E-2</v>
      </c>
      <c r="D3332" s="33">
        <f ca="1">Model!$F$16+RAND()*(Model!$G$16-Model!$F$16)</f>
        <v>50.506907171554431</v>
      </c>
      <c r="E3332" s="33">
        <f>Model!$D$17</f>
        <v>800</v>
      </c>
      <c r="G3332" s="36">
        <f t="shared" ca="1" si="54"/>
        <v>851.05176361992426</v>
      </c>
    </row>
    <row r="3333" spans="1:7" x14ac:dyDescent="0.2">
      <c r="A3333" s="6">
        <f ca="1">Model!$F$13+RAND()*(Model!$G$13-Model!$F$13)</f>
        <v>1477.7365334614587</v>
      </c>
      <c r="B3333" s="31">
        <f ca="1">Model!$F$14+RAND()*(Model!$G$14-Model!$F$14)</f>
        <v>0.31953660858531002</v>
      </c>
      <c r="C3333" s="32">
        <f ca="1">Model!$F$15+RAND()*(Model!$G$15-Model!$F$15)</f>
        <v>3.5290218688992764E-2</v>
      </c>
      <c r="D3333" s="33">
        <f ca="1">Model!$F$16+RAND()*(Model!$G$16-Model!$F$16)</f>
        <v>48.380173892363672</v>
      </c>
      <c r="E3333" s="33">
        <f>Model!$D$17</f>
        <v>800</v>
      </c>
      <c r="G3333" s="36">
        <f t="shared" ca="1" si="54"/>
        <v>1250.8179940711475</v>
      </c>
    </row>
    <row r="3334" spans="1:7" x14ac:dyDescent="0.2">
      <c r="A3334" s="6">
        <f ca="1">Model!$F$13+RAND()*(Model!$G$13-Model!$F$13)</f>
        <v>1758.1714147440111</v>
      </c>
      <c r="B3334" s="31">
        <f ca="1">Model!$F$14+RAND()*(Model!$G$14-Model!$F$14)</f>
        <v>0.27055430215714271</v>
      </c>
      <c r="C3334" s="32">
        <f ca="1">Model!$F$15+RAND()*(Model!$G$15-Model!$F$15)</f>
        <v>3.9728340178621757E-2</v>
      </c>
      <c r="D3334" s="33">
        <f ca="1">Model!$F$16+RAND()*(Model!$G$16-Model!$F$16)</f>
        <v>52.022909528728015</v>
      </c>
      <c r="E3334" s="33">
        <f>Model!$D$17</f>
        <v>800</v>
      </c>
      <c r="G3334" s="36">
        <f t="shared" ca="1" si="54"/>
        <v>2358.0794397782388</v>
      </c>
    </row>
    <row r="3335" spans="1:7" x14ac:dyDescent="0.2">
      <c r="A3335" s="6">
        <f ca="1">Model!$F$13+RAND()*(Model!$G$13-Model!$F$13)</f>
        <v>1602.4658068747226</v>
      </c>
      <c r="B3335" s="31">
        <f ca="1">Model!$F$14+RAND()*(Model!$G$14-Model!$F$14)</f>
        <v>0.43768736385362839</v>
      </c>
      <c r="C3335" s="32">
        <f ca="1">Model!$F$15+RAND()*(Model!$G$15-Model!$F$15)</f>
        <v>1.6954959998597412E-2</v>
      </c>
      <c r="D3335" s="33">
        <f ca="1">Model!$F$16+RAND()*(Model!$G$16-Model!$F$16)</f>
        <v>52.583238388926475</v>
      </c>
      <c r="E3335" s="33">
        <f>Model!$D$17</f>
        <v>800</v>
      </c>
      <c r="G3335" s="36">
        <f t="shared" ca="1" si="54"/>
        <v>-72.705927116459179</v>
      </c>
    </row>
    <row r="3336" spans="1:7" x14ac:dyDescent="0.2">
      <c r="A3336" s="6">
        <f ca="1">Model!$F$13+RAND()*(Model!$G$13-Model!$F$13)</f>
        <v>1355.1798590920141</v>
      </c>
      <c r="B3336" s="31">
        <f ca="1">Model!$F$14+RAND()*(Model!$G$14-Model!$F$14)</f>
        <v>0.59359115722135236</v>
      </c>
      <c r="C3336" s="32">
        <f ca="1">Model!$F$15+RAND()*(Model!$G$15-Model!$F$15)</f>
        <v>3.5639311875907013E-2</v>
      </c>
      <c r="D3336" s="33">
        <f ca="1">Model!$F$16+RAND()*(Model!$G$16-Model!$F$16)</f>
        <v>47.160117199402308</v>
      </c>
      <c r="E3336" s="33">
        <f>Model!$D$17</f>
        <v>800</v>
      </c>
      <c r="G3336" s="36">
        <f t="shared" ca="1" si="54"/>
        <v>673.30135744885183</v>
      </c>
    </row>
    <row r="3337" spans="1:7" x14ac:dyDescent="0.2">
      <c r="A3337" s="6">
        <f ca="1">Model!$F$13+RAND()*(Model!$G$13-Model!$F$13)</f>
        <v>1516.3237210629889</v>
      </c>
      <c r="B3337" s="31">
        <f ca="1">Model!$F$14+RAND()*(Model!$G$14-Model!$F$14)</f>
        <v>0.44482172396014064</v>
      </c>
      <c r="C3337" s="32">
        <f ca="1">Model!$F$15+RAND()*(Model!$G$15-Model!$F$15)</f>
        <v>4.0896448882911128E-2</v>
      </c>
      <c r="D3337" s="33">
        <f ca="1">Model!$F$16+RAND()*(Model!$G$16-Model!$F$16)</f>
        <v>49.032719886430861</v>
      </c>
      <c r="E3337" s="33">
        <f>Model!$D$17</f>
        <v>800</v>
      </c>
      <c r="G3337" s="36">
        <f t="shared" ca="1" si="54"/>
        <v>1566.1358241454786</v>
      </c>
    </row>
    <row r="3338" spans="1:7" x14ac:dyDescent="0.2">
      <c r="A3338" s="6">
        <f ca="1">Model!$F$13+RAND()*(Model!$G$13-Model!$F$13)</f>
        <v>1688.3142342207534</v>
      </c>
      <c r="B3338" s="31">
        <f ca="1">Model!$F$14+RAND()*(Model!$G$14-Model!$F$14)</f>
        <v>0.62050505429692593</v>
      </c>
      <c r="C3338" s="32">
        <f ca="1">Model!$F$15+RAND()*(Model!$G$15-Model!$F$15)</f>
        <v>1.7273692839024239E-2</v>
      </c>
      <c r="D3338" s="33">
        <f ca="1">Model!$F$16+RAND()*(Model!$G$16-Model!$F$16)</f>
        <v>48.019458923570369</v>
      </c>
      <c r="E3338" s="33">
        <f>Model!$D$17</f>
        <v>800</v>
      </c>
      <c r="G3338" s="36">
        <f t="shared" ca="1" si="54"/>
        <v>-447.19579489672515</v>
      </c>
    </row>
    <row r="3339" spans="1:7" x14ac:dyDescent="0.2">
      <c r="A3339" s="6">
        <f ca="1">Model!$F$13+RAND()*(Model!$G$13-Model!$F$13)</f>
        <v>1581.1686074214458</v>
      </c>
      <c r="B3339" s="31">
        <f ca="1">Model!$F$14+RAND()*(Model!$G$14-Model!$F$14)</f>
        <v>0.27206182285353747</v>
      </c>
      <c r="C3339" s="32">
        <f ca="1">Model!$F$15+RAND()*(Model!$G$15-Model!$F$15)</f>
        <v>1.4517776672876348E-2</v>
      </c>
      <c r="D3339" s="33">
        <f ca="1">Model!$F$16+RAND()*(Model!$G$16-Model!$F$16)</f>
        <v>49.955825741099964</v>
      </c>
      <c r="E3339" s="33">
        <f>Model!$D$17</f>
        <v>800</v>
      </c>
      <c r="G3339" s="36">
        <f t="shared" ca="1" si="54"/>
        <v>-83.436999780620681</v>
      </c>
    </row>
    <row r="3340" spans="1:7" x14ac:dyDescent="0.2">
      <c r="A3340" s="6">
        <f ca="1">Model!$F$13+RAND()*(Model!$G$13-Model!$F$13)</f>
        <v>1592.2398554216559</v>
      </c>
      <c r="B3340" s="31">
        <f ca="1">Model!$F$14+RAND()*(Model!$G$14-Model!$F$14)</f>
        <v>0.51313242828598749</v>
      </c>
      <c r="C3340" s="32">
        <f ca="1">Model!$F$15+RAND()*(Model!$G$15-Model!$F$15)</f>
        <v>1.7455920352092154E-2</v>
      </c>
      <c r="D3340" s="33">
        <f ca="1">Model!$F$16+RAND()*(Model!$G$16-Model!$F$16)</f>
        <v>49.162729795867804</v>
      </c>
      <c r="E3340" s="33">
        <f>Model!$D$17</f>
        <v>800</v>
      </c>
      <c r="G3340" s="36">
        <f t="shared" ca="1" si="54"/>
        <v>-250.60039672555263</v>
      </c>
    </row>
    <row r="3341" spans="1:7" x14ac:dyDescent="0.2">
      <c r="A3341" s="6">
        <f ca="1">Model!$F$13+RAND()*(Model!$G$13-Model!$F$13)</f>
        <v>1763.0717714218863</v>
      </c>
      <c r="B3341" s="31">
        <f ca="1">Model!$F$14+RAND()*(Model!$G$14-Model!$F$14)</f>
        <v>0.488923553522014</v>
      </c>
      <c r="C3341" s="32">
        <f ca="1">Model!$F$15+RAND()*(Model!$G$15-Model!$F$15)</f>
        <v>3.2051558561833164E-2</v>
      </c>
      <c r="D3341" s="33">
        <f ca="1">Model!$F$16+RAND()*(Model!$G$16-Model!$F$16)</f>
        <v>49.926137782424384</v>
      </c>
      <c r="E3341" s="33">
        <f>Model!$D$17</f>
        <v>800</v>
      </c>
      <c r="G3341" s="36">
        <f t="shared" ca="1" si="54"/>
        <v>1159.2786962369009</v>
      </c>
    </row>
    <row r="3342" spans="1:7" x14ac:dyDescent="0.2">
      <c r="A3342" s="6">
        <f ca="1">Model!$F$13+RAND()*(Model!$G$13-Model!$F$13)</f>
        <v>1666.6366427121911</v>
      </c>
      <c r="B3342" s="31">
        <f ca="1">Model!$F$14+RAND()*(Model!$G$14-Model!$F$14)</f>
        <v>0.44725704747640127</v>
      </c>
      <c r="C3342" s="32">
        <f ca="1">Model!$F$15+RAND()*(Model!$G$15-Model!$F$15)</f>
        <v>3.7433666180169502E-2</v>
      </c>
      <c r="D3342" s="33">
        <f ca="1">Model!$F$16+RAND()*(Model!$G$16-Model!$F$16)</f>
        <v>52.947047701613691</v>
      </c>
      <c r="E3342" s="33">
        <f>Model!$D$17</f>
        <v>800</v>
      </c>
      <c r="G3342" s="36">
        <f t="shared" ca="1" si="54"/>
        <v>1757.8623565696721</v>
      </c>
    </row>
    <row r="3343" spans="1:7" x14ac:dyDescent="0.2">
      <c r="A3343" s="6">
        <f ca="1">Model!$F$13+RAND()*(Model!$G$13-Model!$F$13)</f>
        <v>1660.946530795587</v>
      </c>
      <c r="B3343" s="31">
        <f ca="1">Model!$F$14+RAND()*(Model!$G$14-Model!$F$14)</f>
        <v>0.72965575691284701</v>
      </c>
      <c r="C3343" s="32">
        <f ca="1">Model!$F$15+RAND()*(Model!$G$15-Model!$F$15)</f>
        <v>3.2346738095536107E-2</v>
      </c>
      <c r="D3343" s="33">
        <f ca="1">Model!$F$16+RAND()*(Model!$G$16-Model!$F$16)</f>
        <v>49.865475929362056</v>
      </c>
      <c r="E3343" s="33">
        <f>Model!$D$17</f>
        <v>800</v>
      </c>
      <c r="G3343" s="36">
        <f t="shared" ca="1" si="54"/>
        <v>667.16345554751547</v>
      </c>
    </row>
    <row r="3344" spans="1:7" x14ac:dyDescent="0.2">
      <c r="A3344" s="6">
        <f ca="1">Model!$F$13+RAND()*(Model!$G$13-Model!$F$13)</f>
        <v>1537.1613587596048</v>
      </c>
      <c r="B3344" s="31">
        <f ca="1">Model!$F$14+RAND()*(Model!$G$14-Model!$F$14)</f>
        <v>0.72733942786844152</v>
      </c>
      <c r="C3344" s="32">
        <f ca="1">Model!$F$15+RAND()*(Model!$G$15-Model!$F$15)</f>
        <v>2.2138404536864706E-2</v>
      </c>
      <c r="D3344" s="33">
        <f ca="1">Model!$F$16+RAND()*(Model!$G$16-Model!$F$16)</f>
        <v>52.233760848405979</v>
      </c>
      <c r="E3344" s="33">
        <f>Model!$D$17</f>
        <v>800</v>
      </c>
      <c r="G3344" s="36">
        <f t="shared" ca="1" si="54"/>
        <v>-140.5075114923402</v>
      </c>
    </row>
    <row r="3345" spans="1:7" x14ac:dyDescent="0.2">
      <c r="A3345" s="6">
        <f ca="1">Model!$F$13+RAND()*(Model!$G$13-Model!$F$13)</f>
        <v>1476.5353572795098</v>
      </c>
      <c r="B3345" s="31">
        <f ca="1">Model!$F$14+RAND()*(Model!$G$14-Model!$F$14)</f>
        <v>0.32547378183170417</v>
      </c>
      <c r="C3345" s="32">
        <f ca="1">Model!$F$15+RAND()*(Model!$G$15-Model!$F$15)</f>
        <v>4.3081351391443694E-2</v>
      </c>
      <c r="D3345" s="33">
        <f ca="1">Model!$F$16+RAND()*(Model!$G$16-Model!$F$16)</f>
        <v>50.706583041702267</v>
      </c>
      <c r="E3345" s="33">
        <f>Model!$D$17</f>
        <v>800</v>
      </c>
      <c r="G3345" s="36">
        <f t="shared" ca="1" si="54"/>
        <v>1944.9299334766042</v>
      </c>
    </row>
    <row r="3346" spans="1:7" x14ac:dyDescent="0.2">
      <c r="A3346" s="6">
        <f ca="1">Model!$F$13+RAND()*(Model!$G$13-Model!$F$13)</f>
        <v>1793.683255000899</v>
      </c>
      <c r="B3346" s="31">
        <f ca="1">Model!$F$14+RAND()*(Model!$G$14-Model!$F$14)</f>
        <v>0.73947765369028451</v>
      </c>
      <c r="C3346" s="32">
        <f ca="1">Model!$F$15+RAND()*(Model!$G$15-Model!$F$15)</f>
        <v>1.7823371898647314E-2</v>
      </c>
      <c r="D3346" s="33">
        <f ca="1">Model!$F$16+RAND()*(Model!$G$16-Model!$F$16)</f>
        <v>47.725022028933957</v>
      </c>
      <c r="E3346" s="33">
        <f>Model!$D$17</f>
        <v>800</v>
      </c>
      <c r="G3346" s="36">
        <f t="shared" ca="1" si="54"/>
        <v>-600.64436997324333</v>
      </c>
    </row>
    <row r="3347" spans="1:7" x14ac:dyDescent="0.2">
      <c r="A3347" s="6">
        <f ca="1">Model!$F$13+RAND()*(Model!$G$13-Model!$F$13)</f>
        <v>1428.1830278832194</v>
      </c>
      <c r="B3347" s="31">
        <f ca="1">Model!$F$14+RAND()*(Model!$G$14-Model!$F$14)</f>
        <v>0.59968302847005694</v>
      </c>
      <c r="C3347" s="32">
        <f ca="1">Model!$F$15+RAND()*(Model!$G$15-Model!$F$15)</f>
        <v>1.0217535183898105E-2</v>
      </c>
      <c r="D3347" s="33">
        <f ca="1">Model!$F$16+RAND()*(Model!$G$16-Model!$F$16)</f>
        <v>51.479181003622763</v>
      </c>
      <c r="E3347" s="33">
        <f>Model!$D$17</f>
        <v>800</v>
      </c>
      <c r="G3347" s="36">
        <f t="shared" ca="1" si="54"/>
        <v>-905.24664246356338</v>
      </c>
    </row>
    <row r="3348" spans="1:7" x14ac:dyDescent="0.2">
      <c r="A3348" s="6">
        <f ca="1">Model!$F$13+RAND()*(Model!$G$13-Model!$F$13)</f>
        <v>1743.3000047254459</v>
      </c>
      <c r="B3348" s="31">
        <f ca="1">Model!$F$14+RAND()*(Model!$G$14-Model!$F$14)</f>
        <v>0.24857751328916927</v>
      </c>
      <c r="C3348" s="32">
        <f ca="1">Model!$F$15+RAND()*(Model!$G$15-Model!$F$15)</f>
        <v>2.6689991088748373E-2</v>
      </c>
      <c r="D3348" s="33">
        <f ca="1">Model!$F$16+RAND()*(Model!$G$16-Model!$F$16)</f>
        <v>51.369526402464189</v>
      </c>
      <c r="E3348" s="33">
        <f>Model!$D$17</f>
        <v>800</v>
      </c>
      <c r="G3348" s="36">
        <f t="shared" ca="1" si="54"/>
        <v>1156.8101299855923</v>
      </c>
    </row>
    <row r="3349" spans="1:7" x14ac:dyDescent="0.2">
      <c r="A3349" s="6">
        <f ca="1">Model!$F$13+RAND()*(Model!$G$13-Model!$F$13)</f>
        <v>1599.814908982225</v>
      </c>
      <c r="B3349" s="31">
        <f ca="1">Model!$F$14+RAND()*(Model!$G$14-Model!$F$14)</f>
        <v>0.62785114800793651</v>
      </c>
      <c r="C3349" s="32">
        <f ca="1">Model!$F$15+RAND()*(Model!$G$15-Model!$F$15)</f>
        <v>1.0303763076801236E-2</v>
      </c>
      <c r="D3349" s="33">
        <f ca="1">Model!$F$16+RAND()*(Model!$G$16-Model!$F$16)</f>
        <v>47.274662744512483</v>
      </c>
      <c r="E3349" s="33">
        <f>Model!$D$17</f>
        <v>800</v>
      </c>
      <c r="G3349" s="36">
        <f t="shared" ca="1" si="54"/>
        <v>-1025.164707192893</v>
      </c>
    </row>
    <row r="3350" spans="1:7" x14ac:dyDescent="0.2">
      <c r="A3350" s="6">
        <f ca="1">Model!$F$13+RAND()*(Model!$G$13-Model!$F$13)</f>
        <v>1675.9518653558384</v>
      </c>
      <c r="B3350" s="31">
        <f ca="1">Model!$F$14+RAND()*(Model!$G$14-Model!$F$14)</f>
        <v>0.47800450914121212</v>
      </c>
      <c r="C3350" s="32">
        <f ca="1">Model!$F$15+RAND()*(Model!$G$15-Model!$F$15)</f>
        <v>2.8368266188748999E-2</v>
      </c>
      <c r="D3350" s="33">
        <f ca="1">Model!$F$16+RAND()*(Model!$G$16-Model!$F$16)</f>
        <v>51.002163616273478</v>
      </c>
      <c r="E3350" s="33">
        <f>Model!$D$17</f>
        <v>800</v>
      </c>
      <c r="G3350" s="36">
        <f t="shared" ca="1" si="54"/>
        <v>823.72659833408329</v>
      </c>
    </row>
    <row r="3351" spans="1:7" x14ac:dyDescent="0.2">
      <c r="A3351" s="6">
        <f ca="1">Model!$F$13+RAND()*(Model!$G$13-Model!$F$13)</f>
        <v>1270.0800003263914</v>
      </c>
      <c r="B3351" s="31">
        <f ca="1">Model!$F$14+RAND()*(Model!$G$14-Model!$F$14)</f>
        <v>0.69064183992815398</v>
      </c>
      <c r="C3351" s="32">
        <f ca="1">Model!$F$15+RAND()*(Model!$G$15-Model!$F$15)</f>
        <v>4.332433524909849E-2</v>
      </c>
      <c r="D3351" s="33">
        <f ca="1">Model!$F$16+RAND()*(Model!$G$16-Model!$F$16)</f>
        <v>51.483935788989889</v>
      </c>
      <c r="E3351" s="33">
        <f>Model!$D$17</f>
        <v>800</v>
      </c>
      <c r="G3351" s="36">
        <f t="shared" ca="1" si="54"/>
        <v>1155.7523164930517</v>
      </c>
    </row>
    <row r="3352" spans="1:7" x14ac:dyDescent="0.2">
      <c r="A3352" s="6">
        <f ca="1">Model!$F$13+RAND()*(Model!$G$13-Model!$F$13)</f>
        <v>1356.5339633729845</v>
      </c>
      <c r="B3352" s="31">
        <f ca="1">Model!$F$14+RAND()*(Model!$G$14-Model!$F$14)</f>
        <v>0.35219836353740552</v>
      </c>
      <c r="C3352" s="32">
        <f ca="1">Model!$F$15+RAND()*(Model!$G$15-Model!$F$15)</f>
        <v>2.6835102317228729E-2</v>
      </c>
      <c r="D3352" s="33">
        <f ca="1">Model!$F$16+RAND()*(Model!$G$16-Model!$F$16)</f>
        <v>48.916020482861285</v>
      </c>
      <c r="E3352" s="33">
        <f>Model!$D$17</f>
        <v>800</v>
      </c>
      <c r="G3352" s="36">
        <f t="shared" ca="1" si="54"/>
        <v>502.90753201360008</v>
      </c>
    </row>
    <row r="3353" spans="1:7" x14ac:dyDescent="0.2">
      <c r="A3353" s="6">
        <f ca="1">Model!$F$13+RAND()*(Model!$G$13-Model!$F$13)</f>
        <v>1584.7170673018159</v>
      </c>
      <c r="B3353" s="31">
        <f ca="1">Model!$F$14+RAND()*(Model!$G$14-Model!$F$14)</f>
        <v>0.28309034983699011</v>
      </c>
      <c r="C3353" s="32">
        <f ca="1">Model!$F$15+RAND()*(Model!$G$15-Model!$F$15)</f>
        <v>1.9652851133487338E-2</v>
      </c>
      <c r="D3353" s="33">
        <f ca="1">Model!$F$16+RAND()*(Model!$G$16-Model!$F$16)</f>
        <v>51.465933677333325</v>
      </c>
      <c r="E3353" s="33">
        <f>Model!$D$17</f>
        <v>800</v>
      </c>
      <c r="G3353" s="36">
        <f t="shared" ca="1" si="54"/>
        <v>354.24766590262243</v>
      </c>
    </row>
    <row r="3354" spans="1:7" x14ac:dyDescent="0.2">
      <c r="A3354" s="6">
        <f ca="1">Model!$F$13+RAND()*(Model!$G$13-Model!$F$13)</f>
        <v>1509.967297126442</v>
      </c>
      <c r="B3354" s="31">
        <f ca="1">Model!$F$14+RAND()*(Model!$G$14-Model!$F$14)</f>
        <v>0.64618754272858314</v>
      </c>
      <c r="C3354" s="32">
        <f ca="1">Model!$F$15+RAND()*(Model!$G$15-Model!$F$15)</f>
        <v>1.6362787458033493E-2</v>
      </c>
      <c r="D3354" s="33">
        <f ca="1">Model!$F$16+RAND()*(Model!$G$16-Model!$F$16)</f>
        <v>50.28150781385775</v>
      </c>
      <c r="E3354" s="33">
        <f>Model!$D$17</f>
        <v>800</v>
      </c>
      <c r="G3354" s="36">
        <f t="shared" ca="1" si="54"/>
        <v>-533.40306908113143</v>
      </c>
    </row>
    <row r="3355" spans="1:7" x14ac:dyDescent="0.2">
      <c r="A3355" s="6">
        <f ca="1">Model!$F$13+RAND()*(Model!$G$13-Model!$F$13)</f>
        <v>1767.8968966929385</v>
      </c>
      <c r="B3355" s="31">
        <f ca="1">Model!$F$14+RAND()*(Model!$G$14-Model!$F$14)</f>
        <v>0.57646672813426303</v>
      </c>
      <c r="C3355" s="32">
        <f ca="1">Model!$F$15+RAND()*(Model!$G$15-Model!$F$15)</f>
        <v>4.3530270826892731E-2</v>
      </c>
      <c r="D3355" s="33">
        <f ca="1">Model!$F$16+RAND()*(Model!$G$16-Model!$F$16)</f>
        <v>51.742007194494612</v>
      </c>
      <c r="E3355" s="33">
        <f>Model!$D$17</f>
        <v>800</v>
      </c>
      <c r="G3355" s="36">
        <f t="shared" ca="1" si="54"/>
        <v>2162.7774967966984</v>
      </c>
    </row>
    <row r="3356" spans="1:7" x14ac:dyDescent="0.2">
      <c r="A3356" s="6">
        <f ca="1">Model!$F$13+RAND()*(Model!$G$13-Model!$F$13)</f>
        <v>1518.3658546531733</v>
      </c>
      <c r="B3356" s="31">
        <f ca="1">Model!$F$14+RAND()*(Model!$G$14-Model!$F$14)</f>
        <v>0.52434504805582161</v>
      </c>
      <c r="C3356" s="32">
        <f ca="1">Model!$F$15+RAND()*(Model!$G$15-Model!$F$15)</f>
        <v>1.1828450347253492E-2</v>
      </c>
      <c r="D3356" s="33">
        <f ca="1">Model!$F$16+RAND()*(Model!$G$16-Model!$F$16)</f>
        <v>49.123347576781406</v>
      </c>
      <c r="E3356" s="33">
        <f>Model!$D$17</f>
        <v>800</v>
      </c>
      <c r="G3356" s="36">
        <f t="shared" ca="1" si="54"/>
        <v>-713.89646409931652</v>
      </c>
    </row>
    <row r="3357" spans="1:7" x14ac:dyDescent="0.2">
      <c r="A3357" s="6">
        <f ca="1">Model!$F$13+RAND()*(Model!$G$13-Model!$F$13)</f>
        <v>1546.4592503359761</v>
      </c>
      <c r="B3357" s="31">
        <f ca="1">Model!$F$14+RAND()*(Model!$G$14-Model!$F$14)</f>
        <v>0.30288245909543071</v>
      </c>
      <c r="C3357" s="32">
        <f ca="1">Model!$F$15+RAND()*(Model!$G$15-Model!$F$15)</f>
        <v>1.7201084098337288E-2</v>
      </c>
      <c r="D3357" s="33">
        <f ca="1">Model!$F$16+RAND()*(Model!$G$16-Model!$F$16)</f>
        <v>51.46892941816008</v>
      </c>
      <c r="E3357" s="33">
        <f>Model!$D$17</f>
        <v>800</v>
      </c>
      <c r="G3357" s="36">
        <f t="shared" ca="1" si="54"/>
        <v>100.71806220502572</v>
      </c>
    </row>
    <row r="3358" spans="1:7" x14ac:dyDescent="0.2">
      <c r="A3358" s="6">
        <f ca="1">Model!$F$13+RAND()*(Model!$G$13-Model!$F$13)</f>
        <v>1365.688205742978</v>
      </c>
      <c r="B3358" s="31">
        <f ca="1">Model!$F$14+RAND()*(Model!$G$14-Model!$F$14)</f>
        <v>0.37832758940272515</v>
      </c>
      <c r="C3358" s="32">
        <f ca="1">Model!$F$15+RAND()*(Model!$G$15-Model!$F$15)</f>
        <v>2.5431465135096726E-2</v>
      </c>
      <c r="D3358" s="33">
        <f ca="1">Model!$F$16+RAND()*(Model!$G$16-Model!$F$16)</f>
        <v>47.687234483803401</v>
      </c>
      <c r="E3358" s="33">
        <f>Model!$D$17</f>
        <v>800</v>
      </c>
      <c r="G3358" s="36">
        <f t="shared" ca="1" si="54"/>
        <v>339.56936824442641</v>
      </c>
    </row>
    <row r="3359" spans="1:7" x14ac:dyDescent="0.2">
      <c r="A3359" s="6">
        <f ca="1">Model!$F$13+RAND()*(Model!$G$13-Model!$F$13)</f>
        <v>1675.2874225569483</v>
      </c>
      <c r="B3359" s="31">
        <f ca="1">Model!$F$14+RAND()*(Model!$G$14-Model!$F$14)</f>
        <v>0.20994775477752159</v>
      </c>
      <c r="C3359" s="32">
        <f ca="1">Model!$F$15+RAND()*(Model!$G$15-Model!$F$15)</f>
        <v>2.8095397881079225E-2</v>
      </c>
      <c r="D3359" s="33">
        <f ca="1">Model!$F$16+RAND()*(Model!$G$16-Model!$F$16)</f>
        <v>52.977341050907292</v>
      </c>
      <c r="E3359" s="33">
        <f>Model!$D$17</f>
        <v>800</v>
      </c>
      <c r="G3359" s="36">
        <f t="shared" ca="1" si="54"/>
        <v>1341.8075938326201</v>
      </c>
    </row>
    <row r="3360" spans="1:7" x14ac:dyDescent="0.2">
      <c r="A3360" s="6">
        <f ca="1">Model!$F$13+RAND()*(Model!$G$13-Model!$F$13)</f>
        <v>1674.7321494886755</v>
      </c>
      <c r="B3360" s="31">
        <f ca="1">Model!$F$14+RAND()*(Model!$G$14-Model!$F$14)</f>
        <v>0.75229136756861448</v>
      </c>
      <c r="C3360" s="32">
        <f ca="1">Model!$F$15+RAND()*(Model!$G$15-Model!$F$15)</f>
        <v>1.5262749317794574E-2</v>
      </c>
      <c r="D3360" s="33">
        <f ca="1">Model!$F$16+RAND()*(Model!$G$16-Model!$F$16)</f>
        <v>51.320211618986527</v>
      </c>
      <c r="E3360" s="33">
        <f>Model!$D$17</f>
        <v>800</v>
      </c>
      <c r="G3360" s="36">
        <f t="shared" ca="1" si="54"/>
        <v>-748.08973884544071</v>
      </c>
    </row>
    <row r="3361" spans="1:7" x14ac:dyDescent="0.2">
      <c r="A3361" s="6">
        <f ca="1">Model!$F$13+RAND()*(Model!$G$13-Model!$F$13)</f>
        <v>1310.7397936510529</v>
      </c>
      <c r="B3361" s="31">
        <f ca="1">Model!$F$14+RAND()*(Model!$G$14-Model!$F$14)</f>
        <v>0.45508554126966949</v>
      </c>
      <c r="C3361" s="32">
        <f ca="1">Model!$F$15+RAND()*(Model!$G$15-Model!$F$15)</f>
        <v>3.6229889670364369E-2</v>
      </c>
      <c r="D3361" s="33">
        <f ca="1">Model!$F$16+RAND()*(Model!$G$16-Model!$F$16)</f>
        <v>52.658368739768328</v>
      </c>
      <c r="E3361" s="33">
        <f>Model!$D$17</f>
        <v>800</v>
      </c>
      <c r="G3361" s="36">
        <f t="shared" ca="1" si="54"/>
        <v>1104.1396804257765</v>
      </c>
    </row>
    <row r="3362" spans="1:7" x14ac:dyDescent="0.2">
      <c r="A3362" s="6">
        <f ca="1">Model!$F$13+RAND()*(Model!$G$13-Model!$F$13)</f>
        <v>1274.2846798686487</v>
      </c>
      <c r="B3362" s="31">
        <f ca="1">Model!$F$14+RAND()*(Model!$G$14-Model!$F$14)</f>
        <v>0.79097933065006232</v>
      </c>
      <c r="C3362" s="32">
        <f ca="1">Model!$F$15+RAND()*(Model!$G$15-Model!$F$15)</f>
        <v>4.8682543852790902E-2</v>
      </c>
      <c r="D3362" s="33">
        <f ca="1">Model!$F$16+RAND()*(Model!$G$16-Model!$F$16)</f>
        <v>47.265323485006491</v>
      </c>
      <c r="E3362" s="33">
        <f>Model!$D$17</f>
        <v>800</v>
      </c>
      <c r="G3362" s="36">
        <f t="shared" ca="1" si="54"/>
        <v>1124.1913416436578</v>
      </c>
    </row>
    <row r="3363" spans="1:7" x14ac:dyDescent="0.2">
      <c r="A3363" s="6">
        <f ca="1">Model!$F$13+RAND()*(Model!$G$13-Model!$F$13)</f>
        <v>1561.9395171348083</v>
      </c>
      <c r="B3363" s="31">
        <f ca="1">Model!$F$14+RAND()*(Model!$G$14-Model!$F$14)</f>
        <v>0.5488910127061486</v>
      </c>
      <c r="C3363" s="32">
        <f ca="1">Model!$F$15+RAND()*(Model!$G$15-Model!$F$15)</f>
        <v>4.2662167295569688E-2</v>
      </c>
      <c r="D3363" s="33">
        <f ca="1">Model!$F$16+RAND()*(Model!$G$16-Model!$F$16)</f>
        <v>48.843045039219824</v>
      </c>
      <c r="E3363" s="33">
        <f>Model!$D$17</f>
        <v>800</v>
      </c>
      <c r="G3363" s="36">
        <f t="shared" ca="1" si="54"/>
        <v>1597.3571533452141</v>
      </c>
    </row>
    <row r="3364" spans="1:7" x14ac:dyDescent="0.2">
      <c r="A3364" s="6">
        <f ca="1">Model!$F$13+RAND()*(Model!$G$13-Model!$F$13)</f>
        <v>1559.2751896510288</v>
      </c>
      <c r="B3364" s="31">
        <f ca="1">Model!$F$14+RAND()*(Model!$G$14-Model!$F$14)</f>
        <v>0.32851949566525285</v>
      </c>
      <c r="C3364" s="32">
        <f ca="1">Model!$F$15+RAND()*(Model!$G$15-Model!$F$15)</f>
        <v>2.0191924073717189E-2</v>
      </c>
      <c r="D3364" s="33">
        <f ca="1">Model!$F$16+RAND()*(Model!$G$16-Model!$F$16)</f>
        <v>51.561521191717475</v>
      </c>
      <c r="E3364" s="33">
        <f>Model!$D$17</f>
        <v>800</v>
      </c>
      <c r="G3364" s="36">
        <f t="shared" ca="1" si="54"/>
        <v>311.15014276492457</v>
      </c>
    </row>
    <row r="3365" spans="1:7" x14ac:dyDescent="0.2">
      <c r="A3365" s="6">
        <f ca="1">Model!$F$13+RAND()*(Model!$G$13-Model!$F$13)</f>
        <v>1376.2754365167061</v>
      </c>
      <c r="B3365" s="31">
        <f ca="1">Model!$F$14+RAND()*(Model!$G$14-Model!$F$14)</f>
        <v>0.54567697771243262</v>
      </c>
      <c r="C3365" s="32">
        <f ca="1">Model!$F$15+RAND()*(Model!$G$15-Model!$F$15)</f>
        <v>3.7174450694051037E-2</v>
      </c>
      <c r="D3365" s="33">
        <f ca="1">Model!$F$16+RAND()*(Model!$G$16-Model!$F$16)</f>
        <v>47.55203396766867</v>
      </c>
      <c r="E3365" s="33">
        <f>Model!$D$17</f>
        <v>800</v>
      </c>
      <c r="G3365" s="36">
        <f t="shared" ca="1" si="54"/>
        <v>881.86881532035159</v>
      </c>
    </row>
    <row r="3366" spans="1:7" x14ac:dyDescent="0.2">
      <c r="A3366" s="6">
        <f ca="1">Model!$F$13+RAND()*(Model!$G$13-Model!$F$13)</f>
        <v>1745.5763839070755</v>
      </c>
      <c r="B3366" s="31">
        <f ca="1">Model!$F$14+RAND()*(Model!$G$14-Model!$F$14)</f>
        <v>0.59852485012605339</v>
      </c>
      <c r="C3366" s="32">
        <f ca="1">Model!$F$15+RAND()*(Model!$G$15-Model!$F$15)</f>
        <v>1.8516579034565502E-2</v>
      </c>
      <c r="D3366" s="33">
        <f ca="1">Model!$F$16+RAND()*(Model!$G$16-Model!$F$16)</f>
        <v>47.578744631026964</v>
      </c>
      <c r="E3366" s="33">
        <f>Model!$D$17</f>
        <v>800</v>
      </c>
      <c r="G3366" s="36">
        <f t="shared" ca="1" si="54"/>
        <v>-306.92575549041862</v>
      </c>
    </row>
    <row r="3367" spans="1:7" x14ac:dyDescent="0.2">
      <c r="A3367" s="6">
        <f ca="1">Model!$F$13+RAND()*(Model!$G$13-Model!$F$13)</f>
        <v>1569.131662866233</v>
      </c>
      <c r="B3367" s="31">
        <f ca="1">Model!$F$14+RAND()*(Model!$G$14-Model!$F$14)</f>
        <v>0.73490113460672757</v>
      </c>
      <c r="C3367" s="32">
        <f ca="1">Model!$F$15+RAND()*(Model!$G$15-Model!$F$15)</f>
        <v>3.4854234989666104E-2</v>
      </c>
      <c r="D3367" s="33">
        <f ca="1">Model!$F$16+RAND()*(Model!$G$16-Model!$F$16)</f>
        <v>50.70908438504906</v>
      </c>
      <c r="E3367" s="33">
        <f>Model!$D$17</f>
        <v>800</v>
      </c>
      <c r="G3367" s="36">
        <f t="shared" ca="1" si="54"/>
        <v>820.16799761688094</v>
      </c>
    </row>
    <row r="3368" spans="1:7" x14ac:dyDescent="0.2">
      <c r="A3368" s="6">
        <f ca="1">Model!$F$13+RAND()*(Model!$G$13-Model!$F$13)</f>
        <v>1738.3042372412922</v>
      </c>
      <c r="B3368" s="31">
        <f ca="1">Model!$F$14+RAND()*(Model!$G$14-Model!$F$14)</f>
        <v>0.54315585592597704</v>
      </c>
      <c r="C3368" s="32">
        <f ca="1">Model!$F$15+RAND()*(Model!$G$15-Model!$F$15)</f>
        <v>3.6236522846693708E-2</v>
      </c>
      <c r="D3368" s="33">
        <f ca="1">Model!$F$16+RAND()*(Model!$G$16-Model!$F$16)</f>
        <v>51.617279288059819</v>
      </c>
      <c r="E3368" s="33">
        <f>Model!$D$17</f>
        <v>800</v>
      </c>
      <c r="G3368" s="36">
        <f t="shared" ca="1" si="54"/>
        <v>1507.2075205617373</v>
      </c>
    </row>
    <row r="3369" spans="1:7" x14ac:dyDescent="0.2">
      <c r="A3369" s="6">
        <f ca="1">Model!$F$13+RAND()*(Model!$G$13-Model!$F$13)</f>
        <v>1328.8091582488726</v>
      </c>
      <c r="B3369" s="31">
        <f ca="1">Model!$F$14+RAND()*(Model!$G$14-Model!$F$14)</f>
        <v>0.44426162893213061</v>
      </c>
      <c r="C3369" s="32">
        <f ca="1">Model!$F$15+RAND()*(Model!$G$15-Model!$F$15)</f>
        <v>2.6823911709777541E-2</v>
      </c>
      <c r="D3369" s="33">
        <f ca="1">Model!$F$16+RAND()*(Model!$G$16-Model!$F$16)</f>
        <v>47.86209431363411</v>
      </c>
      <c r="E3369" s="33">
        <f>Model!$D$17</f>
        <v>800</v>
      </c>
      <c r="G3369" s="36">
        <f t="shared" ref="G3369:G3432" ca="1" si="55">A3369*C3369*D3369-(E3369+A3369*B3369)</f>
        <v>315.65084582238319</v>
      </c>
    </row>
    <row r="3370" spans="1:7" x14ac:dyDescent="0.2">
      <c r="A3370" s="6">
        <f ca="1">Model!$F$13+RAND()*(Model!$G$13-Model!$F$13)</f>
        <v>1719.8878205962524</v>
      </c>
      <c r="B3370" s="31">
        <f ca="1">Model!$F$14+RAND()*(Model!$G$14-Model!$F$14)</f>
        <v>0.29785326241535598</v>
      </c>
      <c r="C3370" s="32">
        <f ca="1">Model!$F$15+RAND()*(Model!$G$15-Model!$F$15)</f>
        <v>1.2060261926748037E-2</v>
      </c>
      <c r="D3370" s="33">
        <f ca="1">Model!$F$16+RAND()*(Model!$G$16-Model!$F$16)</f>
        <v>51.868260185957233</v>
      </c>
      <c r="E3370" s="33">
        <f>Model!$D$17</f>
        <v>800</v>
      </c>
      <c r="G3370" s="36">
        <f t="shared" ca="1" si="55"/>
        <v>-236.40730952904619</v>
      </c>
    </row>
    <row r="3371" spans="1:7" x14ac:dyDescent="0.2">
      <c r="A3371" s="6">
        <f ca="1">Model!$F$13+RAND()*(Model!$G$13-Model!$F$13)</f>
        <v>1485.948573332154</v>
      </c>
      <c r="B3371" s="31">
        <f ca="1">Model!$F$14+RAND()*(Model!$G$14-Model!$F$14)</f>
        <v>0.38954411019727109</v>
      </c>
      <c r="C3371" s="32">
        <f ca="1">Model!$F$15+RAND()*(Model!$G$15-Model!$F$15)</f>
        <v>2.2026243720713143E-2</v>
      </c>
      <c r="D3371" s="33">
        <f ca="1">Model!$F$16+RAND()*(Model!$G$16-Model!$F$16)</f>
        <v>49.349070289868742</v>
      </c>
      <c r="E3371" s="33">
        <f>Model!$D$17</f>
        <v>800</v>
      </c>
      <c r="G3371" s="36">
        <f t="shared" ca="1" si="55"/>
        <v>236.34591501670548</v>
      </c>
    </row>
    <row r="3372" spans="1:7" x14ac:dyDescent="0.2">
      <c r="A3372" s="6">
        <f ca="1">Model!$F$13+RAND()*(Model!$G$13-Model!$F$13)</f>
        <v>1542.7778738877935</v>
      </c>
      <c r="B3372" s="31">
        <f ca="1">Model!$F$14+RAND()*(Model!$G$14-Model!$F$14)</f>
        <v>0.67456447734968528</v>
      </c>
      <c r="C3372" s="32">
        <f ca="1">Model!$F$15+RAND()*(Model!$G$15-Model!$F$15)</f>
        <v>1.108148746746708E-2</v>
      </c>
      <c r="D3372" s="33">
        <f ca="1">Model!$F$16+RAND()*(Model!$G$16-Model!$F$16)</f>
        <v>50.274888520553176</v>
      </c>
      <c r="E3372" s="33">
        <f>Model!$D$17</f>
        <v>800</v>
      </c>
      <c r="G3372" s="36">
        <f t="shared" ca="1" si="55"/>
        <v>-981.18989705974786</v>
      </c>
    </row>
    <row r="3373" spans="1:7" x14ac:dyDescent="0.2">
      <c r="A3373" s="6">
        <f ca="1">Model!$F$13+RAND()*(Model!$G$13-Model!$F$13)</f>
        <v>1519.6576114494392</v>
      </c>
      <c r="B3373" s="31">
        <f ca="1">Model!$F$14+RAND()*(Model!$G$14-Model!$F$14)</f>
        <v>0.73567460066410284</v>
      </c>
      <c r="C3373" s="32">
        <f ca="1">Model!$F$15+RAND()*(Model!$G$15-Model!$F$15)</f>
        <v>3.6906231197734653E-2</v>
      </c>
      <c r="D3373" s="33">
        <f ca="1">Model!$F$16+RAND()*(Model!$G$16-Model!$F$16)</f>
        <v>51.240479739151695</v>
      </c>
      <c r="E3373" s="33">
        <f>Model!$D$17</f>
        <v>800</v>
      </c>
      <c r="G3373" s="36">
        <f t="shared" ca="1" si="55"/>
        <v>955.84035270495997</v>
      </c>
    </row>
    <row r="3374" spans="1:7" x14ac:dyDescent="0.2">
      <c r="A3374" s="6">
        <f ca="1">Model!$F$13+RAND()*(Model!$G$13-Model!$F$13)</f>
        <v>1572.6288292348281</v>
      </c>
      <c r="B3374" s="31">
        <f ca="1">Model!$F$14+RAND()*(Model!$G$14-Model!$F$14)</f>
        <v>0.57761335350832921</v>
      </c>
      <c r="C3374" s="32">
        <f ca="1">Model!$F$15+RAND()*(Model!$G$15-Model!$F$15)</f>
        <v>1.5878273431636156E-2</v>
      </c>
      <c r="D3374" s="33">
        <f ca="1">Model!$F$16+RAND()*(Model!$G$16-Model!$F$16)</f>
        <v>49.42975617655248</v>
      </c>
      <c r="E3374" s="33">
        <f>Model!$D$17</f>
        <v>800</v>
      </c>
      <c r="G3374" s="36">
        <f t="shared" ca="1" si="55"/>
        <v>-474.07923186774065</v>
      </c>
    </row>
    <row r="3375" spans="1:7" x14ac:dyDescent="0.2">
      <c r="A3375" s="6">
        <f ca="1">Model!$F$13+RAND()*(Model!$G$13-Model!$F$13)</f>
        <v>1536.879023248086</v>
      </c>
      <c r="B3375" s="31">
        <f ca="1">Model!$F$14+RAND()*(Model!$G$14-Model!$F$14)</f>
        <v>0.5885274136360461</v>
      </c>
      <c r="C3375" s="32">
        <f ca="1">Model!$F$15+RAND()*(Model!$G$15-Model!$F$15)</f>
        <v>4.1862825560753672E-2</v>
      </c>
      <c r="D3375" s="33">
        <f ca="1">Model!$F$16+RAND()*(Model!$G$16-Model!$F$16)</f>
        <v>49.817389375854532</v>
      </c>
      <c r="E3375" s="33">
        <f>Model!$D$17</f>
        <v>800</v>
      </c>
      <c r="G3375" s="36">
        <f t="shared" ca="1" si="55"/>
        <v>1500.6606659713293</v>
      </c>
    </row>
    <row r="3376" spans="1:7" x14ac:dyDescent="0.2">
      <c r="A3376" s="6">
        <f ca="1">Model!$F$13+RAND()*(Model!$G$13-Model!$F$13)</f>
        <v>1283.4551801487428</v>
      </c>
      <c r="B3376" s="31">
        <f ca="1">Model!$F$14+RAND()*(Model!$G$14-Model!$F$14)</f>
        <v>0.56020671564836266</v>
      </c>
      <c r="C3376" s="32">
        <f ca="1">Model!$F$15+RAND()*(Model!$G$15-Model!$F$15)</f>
        <v>1.8727134796172874E-2</v>
      </c>
      <c r="D3376" s="33">
        <f ca="1">Model!$F$16+RAND()*(Model!$G$16-Model!$F$16)</f>
        <v>52.518119948528579</v>
      </c>
      <c r="E3376" s="33">
        <f>Model!$D$17</f>
        <v>800</v>
      </c>
      <c r="G3376" s="36">
        <f t="shared" ca="1" si="55"/>
        <v>-256.7041866672987</v>
      </c>
    </row>
    <row r="3377" spans="1:7" x14ac:dyDescent="0.2">
      <c r="A3377" s="6">
        <f ca="1">Model!$F$13+RAND()*(Model!$G$13-Model!$F$13)</f>
        <v>1522.2710676420252</v>
      </c>
      <c r="B3377" s="31">
        <f ca="1">Model!$F$14+RAND()*(Model!$G$14-Model!$F$14)</f>
        <v>0.63969890413610753</v>
      </c>
      <c r="C3377" s="32">
        <f ca="1">Model!$F$15+RAND()*(Model!$G$15-Model!$F$15)</f>
        <v>1.6048776654865603E-2</v>
      </c>
      <c r="D3377" s="33">
        <f ca="1">Model!$F$16+RAND()*(Model!$G$16-Model!$F$16)</f>
        <v>48.349332423353999</v>
      </c>
      <c r="E3377" s="33">
        <f>Model!$D$17</f>
        <v>800</v>
      </c>
      <c r="G3377" s="36">
        <f t="shared" ca="1" si="55"/>
        <v>-592.59249523645667</v>
      </c>
    </row>
    <row r="3378" spans="1:7" x14ac:dyDescent="0.2">
      <c r="A3378" s="6">
        <f ca="1">Model!$F$13+RAND()*(Model!$G$13-Model!$F$13)</f>
        <v>1371.2447130030871</v>
      </c>
      <c r="B3378" s="31">
        <f ca="1">Model!$F$14+RAND()*(Model!$G$14-Model!$F$14)</f>
        <v>0.24077057762547571</v>
      </c>
      <c r="C3378" s="32">
        <f ca="1">Model!$F$15+RAND()*(Model!$G$15-Model!$F$15)</f>
        <v>2.3232482548115704E-2</v>
      </c>
      <c r="D3378" s="33">
        <f ca="1">Model!$F$16+RAND()*(Model!$G$16-Model!$F$16)</f>
        <v>49.07067372064315</v>
      </c>
      <c r="E3378" s="33">
        <f>Model!$D$17</f>
        <v>800</v>
      </c>
      <c r="G3378" s="36">
        <f t="shared" ca="1" si="55"/>
        <v>433.10962504354347</v>
      </c>
    </row>
    <row r="3379" spans="1:7" x14ac:dyDescent="0.2">
      <c r="A3379" s="6">
        <f ca="1">Model!$F$13+RAND()*(Model!$G$13-Model!$F$13)</f>
        <v>1732.8177549810657</v>
      </c>
      <c r="B3379" s="31">
        <f ca="1">Model!$F$14+RAND()*(Model!$G$14-Model!$F$14)</f>
        <v>0.3094469504294306</v>
      </c>
      <c r="C3379" s="32">
        <f ca="1">Model!$F$15+RAND()*(Model!$G$15-Model!$F$15)</f>
        <v>3.7453711738997732E-2</v>
      </c>
      <c r="D3379" s="33">
        <f ca="1">Model!$F$16+RAND()*(Model!$G$16-Model!$F$16)</f>
        <v>48.547619310729623</v>
      </c>
      <c r="E3379" s="33">
        <f>Model!$D$17</f>
        <v>800</v>
      </c>
      <c r="G3379" s="36">
        <f t="shared" ca="1" si="55"/>
        <v>1814.5474946117984</v>
      </c>
    </row>
    <row r="3380" spans="1:7" x14ac:dyDescent="0.2">
      <c r="A3380" s="6">
        <f ca="1">Model!$F$13+RAND()*(Model!$G$13-Model!$F$13)</f>
        <v>1245.6127075151512</v>
      </c>
      <c r="B3380" s="31">
        <f ca="1">Model!$F$14+RAND()*(Model!$G$14-Model!$F$14)</f>
        <v>0.49848005902149106</v>
      </c>
      <c r="C3380" s="32">
        <f ca="1">Model!$F$15+RAND()*(Model!$G$15-Model!$F$15)</f>
        <v>2.4035015731307442E-2</v>
      </c>
      <c r="D3380" s="33">
        <f ca="1">Model!$F$16+RAND()*(Model!$G$16-Model!$F$16)</f>
        <v>47.352359076147891</v>
      </c>
      <c r="E3380" s="33">
        <f>Model!$D$17</f>
        <v>800</v>
      </c>
      <c r="G3380" s="36">
        <f t="shared" ca="1" si="55"/>
        <v>-3.26296887253352</v>
      </c>
    </row>
    <row r="3381" spans="1:7" x14ac:dyDescent="0.2">
      <c r="A3381" s="6">
        <f ca="1">Model!$F$13+RAND()*(Model!$G$13-Model!$F$13)</f>
        <v>1239.3000103051372</v>
      </c>
      <c r="B3381" s="31">
        <f ca="1">Model!$F$14+RAND()*(Model!$G$14-Model!$F$14)</f>
        <v>0.76786308267718106</v>
      </c>
      <c r="C3381" s="32">
        <f ca="1">Model!$F$15+RAND()*(Model!$G$15-Model!$F$15)</f>
        <v>1.2932183277842686E-2</v>
      </c>
      <c r="D3381" s="33">
        <f ca="1">Model!$F$16+RAND()*(Model!$G$16-Model!$F$16)</f>
        <v>52.603562031698345</v>
      </c>
      <c r="E3381" s="33">
        <f>Model!$D$17</f>
        <v>800</v>
      </c>
      <c r="G3381" s="36">
        <f t="shared" ca="1" si="55"/>
        <v>-908.54307197408104</v>
      </c>
    </row>
    <row r="3382" spans="1:7" x14ac:dyDescent="0.2">
      <c r="A3382" s="6">
        <f ca="1">Model!$F$13+RAND()*(Model!$G$13-Model!$F$13)</f>
        <v>1539.4390633062458</v>
      </c>
      <c r="B3382" s="31">
        <f ca="1">Model!$F$14+RAND()*(Model!$G$14-Model!$F$14)</f>
        <v>0.49135958658545448</v>
      </c>
      <c r="C3382" s="32">
        <f ca="1">Model!$F$15+RAND()*(Model!$G$15-Model!$F$15)</f>
        <v>1.5715768012968985E-2</v>
      </c>
      <c r="D3382" s="33">
        <f ca="1">Model!$F$16+RAND()*(Model!$G$16-Model!$F$16)</f>
        <v>52.253963334115447</v>
      </c>
      <c r="E3382" s="33">
        <f>Model!$D$17</f>
        <v>800</v>
      </c>
      <c r="G3382" s="36">
        <f t="shared" ca="1" si="55"/>
        <v>-292.2135942993109</v>
      </c>
    </row>
    <row r="3383" spans="1:7" x14ac:dyDescent="0.2">
      <c r="A3383" s="6">
        <f ca="1">Model!$F$13+RAND()*(Model!$G$13-Model!$F$13)</f>
        <v>1477.9306068052815</v>
      </c>
      <c r="B3383" s="31">
        <f ca="1">Model!$F$14+RAND()*(Model!$G$14-Model!$F$14)</f>
        <v>0.38843758913866816</v>
      </c>
      <c r="C3383" s="32">
        <f ca="1">Model!$F$15+RAND()*(Model!$G$15-Model!$F$15)</f>
        <v>2.5740730180178792E-2</v>
      </c>
      <c r="D3383" s="33">
        <f ca="1">Model!$F$16+RAND()*(Model!$G$16-Model!$F$16)</f>
        <v>49.564889368902158</v>
      </c>
      <c r="E3383" s="33">
        <f>Model!$D$17</f>
        <v>800</v>
      </c>
      <c r="G3383" s="36">
        <f t="shared" ca="1" si="55"/>
        <v>511.51392753411119</v>
      </c>
    </row>
    <row r="3384" spans="1:7" x14ac:dyDescent="0.2">
      <c r="A3384" s="6">
        <f ca="1">Model!$F$13+RAND()*(Model!$G$13-Model!$F$13)</f>
        <v>1646.096658975353</v>
      </c>
      <c r="B3384" s="31">
        <f ca="1">Model!$F$14+RAND()*(Model!$G$14-Model!$F$14)</f>
        <v>0.29299449893153673</v>
      </c>
      <c r="C3384" s="32">
        <f ca="1">Model!$F$15+RAND()*(Model!$G$15-Model!$F$15)</f>
        <v>2.3379801649151433E-2</v>
      </c>
      <c r="D3384" s="33">
        <f ca="1">Model!$F$16+RAND()*(Model!$G$16-Model!$F$16)</f>
        <v>50.571953973653457</v>
      </c>
      <c r="E3384" s="33">
        <f>Model!$D$17</f>
        <v>800</v>
      </c>
      <c r="G3384" s="36">
        <f t="shared" ca="1" si="55"/>
        <v>663.98528843100166</v>
      </c>
    </row>
    <row r="3385" spans="1:7" x14ac:dyDescent="0.2">
      <c r="A3385" s="6">
        <f ca="1">Model!$F$13+RAND()*(Model!$G$13-Model!$F$13)</f>
        <v>1559.9920953533278</v>
      </c>
      <c r="B3385" s="31">
        <f ca="1">Model!$F$14+RAND()*(Model!$G$14-Model!$F$14)</f>
        <v>0.24550007318334038</v>
      </c>
      <c r="C3385" s="32">
        <f ca="1">Model!$F$15+RAND()*(Model!$G$15-Model!$F$15)</f>
        <v>4.0093875701889485E-2</v>
      </c>
      <c r="D3385" s="33">
        <f ca="1">Model!$F$16+RAND()*(Model!$G$16-Model!$F$16)</f>
        <v>50.960104521605061</v>
      </c>
      <c r="E3385" s="33">
        <f>Model!$D$17</f>
        <v>800</v>
      </c>
      <c r="G3385" s="36">
        <f t="shared" ca="1" si="55"/>
        <v>2004.3791061988047</v>
      </c>
    </row>
    <row r="3386" spans="1:7" x14ac:dyDescent="0.2">
      <c r="A3386" s="6">
        <f ca="1">Model!$F$13+RAND()*(Model!$G$13-Model!$F$13)</f>
        <v>1383.5471382327962</v>
      </c>
      <c r="B3386" s="31">
        <f ca="1">Model!$F$14+RAND()*(Model!$G$14-Model!$F$14)</f>
        <v>0.49970407380141274</v>
      </c>
      <c r="C3386" s="32">
        <f ca="1">Model!$F$15+RAND()*(Model!$G$15-Model!$F$15)</f>
        <v>1.6702919291772544E-2</v>
      </c>
      <c r="D3386" s="33">
        <f ca="1">Model!$F$16+RAND()*(Model!$G$16-Model!$F$16)</f>
        <v>49.726687684672676</v>
      </c>
      <c r="E3386" s="33">
        <f>Model!$D$17</f>
        <v>800</v>
      </c>
      <c r="G3386" s="36">
        <f t="shared" ca="1" si="55"/>
        <v>-342.21638173795805</v>
      </c>
    </row>
    <row r="3387" spans="1:7" x14ac:dyDescent="0.2">
      <c r="A3387" s="6">
        <f ca="1">Model!$F$13+RAND()*(Model!$G$13-Model!$F$13)</f>
        <v>1273.8687060089712</v>
      </c>
      <c r="B3387" s="31">
        <f ca="1">Model!$F$14+RAND()*(Model!$G$14-Model!$F$14)</f>
        <v>0.55363102786109519</v>
      </c>
      <c r="C3387" s="32">
        <f ca="1">Model!$F$15+RAND()*(Model!$G$15-Model!$F$15)</f>
        <v>3.0034619860529889E-2</v>
      </c>
      <c r="D3387" s="33">
        <f ca="1">Model!$F$16+RAND()*(Model!$G$16-Model!$F$16)</f>
        <v>52.270508784431591</v>
      </c>
      <c r="E3387" s="33">
        <f>Model!$D$17</f>
        <v>800</v>
      </c>
      <c r="G3387" s="36">
        <f t="shared" ca="1" si="55"/>
        <v>494.62491047279946</v>
      </c>
    </row>
    <row r="3388" spans="1:7" x14ac:dyDescent="0.2">
      <c r="A3388" s="6">
        <f ca="1">Model!$F$13+RAND()*(Model!$G$13-Model!$F$13)</f>
        <v>1214.828829370641</v>
      </c>
      <c r="B3388" s="31">
        <f ca="1">Model!$F$14+RAND()*(Model!$G$14-Model!$F$14)</f>
        <v>0.45198773909206685</v>
      </c>
      <c r="C3388" s="32">
        <f ca="1">Model!$F$15+RAND()*(Model!$G$15-Model!$F$15)</f>
        <v>3.4902629891394817E-2</v>
      </c>
      <c r="D3388" s="33">
        <f ca="1">Model!$F$16+RAND()*(Model!$G$16-Model!$F$16)</f>
        <v>50.237547863779973</v>
      </c>
      <c r="E3388" s="33">
        <f>Model!$D$17</f>
        <v>800</v>
      </c>
      <c r="G3388" s="36">
        <f t="shared" ca="1" si="55"/>
        <v>781.020515374247</v>
      </c>
    </row>
    <row r="3389" spans="1:7" x14ac:dyDescent="0.2">
      <c r="A3389" s="6">
        <f ca="1">Model!$F$13+RAND()*(Model!$G$13-Model!$F$13)</f>
        <v>1777.8736131882724</v>
      </c>
      <c r="B3389" s="31">
        <f ca="1">Model!$F$14+RAND()*(Model!$G$14-Model!$F$14)</f>
        <v>0.76837156448882449</v>
      </c>
      <c r="C3389" s="32">
        <f ca="1">Model!$F$15+RAND()*(Model!$G$15-Model!$F$15)</f>
        <v>2.5788273854235787E-2</v>
      </c>
      <c r="D3389" s="33">
        <f ca="1">Model!$F$16+RAND()*(Model!$G$16-Model!$F$16)</f>
        <v>50.028629649312776</v>
      </c>
      <c r="E3389" s="33">
        <f>Model!$D$17</f>
        <v>800</v>
      </c>
      <c r="G3389" s="36">
        <f t="shared" ca="1" si="55"/>
        <v>127.6596716376007</v>
      </c>
    </row>
    <row r="3390" spans="1:7" x14ac:dyDescent="0.2">
      <c r="A3390" s="6">
        <f ca="1">Model!$F$13+RAND()*(Model!$G$13-Model!$F$13)</f>
        <v>1424.5563466053386</v>
      </c>
      <c r="B3390" s="31">
        <f ca="1">Model!$F$14+RAND()*(Model!$G$14-Model!$F$14)</f>
        <v>0.63409015805125324</v>
      </c>
      <c r="C3390" s="32">
        <f ca="1">Model!$F$15+RAND()*(Model!$G$15-Model!$F$15)</f>
        <v>3.8156775126442298E-2</v>
      </c>
      <c r="D3390" s="33">
        <f ca="1">Model!$F$16+RAND()*(Model!$G$16-Model!$F$16)</f>
        <v>51.643118198864244</v>
      </c>
      <c r="E3390" s="33">
        <f>Model!$D$17</f>
        <v>800</v>
      </c>
      <c r="G3390" s="36">
        <f t="shared" ca="1" si="55"/>
        <v>1103.8407648713551</v>
      </c>
    </row>
    <row r="3391" spans="1:7" x14ac:dyDescent="0.2">
      <c r="A3391" s="6">
        <f ca="1">Model!$F$13+RAND()*(Model!$G$13-Model!$F$13)</f>
        <v>1732.1123423136751</v>
      </c>
      <c r="B3391" s="31">
        <f ca="1">Model!$F$14+RAND()*(Model!$G$14-Model!$F$14)</f>
        <v>0.44797915659777765</v>
      </c>
      <c r="C3391" s="32">
        <f ca="1">Model!$F$15+RAND()*(Model!$G$15-Model!$F$15)</f>
        <v>4.6461851604173189E-2</v>
      </c>
      <c r="D3391" s="33">
        <f ca="1">Model!$F$16+RAND()*(Model!$G$16-Model!$F$16)</f>
        <v>50.5383470744856</v>
      </c>
      <c r="E3391" s="33">
        <f>Model!$D$17</f>
        <v>800</v>
      </c>
      <c r="G3391" s="36">
        <f t="shared" ca="1" si="55"/>
        <v>2491.2317407150813</v>
      </c>
    </row>
    <row r="3392" spans="1:7" x14ac:dyDescent="0.2">
      <c r="A3392" s="6">
        <f ca="1">Model!$F$13+RAND()*(Model!$G$13-Model!$F$13)</f>
        <v>1307.4318098561751</v>
      </c>
      <c r="B3392" s="31">
        <f ca="1">Model!$F$14+RAND()*(Model!$G$14-Model!$F$14)</f>
        <v>0.72270654595220107</v>
      </c>
      <c r="C3392" s="32">
        <f ca="1">Model!$F$15+RAND()*(Model!$G$15-Model!$F$15)</f>
        <v>3.9245482958449832E-2</v>
      </c>
      <c r="D3392" s="33">
        <f ca="1">Model!$F$16+RAND()*(Model!$G$16-Model!$F$16)</f>
        <v>49.176110397456654</v>
      </c>
      <c r="E3392" s="33">
        <f>Model!$D$17</f>
        <v>800</v>
      </c>
      <c r="G3392" s="36">
        <f t="shared" ca="1" si="55"/>
        <v>778.37568458617147</v>
      </c>
    </row>
    <row r="3393" spans="1:7" x14ac:dyDescent="0.2">
      <c r="A3393" s="6">
        <f ca="1">Model!$F$13+RAND()*(Model!$G$13-Model!$F$13)</f>
        <v>1505.8232459117276</v>
      </c>
      <c r="B3393" s="31">
        <f ca="1">Model!$F$14+RAND()*(Model!$G$14-Model!$F$14)</f>
        <v>0.42085500194179132</v>
      </c>
      <c r="C3393" s="32">
        <f ca="1">Model!$F$15+RAND()*(Model!$G$15-Model!$F$15)</f>
        <v>2.2320051313347827E-2</v>
      </c>
      <c r="D3393" s="33">
        <f ca="1">Model!$F$16+RAND()*(Model!$G$16-Model!$F$16)</f>
        <v>48.394125462291221</v>
      </c>
      <c r="E3393" s="33">
        <f>Model!$D$17</f>
        <v>800</v>
      </c>
      <c r="G3393" s="36">
        <f t="shared" ca="1" si="55"/>
        <v>192.79583389022309</v>
      </c>
    </row>
    <row r="3394" spans="1:7" x14ac:dyDescent="0.2">
      <c r="A3394" s="6">
        <f ca="1">Model!$F$13+RAND()*(Model!$G$13-Model!$F$13)</f>
        <v>1498.1085624928837</v>
      </c>
      <c r="B3394" s="31">
        <f ca="1">Model!$F$14+RAND()*(Model!$G$14-Model!$F$14)</f>
        <v>0.52368793710430395</v>
      </c>
      <c r="C3394" s="32">
        <f ca="1">Model!$F$15+RAND()*(Model!$G$15-Model!$F$15)</f>
        <v>4.6562442201495177E-2</v>
      </c>
      <c r="D3394" s="33">
        <f ca="1">Model!$F$16+RAND()*(Model!$G$16-Model!$F$16)</f>
        <v>49.972006272875539</v>
      </c>
      <c r="E3394" s="33">
        <f>Model!$D$17</f>
        <v>800</v>
      </c>
      <c r="G3394" s="36">
        <f t="shared" ca="1" si="55"/>
        <v>1901.2855659360848</v>
      </c>
    </row>
    <row r="3395" spans="1:7" x14ac:dyDescent="0.2">
      <c r="A3395" s="6">
        <f ca="1">Model!$F$13+RAND()*(Model!$G$13-Model!$F$13)</f>
        <v>1249.2335680618389</v>
      </c>
      <c r="B3395" s="31">
        <f ca="1">Model!$F$14+RAND()*(Model!$G$14-Model!$F$14)</f>
        <v>0.32980522839602811</v>
      </c>
      <c r="C3395" s="32">
        <f ca="1">Model!$F$15+RAND()*(Model!$G$15-Model!$F$15)</f>
        <v>1.3396452436593674E-2</v>
      </c>
      <c r="D3395" s="33">
        <f ca="1">Model!$F$16+RAND()*(Model!$G$16-Model!$F$16)</f>
        <v>49.344916105932256</v>
      </c>
      <c r="E3395" s="33">
        <f>Model!$D$17</f>
        <v>800</v>
      </c>
      <c r="G3395" s="36">
        <f t="shared" ca="1" si="55"/>
        <v>-386.20188263028149</v>
      </c>
    </row>
    <row r="3396" spans="1:7" x14ac:dyDescent="0.2">
      <c r="A3396" s="6">
        <f ca="1">Model!$F$13+RAND()*(Model!$G$13-Model!$F$13)</f>
        <v>1532.8702934504242</v>
      </c>
      <c r="B3396" s="31">
        <f ca="1">Model!$F$14+RAND()*(Model!$G$14-Model!$F$14)</f>
        <v>0.39928304631075229</v>
      </c>
      <c r="C3396" s="32">
        <f ca="1">Model!$F$15+RAND()*(Model!$G$15-Model!$F$15)</f>
        <v>4.5876117320758233E-2</v>
      </c>
      <c r="D3396" s="33">
        <f ca="1">Model!$F$16+RAND()*(Model!$G$16-Model!$F$16)</f>
        <v>47.552459767574405</v>
      </c>
      <c r="E3396" s="33">
        <f>Model!$D$17</f>
        <v>800</v>
      </c>
      <c r="G3396" s="36">
        <f t="shared" ca="1" si="55"/>
        <v>1931.9414900584839</v>
      </c>
    </row>
    <row r="3397" spans="1:7" x14ac:dyDescent="0.2">
      <c r="A3397" s="6">
        <f ca="1">Model!$F$13+RAND()*(Model!$G$13-Model!$F$13)</f>
        <v>1280.7818084349733</v>
      </c>
      <c r="B3397" s="31">
        <f ca="1">Model!$F$14+RAND()*(Model!$G$14-Model!$F$14)</f>
        <v>0.27841185609492269</v>
      </c>
      <c r="C3397" s="32">
        <f ca="1">Model!$F$15+RAND()*(Model!$G$15-Model!$F$15)</f>
        <v>2.6644664735428515E-2</v>
      </c>
      <c r="D3397" s="33">
        <f ca="1">Model!$F$16+RAND()*(Model!$G$16-Model!$F$16)</f>
        <v>51.430892881358595</v>
      </c>
      <c r="E3397" s="33">
        <f>Model!$D$17</f>
        <v>800</v>
      </c>
      <c r="G3397" s="36">
        <f t="shared" ca="1" si="55"/>
        <v>598.54590687674795</v>
      </c>
    </row>
    <row r="3398" spans="1:7" x14ac:dyDescent="0.2">
      <c r="A3398" s="6">
        <f ca="1">Model!$F$13+RAND()*(Model!$G$13-Model!$F$13)</f>
        <v>1501.16699912434</v>
      </c>
      <c r="B3398" s="31">
        <f ca="1">Model!$F$14+RAND()*(Model!$G$14-Model!$F$14)</f>
        <v>0.42130388347740544</v>
      </c>
      <c r="C3398" s="32">
        <f ca="1">Model!$F$15+RAND()*(Model!$G$15-Model!$F$15)</f>
        <v>4.6326266685923594E-2</v>
      </c>
      <c r="D3398" s="33">
        <f ca="1">Model!$F$16+RAND()*(Model!$G$16-Model!$F$16)</f>
        <v>48.51579699631295</v>
      </c>
      <c r="E3398" s="33">
        <f>Model!$D$17</f>
        <v>800</v>
      </c>
      <c r="G3398" s="36">
        <f t="shared" ca="1" si="55"/>
        <v>1941.5090343100878</v>
      </c>
    </row>
    <row r="3399" spans="1:7" x14ac:dyDescent="0.2">
      <c r="A3399" s="6">
        <f ca="1">Model!$F$13+RAND()*(Model!$G$13-Model!$F$13)</f>
        <v>1481.5022128133683</v>
      </c>
      <c r="B3399" s="31">
        <f ca="1">Model!$F$14+RAND()*(Model!$G$14-Model!$F$14)</f>
        <v>0.38086715917033653</v>
      </c>
      <c r="C3399" s="32">
        <f ca="1">Model!$F$15+RAND()*(Model!$G$15-Model!$F$15)</f>
        <v>2.3686147815648498E-2</v>
      </c>
      <c r="D3399" s="33">
        <f ca="1">Model!$F$16+RAND()*(Model!$G$16-Model!$F$16)</f>
        <v>48.374734593152979</v>
      </c>
      <c r="E3399" s="33">
        <f>Model!$D$17</f>
        <v>800</v>
      </c>
      <c r="G3399" s="36">
        <f t="shared" ca="1" si="55"/>
        <v>333.26616193048585</v>
      </c>
    </row>
    <row r="3400" spans="1:7" x14ac:dyDescent="0.2">
      <c r="A3400" s="6">
        <f ca="1">Model!$F$13+RAND()*(Model!$G$13-Model!$F$13)</f>
        <v>1224.2686729706129</v>
      </c>
      <c r="B3400" s="31">
        <f ca="1">Model!$F$14+RAND()*(Model!$G$14-Model!$F$14)</f>
        <v>0.26800253862019685</v>
      </c>
      <c r="C3400" s="32">
        <f ca="1">Model!$F$15+RAND()*(Model!$G$15-Model!$F$15)</f>
        <v>1.3115469882349058E-2</v>
      </c>
      <c r="D3400" s="33">
        <f ca="1">Model!$F$16+RAND()*(Model!$G$16-Model!$F$16)</f>
        <v>48.42364974118707</v>
      </c>
      <c r="E3400" s="33">
        <f>Model!$D$17</f>
        <v>800</v>
      </c>
      <c r="G3400" s="36">
        <f t="shared" ca="1" si="55"/>
        <v>-350.57540059256962</v>
      </c>
    </row>
    <row r="3401" spans="1:7" x14ac:dyDescent="0.2">
      <c r="A3401" s="6">
        <f ca="1">Model!$F$13+RAND()*(Model!$G$13-Model!$F$13)</f>
        <v>1318.0681270930984</v>
      </c>
      <c r="B3401" s="31">
        <f ca="1">Model!$F$14+RAND()*(Model!$G$14-Model!$F$14)</f>
        <v>0.44926708366609275</v>
      </c>
      <c r="C3401" s="32">
        <f ca="1">Model!$F$15+RAND()*(Model!$G$15-Model!$F$15)</f>
        <v>2.8165133286723376E-2</v>
      </c>
      <c r="D3401" s="33">
        <f ca="1">Model!$F$16+RAND()*(Model!$G$16-Model!$F$16)</f>
        <v>49.374346082511252</v>
      </c>
      <c r="E3401" s="33">
        <f>Model!$D$17</f>
        <v>800</v>
      </c>
      <c r="G3401" s="36">
        <f t="shared" ca="1" si="55"/>
        <v>440.7870969471951</v>
      </c>
    </row>
    <row r="3402" spans="1:7" x14ac:dyDescent="0.2">
      <c r="A3402" s="6">
        <f ca="1">Model!$F$13+RAND()*(Model!$G$13-Model!$F$13)</f>
        <v>1312.943913721002</v>
      </c>
      <c r="B3402" s="31">
        <f ca="1">Model!$F$14+RAND()*(Model!$G$14-Model!$F$14)</f>
        <v>0.21910924403374665</v>
      </c>
      <c r="C3402" s="32">
        <f ca="1">Model!$F$15+RAND()*(Model!$G$15-Model!$F$15)</f>
        <v>3.3404068579670029E-2</v>
      </c>
      <c r="D3402" s="33">
        <f ca="1">Model!$F$16+RAND()*(Model!$G$16-Model!$F$16)</f>
        <v>47.492156148737202</v>
      </c>
      <c r="E3402" s="33">
        <f>Model!$D$17</f>
        <v>800</v>
      </c>
      <c r="G3402" s="36">
        <f t="shared" ca="1" si="55"/>
        <v>995.21709399900351</v>
      </c>
    </row>
    <row r="3403" spans="1:7" x14ac:dyDescent="0.2">
      <c r="A3403" s="6">
        <f ca="1">Model!$F$13+RAND()*(Model!$G$13-Model!$F$13)</f>
        <v>1659.0066394569576</v>
      </c>
      <c r="B3403" s="31">
        <f ca="1">Model!$F$14+RAND()*(Model!$G$14-Model!$F$14)</f>
        <v>0.41291945608525449</v>
      </c>
      <c r="C3403" s="32">
        <f ca="1">Model!$F$15+RAND()*(Model!$G$15-Model!$F$15)</f>
        <v>2.4026757145635066E-2</v>
      </c>
      <c r="D3403" s="33">
        <f ca="1">Model!$F$16+RAND()*(Model!$G$16-Model!$F$16)</f>
        <v>51.822889930763338</v>
      </c>
      <c r="E3403" s="33">
        <f>Model!$D$17</f>
        <v>800</v>
      </c>
      <c r="G3403" s="36">
        <f t="shared" ca="1" si="55"/>
        <v>580.65275680884361</v>
      </c>
    </row>
    <row r="3404" spans="1:7" x14ac:dyDescent="0.2">
      <c r="A3404" s="6">
        <f ca="1">Model!$F$13+RAND()*(Model!$G$13-Model!$F$13)</f>
        <v>1772.9733969903464</v>
      </c>
      <c r="B3404" s="31">
        <f ca="1">Model!$F$14+RAND()*(Model!$G$14-Model!$F$14)</f>
        <v>0.78284443385805158</v>
      </c>
      <c r="C3404" s="32">
        <f ca="1">Model!$F$15+RAND()*(Model!$G$15-Model!$F$15)</f>
        <v>3.2122825705078156E-2</v>
      </c>
      <c r="D3404" s="33">
        <f ca="1">Model!$F$16+RAND()*(Model!$G$16-Model!$F$16)</f>
        <v>50.913529536748584</v>
      </c>
      <c r="E3404" s="33">
        <f>Model!$D$17</f>
        <v>800</v>
      </c>
      <c r="G3404" s="36">
        <f t="shared" ca="1" si="55"/>
        <v>711.71158578289851</v>
      </c>
    </row>
    <row r="3405" spans="1:7" x14ac:dyDescent="0.2">
      <c r="A3405" s="6">
        <f ca="1">Model!$F$13+RAND()*(Model!$G$13-Model!$F$13)</f>
        <v>1347.4396183918025</v>
      </c>
      <c r="B3405" s="31">
        <f ca="1">Model!$F$14+RAND()*(Model!$G$14-Model!$F$14)</f>
        <v>0.64153917479245481</v>
      </c>
      <c r="C3405" s="32">
        <f ca="1">Model!$F$15+RAND()*(Model!$G$15-Model!$F$15)</f>
        <v>2.6794173704432031E-2</v>
      </c>
      <c r="D3405" s="33">
        <f ca="1">Model!$F$16+RAND()*(Model!$G$16-Model!$F$16)</f>
        <v>48.948751279563858</v>
      </c>
      <c r="E3405" s="33">
        <f>Model!$D$17</f>
        <v>800</v>
      </c>
      <c r="G3405" s="36">
        <f t="shared" ca="1" si="55"/>
        <v>102.7874677372306</v>
      </c>
    </row>
    <row r="3406" spans="1:7" x14ac:dyDescent="0.2">
      <c r="A3406" s="6">
        <f ca="1">Model!$F$13+RAND()*(Model!$G$13-Model!$F$13)</f>
        <v>1614.0108182308381</v>
      </c>
      <c r="B3406" s="31">
        <f ca="1">Model!$F$14+RAND()*(Model!$G$14-Model!$F$14)</f>
        <v>0.41585795458839409</v>
      </c>
      <c r="C3406" s="32">
        <f ca="1">Model!$F$15+RAND()*(Model!$G$15-Model!$F$15)</f>
        <v>3.4042645360557684E-2</v>
      </c>
      <c r="D3406" s="33">
        <f ca="1">Model!$F$16+RAND()*(Model!$G$16-Model!$F$16)</f>
        <v>50.913129303348086</v>
      </c>
      <c r="E3406" s="33">
        <f>Model!$D$17</f>
        <v>800</v>
      </c>
      <c r="G3406" s="36">
        <f t="shared" ca="1" si="55"/>
        <v>1326.232727378263</v>
      </c>
    </row>
    <row r="3407" spans="1:7" x14ac:dyDescent="0.2">
      <c r="A3407" s="6">
        <f ca="1">Model!$F$13+RAND()*(Model!$G$13-Model!$F$13)</f>
        <v>1212.2788774178675</v>
      </c>
      <c r="B3407" s="31">
        <f ca="1">Model!$F$14+RAND()*(Model!$G$14-Model!$F$14)</f>
        <v>0.43543433523843694</v>
      </c>
      <c r="C3407" s="32">
        <f ca="1">Model!$F$15+RAND()*(Model!$G$15-Model!$F$15)</f>
        <v>1.9114272740125973E-2</v>
      </c>
      <c r="D3407" s="33">
        <f ca="1">Model!$F$16+RAND()*(Model!$G$16-Model!$F$16)</f>
        <v>48.669928341372511</v>
      </c>
      <c r="E3407" s="33">
        <f>Model!$D$17</f>
        <v>800</v>
      </c>
      <c r="G3407" s="36">
        <f t="shared" ca="1" si="55"/>
        <v>-200.09658527365264</v>
      </c>
    </row>
    <row r="3408" spans="1:7" x14ac:dyDescent="0.2">
      <c r="A3408" s="6">
        <f ca="1">Model!$F$13+RAND()*(Model!$G$13-Model!$F$13)</f>
        <v>1442.8656340847224</v>
      </c>
      <c r="B3408" s="31">
        <f ca="1">Model!$F$14+RAND()*(Model!$G$14-Model!$F$14)</f>
        <v>0.31285221323661716</v>
      </c>
      <c r="C3408" s="32">
        <f ca="1">Model!$F$15+RAND()*(Model!$G$15-Model!$F$15)</f>
        <v>2.1492695819813952E-2</v>
      </c>
      <c r="D3408" s="33">
        <f ca="1">Model!$F$16+RAND()*(Model!$G$16-Model!$F$16)</f>
        <v>51.197255862739418</v>
      </c>
      <c r="E3408" s="33">
        <f>Model!$D$17</f>
        <v>800</v>
      </c>
      <c r="G3408" s="36">
        <f t="shared" ca="1" si="55"/>
        <v>336.27809006586494</v>
      </c>
    </row>
    <row r="3409" spans="1:7" x14ac:dyDescent="0.2">
      <c r="A3409" s="6">
        <f ca="1">Model!$F$13+RAND()*(Model!$G$13-Model!$F$13)</f>
        <v>1521.3558895225115</v>
      </c>
      <c r="B3409" s="31">
        <f ca="1">Model!$F$14+RAND()*(Model!$G$14-Model!$F$14)</f>
        <v>0.74580408154801159</v>
      </c>
      <c r="C3409" s="32">
        <f ca="1">Model!$F$15+RAND()*(Model!$G$15-Model!$F$15)</f>
        <v>4.4424799625932133E-2</v>
      </c>
      <c r="D3409" s="33">
        <f ca="1">Model!$F$16+RAND()*(Model!$G$16-Model!$F$16)</f>
        <v>50.140019257927875</v>
      </c>
      <c r="E3409" s="33">
        <f>Model!$D$17</f>
        <v>800</v>
      </c>
      <c r="G3409" s="36">
        <f t="shared" ca="1" si="55"/>
        <v>1454.1264275376943</v>
      </c>
    </row>
    <row r="3410" spans="1:7" x14ac:dyDescent="0.2">
      <c r="A3410" s="6">
        <f ca="1">Model!$F$13+RAND()*(Model!$G$13-Model!$F$13)</f>
        <v>1426.4164143208718</v>
      </c>
      <c r="B3410" s="31">
        <f ca="1">Model!$F$14+RAND()*(Model!$G$14-Model!$F$14)</f>
        <v>0.71601243222623778</v>
      </c>
      <c r="C3410" s="32">
        <f ca="1">Model!$F$15+RAND()*(Model!$G$15-Model!$F$15)</f>
        <v>4.2699526920070799E-2</v>
      </c>
      <c r="D3410" s="33">
        <f ca="1">Model!$F$16+RAND()*(Model!$G$16-Model!$F$16)</f>
        <v>50.023020940797906</v>
      </c>
      <c r="E3410" s="33">
        <f>Model!$D$17</f>
        <v>800</v>
      </c>
      <c r="G3410" s="36">
        <f t="shared" ca="1" si="55"/>
        <v>1225.4355614284159</v>
      </c>
    </row>
    <row r="3411" spans="1:7" x14ac:dyDescent="0.2">
      <c r="A3411" s="6">
        <f ca="1">Model!$F$13+RAND()*(Model!$G$13-Model!$F$13)</f>
        <v>1642.3548087581594</v>
      </c>
      <c r="B3411" s="31">
        <f ca="1">Model!$F$14+RAND()*(Model!$G$14-Model!$F$14)</f>
        <v>0.22173874367974525</v>
      </c>
      <c r="C3411" s="32">
        <f ca="1">Model!$F$15+RAND()*(Model!$G$15-Model!$F$15)</f>
        <v>1.9532838932404265E-2</v>
      </c>
      <c r="D3411" s="33">
        <f ca="1">Model!$F$16+RAND()*(Model!$G$16-Model!$F$16)</f>
        <v>51.885081192962502</v>
      </c>
      <c r="E3411" s="33">
        <f>Model!$D$17</f>
        <v>800</v>
      </c>
      <c r="G3411" s="36">
        <f t="shared" ca="1" si="55"/>
        <v>500.29203107892272</v>
      </c>
    </row>
    <row r="3412" spans="1:7" x14ac:dyDescent="0.2">
      <c r="A3412" s="6">
        <f ca="1">Model!$F$13+RAND()*(Model!$G$13-Model!$F$13)</f>
        <v>1606.8651655038975</v>
      </c>
      <c r="B3412" s="31">
        <f ca="1">Model!$F$14+RAND()*(Model!$G$14-Model!$F$14)</f>
        <v>0.37889294941720797</v>
      </c>
      <c r="C3412" s="32">
        <f ca="1">Model!$F$15+RAND()*(Model!$G$15-Model!$F$15)</f>
        <v>2.6371442937036325E-2</v>
      </c>
      <c r="D3412" s="33">
        <f ca="1">Model!$F$16+RAND()*(Model!$G$16-Model!$F$16)</f>
        <v>49.719189765840369</v>
      </c>
      <c r="E3412" s="33">
        <f>Model!$D$17</f>
        <v>800</v>
      </c>
      <c r="G3412" s="36">
        <f t="shared" ca="1" si="55"/>
        <v>698.03833630230088</v>
      </c>
    </row>
    <row r="3413" spans="1:7" x14ac:dyDescent="0.2">
      <c r="A3413" s="6">
        <f ca="1">Model!$F$13+RAND()*(Model!$G$13-Model!$F$13)</f>
        <v>1469.7401022158169</v>
      </c>
      <c r="B3413" s="31">
        <f ca="1">Model!$F$14+RAND()*(Model!$G$14-Model!$F$14)</f>
        <v>0.29313507178469966</v>
      </c>
      <c r="C3413" s="32">
        <f ca="1">Model!$F$15+RAND()*(Model!$G$15-Model!$F$15)</f>
        <v>2.0627637245461676E-2</v>
      </c>
      <c r="D3413" s="33">
        <f ca="1">Model!$F$16+RAND()*(Model!$G$16-Model!$F$16)</f>
        <v>49.368895524651435</v>
      </c>
      <c r="E3413" s="33">
        <f>Model!$D$17</f>
        <v>800</v>
      </c>
      <c r="G3413" s="36">
        <f t="shared" ca="1" si="55"/>
        <v>265.89755126594628</v>
      </c>
    </row>
    <row r="3414" spans="1:7" x14ac:dyDescent="0.2">
      <c r="A3414" s="6">
        <f ca="1">Model!$F$13+RAND()*(Model!$G$13-Model!$F$13)</f>
        <v>1294.7750157924891</v>
      </c>
      <c r="B3414" s="31">
        <f ca="1">Model!$F$14+RAND()*(Model!$G$14-Model!$F$14)</f>
        <v>0.67250731757128301</v>
      </c>
      <c r="C3414" s="32">
        <f ca="1">Model!$F$15+RAND()*(Model!$G$15-Model!$F$15)</f>
        <v>3.4991456518140847E-2</v>
      </c>
      <c r="D3414" s="33">
        <f ca="1">Model!$F$16+RAND()*(Model!$G$16-Model!$F$16)</f>
        <v>50.643632085808335</v>
      </c>
      <c r="E3414" s="33">
        <f>Model!$D$17</f>
        <v>800</v>
      </c>
      <c r="G3414" s="36">
        <f t="shared" ca="1" si="55"/>
        <v>623.71794682201244</v>
      </c>
    </row>
    <row r="3415" spans="1:7" x14ac:dyDescent="0.2">
      <c r="A3415" s="6">
        <f ca="1">Model!$F$13+RAND()*(Model!$G$13-Model!$F$13)</f>
        <v>1419.8105451143513</v>
      </c>
      <c r="B3415" s="31">
        <f ca="1">Model!$F$14+RAND()*(Model!$G$14-Model!$F$14)</f>
        <v>0.65752131725283358</v>
      </c>
      <c r="C3415" s="32">
        <f ca="1">Model!$F$15+RAND()*(Model!$G$15-Model!$F$15)</f>
        <v>1.8304841059373807E-2</v>
      </c>
      <c r="D3415" s="33">
        <f ca="1">Model!$F$16+RAND()*(Model!$G$16-Model!$F$16)</f>
        <v>51.627585604163841</v>
      </c>
      <c r="E3415" s="33">
        <f>Model!$D$17</f>
        <v>800</v>
      </c>
      <c r="G3415" s="36">
        <f t="shared" ca="1" si="55"/>
        <v>-391.7853980792363</v>
      </c>
    </row>
    <row r="3416" spans="1:7" x14ac:dyDescent="0.2">
      <c r="A3416" s="6">
        <f ca="1">Model!$F$13+RAND()*(Model!$G$13-Model!$F$13)</f>
        <v>1427.0184731353156</v>
      </c>
      <c r="B3416" s="31">
        <f ca="1">Model!$F$14+RAND()*(Model!$G$14-Model!$F$14)</f>
        <v>0.52511990027306155</v>
      </c>
      <c r="C3416" s="32">
        <f ca="1">Model!$F$15+RAND()*(Model!$G$15-Model!$F$15)</f>
        <v>4.0389954614531202E-2</v>
      </c>
      <c r="D3416" s="33">
        <f ca="1">Model!$F$16+RAND()*(Model!$G$16-Model!$F$16)</f>
        <v>47.175604204861344</v>
      </c>
      <c r="E3416" s="33">
        <f>Model!$D$17</f>
        <v>800</v>
      </c>
      <c r="G3416" s="36">
        <f t="shared" ca="1" si="55"/>
        <v>1169.7144724809245</v>
      </c>
    </row>
    <row r="3417" spans="1:7" x14ac:dyDescent="0.2">
      <c r="A3417" s="6">
        <f ca="1">Model!$F$13+RAND()*(Model!$G$13-Model!$F$13)</f>
        <v>1276.7047562152243</v>
      </c>
      <c r="B3417" s="31">
        <f ca="1">Model!$F$14+RAND()*(Model!$G$14-Model!$F$14)</f>
        <v>0.64875157966309716</v>
      </c>
      <c r="C3417" s="32">
        <f ca="1">Model!$F$15+RAND()*(Model!$G$15-Model!$F$15)</f>
        <v>3.7671712638885017E-2</v>
      </c>
      <c r="D3417" s="33">
        <f ca="1">Model!$F$16+RAND()*(Model!$G$16-Model!$F$16)</f>
        <v>50.98190138005922</v>
      </c>
      <c r="E3417" s="33">
        <f>Model!$D$17</f>
        <v>800</v>
      </c>
      <c r="G3417" s="36">
        <f t="shared" ca="1" si="55"/>
        <v>823.74369740947191</v>
      </c>
    </row>
    <row r="3418" spans="1:7" x14ac:dyDescent="0.2">
      <c r="A3418" s="6">
        <f ca="1">Model!$F$13+RAND()*(Model!$G$13-Model!$F$13)</f>
        <v>1318.7779191643733</v>
      </c>
      <c r="B3418" s="31">
        <f ca="1">Model!$F$14+RAND()*(Model!$G$14-Model!$F$14)</f>
        <v>0.43850505783935584</v>
      </c>
      <c r="C3418" s="32">
        <f ca="1">Model!$F$15+RAND()*(Model!$G$15-Model!$F$15)</f>
        <v>3.5953452297963477E-2</v>
      </c>
      <c r="D3418" s="33">
        <f ca="1">Model!$F$16+RAND()*(Model!$G$16-Model!$F$16)</f>
        <v>51.85010286293133</v>
      </c>
      <c r="E3418" s="33">
        <f>Model!$D$17</f>
        <v>800</v>
      </c>
      <c r="G3418" s="36">
        <f t="shared" ca="1" si="55"/>
        <v>1080.1620850657769</v>
      </c>
    </row>
    <row r="3419" spans="1:7" x14ac:dyDescent="0.2">
      <c r="A3419" s="6">
        <f ca="1">Model!$F$13+RAND()*(Model!$G$13-Model!$F$13)</f>
        <v>1683.8139189826434</v>
      </c>
      <c r="B3419" s="31">
        <f ca="1">Model!$F$14+RAND()*(Model!$G$14-Model!$F$14)</f>
        <v>0.34599298328999606</v>
      </c>
      <c r="C3419" s="32">
        <f ca="1">Model!$F$15+RAND()*(Model!$G$15-Model!$F$15)</f>
        <v>1.863689215350393E-2</v>
      </c>
      <c r="D3419" s="33">
        <f ca="1">Model!$F$16+RAND()*(Model!$G$16-Model!$F$16)</f>
        <v>47.357972276305929</v>
      </c>
      <c r="E3419" s="33">
        <f>Model!$D$17</f>
        <v>800</v>
      </c>
      <c r="G3419" s="36">
        <f t="shared" ca="1" si="55"/>
        <v>103.55549326802793</v>
      </c>
    </row>
    <row r="3420" spans="1:7" x14ac:dyDescent="0.2">
      <c r="A3420" s="6">
        <f ca="1">Model!$F$13+RAND()*(Model!$G$13-Model!$F$13)</f>
        <v>1600.090749625557</v>
      </c>
      <c r="B3420" s="31">
        <f ca="1">Model!$F$14+RAND()*(Model!$G$14-Model!$F$14)</f>
        <v>0.46595253906685591</v>
      </c>
      <c r="C3420" s="32">
        <f ca="1">Model!$F$15+RAND()*(Model!$G$15-Model!$F$15)</f>
        <v>3.8412767017702389E-2</v>
      </c>
      <c r="D3420" s="33">
        <f ca="1">Model!$F$16+RAND()*(Model!$G$16-Model!$F$16)</f>
        <v>47.376081093879655</v>
      </c>
      <c r="E3420" s="33">
        <f>Model!$D$17</f>
        <v>800</v>
      </c>
      <c r="G3420" s="36">
        <f t="shared" ca="1" si="55"/>
        <v>1366.3529872843612</v>
      </c>
    </row>
    <row r="3421" spans="1:7" x14ac:dyDescent="0.2">
      <c r="A3421" s="6">
        <f ca="1">Model!$F$13+RAND()*(Model!$G$13-Model!$F$13)</f>
        <v>1529.0952512366002</v>
      </c>
      <c r="B3421" s="31">
        <f ca="1">Model!$F$14+RAND()*(Model!$G$14-Model!$F$14)</f>
        <v>0.60635516492684871</v>
      </c>
      <c r="C3421" s="32">
        <f ca="1">Model!$F$15+RAND()*(Model!$G$15-Model!$F$15)</f>
        <v>1.8346208878161685E-2</v>
      </c>
      <c r="D3421" s="33">
        <f ca="1">Model!$F$16+RAND()*(Model!$G$16-Model!$F$16)</f>
        <v>48.62848907662071</v>
      </c>
      <c r="E3421" s="33">
        <f>Model!$D$17</f>
        <v>800</v>
      </c>
      <c r="G3421" s="36">
        <f t="shared" ca="1" si="55"/>
        <v>-362.99489384590697</v>
      </c>
    </row>
    <row r="3422" spans="1:7" x14ac:dyDescent="0.2">
      <c r="A3422" s="6">
        <f ca="1">Model!$F$13+RAND()*(Model!$G$13-Model!$F$13)</f>
        <v>1417.7393080136819</v>
      </c>
      <c r="B3422" s="31">
        <f ca="1">Model!$F$14+RAND()*(Model!$G$14-Model!$F$14)</f>
        <v>0.31963095147836196</v>
      </c>
      <c r="C3422" s="32">
        <f ca="1">Model!$F$15+RAND()*(Model!$G$15-Model!$F$15)</f>
        <v>2.925683708407114E-2</v>
      </c>
      <c r="D3422" s="33">
        <f ca="1">Model!$F$16+RAND()*(Model!$G$16-Model!$F$16)</f>
        <v>52.989822883995956</v>
      </c>
      <c r="E3422" s="33">
        <f>Model!$D$17</f>
        <v>800</v>
      </c>
      <c r="G3422" s="36">
        <f t="shared" ca="1" si="55"/>
        <v>944.78860583220103</v>
      </c>
    </row>
    <row r="3423" spans="1:7" x14ac:dyDescent="0.2">
      <c r="A3423" s="6">
        <f ca="1">Model!$F$13+RAND()*(Model!$G$13-Model!$F$13)</f>
        <v>1416.357605523755</v>
      </c>
      <c r="B3423" s="31">
        <f ca="1">Model!$F$14+RAND()*(Model!$G$14-Model!$F$14)</f>
        <v>0.48105797061176481</v>
      </c>
      <c r="C3423" s="32">
        <f ca="1">Model!$F$15+RAND()*(Model!$G$15-Model!$F$15)</f>
        <v>2.921762570409215E-2</v>
      </c>
      <c r="D3423" s="33">
        <f ca="1">Model!$F$16+RAND()*(Model!$G$16-Model!$F$16)</f>
        <v>50.894922124435176</v>
      </c>
      <c r="E3423" s="33">
        <f>Model!$D$17</f>
        <v>800</v>
      </c>
      <c r="G3423" s="36">
        <f t="shared" ca="1" si="55"/>
        <v>624.81441371051869</v>
      </c>
    </row>
    <row r="3424" spans="1:7" x14ac:dyDescent="0.2">
      <c r="A3424" s="6">
        <f ca="1">Model!$F$13+RAND()*(Model!$G$13-Model!$F$13)</f>
        <v>1676.930644554747</v>
      </c>
      <c r="B3424" s="31">
        <f ca="1">Model!$F$14+RAND()*(Model!$G$14-Model!$F$14)</f>
        <v>0.72713052705585746</v>
      </c>
      <c r="C3424" s="32">
        <f ca="1">Model!$F$15+RAND()*(Model!$G$15-Model!$F$15)</f>
        <v>2.4754681548484495E-2</v>
      </c>
      <c r="D3424" s="33">
        <f ca="1">Model!$F$16+RAND()*(Model!$G$16-Model!$F$16)</f>
        <v>50.608183999215683</v>
      </c>
      <c r="E3424" s="33">
        <f>Model!$D$17</f>
        <v>800</v>
      </c>
      <c r="G3424" s="36">
        <f t="shared" ca="1" si="55"/>
        <v>81.493604508869112</v>
      </c>
    </row>
    <row r="3425" spans="1:7" x14ac:dyDescent="0.2">
      <c r="A3425" s="6">
        <f ca="1">Model!$F$13+RAND()*(Model!$G$13-Model!$F$13)</f>
        <v>1721.0897568720925</v>
      </c>
      <c r="B3425" s="31">
        <f ca="1">Model!$F$14+RAND()*(Model!$G$14-Model!$F$14)</f>
        <v>0.21152235538777717</v>
      </c>
      <c r="C3425" s="32">
        <f ca="1">Model!$F$15+RAND()*(Model!$G$15-Model!$F$15)</f>
        <v>2.0957254908821346E-2</v>
      </c>
      <c r="D3425" s="33">
        <f ca="1">Model!$F$16+RAND()*(Model!$G$16-Model!$F$16)</f>
        <v>52.231024395657727</v>
      </c>
      <c r="E3425" s="33">
        <f>Model!$D$17</f>
        <v>800</v>
      </c>
      <c r="G3425" s="36">
        <f t="shared" ca="1" si="55"/>
        <v>719.888404195867</v>
      </c>
    </row>
    <row r="3426" spans="1:7" x14ac:dyDescent="0.2">
      <c r="A3426" s="6">
        <f ca="1">Model!$F$13+RAND()*(Model!$G$13-Model!$F$13)</f>
        <v>1784.8062273230778</v>
      </c>
      <c r="B3426" s="31">
        <f ca="1">Model!$F$14+RAND()*(Model!$G$14-Model!$F$14)</f>
        <v>0.47622748074449778</v>
      </c>
      <c r="C3426" s="32">
        <f ca="1">Model!$F$15+RAND()*(Model!$G$15-Model!$F$15)</f>
        <v>4.833774162895646E-2</v>
      </c>
      <c r="D3426" s="33">
        <f ca="1">Model!$F$16+RAND()*(Model!$G$16-Model!$F$16)</f>
        <v>52.426311962398017</v>
      </c>
      <c r="E3426" s="33">
        <f>Model!$D$17</f>
        <v>800</v>
      </c>
      <c r="G3426" s="36">
        <f t="shared" ca="1" si="55"/>
        <v>2873.0277710552232</v>
      </c>
    </row>
    <row r="3427" spans="1:7" x14ac:dyDescent="0.2">
      <c r="A3427" s="6">
        <f ca="1">Model!$F$13+RAND()*(Model!$G$13-Model!$F$13)</f>
        <v>1357.8461503761691</v>
      </c>
      <c r="B3427" s="31">
        <f ca="1">Model!$F$14+RAND()*(Model!$G$14-Model!$F$14)</f>
        <v>0.73651567443261468</v>
      </c>
      <c r="C3427" s="32">
        <f ca="1">Model!$F$15+RAND()*(Model!$G$15-Model!$F$15)</f>
        <v>2.8067808918507665E-2</v>
      </c>
      <c r="D3427" s="33">
        <f ca="1">Model!$F$16+RAND()*(Model!$G$16-Model!$F$16)</f>
        <v>47.33356975490225</v>
      </c>
      <c r="E3427" s="33">
        <f>Model!$D$17</f>
        <v>800</v>
      </c>
      <c r="G3427" s="36">
        <f t="shared" ca="1" si="55"/>
        <v>3.8909749260512854</v>
      </c>
    </row>
    <row r="3428" spans="1:7" x14ac:dyDescent="0.2">
      <c r="A3428" s="6">
        <f ca="1">Model!$F$13+RAND()*(Model!$G$13-Model!$F$13)</f>
        <v>1619.1644310063941</v>
      </c>
      <c r="B3428" s="31">
        <f ca="1">Model!$F$14+RAND()*(Model!$G$14-Model!$F$14)</f>
        <v>0.47073309083784087</v>
      </c>
      <c r="C3428" s="32">
        <f ca="1">Model!$F$15+RAND()*(Model!$G$15-Model!$F$15)</f>
        <v>1.1538614667495693E-2</v>
      </c>
      <c r="D3428" s="33">
        <f ca="1">Model!$F$16+RAND()*(Model!$G$16-Model!$F$16)</f>
        <v>49.076134891277292</v>
      </c>
      <c r="E3428" s="33">
        <f>Model!$D$17</f>
        <v>800</v>
      </c>
      <c r="G3428" s="36">
        <f t="shared" ca="1" si="55"/>
        <v>-645.30904733954742</v>
      </c>
    </row>
    <row r="3429" spans="1:7" x14ac:dyDescent="0.2">
      <c r="A3429" s="6">
        <f ca="1">Model!$F$13+RAND()*(Model!$G$13-Model!$F$13)</f>
        <v>1760.6578405936166</v>
      </c>
      <c r="B3429" s="31">
        <f ca="1">Model!$F$14+RAND()*(Model!$G$14-Model!$F$14)</f>
        <v>0.45466480085205735</v>
      </c>
      <c r="C3429" s="32">
        <f ca="1">Model!$F$15+RAND()*(Model!$G$15-Model!$F$15)</f>
        <v>3.3910076683068502E-2</v>
      </c>
      <c r="D3429" s="33">
        <f ca="1">Model!$F$16+RAND()*(Model!$G$16-Model!$F$16)</f>
        <v>48.813711853174169</v>
      </c>
      <c r="E3429" s="33">
        <f>Model!$D$17</f>
        <v>800</v>
      </c>
      <c r="G3429" s="36">
        <f t="shared" ca="1" si="55"/>
        <v>1313.8667750951636</v>
      </c>
    </row>
    <row r="3430" spans="1:7" x14ac:dyDescent="0.2">
      <c r="A3430" s="6">
        <f ca="1">Model!$F$13+RAND()*(Model!$G$13-Model!$F$13)</f>
        <v>1206.9564932429803</v>
      </c>
      <c r="B3430" s="31">
        <f ca="1">Model!$F$14+RAND()*(Model!$G$14-Model!$F$14)</f>
        <v>0.21774700153673424</v>
      </c>
      <c r="C3430" s="32">
        <f ca="1">Model!$F$15+RAND()*(Model!$G$15-Model!$F$15)</f>
        <v>3.2262784789945126E-2</v>
      </c>
      <c r="D3430" s="33">
        <f ca="1">Model!$F$16+RAND()*(Model!$G$16-Model!$F$16)</f>
        <v>48.320342095947751</v>
      </c>
      <c r="E3430" s="33">
        <f>Model!$D$17</f>
        <v>800</v>
      </c>
      <c r="G3430" s="36">
        <f t="shared" ca="1" si="55"/>
        <v>818.77221701232043</v>
      </c>
    </row>
    <row r="3431" spans="1:7" x14ac:dyDescent="0.2">
      <c r="A3431" s="6">
        <f ca="1">Model!$F$13+RAND()*(Model!$G$13-Model!$F$13)</f>
        <v>1436.6467723341398</v>
      </c>
      <c r="B3431" s="31">
        <f ca="1">Model!$F$14+RAND()*(Model!$G$14-Model!$F$14)</f>
        <v>0.34145564856700816</v>
      </c>
      <c r="C3431" s="32">
        <f ca="1">Model!$F$15+RAND()*(Model!$G$15-Model!$F$15)</f>
        <v>2.7008970960156843E-2</v>
      </c>
      <c r="D3431" s="33">
        <f ca="1">Model!$F$16+RAND()*(Model!$G$16-Model!$F$16)</f>
        <v>49.878688409629511</v>
      </c>
      <c r="E3431" s="33">
        <f>Model!$D$17</f>
        <v>800</v>
      </c>
      <c r="G3431" s="36">
        <f t="shared" ca="1" si="55"/>
        <v>644.85921738539878</v>
      </c>
    </row>
    <row r="3432" spans="1:7" x14ac:dyDescent="0.2">
      <c r="A3432" s="6">
        <f ca="1">Model!$F$13+RAND()*(Model!$G$13-Model!$F$13)</f>
        <v>1450.3269468677245</v>
      </c>
      <c r="B3432" s="31">
        <f ca="1">Model!$F$14+RAND()*(Model!$G$14-Model!$F$14)</f>
        <v>0.31532144577671373</v>
      </c>
      <c r="C3432" s="32">
        <f ca="1">Model!$F$15+RAND()*(Model!$G$15-Model!$F$15)</f>
        <v>4.6833262486014611E-2</v>
      </c>
      <c r="D3432" s="33">
        <f ca="1">Model!$F$16+RAND()*(Model!$G$16-Model!$F$16)</f>
        <v>52.369752595423741</v>
      </c>
      <c r="E3432" s="33">
        <f>Model!$D$17</f>
        <v>800</v>
      </c>
      <c r="G3432" s="36">
        <f t="shared" ca="1" si="55"/>
        <v>2299.819931275159</v>
      </c>
    </row>
    <row r="3433" spans="1:7" x14ac:dyDescent="0.2">
      <c r="A3433" s="6">
        <f ca="1">Model!$F$13+RAND()*(Model!$G$13-Model!$F$13)</f>
        <v>1570.241885329714</v>
      </c>
      <c r="B3433" s="31">
        <f ca="1">Model!$F$14+RAND()*(Model!$G$14-Model!$F$14)</f>
        <v>0.4497053874660159</v>
      </c>
      <c r="C3433" s="32">
        <f ca="1">Model!$F$15+RAND()*(Model!$G$15-Model!$F$15)</f>
        <v>4.2702641172818925E-2</v>
      </c>
      <c r="D3433" s="33">
        <f ca="1">Model!$F$16+RAND()*(Model!$G$16-Model!$F$16)</f>
        <v>48.450273248388328</v>
      </c>
      <c r="E3433" s="33">
        <f>Model!$D$17</f>
        <v>800</v>
      </c>
      <c r="G3433" s="36">
        <f t="shared" ref="G3433:G3496" ca="1" si="56">A3433*C3433*D3433-(E3433+A3433*B3433)</f>
        <v>1742.6129885200598</v>
      </c>
    </row>
    <row r="3434" spans="1:7" x14ac:dyDescent="0.2">
      <c r="A3434" s="6">
        <f ca="1">Model!$F$13+RAND()*(Model!$G$13-Model!$F$13)</f>
        <v>1688.7849329339906</v>
      </c>
      <c r="B3434" s="31">
        <f ca="1">Model!$F$14+RAND()*(Model!$G$14-Model!$F$14)</f>
        <v>0.49437947872351085</v>
      </c>
      <c r="C3434" s="32">
        <f ca="1">Model!$F$15+RAND()*(Model!$G$15-Model!$F$15)</f>
        <v>1.7410861267091488E-2</v>
      </c>
      <c r="D3434" s="33">
        <f ca="1">Model!$F$16+RAND()*(Model!$G$16-Model!$F$16)</f>
        <v>48.067734263172312</v>
      </c>
      <c r="E3434" s="33">
        <f>Model!$D$17</f>
        <v>800</v>
      </c>
      <c r="G3434" s="36">
        <f t="shared" ca="1" si="56"/>
        <v>-221.55540221224101</v>
      </c>
    </row>
    <row r="3435" spans="1:7" x14ac:dyDescent="0.2">
      <c r="A3435" s="6">
        <f ca="1">Model!$F$13+RAND()*(Model!$G$13-Model!$F$13)</f>
        <v>1792.9633726230554</v>
      </c>
      <c r="B3435" s="31">
        <f ca="1">Model!$F$14+RAND()*(Model!$G$14-Model!$F$14)</f>
        <v>0.59360762292162761</v>
      </c>
      <c r="C3435" s="32">
        <f ca="1">Model!$F$15+RAND()*(Model!$G$15-Model!$F$15)</f>
        <v>1.8074377652144896E-2</v>
      </c>
      <c r="D3435" s="33">
        <f ca="1">Model!$F$16+RAND()*(Model!$G$16-Model!$F$16)</f>
        <v>48.078759070127859</v>
      </c>
      <c r="E3435" s="33">
        <f>Model!$D$17</f>
        <v>800</v>
      </c>
      <c r="G3435" s="36">
        <f t="shared" ca="1" si="56"/>
        <v>-306.24294284164148</v>
      </c>
    </row>
    <row r="3436" spans="1:7" x14ac:dyDescent="0.2">
      <c r="A3436" s="6">
        <f ca="1">Model!$F$13+RAND()*(Model!$G$13-Model!$F$13)</f>
        <v>1342.094556454331</v>
      </c>
      <c r="B3436" s="31">
        <f ca="1">Model!$F$14+RAND()*(Model!$G$14-Model!$F$14)</f>
        <v>0.28345233001716291</v>
      </c>
      <c r="C3436" s="32">
        <f ca="1">Model!$F$15+RAND()*(Model!$G$15-Model!$F$15)</f>
        <v>1.0629652028315317E-2</v>
      </c>
      <c r="D3436" s="33">
        <f ca="1">Model!$F$16+RAND()*(Model!$G$16-Model!$F$16)</f>
        <v>51.730252263408914</v>
      </c>
      <c r="E3436" s="33">
        <f>Model!$D$17</f>
        <v>800</v>
      </c>
      <c r="G3436" s="36">
        <f t="shared" ca="1" si="56"/>
        <v>-442.4361473758504</v>
      </c>
    </row>
    <row r="3437" spans="1:7" x14ac:dyDescent="0.2">
      <c r="A3437" s="6">
        <f ca="1">Model!$F$13+RAND()*(Model!$G$13-Model!$F$13)</f>
        <v>1414.3619367850274</v>
      </c>
      <c r="B3437" s="31">
        <f ca="1">Model!$F$14+RAND()*(Model!$G$14-Model!$F$14)</f>
        <v>0.50807805253521954</v>
      </c>
      <c r="C3437" s="32">
        <f ca="1">Model!$F$15+RAND()*(Model!$G$15-Model!$F$15)</f>
        <v>1.7257178236828735E-2</v>
      </c>
      <c r="D3437" s="33">
        <f ca="1">Model!$F$16+RAND()*(Model!$G$16-Model!$F$16)</f>
        <v>48.113132812738868</v>
      </c>
      <c r="E3437" s="33">
        <f>Model!$D$17</f>
        <v>800</v>
      </c>
      <c r="G3437" s="36">
        <f t="shared" ca="1" si="56"/>
        <v>-344.26591483495395</v>
      </c>
    </row>
    <row r="3438" spans="1:7" x14ac:dyDescent="0.2">
      <c r="A3438" s="6">
        <f ca="1">Model!$F$13+RAND()*(Model!$G$13-Model!$F$13)</f>
        <v>1693.6747229231912</v>
      </c>
      <c r="B3438" s="31">
        <f ca="1">Model!$F$14+RAND()*(Model!$G$14-Model!$F$14)</f>
        <v>0.56312309065914201</v>
      </c>
      <c r="C3438" s="32">
        <f ca="1">Model!$F$15+RAND()*(Model!$G$15-Model!$F$15)</f>
        <v>2.9072035823933404E-2</v>
      </c>
      <c r="D3438" s="33">
        <f ca="1">Model!$F$16+RAND()*(Model!$G$16-Model!$F$16)</f>
        <v>48.494922389678095</v>
      </c>
      <c r="E3438" s="33">
        <f>Model!$D$17</f>
        <v>800</v>
      </c>
      <c r="G3438" s="36">
        <f t="shared" ca="1" si="56"/>
        <v>634.07339379099631</v>
      </c>
    </row>
    <row r="3439" spans="1:7" x14ac:dyDescent="0.2">
      <c r="A3439" s="6">
        <f ca="1">Model!$F$13+RAND()*(Model!$G$13-Model!$F$13)</f>
        <v>1424.7711491396808</v>
      </c>
      <c r="B3439" s="31">
        <f ca="1">Model!$F$14+RAND()*(Model!$G$14-Model!$F$14)</f>
        <v>0.44393460335291079</v>
      </c>
      <c r="C3439" s="32">
        <f ca="1">Model!$F$15+RAND()*(Model!$G$15-Model!$F$15)</f>
        <v>4.222501275659362E-2</v>
      </c>
      <c r="D3439" s="33">
        <f ca="1">Model!$F$16+RAND()*(Model!$G$16-Model!$F$16)</f>
        <v>52.270419774120271</v>
      </c>
      <c r="E3439" s="33">
        <f>Model!$D$17</f>
        <v>800</v>
      </c>
      <c r="G3439" s="36">
        <f t="shared" ca="1" si="56"/>
        <v>1712.13446092408</v>
      </c>
    </row>
    <row r="3440" spans="1:7" x14ac:dyDescent="0.2">
      <c r="A3440" s="6">
        <f ca="1">Model!$F$13+RAND()*(Model!$G$13-Model!$F$13)</f>
        <v>1653.9993876212852</v>
      </c>
      <c r="B3440" s="31">
        <f ca="1">Model!$F$14+RAND()*(Model!$G$14-Model!$F$14)</f>
        <v>0.31937776085448066</v>
      </c>
      <c r="C3440" s="32">
        <f ca="1">Model!$F$15+RAND()*(Model!$G$15-Model!$F$15)</f>
        <v>3.2759754150241606E-2</v>
      </c>
      <c r="D3440" s="33">
        <f ca="1">Model!$F$16+RAND()*(Model!$G$16-Model!$F$16)</f>
        <v>49.715984639435121</v>
      </c>
      <c r="E3440" s="33">
        <f>Model!$D$17</f>
        <v>800</v>
      </c>
      <c r="G3440" s="36">
        <f t="shared" ca="1" si="56"/>
        <v>1365.5907817986499</v>
      </c>
    </row>
    <row r="3441" spans="1:7" x14ac:dyDescent="0.2">
      <c r="A3441" s="6">
        <f ca="1">Model!$F$13+RAND()*(Model!$G$13-Model!$F$13)</f>
        <v>1250.8927988680293</v>
      </c>
      <c r="B3441" s="31">
        <f ca="1">Model!$F$14+RAND()*(Model!$G$14-Model!$F$14)</f>
        <v>0.35545917744251532</v>
      </c>
      <c r="C3441" s="32">
        <f ca="1">Model!$F$15+RAND()*(Model!$G$15-Model!$F$15)</f>
        <v>3.0392869431617543E-2</v>
      </c>
      <c r="D3441" s="33">
        <f ca="1">Model!$F$16+RAND()*(Model!$G$16-Model!$F$16)</f>
        <v>48.733653819734478</v>
      </c>
      <c r="E3441" s="33">
        <f>Model!$D$17</f>
        <v>800</v>
      </c>
      <c r="G3441" s="36">
        <f t="shared" ca="1" si="56"/>
        <v>608.12552050459317</v>
      </c>
    </row>
    <row r="3442" spans="1:7" x14ac:dyDescent="0.2">
      <c r="A3442" s="6">
        <f ca="1">Model!$F$13+RAND()*(Model!$G$13-Model!$F$13)</f>
        <v>1394.2599093830272</v>
      </c>
      <c r="B3442" s="31">
        <f ca="1">Model!$F$14+RAND()*(Model!$G$14-Model!$F$14)</f>
        <v>0.34014016749471898</v>
      </c>
      <c r="C3442" s="32">
        <f ca="1">Model!$F$15+RAND()*(Model!$G$15-Model!$F$15)</f>
        <v>4.8227852699027657E-2</v>
      </c>
      <c r="D3442" s="33">
        <f ca="1">Model!$F$16+RAND()*(Model!$G$16-Model!$F$16)</f>
        <v>48.407121770320749</v>
      </c>
      <c r="E3442" s="33">
        <f>Model!$D$17</f>
        <v>800</v>
      </c>
      <c r="G3442" s="36">
        <f t="shared" ca="1" si="56"/>
        <v>1980.7557023616</v>
      </c>
    </row>
    <row r="3443" spans="1:7" x14ac:dyDescent="0.2">
      <c r="A3443" s="6">
        <f ca="1">Model!$F$13+RAND()*(Model!$G$13-Model!$F$13)</f>
        <v>1723.9012305225169</v>
      </c>
      <c r="B3443" s="31">
        <f ca="1">Model!$F$14+RAND()*(Model!$G$14-Model!$F$14)</f>
        <v>0.66878944259732087</v>
      </c>
      <c r="C3443" s="32">
        <f ca="1">Model!$F$15+RAND()*(Model!$G$15-Model!$F$15)</f>
        <v>1.7911312237450811E-2</v>
      </c>
      <c r="D3443" s="33">
        <f ca="1">Model!$F$16+RAND()*(Model!$G$16-Model!$F$16)</f>
        <v>51.223028116892749</v>
      </c>
      <c r="E3443" s="33">
        <f>Model!$D$17</f>
        <v>800</v>
      </c>
      <c r="G3443" s="36">
        <f t="shared" ca="1" si="56"/>
        <v>-371.29643604715511</v>
      </c>
    </row>
    <row r="3444" spans="1:7" x14ac:dyDescent="0.2">
      <c r="A3444" s="6">
        <f ca="1">Model!$F$13+RAND()*(Model!$G$13-Model!$F$13)</f>
        <v>1728.0458561005225</v>
      </c>
      <c r="B3444" s="31">
        <f ca="1">Model!$F$14+RAND()*(Model!$G$14-Model!$F$14)</f>
        <v>0.35631229700741684</v>
      </c>
      <c r="C3444" s="32">
        <f ca="1">Model!$F$15+RAND()*(Model!$G$15-Model!$F$15)</f>
        <v>1.3971269000889758E-2</v>
      </c>
      <c r="D3444" s="33">
        <f ca="1">Model!$F$16+RAND()*(Model!$G$16-Model!$F$16)</f>
        <v>50.609553679987513</v>
      </c>
      <c r="E3444" s="33">
        <f>Model!$D$17</f>
        <v>800</v>
      </c>
      <c r="G3444" s="36">
        <f t="shared" ca="1" si="56"/>
        <v>-193.85786271393818</v>
      </c>
    </row>
    <row r="3445" spans="1:7" x14ac:dyDescent="0.2">
      <c r="A3445" s="6">
        <f ca="1">Model!$F$13+RAND()*(Model!$G$13-Model!$F$13)</f>
        <v>1462.1452064874236</v>
      </c>
      <c r="B3445" s="31">
        <f ca="1">Model!$F$14+RAND()*(Model!$G$14-Model!$F$14)</f>
        <v>0.71411328488373793</v>
      </c>
      <c r="C3445" s="32">
        <f ca="1">Model!$F$15+RAND()*(Model!$G$15-Model!$F$15)</f>
        <v>2.6078969693632964E-2</v>
      </c>
      <c r="D3445" s="33">
        <f ca="1">Model!$F$16+RAND()*(Model!$G$16-Model!$F$16)</f>
        <v>47.73600777714509</v>
      </c>
      <c r="E3445" s="33">
        <f>Model!$D$17</f>
        <v>800</v>
      </c>
      <c r="G3445" s="36">
        <f t="shared" ca="1" si="56"/>
        <v>-23.904122000402822</v>
      </c>
    </row>
    <row r="3446" spans="1:7" x14ac:dyDescent="0.2">
      <c r="A3446" s="6">
        <f ca="1">Model!$F$13+RAND()*(Model!$G$13-Model!$F$13)</f>
        <v>1261.3768077405123</v>
      </c>
      <c r="B3446" s="31">
        <f ca="1">Model!$F$14+RAND()*(Model!$G$14-Model!$F$14)</f>
        <v>0.65549000816159464</v>
      </c>
      <c r="C3446" s="32">
        <f ca="1">Model!$F$15+RAND()*(Model!$G$15-Model!$F$15)</f>
        <v>1.2604581810855168E-2</v>
      </c>
      <c r="D3446" s="33">
        <f ca="1">Model!$F$16+RAND()*(Model!$G$16-Model!$F$16)</f>
        <v>49.671671444076438</v>
      </c>
      <c r="E3446" s="33">
        <f>Model!$D$17</f>
        <v>800</v>
      </c>
      <c r="G3446" s="36">
        <f t="shared" ca="1" si="56"/>
        <v>-837.08367308998766</v>
      </c>
    </row>
    <row r="3447" spans="1:7" x14ac:dyDescent="0.2">
      <c r="A3447" s="6">
        <f ca="1">Model!$F$13+RAND()*(Model!$G$13-Model!$F$13)</f>
        <v>1758.8754591614709</v>
      </c>
      <c r="B3447" s="31">
        <f ca="1">Model!$F$14+RAND()*(Model!$G$14-Model!$F$14)</f>
        <v>0.3099063095302016</v>
      </c>
      <c r="C3447" s="32">
        <f ca="1">Model!$F$15+RAND()*(Model!$G$15-Model!$F$15)</f>
        <v>1.9001465920820075E-2</v>
      </c>
      <c r="D3447" s="33">
        <f ca="1">Model!$F$16+RAND()*(Model!$G$16-Model!$F$16)</f>
        <v>51.109692442940784</v>
      </c>
      <c r="E3447" s="33">
        <f>Model!$D$17</f>
        <v>800</v>
      </c>
      <c r="G3447" s="36">
        <f t="shared" ca="1" si="56"/>
        <v>363.06126883630236</v>
      </c>
    </row>
    <row r="3448" spans="1:7" x14ac:dyDescent="0.2">
      <c r="A3448" s="6">
        <f ca="1">Model!$F$13+RAND()*(Model!$G$13-Model!$F$13)</f>
        <v>1431.2074192575137</v>
      </c>
      <c r="B3448" s="31">
        <f ca="1">Model!$F$14+RAND()*(Model!$G$14-Model!$F$14)</f>
        <v>0.27195555149865247</v>
      </c>
      <c r="C3448" s="32">
        <f ca="1">Model!$F$15+RAND()*(Model!$G$15-Model!$F$15)</f>
        <v>4.3443005154706567E-2</v>
      </c>
      <c r="D3448" s="33">
        <f ca="1">Model!$F$16+RAND()*(Model!$G$16-Model!$F$16)</f>
        <v>50.508745904342987</v>
      </c>
      <c r="E3448" s="33">
        <f>Model!$D$17</f>
        <v>800</v>
      </c>
      <c r="G3448" s="36">
        <f t="shared" ca="1" si="56"/>
        <v>1951.2045221683481</v>
      </c>
    </row>
    <row r="3449" spans="1:7" x14ac:dyDescent="0.2">
      <c r="A3449" s="6">
        <f ca="1">Model!$F$13+RAND()*(Model!$G$13-Model!$F$13)</f>
        <v>1587.0583332949591</v>
      </c>
      <c r="B3449" s="31">
        <f ca="1">Model!$F$14+RAND()*(Model!$G$14-Model!$F$14)</f>
        <v>0.20298846166843354</v>
      </c>
      <c r="C3449" s="32">
        <f ca="1">Model!$F$15+RAND()*(Model!$G$15-Model!$F$15)</f>
        <v>2.644486854477883E-2</v>
      </c>
      <c r="D3449" s="33">
        <f ca="1">Model!$F$16+RAND()*(Model!$G$16-Model!$F$16)</f>
        <v>47.248051190141645</v>
      </c>
      <c r="E3449" s="33">
        <f>Model!$D$17</f>
        <v>800</v>
      </c>
      <c r="G3449" s="36">
        <f t="shared" ca="1" si="56"/>
        <v>860.82486977817848</v>
      </c>
    </row>
    <row r="3450" spans="1:7" x14ac:dyDescent="0.2">
      <c r="A3450" s="6">
        <f ca="1">Model!$F$13+RAND()*(Model!$G$13-Model!$F$13)</f>
        <v>1512.8212523187785</v>
      </c>
      <c r="B3450" s="31">
        <f ca="1">Model!$F$14+RAND()*(Model!$G$14-Model!$F$14)</f>
        <v>0.73143746322826164</v>
      </c>
      <c r="C3450" s="32">
        <f ca="1">Model!$F$15+RAND()*(Model!$G$15-Model!$F$15)</f>
        <v>2.2861211805105003E-2</v>
      </c>
      <c r="D3450" s="33">
        <f ca="1">Model!$F$16+RAND()*(Model!$G$16-Model!$F$16)</f>
        <v>48.24382345140436</v>
      </c>
      <c r="E3450" s="33">
        <f>Model!$D$17</f>
        <v>800</v>
      </c>
      <c r="G3450" s="36">
        <f t="shared" ca="1" si="56"/>
        <v>-238.02502334731616</v>
      </c>
    </row>
    <row r="3451" spans="1:7" x14ac:dyDescent="0.2">
      <c r="A3451" s="6">
        <f ca="1">Model!$F$13+RAND()*(Model!$G$13-Model!$F$13)</f>
        <v>1277.6954473288311</v>
      </c>
      <c r="B3451" s="31">
        <f ca="1">Model!$F$14+RAND()*(Model!$G$14-Model!$F$14)</f>
        <v>0.59749623870235369</v>
      </c>
      <c r="C3451" s="32">
        <f ca="1">Model!$F$15+RAND()*(Model!$G$15-Model!$F$15)</f>
        <v>4.1002397436271681E-2</v>
      </c>
      <c r="D3451" s="33">
        <f ca="1">Model!$F$16+RAND()*(Model!$G$16-Model!$F$16)</f>
        <v>52.920666029465927</v>
      </c>
      <c r="E3451" s="33">
        <f>Model!$D$17</f>
        <v>800</v>
      </c>
      <c r="G3451" s="36">
        <f t="shared" ca="1" si="56"/>
        <v>1209.020138523098</v>
      </c>
    </row>
    <row r="3452" spans="1:7" x14ac:dyDescent="0.2">
      <c r="A3452" s="6">
        <f ca="1">Model!$F$13+RAND()*(Model!$G$13-Model!$F$13)</f>
        <v>1481.1384582367123</v>
      </c>
      <c r="B3452" s="31">
        <f ca="1">Model!$F$14+RAND()*(Model!$G$14-Model!$F$14)</f>
        <v>0.65916171222973519</v>
      </c>
      <c r="C3452" s="32">
        <f ca="1">Model!$F$15+RAND()*(Model!$G$15-Model!$F$15)</f>
        <v>2.2725198913553162E-2</v>
      </c>
      <c r="D3452" s="33">
        <f ca="1">Model!$F$16+RAND()*(Model!$G$16-Model!$F$16)</f>
        <v>50.975544916156984</v>
      </c>
      <c r="E3452" s="33">
        <f>Model!$D$17</f>
        <v>800</v>
      </c>
      <c r="G3452" s="36">
        <f t="shared" ca="1" si="56"/>
        <v>-60.515429730161713</v>
      </c>
    </row>
    <row r="3453" spans="1:7" x14ac:dyDescent="0.2">
      <c r="A3453" s="6">
        <f ca="1">Model!$F$13+RAND()*(Model!$G$13-Model!$F$13)</f>
        <v>1520.9502823485873</v>
      </c>
      <c r="B3453" s="31">
        <f ca="1">Model!$F$14+RAND()*(Model!$G$14-Model!$F$14)</f>
        <v>0.36866891202103935</v>
      </c>
      <c r="C3453" s="32">
        <f ca="1">Model!$F$15+RAND()*(Model!$G$15-Model!$F$15)</f>
        <v>3.6934244970815627E-2</v>
      </c>
      <c r="D3453" s="33">
        <f ca="1">Model!$F$16+RAND()*(Model!$G$16-Model!$F$16)</f>
        <v>48.422845078496174</v>
      </c>
      <c r="E3453" s="33">
        <f>Model!$D$17</f>
        <v>800</v>
      </c>
      <c r="G3453" s="36">
        <f t="shared" ca="1" si="56"/>
        <v>1359.4335152149583</v>
      </c>
    </row>
    <row r="3454" spans="1:7" x14ac:dyDescent="0.2">
      <c r="A3454" s="6">
        <f ca="1">Model!$F$13+RAND()*(Model!$G$13-Model!$F$13)</f>
        <v>1290.3337265695332</v>
      </c>
      <c r="B3454" s="31">
        <f ca="1">Model!$F$14+RAND()*(Model!$G$14-Model!$F$14)</f>
        <v>0.54134193766113725</v>
      </c>
      <c r="C3454" s="32">
        <f ca="1">Model!$F$15+RAND()*(Model!$G$15-Model!$F$15)</f>
        <v>3.2574032850172657E-2</v>
      </c>
      <c r="D3454" s="33">
        <f ca="1">Model!$F$16+RAND()*(Model!$G$16-Model!$F$16)</f>
        <v>50.986068562372104</v>
      </c>
      <c r="E3454" s="33">
        <f>Model!$D$17</f>
        <v>800</v>
      </c>
      <c r="G3454" s="36">
        <f t="shared" ca="1" si="56"/>
        <v>644.50271582026971</v>
      </c>
    </row>
    <row r="3455" spans="1:7" x14ac:dyDescent="0.2">
      <c r="A3455" s="6">
        <f ca="1">Model!$F$13+RAND()*(Model!$G$13-Model!$F$13)</f>
        <v>1562.9384069984208</v>
      </c>
      <c r="B3455" s="31">
        <f ca="1">Model!$F$14+RAND()*(Model!$G$14-Model!$F$14)</f>
        <v>0.24179695378322705</v>
      </c>
      <c r="C3455" s="32">
        <f ca="1">Model!$F$15+RAND()*(Model!$G$15-Model!$F$15)</f>
        <v>4.4244701295186303E-2</v>
      </c>
      <c r="D3455" s="33">
        <f ca="1">Model!$F$16+RAND()*(Model!$G$16-Model!$F$16)</f>
        <v>51.942758163176279</v>
      </c>
      <c r="E3455" s="33">
        <f>Model!$D$17</f>
        <v>800</v>
      </c>
      <c r="G3455" s="36">
        <f t="shared" ca="1" si="56"/>
        <v>2414.018515392167</v>
      </c>
    </row>
    <row r="3456" spans="1:7" x14ac:dyDescent="0.2">
      <c r="A3456" s="6">
        <f ca="1">Model!$F$13+RAND()*(Model!$G$13-Model!$F$13)</f>
        <v>1201.513099716479</v>
      </c>
      <c r="B3456" s="31">
        <f ca="1">Model!$F$14+RAND()*(Model!$G$14-Model!$F$14)</f>
        <v>0.45327871369452433</v>
      </c>
      <c r="C3456" s="32">
        <f ca="1">Model!$F$15+RAND()*(Model!$G$15-Model!$F$15)</f>
        <v>1.9164676577497743E-2</v>
      </c>
      <c r="D3456" s="33">
        <f ca="1">Model!$F$16+RAND()*(Model!$G$16-Model!$F$16)</f>
        <v>52.327191379254423</v>
      </c>
      <c r="E3456" s="33">
        <f>Model!$D$17</f>
        <v>800</v>
      </c>
      <c r="G3456" s="36">
        <f t="shared" ca="1" si="56"/>
        <v>-139.70248615029868</v>
      </c>
    </row>
    <row r="3457" spans="1:7" x14ac:dyDescent="0.2">
      <c r="A3457" s="6">
        <f ca="1">Model!$F$13+RAND()*(Model!$G$13-Model!$F$13)</f>
        <v>1226.0527603914884</v>
      </c>
      <c r="B3457" s="31">
        <f ca="1">Model!$F$14+RAND()*(Model!$G$14-Model!$F$14)</f>
        <v>0.56229636556977858</v>
      </c>
      <c r="C3457" s="32">
        <f ca="1">Model!$F$15+RAND()*(Model!$G$15-Model!$F$15)</f>
        <v>1.2247651879537691E-2</v>
      </c>
      <c r="D3457" s="33">
        <f ca="1">Model!$F$16+RAND()*(Model!$G$16-Model!$F$16)</f>
        <v>51.64740292037547</v>
      </c>
      <c r="E3457" s="33">
        <f>Model!$D$17</f>
        <v>800</v>
      </c>
      <c r="G3457" s="36">
        <f t="shared" ca="1" si="56"/>
        <v>-713.85379864384288</v>
      </c>
    </row>
    <row r="3458" spans="1:7" x14ac:dyDescent="0.2">
      <c r="A3458" s="6">
        <f ca="1">Model!$F$13+RAND()*(Model!$G$13-Model!$F$13)</f>
        <v>1586.2130033951175</v>
      </c>
      <c r="B3458" s="31">
        <f ca="1">Model!$F$14+RAND()*(Model!$G$14-Model!$F$14)</f>
        <v>0.30957493103572153</v>
      </c>
      <c r="C3458" s="32">
        <f ca="1">Model!$F$15+RAND()*(Model!$G$15-Model!$F$15)</f>
        <v>1.8242443777402223E-2</v>
      </c>
      <c r="D3458" s="33">
        <f ca="1">Model!$F$16+RAND()*(Model!$G$16-Model!$F$16)</f>
        <v>51.480037273659661</v>
      </c>
      <c r="E3458" s="33">
        <f>Model!$D$17</f>
        <v>800</v>
      </c>
      <c r="G3458" s="36">
        <f t="shared" ca="1" si="56"/>
        <v>198.59524837202321</v>
      </c>
    </row>
    <row r="3459" spans="1:7" x14ac:dyDescent="0.2">
      <c r="A3459" s="6">
        <f ca="1">Model!$F$13+RAND()*(Model!$G$13-Model!$F$13)</f>
        <v>1259.8834761122916</v>
      </c>
      <c r="B3459" s="31">
        <f ca="1">Model!$F$14+RAND()*(Model!$G$14-Model!$F$14)</f>
        <v>0.21699126643328445</v>
      </c>
      <c r="C3459" s="32">
        <f ca="1">Model!$F$15+RAND()*(Model!$G$15-Model!$F$15)</f>
        <v>2.9514059246991457E-2</v>
      </c>
      <c r="D3459" s="33">
        <f ca="1">Model!$F$16+RAND()*(Model!$G$16-Model!$F$16)</f>
        <v>52.465773860900356</v>
      </c>
      <c r="E3459" s="33">
        <f>Model!$D$17</f>
        <v>800</v>
      </c>
      <c r="G3459" s="36">
        <f t="shared" ca="1" si="56"/>
        <v>877.51808158234326</v>
      </c>
    </row>
    <row r="3460" spans="1:7" x14ac:dyDescent="0.2">
      <c r="A3460" s="6">
        <f ca="1">Model!$F$13+RAND()*(Model!$G$13-Model!$F$13)</f>
        <v>1639.8517718666794</v>
      </c>
      <c r="B3460" s="31">
        <f ca="1">Model!$F$14+RAND()*(Model!$G$14-Model!$F$14)</f>
        <v>0.77205371080675111</v>
      </c>
      <c r="C3460" s="32">
        <f ca="1">Model!$F$15+RAND()*(Model!$G$15-Model!$F$15)</f>
        <v>4.7981529619079796E-2</v>
      </c>
      <c r="D3460" s="33">
        <f ca="1">Model!$F$16+RAND()*(Model!$G$16-Model!$F$16)</f>
        <v>50.428823319837072</v>
      </c>
      <c r="E3460" s="33">
        <f>Model!$D$17</f>
        <v>800</v>
      </c>
      <c r="G3460" s="36">
        <f t="shared" ca="1" si="56"/>
        <v>1901.8171046790453</v>
      </c>
    </row>
    <row r="3461" spans="1:7" x14ac:dyDescent="0.2">
      <c r="A3461" s="6">
        <f ca="1">Model!$F$13+RAND()*(Model!$G$13-Model!$F$13)</f>
        <v>1358.3938938302404</v>
      </c>
      <c r="B3461" s="31">
        <f ca="1">Model!$F$14+RAND()*(Model!$G$14-Model!$F$14)</f>
        <v>0.60570172047683402</v>
      </c>
      <c r="C3461" s="32">
        <f ca="1">Model!$F$15+RAND()*(Model!$G$15-Model!$F$15)</f>
        <v>2.7162201967267291E-2</v>
      </c>
      <c r="D3461" s="33">
        <f ca="1">Model!$F$16+RAND()*(Model!$G$16-Model!$F$16)</f>
        <v>50.651491505325161</v>
      </c>
      <c r="E3461" s="33">
        <f>Model!$D$17</f>
        <v>800</v>
      </c>
      <c r="G3461" s="36">
        <f t="shared" ca="1" si="56"/>
        <v>246.10500825592317</v>
      </c>
    </row>
    <row r="3462" spans="1:7" x14ac:dyDescent="0.2">
      <c r="A3462" s="6">
        <f ca="1">Model!$F$13+RAND()*(Model!$G$13-Model!$F$13)</f>
        <v>1384.949156589983</v>
      </c>
      <c r="B3462" s="31">
        <f ca="1">Model!$F$14+RAND()*(Model!$G$14-Model!$F$14)</f>
        <v>0.76327998629717664</v>
      </c>
      <c r="C3462" s="32">
        <f ca="1">Model!$F$15+RAND()*(Model!$G$15-Model!$F$15)</f>
        <v>2.7995145823823807E-2</v>
      </c>
      <c r="D3462" s="33">
        <f ca="1">Model!$F$16+RAND()*(Model!$G$16-Model!$F$16)</f>
        <v>47.862945783928289</v>
      </c>
      <c r="E3462" s="33">
        <f>Model!$D$17</f>
        <v>800</v>
      </c>
      <c r="G3462" s="36">
        <f t="shared" ca="1" si="56"/>
        <v>-1.3688465934346823</v>
      </c>
    </row>
    <row r="3463" spans="1:7" x14ac:dyDescent="0.2">
      <c r="A3463" s="6">
        <f ca="1">Model!$F$13+RAND()*(Model!$G$13-Model!$F$13)</f>
        <v>1784.3471811740019</v>
      </c>
      <c r="B3463" s="31">
        <f ca="1">Model!$F$14+RAND()*(Model!$G$14-Model!$F$14)</f>
        <v>0.56955217118414436</v>
      </c>
      <c r="C3463" s="32">
        <f ca="1">Model!$F$15+RAND()*(Model!$G$15-Model!$F$15)</f>
        <v>3.5416181190542954E-2</v>
      </c>
      <c r="D3463" s="33">
        <f ca="1">Model!$F$16+RAND()*(Model!$G$16-Model!$F$16)</f>
        <v>48.620311411401801</v>
      </c>
      <c r="E3463" s="33">
        <f>Model!$D$17</f>
        <v>800</v>
      </c>
      <c r="G3463" s="36">
        <f t="shared" ca="1" si="56"/>
        <v>1256.270249106542</v>
      </c>
    </row>
    <row r="3464" spans="1:7" x14ac:dyDescent="0.2">
      <c r="A3464" s="6">
        <f ca="1">Model!$F$13+RAND()*(Model!$G$13-Model!$F$13)</f>
        <v>1549.0008812373731</v>
      </c>
      <c r="B3464" s="31">
        <f ca="1">Model!$F$14+RAND()*(Model!$G$14-Model!$F$14)</f>
        <v>0.59357128779068136</v>
      </c>
      <c r="C3464" s="32">
        <f ca="1">Model!$F$15+RAND()*(Model!$G$15-Model!$F$15)</f>
        <v>4.9695028686754107E-2</v>
      </c>
      <c r="D3464" s="33">
        <f ca="1">Model!$F$16+RAND()*(Model!$G$16-Model!$F$16)</f>
        <v>52.645475570953629</v>
      </c>
      <c r="E3464" s="33">
        <f>Model!$D$17</f>
        <v>800</v>
      </c>
      <c r="G3464" s="36">
        <f t="shared" ca="1" si="56"/>
        <v>2333.0821882515993</v>
      </c>
    </row>
    <row r="3465" spans="1:7" x14ac:dyDescent="0.2">
      <c r="A3465" s="6">
        <f ca="1">Model!$F$13+RAND()*(Model!$G$13-Model!$F$13)</f>
        <v>1236.6162431415703</v>
      </c>
      <c r="B3465" s="31">
        <f ca="1">Model!$F$14+RAND()*(Model!$G$14-Model!$F$14)</f>
        <v>0.2251559926562321</v>
      </c>
      <c r="C3465" s="32">
        <f ca="1">Model!$F$15+RAND()*(Model!$G$15-Model!$F$15)</f>
        <v>3.6902815559490862E-2</v>
      </c>
      <c r="D3465" s="33">
        <f ca="1">Model!$F$16+RAND()*(Model!$G$16-Model!$F$16)</f>
        <v>52.315159702426278</v>
      </c>
      <c r="E3465" s="33">
        <f>Model!$D$17</f>
        <v>800</v>
      </c>
      <c r="G3465" s="36">
        <f t="shared" ca="1" si="56"/>
        <v>1308.9509350622338</v>
      </c>
    </row>
    <row r="3466" spans="1:7" x14ac:dyDescent="0.2">
      <c r="A3466" s="6">
        <f ca="1">Model!$F$13+RAND()*(Model!$G$13-Model!$F$13)</f>
        <v>1266.1200370456456</v>
      </c>
      <c r="B3466" s="31">
        <f ca="1">Model!$F$14+RAND()*(Model!$G$14-Model!$F$14)</f>
        <v>0.69126320342714909</v>
      </c>
      <c r="C3466" s="32">
        <f ca="1">Model!$F$15+RAND()*(Model!$G$15-Model!$F$15)</f>
        <v>1.9422424740871948E-2</v>
      </c>
      <c r="D3466" s="33">
        <f ca="1">Model!$F$16+RAND()*(Model!$G$16-Model!$F$16)</f>
        <v>51.338531655648367</v>
      </c>
      <c r="E3466" s="33">
        <f>Model!$D$17</f>
        <v>800</v>
      </c>
      <c r="G3466" s="36">
        <f t="shared" ca="1" si="56"/>
        <v>-412.7501420263809</v>
      </c>
    </row>
    <row r="3467" spans="1:7" x14ac:dyDescent="0.2">
      <c r="A3467" s="6">
        <f ca="1">Model!$F$13+RAND()*(Model!$G$13-Model!$F$13)</f>
        <v>1594.938514930991</v>
      </c>
      <c r="B3467" s="31">
        <f ca="1">Model!$F$14+RAND()*(Model!$G$14-Model!$F$14)</f>
        <v>0.28758159888072327</v>
      </c>
      <c r="C3467" s="32">
        <f ca="1">Model!$F$15+RAND()*(Model!$G$15-Model!$F$15)</f>
        <v>4.9380531289182322E-2</v>
      </c>
      <c r="D3467" s="33">
        <f ca="1">Model!$F$16+RAND()*(Model!$G$16-Model!$F$16)</f>
        <v>47.655792876782073</v>
      </c>
      <c r="E3467" s="33">
        <f>Model!$D$17</f>
        <v>800</v>
      </c>
      <c r="G3467" s="36">
        <f t="shared" ca="1" si="56"/>
        <v>2494.6433930555486</v>
      </c>
    </row>
    <row r="3468" spans="1:7" x14ac:dyDescent="0.2">
      <c r="A3468" s="6">
        <f ca="1">Model!$F$13+RAND()*(Model!$G$13-Model!$F$13)</f>
        <v>1467.8336226533477</v>
      </c>
      <c r="B3468" s="31">
        <f ca="1">Model!$F$14+RAND()*(Model!$G$14-Model!$F$14)</f>
        <v>0.34792334690838633</v>
      </c>
      <c r="C3468" s="32">
        <f ca="1">Model!$F$15+RAND()*(Model!$G$15-Model!$F$15)</f>
        <v>2.5132783201453193E-2</v>
      </c>
      <c r="D3468" s="33">
        <f ca="1">Model!$F$16+RAND()*(Model!$G$16-Model!$F$16)</f>
        <v>47.542631315575775</v>
      </c>
      <c r="E3468" s="33">
        <f>Model!$D$17</f>
        <v>800</v>
      </c>
      <c r="G3468" s="36">
        <f t="shared" ca="1" si="56"/>
        <v>443.18946442283254</v>
      </c>
    </row>
    <row r="3469" spans="1:7" x14ac:dyDescent="0.2">
      <c r="A3469" s="6">
        <f ca="1">Model!$F$13+RAND()*(Model!$G$13-Model!$F$13)</f>
        <v>1634.5494024568691</v>
      </c>
      <c r="B3469" s="31">
        <f ca="1">Model!$F$14+RAND()*(Model!$G$14-Model!$F$14)</f>
        <v>0.25968967314935476</v>
      </c>
      <c r="C3469" s="32">
        <f ca="1">Model!$F$15+RAND()*(Model!$G$15-Model!$F$15)</f>
        <v>2.6295361205148422E-2</v>
      </c>
      <c r="D3469" s="33">
        <f ca="1">Model!$F$16+RAND()*(Model!$G$16-Model!$F$16)</f>
        <v>48.348549209220984</v>
      </c>
      <c r="E3469" s="33">
        <f>Model!$D$17</f>
        <v>800</v>
      </c>
      <c r="G3469" s="36">
        <f t="shared" ca="1" si="56"/>
        <v>853.59663019736672</v>
      </c>
    </row>
    <row r="3470" spans="1:7" x14ac:dyDescent="0.2">
      <c r="A3470" s="6">
        <f ca="1">Model!$F$13+RAND()*(Model!$G$13-Model!$F$13)</f>
        <v>1499.1832043223233</v>
      </c>
      <c r="B3470" s="31">
        <f ca="1">Model!$F$14+RAND()*(Model!$G$14-Model!$F$14)</f>
        <v>0.3285958702270726</v>
      </c>
      <c r="C3470" s="32">
        <f ca="1">Model!$F$15+RAND()*(Model!$G$15-Model!$F$15)</f>
        <v>4.9268230827465113E-2</v>
      </c>
      <c r="D3470" s="33">
        <f ca="1">Model!$F$16+RAND()*(Model!$G$16-Model!$F$16)</f>
        <v>47.626553118489234</v>
      </c>
      <c r="E3470" s="33">
        <f>Model!$D$17</f>
        <v>800</v>
      </c>
      <c r="G3470" s="36">
        <f t="shared" ca="1" si="56"/>
        <v>2225.1720177184488</v>
      </c>
    </row>
    <row r="3471" spans="1:7" x14ac:dyDescent="0.2">
      <c r="A3471" s="6">
        <f ca="1">Model!$F$13+RAND()*(Model!$G$13-Model!$F$13)</f>
        <v>1457.6401031704099</v>
      </c>
      <c r="B3471" s="31">
        <f ca="1">Model!$F$14+RAND()*(Model!$G$14-Model!$F$14)</f>
        <v>0.52766780918925105</v>
      </c>
      <c r="C3471" s="32">
        <f ca="1">Model!$F$15+RAND()*(Model!$G$15-Model!$F$15)</f>
        <v>4.1783860218911083E-2</v>
      </c>
      <c r="D3471" s="33">
        <f ca="1">Model!$F$16+RAND()*(Model!$G$16-Model!$F$16)</f>
        <v>51.156137406284458</v>
      </c>
      <c r="E3471" s="33">
        <f>Model!$D$17</f>
        <v>800</v>
      </c>
      <c r="G3471" s="36">
        <f t="shared" ca="1" si="56"/>
        <v>1546.5572648854254</v>
      </c>
    </row>
    <row r="3472" spans="1:7" x14ac:dyDescent="0.2">
      <c r="A3472" s="6">
        <f ca="1">Model!$F$13+RAND()*(Model!$G$13-Model!$F$13)</f>
        <v>1571.6015107901508</v>
      </c>
      <c r="B3472" s="31">
        <f ca="1">Model!$F$14+RAND()*(Model!$G$14-Model!$F$14)</f>
        <v>0.32296871980153674</v>
      </c>
      <c r="C3472" s="32">
        <f ca="1">Model!$F$15+RAND()*(Model!$G$15-Model!$F$15)</f>
        <v>2.1152728675312156E-2</v>
      </c>
      <c r="D3472" s="33">
        <f ca="1">Model!$F$16+RAND()*(Model!$G$16-Model!$F$16)</f>
        <v>47.175929358541048</v>
      </c>
      <c r="E3472" s="33">
        <f>Model!$D$17</f>
        <v>800</v>
      </c>
      <c r="G3472" s="36">
        <f t="shared" ca="1" si="56"/>
        <v>260.72244400409659</v>
      </c>
    </row>
    <row r="3473" spans="1:7" x14ac:dyDescent="0.2">
      <c r="A3473" s="6">
        <f ca="1">Model!$F$13+RAND()*(Model!$G$13-Model!$F$13)</f>
        <v>1629.0447463256846</v>
      </c>
      <c r="B3473" s="31">
        <f ca="1">Model!$F$14+RAND()*(Model!$G$14-Model!$F$14)</f>
        <v>0.24774431035464356</v>
      </c>
      <c r="C3473" s="32">
        <f ca="1">Model!$F$15+RAND()*(Model!$G$15-Model!$F$15)</f>
        <v>3.1571332074239192E-2</v>
      </c>
      <c r="D3473" s="33">
        <f ca="1">Model!$F$16+RAND()*(Model!$G$16-Model!$F$16)</f>
        <v>52.486416729002578</v>
      </c>
      <c r="E3473" s="33">
        <f>Model!$D$17</f>
        <v>800</v>
      </c>
      <c r="G3473" s="36">
        <f t="shared" ca="1" si="56"/>
        <v>1495.8482441711174</v>
      </c>
    </row>
    <row r="3474" spans="1:7" x14ac:dyDescent="0.2">
      <c r="A3474" s="6">
        <f ca="1">Model!$F$13+RAND()*(Model!$G$13-Model!$F$13)</f>
        <v>1699.7619526121439</v>
      </c>
      <c r="B3474" s="31">
        <f ca="1">Model!$F$14+RAND()*(Model!$G$14-Model!$F$14)</f>
        <v>0.66550975909333587</v>
      </c>
      <c r="C3474" s="32">
        <f ca="1">Model!$F$15+RAND()*(Model!$G$15-Model!$F$15)</f>
        <v>4.0124813937454894E-2</v>
      </c>
      <c r="D3474" s="33">
        <f ca="1">Model!$F$16+RAND()*(Model!$G$16-Model!$F$16)</f>
        <v>49.656818426433595</v>
      </c>
      <c r="E3474" s="33">
        <f>Model!$D$17</f>
        <v>800</v>
      </c>
      <c r="G3474" s="36">
        <f t="shared" ca="1" si="56"/>
        <v>1455.517550126614</v>
      </c>
    </row>
    <row r="3475" spans="1:7" x14ac:dyDescent="0.2">
      <c r="A3475" s="6">
        <f ca="1">Model!$F$13+RAND()*(Model!$G$13-Model!$F$13)</f>
        <v>1714.2426249865762</v>
      </c>
      <c r="B3475" s="31">
        <f ca="1">Model!$F$14+RAND()*(Model!$G$14-Model!$F$14)</f>
        <v>0.42926711074020329</v>
      </c>
      <c r="C3475" s="32">
        <f ca="1">Model!$F$15+RAND()*(Model!$G$15-Model!$F$15)</f>
        <v>4.0490144084162315E-2</v>
      </c>
      <c r="D3475" s="33">
        <f ca="1">Model!$F$16+RAND()*(Model!$G$16-Model!$F$16)</f>
        <v>49.635465977175556</v>
      </c>
      <c r="E3475" s="33">
        <f>Model!$D$17</f>
        <v>800</v>
      </c>
      <c r="G3475" s="36">
        <f t="shared" ca="1" si="56"/>
        <v>1909.3262839822771</v>
      </c>
    </row>
    <row r="3476" spans="1:7" x14ac:dyDescent="0.2">
      <c r="A3476" s="6">
        <f ca="1">Model!$F$13+RAND()*(Model!$G$13-Model!$F$13)</f>
        <v>1625.505868928346</v>
      </c>
      <c r="B3476" s="31">
        <f ca="1">Model!$F$14+RAND()*(Model!$G$14-Model!$F$14)</f>
        <v>0.51571303620933839</v>
      </c>
      <c r="C3476" s="32">
        <f ca="1">Model!$F$15+RAND()*(Model!$G$15-Model!$F$15)</f>
        <v>3.0180481994216898E-2</v>
      </c>
      <c r="D3476" s="33">
        <f ca="1">Model!$F$16+RAND()*(Model!$G$16-Model!$F$16)</f>
        <v>51.278308368939776</v>
      </c>
      <c r="E3476" s="33">
        <f>Model!$D$17</f>
        <v>800</v>
      </c>
      <c r="G3476" s="36">
        <f t="shared" ca="1" si="56"/>
        <v>877.34491920429468</v>
      </c>
    </row>
    <row r="3477" spans="1:7" x14ac:dyDescent="0.2">
      <c r="A3477" s="6">
        <f ca="1">Model!$F$13+RAND()*(Model!$G$13-Model!$F$13)</f>
        <v>1344.4656223873226</v>
      </c>
      <c r="B3477" s="31">
        <f ca="1">Model!$F$14+RAND()*(Model!$G$14-Model!$F$14)</f>
        <v>0.49203732648934956</v>
      </c>
      <c r="C3477" s="32">
        <f ca="1">Model!$F$15+RAND()*(Model!$G$15-Model!$F$15)</f>
        <v>1.2015053564545552E-2</v>
      </c>
      <c r="D3477" s="33">
        <f ca="1">Model!$F$16+RAND()*(Model!$G$16-Model!$F$16)</f>
        <v>49.361007577646248</v>
      </c>
      <c r="E3477" s="33">
        <f>Model!$D$17</f>
        <v>800</v>
      </c>
      <c r="G3477" s="36">
        <f t="shared" ca="1" si="56"/>
        <v>-664.15811966810975</v>
      </c>
    </row>
    <row r="3478" spans="1:7" x14ac:dyDescent="0.2">
      <c r="A3478" s="6">
        <f ca="1">Model!$F$13+RAND()*(Model!$G$13-Model!$F$13)</f>
        <v>1491.7760264267745</v>
      </c>
      <c r="B3478" s="31">
        <f ca="1">Model!$F$14+RAND()*(Model!$G$14-Model!$F$14)</f>
        <v>0.71127049817016941</v>
      </c>
      <c r="C3478" s="32">
        <f ca="1">Model!$F$15+RAND()*(Model!$G$15-Model!$F$15)</f>
        <v>4.1289011069543781E-2</v>
      </c>
      <c r="D3478" s="33">
        <f ca="1">Model!$F$16+RAND()*(Model!$G$16-Model!$F$16)</f>
        <v>48.931168038562937</v>
      </c>
      <c r="E3478" s="33">
        <f>Model!$D$17</f>
        <v>800</v>
      </c>
      <c r="G3478" s="36">
        <f t="shared" ca="1" si="56"/>
        <v>1152.8079762135308</v>
      </c>
    </row>
    <row r="3479" spans="1:7" x14ac:dyDescent="0.2">
      <c r="A3479" s="6">
        <f ca="1">Model!$F$13+RAND()*(Model!$G$13-Model!$F$13)</f>
        <v>1789.5453981053245</v>
      </c>
      <c r="B3479" s="31">
        <f ca="1">Model!$F$14+RAND()*(Model!$G$14-Model!$F$14)</f>
        <v>0.72659828518862679</v>
      </c>
      <c r="C3479" s="32">
        <f ca="1">Model!$F$15+RAND()*(Model!$G$15-Model!$F$15)</f>
        <v>4.0271233121895102E-2</v>
      </c>
      <c r="D3479" s="33">
        <f ca="1">Model!$F$16+RAND()*(Model!$G$16-Model!$F$16)</f>
        <v>52.620030424914404</v>
      </c>
      <c r="E3479" s="33">
        <f>Model!$D$17</f>
        <v>800</v>
      </c>
      <c r="G3479" s="36">
        <f t="shared" ca="1" si="56"/>
        <v>1691.8976343359691</v>
      </c>
    </row>
    <row r="3480" spans="1:7" x14ac:dyDescent="0.2">
      <c r="A3480" s="6">
        <f ca="1">Model!$F$13+RAND()*(Model!$G$13-Model!$F$13)</f>
        <v>1311.1018857455329</v>
      </c>
      <c r="B3480" s="31">
        <f ca="1">Model!$F$14+RAND()*(Model!$G$14-Model!$F$14)</f>
        <v>0.31131340523176454</v>
      </c>
      <c r="C3480" s="32">
        <f ca="1">Model!$F$15+RAND()*(Model!$G$15-Model!$F$15)</f>
        <v>1.7967953641739802E-2</v>
      </c>
      <c r="D3480" s="33">
        <f ca="1">Model!$F$16+RAND()*(Model!$G$16-Model!$F$16)</f>
        <v>47.725483257116679</v>
      </c>
      <c r="E3480" s="33">
        <f>Model!$D$17</f>
        <v>800</v>
      </c>
      <c r="G3480" s="36">
        <f t="shared" ca="1" si="56"/>
        <v>-83.855348768988506</v>
      </c>
    </row>
    <row r="3481" spans="1:7" x14ac:dyDescent="0.2">
      <c r="A3481" s="6">
        <f ca="1">Model!$F$13+RAND()*(Model!$G$13-Model!$F$13)</f>
        <v>1664.4739271736651</v>
      </c>
      <c r="B3481" s="31">
        <f ca="1">Model!$F$14+RAND()*(Model!$G$14-Model!$F$14)</f>
        <v>0.50092093938834314</v>
      </c>
      <c r="C3481" s="32">
        <f ca="1">Model!$F$15+RAND()*(Model!$G$15-Model!$F$15)</f>
        <v>2.7699335926516008E-2</v>
      </c>
      <c r="D3481" s="33">
        <f ca="1">Model!$F$16+RAND()*(Model!$G$16-Model!$F$16)</f>
        <v>47.318426579721859</v>
      </c>
      <c r="E3481" s="33">
        <f>Model!$D$17</f>
        <v>800</v>
      </c>
      <c r="G3481" s="36">
        <f t="shared" ca="1" si="56"/>
        <v>547.83781287051033</v>
      </c>
    </row>
    <row r="3482" spans="1:7" x14ac:dyDescent="0.2">
      <c r="A3482" s="6">
        <f ca="1">Model!$F$13+RAND()*(Model!$G$13-Model!$F$13)</f>
        <v>1388.2346464831674</v>
      </c>
      <c r="B3482" s="31">
        <f ca="1">Model!$F$14+RAND()*(Model!$G$14-Model!$F$14)</f>
        <v>0.31270196006788792</v>
      </c>
      <c r="C3482" s="32">
        <f ca="1">Model!$F$15+RAND()*(Model!$G$15-Model!$F$15)</f>
        <v>2.81946677952142E-2</v>
      </c>
      <c r="D3482" s="33">
        <f ca="1">Model!$F$16+RAND()*(Model!$G$16-Model!$F$16)</f>
        <v>50.935990113842713</v>
      </c>
      <c r="E3482" s="33">
        <f>Model!$D$17</f>
        <v>800</v>
      </c>
      <c r="G3482" s="36">
        <f t="shared" ca="1" si="56"/>
        <v>759.57245456820624</v>
      </c>
    </row>
    <row r="3483" spans="1:7" x14ac:dyDescent="0.2">
      <c r="A3483" s="6">
        <f ca="1">Model!$F$13+RAND()*(Model!$G$13-Model!$F$13)</f>
        <v>1797.6161263814306</v>
      </c>
      <c r="B3483" s="31">
        <f ca="1">Model!$F$14+RAND()*(Model!$G$14-Model!$F$14)</f>
        <v>0.3060158894814563</v>
      </c>
      <c r="C3483" s="32">
        <f ca="1">Model!$F$15+RAND()*(Model!$G$15-Model!$F$15)</f>
        <v>2.1126438778709251E-2</v>
      </c>
      <c r="D3483" s="33">
        <f ca="1">Model!$F$16+RAND()*(Model!$G$16-Model!$F$16)</f>
        <v>51.568623212034552</v>
      </c>
      <c r="E3483" s="33">
        <f>Model!$D$17</f>
        <v>800</v>
      </c>
      <c r="G3483" s="36">
        <f t="shared" ca="1" si="56"/>
        <v>608.33421408625281</v>
      </c>
    </row>
    <row r="3484" spans="1:7" x14ac:dyDescent="0.2">
      <c r="A3484" s="6">
        <f ca="1">Model!$F$13+RAND()*(Model!$G$13-Model!$F$13)</f>
        <v>1261.0834938849277</v>
      </c>
      <c r="B3484" s="31">
        <f ca="1">Model!$F$14+RAND()*(Model!$G$14-Model!$F$14)</f>
        <v>0.57208220317403424</v>
      </c>
      <c r="C3484" s="32">
        <f ca="1">Model!$F$15+RAND()*(Model!$G$15-Model!$F$15)</f>
        <v>1.7439017645236678E-2</v>
      </c>
      <c r="D3484" s="33">
        <f ca="1">Model!$F$16+RAND()*(Model!$G$16-Model!$F$16)</f>
        <v>48.771661320065355</v>
      </c>
      <c r="E3484" s="33">
        <f>Model!$D$17</f>
        <v>800</v>
      </c>
      <c r="G3484" s="36">
        <f t="shared" ca="1" si="56"/>
        <v>-448.85425310465575</v>
      </c>
    </row>
    <row r="3485" spans="1:7" x14ac:dyDescent="0.2">
      <c r="A3485" s="6">
        <f ca="1">Model!$F$13+RAND()*(Model!$G$13-Model!$F$13)</f>
        <v>1555.2697897015114</v>
      </c>
      <c r="B3485" s="31">
        <f ca="1">Model!$F$14+RAND()*(Model!$G$14-Model!$F$14)</f>
        <v>0.69110632574249797</v>
      </c>
      <c r="C3485" s="32">
        <f ca="1">Model!$F$15+RAND()*(Model!$G$15-Model!$F$15)</f>
        <v>3.243668584672698E-2</v>
      </c>
      <c r="D3485" s="33">
        <f ca="1">Model!$F$16+RAND()*(Model!$G$16-Model!$F$16)</f>
        <v>49.249353726710218</v>
      </c>
      <c r="E3485" s="33">
        <f>Model!$D$17</f>
        <v>800</v>
      </c>
      <c r="G3485" s="36">
        <f t="shared" ca="1" si="56"/>
        <v>609.66463762804278</v>
      </c>
    </row>
    <row r="3486" spans="1:7" x14ac:dyDescent="0.2">
      <c r="A3486" s="6">
        <f ca="1">Model!$F$13+RAND()*(Model!$G$13-Model!$F$13)</f>
        <v>1754.340216258616</v>
      </c>
      <c r="B3486" s="31">
        <f ca="1">Model!$F$14+RAND()*(Model!$G$14-Model!$F$14)</f>
        <v>0.5808514577319368</v>
      </c>
      <c r="C3486" s="32">
        <f ca="1">Model!$F$15+RAND()*(Model!$G$15-Model!$F$15)</f>
        <v>1.0220020736119512E-2</v>
      </c>
      <c r="D3486" s="33">
        <f ca="1">Model!$F$16+RAND()*(Model!$G$16-Model!$F$16)</f>
        <v>50.443165642459412</v>
      </c>
      <c r="E3486" s="33">
        <f>Model!$D$17</f>
        <v>800</v>
      </c>
      <c r="G3486" s="36">
        <f t="shared" ca="1" si="56"/>
        <v>-914.59571141314109</v>
      </c>
    </row>
    <row r="3487" spans="1:7" x14ac:dyDescent="0.2">
      <c r="A3487" s="6">
        <f ca="1">Model!$F$13+RAND()*(Model!$G$13-Model!$F$13)</f>
        <v>1488.3769779114075</v>
      </c>
      <c r="B3487" s="31">
        <f ca="1">Model!$F$14+RAND()*(Model!$G$14-Model!$F$14)</f>
        <v>0.26080655271241399</v>
      </c>
      <c r="C3487" s="32">
        <f ca="1">Model!$F$15+RAND()*(Model!$G$15-Model!$F$15)</f>
        <v>2.6314068090867837E-2</v>
      </c>
      <c r="D3487" s="33">
        <f ca="1">Model!$F$16+RAND()*(Model!$G$16-Model!$F$16)</f>
        <v>47.346359780575028</v>
      </c>
      <c r="E3487" s="33">
        <f>Model!$D$17</f>
        <v>800</v>
      </c>
      <c r="G3487" s="36">
        <f t="shared" ca="1" si="56"/>
        <v>666.15369739583025</v>
      </c>
    </row>
    <row r="3488" spans="1:7" x14ac:dyDescent="0.2">
      <c r="A3488" s="6">
        <f ca="1">Model!$F$13+RAND()*(Model!$G$13-Model!$F$13)</f>
        <v>1308.45292582109</v>
      </c>
      <c r="B3488" s="31">
        <f ca="1">Model!$F$14+RAND()*(Model!$G$14-Model!$F$14)</f>
        <v>0.41946745526528095</v>
      </c>
      <c r="C3488" s="32">
        <f ca="1">Model!$F$15+RAND()*(Model!$G$15-Model!$F$15)</f>
        <v>1.8456378977234397E-2</v>
      </c>
      <c r="D3488" s="33">
        <f ca="1">Model!$F$16+RAND()*(Model!$G$16-Model!$F$16)</f>
        <v>48.786177397412963</v>
      </c>
      <c r="E3488" s="33">
        <f>Model!$D$17</f>
        <v>800</v>
      </c>
      <c r="G3488" s="36">
        <f t="shared" ca="1" si="56"/>
        <v>-170.70123539384349</v>
      </c>
    </row>
    <row r="3489" spans="1:7" x14ac:dyDescent="0.2">
      <c r="A3489" s="6">
        <f ca="1">Model!$F$13+RAND()*(Model!$G$13-Model!$F$13)</f>
        <v>1597.81855555537</v>
      </c>
      <c r="B3489" s="31">
        <f ca="1">Model!$F$14+RAND()*(Model!$G$14-Model!$F$14)</f>
        <v>0.7231493501499513</v>
      </c>
      <c r="C3489" s="32">
        <f ca="1">Model!$F$15+RAND()*(Model!$G$15-Model!$F$15)</f>
        <v>1.5001504449437007E-2</v>
      </c>
      <c r="D3489" s="33">
        <f ca="1">Model!$F$16+RAND()*(Model!$G$16-Model!$F$16)</f>
        <v>52.779802343224759</v>
      </c>
      <c r="E3489" s="33">
        <f>Model!$D$17</f>
        <v>800</v>
      </c>
      <c r="G3489" s="36">
        <f t="shared" ca="1" si="56"/>
        <v>-690.34636291548804</v>
      </c>
    </row>
    <row r="3490" spans="1:7" x14ac:dyDescent="0.2">
      <c r="A3490" s="6">
        <f ca="1">Model!$F$13+RAND()*(Model!$G$13-Model!$F$13)</f>
        <v>1220.3127517267833</v>
      </c>
      <c r="B3490" s="31">
        <f ca="1">Model!$F$14+RAND()*(Model!$G$14-Model!$F$14)</f>
        <v>0.5391616975638398</v>
      </c>
      <c r="C3490" s="32">
        <f ca="1">Model!$F$15+RAND()*(Model!$G$15-Model!$F$15)</f>
        <v>1.8848629658901425E-2</v>
      </c>
      <c r="D3490" s="33">
        <f ca="1">Model!$F$16+RAND()*(Model!$G$16-Model!$F$16)</f>
        <v>49.100784884892036</v>
      </c>
      <c r="E3490" s="33">
        <f>Model!$D$17</f>
        <v>800</v>
      </c>
      <c r="G3490" s="36">
        <f t="shared" ca="1" si="56"/>
        <v>-328.56778601343035</v>
      </c>
    </row>
    <row r="3491" spans="1:7" x14ac:dyDescent="0.2">
      <c r="A3491" s="6">
        <f ca="1">Model!$F$13+RAND()*(Model!$G$13-Model!$F$13)</f>
        <v>1392.8599007736077</v>
      </c>
      <c r="B3491" s="31">
        <f ca="1">Model!$F$14+RAND()*(Model!$G$14-Model!$F$14)</f>
        <v>0.40836430335490448</v>
      </c>
      <c r="C3491" s="32">
        <f ca="1">Model!$F$15+RAND()*(Model!$G$15-Model!$F$15)</f>
        <v>3.5280633792362626E-2</v>
      </c>
      <c r="D3491" s="33">
        <f ca="1">Model!$F$16+RAND()*(Model!$G$16-Model!$F$16)</f>
        <v>49.537274636414899</v>
      </c>
      <c r="E3491" s="33">
        <f>Model!$D$17</f>
        <v>800</v>
      </c>
      <c r="G3491" s="36">
        <f t="shared" ca="1" si="56"/>
        <v>1065.5159632366594</v>
      </c>
    </row>
    <row r="3492" spans="1:7" x14ac:dyDescent="0.2">
      <c r="A3492" s="6">
        <f ca="1">Model!$F$13+RAND()*(Model!$G$13-Model!$F$13)</f>
        <v>1290.8100428430259</v>
      </c>
      <c r="B3492" s="31">
        <f ca="1">Model!$F$14+RAND()*(Model!$G$14-Model!$F$14)</f>
        <v>0.7458567188798686</v>
      </c>
      <c r="C3492" s="32">
        <f ca="1">Model!$F$15+RAND()*(Model!$G$15-Model!$F$15)</f>
        <v>4.1656304998150144E-2</v>
      </c>
      <c r="D3492" s="33">
        <f ca="1">Model!$F$16+RAND()*(Model!$G$16-Model!$F$16)</f>
        <v>51.75314756665712</v>
      </c>
      <c r="E3492" s="33">
        <f>Model!$D$17</f>
        <v>800</v>
      </c>
      <c r="G3492" s="36">
        <f t="shared" ca="1" si="56"/>
        <v>1020.0269040292678</v>
      </c>
    </row>
    <row r="3493" spans="1:7" x14ac:dyDescent="0.2">
      <c r="A3493" s="6">
        <f ca="1">Model!$F$13+RAND()*(Model!$G$13-Model!$F$13)</f>
        <v>1262.9516991000207</v>
      </c>
      <c r="B3493" s="31">
        <f ca="1">Model!$F$14+RAND()*(Model!$G$14-Model!$F$14)</f>
        <v>0.70038451674652169</v>
      </c>
      <c r="C3493" s="32">
        <f ca="1">Model!$F$15+RAND()*(Model!$G$15-Model!$F$15)</f>
        <v>4.8413783950215832E-2</v>
      </c>
      <c r="D3493" s="33">
        <f ca="1">Model!$F$16+RAND()*(Model!$G$16-Model!$F$16)</f>
        <v>47.74467004316601</v>
      </c>
      <c r="E3493" s="33">
        <f>Model!$D$17</f>
        <v>800</v>
      </c>
      <c r="G3493" s="36">
        <f t="shared" ca="1" si="56"/>
        <v>1234.7612141429581</v>
      </c>
    </row>
    <row r="3494" spans="1:7" x14ac:dyDescent="0.2">
      <c r="A3494" s="6">
        <f ca="1">Model!$F$13+RAND()*(Model!$G$13-Model!$F$13)</f>
        <v>1397.6683882990649</v>
      </c>
      <c r="B3494" s="31">
        <f ca="1">Model!$F$14+RAND()*(Model!$G$14-Model!$F$14)</f>
        <v>0.54953396559046541</v>
      </c>
      <c r="C3494" s="32">
        <f ca="1">Model!$F$15+RAND()*(Model!$G$15-Model!$F$15)</f>
        <v>4.8383482196706101E-2</v>
      </c>
      <c r="D3494" s="33">
        <f ca="1">Model!$F$16+RAND()*(Model!$G$16-Model!$F$16)</f>
        <v>49.683107792874992</v>
      </c>
      <c r="E3494" s="33">
        <f>Model!$D$17</f>
        <v>800</v>
      </c>
      <c r="G3494" s="36">
        <f t="shared" ca="1" si="56"/>
        <v>1791.7073883426012</v>
      </c>
    </row>
    <row r="3495" spans="1:7" x14ac:dyDescent="0.2">
      <c r="A3495" s="6">
        <f ca="1">Model!$F$13+RAND()*(Model!$G$13-Model!$F$13)</f>
        <v>1641.3329755107216</v>
      </c>
      <c r="B3495" s="31">
        <f ca="1">Model!$F$14+RAND()*(Model!$G$14-Model!$F$14)</f>
        <v>0.22401788060697703</v>
      </c>
      <c r="C3495" s="32">
        <f ca="1">Model!$F$15+RAND()*(Model!$G$15-Model!$F$15)</f>
        <v>3.9030997624013256E-2</v>
      </c>
      <c r="D3495" s="33">
        <f ca="1">Model!$F$16+RAND()*(Model!$G$16-Model!$F$16)</f>
        <v>49.059303100848524</v>
      </c>
      <c r="E3495" s="33">
        <f>Model!$D$17</f>
        <v>800</v>
      </c>
      <c r="G3495" s="36">
        <f t="shared" ca="1" si="56"/>
        <v>1975.191501809901</v>
      </c>
    </row>
    <row r="3496" spans="1:7" x14ac:dyDescent="0.2">
      <c r="A3496" s="6">
        <f ca="1">Model!$F$13+RAND()*(Model!$G$13-Model!$F$13)</f>
        <v>1532.5254441239388</v>
      </c>
      <c r="B3496" s="31">
        <f ca="1">Model!$F$14+RAND()*(Model!$G$14-Model!$F$14)</f>
        <v>0.49496496487163577</v>
      </c>
      <c r="C3496" s="32">
        <f ca="1">Model!$F$15+RAND()*(Model!$G$15-Model!$F$15)</f>
        <v>4.2203500905689341E-2</v>
      </c>
      <c r="D3496" s="33">
        <f ca="1">Model!$F$16+RAND()*(Model!$G$16-Model!$F$16)</f>
        <v>50.846099697791637</v>
      </c>
      <c r="E3496" s="33">
        <f>Model!$D$17</f>
        <v>800</v>
      </c>
      <c r="G3496" s="36">
        <f t="shared" ca="1" si="56"/>
        <v>1730.0745304536586</v>
      </c>
    </row>
    <row r="3497" spans="1:7" x14ac:dyDescent="0.2">
      <c r="A3497" s="6">
        <f ca="1">Model!$F$13+RAND()*(Model!$G$13-Model!$F$13)</f>
        <v>1293.5772882930157</v>
      </c>
      <c r="B3497" s="31">
        <f ca="1">Model!$F$14+RAND()*(Model!$G$14-Model!$F$14)</f>
        <v>0.30930784249888565</v>
      </c>
      <c r="C3497" s="32">
        <f ca="1">Model!$F$15+RAND()*(Model!$G$15-Model!$F$15)</f>
        <v>2.5163398865714164E-2</v>
      </c>
      <c r="D3497" s="33">
        <f ca="1">Model!$F$16+RAND()*(Model!$G$16-Model!$F$16)</f>
        <v>50.402684605491508</v>
      </c>
      <c r="E3497" s="33">
        <f>Model!$D$17</f>
        <v>800</v>
      </c>
      <c r="G3497" s="36">
        <f t="shared" ref="G3497:G3560" ca="1" si="57">A3497*C3497*D3497-(E3497+A3497*B3497)</f>
        <v>440.53416986725006</v>
      </c>
    </row>
    <row r="3498" spans="1:7" x14ac:dyDescent="0.2">
      <c r="A3498" s="6">
        <f ca="1">Model!$F$13+RAND()*(Model!$G$13-Model!$F$13)</f>
        <v>1253.8295587410043</v>
      </c>
      <c r="B3498" s="31">
        <f ca="1">Model!$F$14+RAND()*(Model!$G$14-Model!$F$14)</f>
        <v>0.59790894425122731</v>
      </c>
      <c r="C3498" s="32">
        <f ca="1">Model!$F$15+RAND()*(Model!$G$15-Model!$F$15)</f>
        <v>3.6979584105407061E-2</v>
      </c>
      <c r="D3498" s="33">
        <f ca="1">Model!$F$16+RAND()*(Model!$G$16-Model!$F$16)</f>
        <v>49.613659412330911</v>
      </c>
      <c r="E3498" s="33">
        <f>Model!$D$17</f>
        <v>800</v>
      </c>
      <c r="G3498" s="36">
        <f t="shared" ca="1" si="57"/>
        <v>750.71576869734645</v>
      </c>
    </row>
    <row r="3499" spans="1:7" x14ac:dyDescent="0.2">
      <c r="A3499" s="6">
        <f ca="1">Model!$F$13+RAND()*(Model!$G$13-Model!$F$13)</f>
        <v>1615.870874425947</v>
      </c>
      <c r="B3499" s="31">
        <f ca="1">Model!$F$14+RAND()*(Model!$G$14-Model!$F$14)</f>
        <v>0.41535252181720056</v>
      </c>
      <c r="C3499" s="32">
        <f ca="1">Model!$F$15+RAND()*(Model!$G$15-Model!$F$15)</f>
        <v>3.5956843121671904E-2</v>
      </c>
      <c r="D3499" s="33">
        <f ca="1">Model!$F$16+RAND()*(Model!$G$16-Model!$F$16)</f>
        <v>47.668907893149445</v>
      </c>
      <c r="E3499" s="33">
        <f>Model!$D$17</f>
        <v>800</v>
      </c>
      <c r="G3499" s="36">
        <f t="shared" ca="1" si="57"/>
        <v>1298.4845168341835</v>
      </c>
    </row>
    <row r="3500" spans="1:7" x14ac:dyDescent="0.2">
      <c r="A3500" s="6">
        <f ca="1">Model!$F$13+RAND()*(Model!$G$13-Model!$F$13)</f>
        <v>1734.3161299810949</v>
      </c>
      <c r="B3500" s="31">
        <f ca="1">Model!$F$14+RAND()*(Model!$G$14-Model!$F$14)</f>
        <v>0.29866005920842253</v>
      </c>
      <c r="C3500" s="32">
        <f ca="1">Model!$F$15+RAND()*(Model!$G$15-Model!$F$15)</f>
        <v>2.0755507443040416E-2</v>
      </c>
      <c r="D3500" s="33">
        <f ca="1">Model!$F$16+RAND()*(Model!$G$16-Model!$F$16)</f>
        <v>51.2923770598399</v>
      </c>
      <c r="E3500" s="33">
        <f>Model!$D$17</f>
        <v>800</v>
      </c>
      <c r="G3500" s="36">
        <f t="shared" ca="1" si="57"/>
        <v>528.38080388759249</v>
      </c>
    </row>
    <row r="3501" spans="1:7" x14ac:dyDescent="0.2">
      <c r="A3501" s="6">
        <f ca="1">Model!$F$13+RAND()*(Model!$G$13-Model!$F$13)</f>
        <v>1368.3907904276064</v>
      </c>
      <c r="B3501" s="31">
        <f ca="1">Model!$F$14+RAND()*(Model!$G$14-Model!$F$14)</f>
        <v>0.3929400923380808</v>
      </c>
      <c r="C3501" s="32">
        <f ca="1">Model!$F$15+RAND()*(Model!$G$15-Model!$F$15)</f>
        <v>4.7362661676096943E-2</v>
      </c>
      <c r="D3501" s="33">
        <f ca="1">Model!$F$16+RAND()*(Model!$G$16-Model!$F$16)</f>
        <v>49.257152157966019</v>
      </c>
      <c r="E3501" s="33">
        <f>Model!$D$17</f>
        <v>800</v>
      </c>
      <c r="G3501" s="36">
        <f t="shared" ca="1" si="57"/>
        <v>1854.6914621684728</v>
      </c>
    </row>
    <row r="3502" spans="1:7" x14ac:dyDescent="0.2">
      <c r="A3502" s="6">
        <f ca="1">Model!$F$13+RAND()*(Model!$G$13-Model!$F$13)</f>
        <v>1732.9388807319858</v>
      </c>
      <c r="B3502" s="31">
        <f ca="1">Model!$F$14+RAND()*(Model!$G$14-Model!$F$14)</f>
        <v>0.70035747735485088</v>
      </c>
      <c r="C3502" s="32">
        <f ca="1">Model!$F$15+RAND()*(Model!$G$15-Model!$F$15)</f>
        <v>1.8477479410639184E-2</v>
      </c>
      <c r="D3502" s="33">
        <f ca="1">Model!$F$16+RAND()*(Model!$G$16-Model!$F$16)</f>
        <v>52.517919615189697</v>
      </c>
      <c r="E3502" s="33">
        <f>Model!$D$17</f>
        <v>800</v>
      </c>
      <c r="G3502" s="36">
        <f t="shared" ca="1" si="57"/>
        <v>-332.03493005133146</v>
      </c>
    </row>
    <row r="3503" spans="1:7" x14ac:dyDescent="0.2">
      <c r="A3503" s="6">
        <f ca="1">Model!$F$13+RAND()*(Model!$G$13-Model!$F$13)</f>
        <v>1685.5727252167217</v>
      </c>
      <c r="B3503" s="31">
        <f ca="1">Model!$F$14+RAND()*(Model!$G$14-Model!$F$14)</f>
        <v>0.41073241736050559</v>
      </c>
      <c r="C3503" s="32">
        <f ca="1">Model!$F$15+RAND()*(Model!$G$15-Model!$F$15)</f>
        <v>2.881116932222981E-2</v>
      </c>
      <c r="D3503" s="33">
        <f ca="1">Model!$F$16+RAND()*(Model!$G$16-Model!$F$16)</f>
        <v>48.166041879827503</v>
      </c>
      <c r="E3503" s="33">
        <f>Model!$D$17</f>
        <v>800</v>
      </c>
      <c r="G3503" s="36">
        <f t="shared" ca="1" si="57"/>
        <v>846.78360225130928</v>
      </c>
    </row>
    <row r="3504" spans="1:7" x14ac:dyDescent="0.2">
      <c r="A3504" s="6">
        <f ca="1">Model!$F$13+RAND()*(Model!$G$13-Model!$F$13)</f>
        <v>1542.7453604093657</v>
      </c>
      <c r="B3504" s="31">
        <f ca="1">Model!$F$14+RAND()*(Model!$G$14-Model!$F$14)</f>
        <v>0.74736039056865566</v>
      </c>
      <c r="C3504" s="32">
        <f ca="1">Model!$F$15+RAND()*(Model!$G$15-Model!$F$15)</f>
        <v>1.5465405240270357E-2</v>
      </c>
      <c r="D3504" s="33">
        <f ca="1">Model!$F$16+RAND()*(Model!$G$16-Model!$F$16)</f>
        <v>47.27807846530294</v>
      </c>
      <c r="E3504" s="33">
        <f>Model!$D$17</f>
        <v>800</v>
      </c>
      <c r="G3504" s="36">
        <f t="shared" ca="1" si="57"/>
        <v>-824.97048781911599</v>
      </c>
    </row>
    <row r="3505" spans="1:7" x14ac:dyDescent="0.2">
      <c r="A3505" s="6">
        <f ca="1">Model!$F$13+RAND()*(Model!$G$13-Model!$F$13)</f>
        <v>1483.120413183841</v>
      </c>
      <c r="B3505" s="31">
        <f ca="1">Model!$F$14+RAND()*(Model!$G$14-Model!$F$14)</f>
        <v>0.60627292353680673</v>
      </c>
      <c r="C3505" s="32">
        <f ca="1">Model!$F$15+RAND()*(Model!$G$15-Model!$F$15)</f>
        <v>2.9716777395633318E-2</v>
      </c>
      <c r="D3505" s="33">
        <f ca="1">Model!$F$16+RAND()*(Model!$G$16-Model!$F$16)</f>
        <v>47.082804328770003</v>
      </c>
      <c r="E3505" s="33">
        <f>Model!$D$17</f>
        <v>800</v>
      </c>
      <c r="G3505" s="36">
        <f t="shared" ca="1" si="57"/>
        <v>375.93101359213574</v>
      </c>
    </row>
    <row r="3506" spans="1:7" x14ac:dyDescent="0.2">
      <c r="A3506" s="6">
        <f ca="1">Model!$F$13+RAND()*(Model!$G$13-Model!$F$13)</f>
        <v>1412.7242669991208</v>
      </c>
      <c r="B3506" s="31">
        <f ca="1">Model!$F$14+RAND()*(Model!$G$14-Model!$F$14)</f>
        <v>0.58820662421702608</v>
      </c>
      <c r="C3506" s="32">
        <f ca="1">Model!$F$15+RAND()*(Model!$G$15-Model!$F$15)</f>
        <v>1.1968204137204813E-2</v>
      </c>
      <c r="D3506" s="33">
        <f ca="1">Model!$F$16+RAND()*(Model!$G$16-Model!$F$16)</f>
        <v>48.519295353244402</v>
      </c>
      <c r="E3506" s="33">
        <f>Model!$D$17</f>
        <v>800</v>
      </c>
      <c r="G3506" s="36">
        <f t="shared" ca="1" si="57"/>
        <v>-810.62056837377986</v>
      </c>
    </row>
    <row r="3507" spans="1:7" x14ac:dyDescent="0.2">
      <c r="A3507" s="6">
        <f ca="1">Model!$F$13+RAND()*(Model!$G$13-Model!$F$13)</f>
        <v>1749.4707883702388</v>
      </c>
      <c r="B3507" s="31">
        <f ca="1">Model!$F$14+RAND()*(Model!$G$14-Model!$F$14)</f>
        <v>0.37264746000034976</v>
      </c>
      <c r="C3507" s="32">
        <f ca="1">Model!$F$15+RAND()*(Model!$G$15-Model!$F$15)</f>
        <v>4.3447703686259664E-2</v>
      </c>
      <c r="D3507" s="33">
        <f ca="1">Model!$F$16+RAND()*(Model!$G$16-Model!$F$16)</f>
        <v>51.53204005876087</v>
      </c>
      <c r="E3507" s="33">
        <f>Model!$D$17</f>
        <v>800</v>
      </c>
      <c r="G3507" s="36">
        <f t="shared" ca="1" si="57"/>
        <v>2465.0396885596456</v>
      </c>
    </row>
    <row r="3508" spans="1:7" x14ac:dyDescent="0.2">
      <c r="A3508" s="6">
        <f ca="1">Model!$F$13+RAND()*(Model!$G$13-Model!$F$13)</f>
        <v>1652.4862512426755</v>
      </c>
      <c r="B3508" s="31">
        <f ca="1">Model!$F$14+RAND()*(Model!$G$14-Model!$F$14)</f>
        <v>0.55293271221864615</v>
      </c>
      <c r="C3508" s="32">
        <f ca="1">Model!$F$15+RAND()*(Model!$G$15-Model!$F$15)</f>
        <v>4.2549489545579945E-2</v>
      </c>
      <c r="D3508" s="33">
        <f ca="1">Model!$F$16+RAND()*(Model!$G$16-Model!$F$16)</f>
        <v>51.769896076470346</v>
      </c>
      <c r="E3508" s="33">
        <f>Model!$D$17</f>
        <v>800</v>
      </c>
      <c r="G3508" s="36">
        <f t="shared" ca="1" si="57"/>
        <v>1926.3543419064817</v>
      </c>
    </row>
    <row r="3509" spans="1:7" x14ac:dyDescent="0.2">
      <c r="A3509" s="6">
        <f ca="1">Model!$F$13+RAND()*(Model!$G$13-Model!$F$13)</f>
        <v>1455.1102679138187</v>
      </c>
      <c r="B3509" s="31">
        <f ca="1">Model!$F$14+RAND()*(Model!$G$14-Model!$F$14)</f>
        <v>0.28453208136118868</v>
      </c>
      <c r="C3509" s="32">
        <f ca="1">Model!$F$15+RAND()*(Model!$G$15-Model!$F$15)</f>
        <v>3.2649696009132832E-2</v>
      </c>
      <c r="D3509" s="33">
        <f ca="1">Model!$F$16+RAND()*(Model!$G$16-Model!$F$16)</f>
        <v>51.427051976410937</v>
      </c>
      <c r="E3509" s="33">
        <f>Model!$D$17</f>
        <v>800</v>
      </c>
      <c r="G3509" s="36">
        <f t="shared" ca="1" si="57"/>
        <v>1229.217523144174</v>
      </c>
    </row>
    <row r="3510" spans="1:7" x14ac:dyDescent="0.2">
      <c r="A3510" s="6">
        <f ca="1">Model!$F$13+RAND()*(Model!$G$13-Model!$F$13)</f>
        <v>1487.0756618305697</v>
      </c>
      <c r="B3510" s="31">
        <f ca="1">Model!$F$14+RAND()*(Model!$G$14-Model!$F$14)</f>
        <v>0.37263535454267716</v>
      </c>
      <c r="C3510" s="32">
        <f ca="1">Model!$F$15+RAND()*(Model!$G$15-Model!$F$15)</f>
        <v>4.8036371055887976E-2</v>
      </c>
      <c r="D3510" s="33">
        <f ca="1">Model!$F$16+RAND()*(Model!$G$16-Model!$F$16)</f>
        <v>48.462071120275866</v>
      </c>
      <c r="E3510" s="33">
        <f>Model!$D$17</f>
        <v>800</v>
      </c>
      <c r="G3510" s="36">
        <f t="shared" ca="1" si="57"/>
        <v>2107.6889691869555</v>
      </c>
    </row>
    <row r="3511" spans="1:7" x14ac:dyDescent="0.2">
      <c r="A3511" s="6">
        <f ca="1">Model!$F$13+RAND()*(Model!$G$13-Model!$F$13)</f>
        <v>1684.6819488537469</v>
      </c>
      <c r="B3511" s="31">
        <f ca="1">Model!$F$14+RAND()*(Model!$G$14-Model!$F$14)</f>
        <v>0.64756327837503869</v>
      </c>
      <c r="C3511" s="32">
        <f ca="1">Model!$F$15+RAND()*(Model!$G$15-Model!$F$15)</f>
        <v>4.2435838668995404E-2</v>
      </c>
      <c r="D3511" s="33">
        <f ca="1">Model!$F$16+RAND()*(Model!$G$16-Model!$F$16)</f>
        <v>47.011460754571758</v>
      </c>
      <c r="E3511" s="33">
        <f>Model!$D$17</f>
        <v>800</v>
      </c>
      <c r="G3511" s="36">
        <f t="shared" ca="1" si="57"/>
        <v>1469.953069077296</v>
      </c>
    </row>
    <row r="3512" spans="1:7" x14ac:dyDescent="0.2">
      <c r="A3512" s="6">
        <f ca="1">Model!$F$13+RAND()*(Model!$G$13-Model!$F$13)</f>
        <v>1675.3704980544107</v>
      </c>
      <c r="B3512" s="31">
        <f ca="1">Model!$F$14+RAND()*(Model!$G$14-Model!$F$14)</f>
        <v>0.59044056914047882</v>
      </c>
      <c r="C3512" s="32">
        <f ca="1">Model!$F$15+RAND()*(Model!$G$15-Model!$F$15)</f>
        <v>3.7262746464956475E-2</v>
      </c>
      <c r="D3512" s="33">
        <f ca="1">Model!$F$16+RAND()*(Model!$G$16-Model!$F$16)</f>
        <v>48.469256037687352</v>
      </c>
      <c r="E3512" s="33">
        <f>Model!$D$17</f>
        <v>800</v>
      </c>
      <c r="G3512" s="36">
        <f t="shared" ca="1" si="57"/>
        <v>1236.6759237087736</v>
      </c>
    </row>
    <row r="3513" spans="1:7" x14ac:dyDescent="0.2">
      <c r="A3513" s="6">
        <f ca="1">Model!$F$13+RAND()*(Model!$G$13-Model!$F$13)</f>
        <v>1250.409626713543</v>
      </c>
      <c r="B3513" s="31">
        <f ca="1">Model!$F$14+RAND()*(Model!$G$14-Model!$F$14)</f>
        <v>0.42413967798700442</v>
      </c>
      <c r="C3513" s="32">
        <f ca="1">Model!$F$15+RAND()*(Model!$G$15-Model!$F$15)</f>
        <v>4.5775564475724451E-2</v>
      </c>
      <c r="D3513" s="33">
        <f ca="1">Model!$F$16+RAND()*(Model!$G$16-Model!$F$16)</f>
        <v>49.216083614988904</v>
      </c>
      <c r="E3513" s="33">
        <f>Model!$D$17</f>
        <v>800</v>
      </c>
      <c r="G3513" s="36">
        <f t="shared" ca="1" si="57"/>
        <v>1486.69202009335</v>
      </c>
    </row>
    <row r="3514" spans="1:7" x14ac:dyDescent="0.2">
      <c r="A3514" s="6">
        <f ca="1">Model!$F$13+RAND()*(Model!$G$13-Model!$F$13)</f>
        <v>1428.0042036247276</v>
      </c>
      <c r="B3514" s="31">
        <f ca="1">Model!$F$14+RAND()*(Model!$G$14-Model!$F$14)</f>
        <v>0.43259820348704314</v>
      </c>
      <c r="C3514" s="32">
        <f ca="1">Model!$F$15+RAND()*(Model!$G$15-Model!$F$15)</f>
        <v>2.3540325214452262E-2</v>
      </c>
      <c r="D3514" s="33">
        <f ca="1">Model!$F$16+RAND()*(Model!$G$16-Model!$F$16)</f>
        <v>48.410593234340666</v>
      </c>
      <c r="E3514" s="33">
        <f>Model!$D$17</f>
        <v>800</v>
      </c>
      <c r="G3514" s="36">
        <f t="shared" ca="1" si="57"/>
        <v>209.60312042042119</v>
      </c>
    </row>
    <row r="3515" spans="1:7" x14ac:dyDescent="0.2">
      <c r="A3515" s="6">
        <f ca="1">Model!$F$13+RAND()*(Model!$G$13-Model!$F$13)</f>
        <v>1714.5405530811404</v>
      </c>
      <c r="B3515" s="31">
        <f ca="1">Model!$F$14+RAND()*(Model!$G$14-Model!$F$14)</f>
        <v>0.60127858553822844</v>
      </c>
      <c r="C3515" s="32">
        <f ca="1">Model!$F$15+RAND()*(Model!$G$15-Model!$F$15)</f>
        <v>4.1634604628559405E-2</v>
      </c>
      <c r="D3515" s="33">
        <f ca="1">Model!$F$16+RAND()*(Model!$G$16-Model!$F$16)</f>
        <v>47.723231759344813</v>
      </c>
      <c r="E3515" s="33">
        <f>Model!$D$17</f>
        <v>800</v>
      </c>
      <c r="G3515" s="36">
        <f t="shared" ca="1" si="57"/>
        <v>1575.7690632198926</v>
      </c>
    </row>
    <row r="3516" spans="1:7" x14ac:dyDescent="0.2">
      <c r="A3516" s="6">
        <f ca="1">Model!$F$13+RAND()*(Model!$G$13-Model!$F$13)</f>
        <v>1461.1128810040964</v>
      </c>
      <c r="B3516" s="31">
        <f ca="1">Model!$F$14+RAND()*(Model!$G$14-Model!$F$14)</f>
        <v>0.67917628263193897</v>
      </c>
      <c r="C3516" s="32">
        <f ca="1">Model!$F$15+RAND()*(Model!$G$15-Model!$F$15)</f>
        <v>1.6325385816589932E-2</v>
      </c>
      <c r="D3516" s="33">
        <f ca="1">Model!$F$16+RAND()*(Model!$G$16-Model!$F$16)</f>
        <v>52.870021916652718</v>
      </c>
      <c r="E3516" s="33">
        <f>Model!$D$17</f>
        <v>800</v>
      </c>
      <c r="G3516" s="36">
        <f t="shared" ca="1" si="57"/>
        <v>-531.23234262753158</v>
      </c>
    </row>
    <row r="3517" spans="1:7" x14ac:dyDescent="0.2">
      <c r="A3517" s="6">
        <f ca="1">Model!$F$13+RAND()*(Model!$G$13-Model!$F$13)</f>
        <v>1470.0643754948489</v>
      </c>
      <c r="B3517" s="31">
        <f ca="1">Model!$F$14+RAND()*(Model!$G$14-Model!$F$14)</f>
        <v>0.49946299848286124</v>
      </c>
      <c r="C3517" s="32">
        <f ca="1">Model!$F$15+RAND()*(Model!$G$15-Model!$F$15)</f>
        <v>1.6862369051842831E-2</v>
      </c>
      <c r="D3517" s="33">
        <f ca="1">Model!$F$16+RAND()*(Model!$G$16-Model!$F$16)</f>
        <v>48.171683730139058</v>
      </c>
      <c r="E3517" s="33">
        <f>Model!$D$17</f>
        <v>800</v>
      </c>
      <c r="G3517" s="36">
        <f t="shared" ca="1" si="57"/>
        <v>-340.12606736769726</v>
      </c>
    </row>
    <row r="3518" spans="1:7" x14ac:dyDescent="0.2">
      <c r="A3518" s="6">
        <f ca="1">Model!$F$13+RAND()*(Model!$G$13-Model!$F$13)</f>
        <v>1352.363124002165</v>
      </c>
      <c r="B3518" s="31">
        <f ca="1">Model!$F$14+RAND()*(Model!$G$14-Model!$F$14)</f>
        <v>0.4455017227392466</v>
      </c>
      <c r="C3518" s="32">
        <f ca="1">Model!$F$15+RAND()*(Model!$G$15-Model!$F$15)</f>
        <v>4.6564874230740516E-2</v>
      </c>
      <c r="D3518" s="33">
        <f ca="1">Model!$F$16+RAND()*(Model!$G$16-Model!$F$16)</f>
        <v>49.713041034176612</v>
      </c>
      <c r="E3518" s="33">
        <f>Model!$D$17</f>
        <v>800</v>
      </c>
      <c r="G3518" s="36">
        <f t="shared" ca="1" si="57"/>
        <v>1728.0802800993242</v>
      </c>
    </row>
    <row r="3519" spans="1:7" x14ac:dyDescent="0.2">
      <c r="A3519" s="6">
        <f ca="1">Model!$F$13+RAND()*(Model!$G$13-Model!$F$13)</f>
        <v>1736.2820201295472</v>
      </c>
      <c r="B3519" s="31">
        <f ca="1">Model!$F$14+RAND()*(Model!$G$14-Model!$F$14)</f>
        <v>0.48087335156180849</v>
      </c>
      <c r="C3519" s="32">
        <f ca="1">Model!$F$15+RAND()*(Model!$G$15-Model!$F$15)</f>
        <v>3.0960848311448234E-2</v>
      </c>
      <c r="D3519" s="33">
        <f ca="1">Model!$F$16+RAND()*(Model!$G$16-Model!$F$16)</f>
        <v>47.851108391051916</v>
      </c>
      <c r="E3519" s="33">
        <f>Model!$D$17</f>
        <v>800</v>
      </c>
      <c r="G3519" s="36">
        <f t="shared" ca="1" si="57"/>
        <v>937.38899865664371</v>
      </c>
    </row>
    <row r="3520" spans="1:7" x14ac:dyDescent="0.2">
      <c r="A3520" s="6">
        <f ca="1">Model!$F$13+RAND()*(Model!$G$13-Model!$F$13)</f>
        <v>1771.5081087410022</v>
      </c>
      <c r="B3520" s="31">
        <f ca="1">Model!$F$14+RAND()*(Model!$G$14-Model!$F$14)</f>
        <v>0.29564339925738647</v>
      </c>
      <c r="C3520" s="32">
        <f ca="1">Model!$F$15+RAND()*(Model!$G$15-Model!$F$15)</f>
        <v>4.5651002587272484E-2</v>
      </c>
      <c r="D3520" s="33">
        <f ca="1">Model!$F$16+RAND()*(Model!$G$16-Model!$F$16)</f>
        <v>52.883953897831724</v>
      </c>
      <c r="E3520" s="33">
        <f>Model!$D$17</f>
        <v>800</v>
      </c>
      <c r="G3520" s="36">
        <f t="shared" ca="1" si="57"/>
        <v>2953.0499690621191</v>
      </c>
    </row>
    <row r="3521" spans="1:7" x14ac:dyDescent="0.2">
      <c r="A3521" s="6">
        <f ca="1">Model!$F$13+RAND()*(Model!$G$13-Model!$F$13)</f>
        <v>1285.5676421256114</v>
      </c>
      <c r="B3521" s="31">
        <f ca="1">Model!$F$14+RAND()*(Model!$G$14-Model!$F$14)</f>
        <v>0.31919859780896676</v>
      </c>
      <c r="C3521" s="32">
        <f ca="1">Model!$F$15+RAND()*(Model!$G$15-Model!$F$15)</f>
        <v>3.0266284945833763E-2</v>
      </c>
      <c r="D3521" s="33">
        <f ca="1">Model!$F$16+RAND()*(Model!$G$16-Model!$F$16)</f>
        <v>51.034752174465467</v>
      </c>
      <c r="E3521" s="33">
        <f>Model!$D$17</f>
        <v>800</v>
      </c>
      <c r="G3521" s="36">
        <f t="shared" ca="1" si="57"/>
        <v>775.37798125250129</v>
      </c>
    </row>
    <row r="3522" spans="1:7" x14ac:dyDescent="0.2">
      <c r="A3522" s="6">
        <f ca="1">Model!$F$13+RAND()*(Model!$G$13-Model!$F$13)</f>
        <v>1332.0871450228562</v>
      </c>
      <c r="B3522" s="31">
        <f ca="1">Model!$F$14+RAND()*(Model!$G$14-Model!$F$14)</f>
        <v>0.76506124022786737</v>
      </c>
      <c r="C3522" s="32">
        <f ca="1">Model!$F$15+RAND()*(Model!$G$15-Model!$F$15)</f>
        <v>4.3631024044269114E-2</v>
      </c>
      <c r="D3522" s="33">
        <f ca="1">Model!$F$16+RAND()*(Model!$G$16-Model!$F$16)</f>
        <v>48.305249915454276</v>
      </c>
      <c r="E3522" s="33">
        <f>Model!$D$17</f>
        <v>800</v>
      </c>
      <c r="G3522" s="36">
        <f t="shared" ca="1" si="57"/>
        <v>988.38864158288061</v>
      </c>
    </row>
    <row r="3523" spans="1:7" x14ac:dyDescent="0.2">
      <c r="A3523" s="6">
        <f ca="1">Model!$F$13+RAND()*(Model!$G$13-Model!$F$13)</f>
        <v>1635.7521479740558</v>
      </c>
      <c r="B3523" s="31">
        <f ca="1">Model!$F$14+RAND()*(Model!$G$14-Model!$F$14)</f>
        <v>0.65954507162021114</v>
      </c>
      <c r="C3523" s="32">
        <f ca="1">Model!$F$15+RAND()*(Model!$G$15-Model!$F$15)</f>
        <v>3.7571294673511578E-2</v>
      </c>
      <c r="D3523" s="33">
        <f ca="1">Model!$F$16+RAND()*(Model!$G$16-Model!$F$16)</f>
        <v>47.802818574374477</v>
      </c>
      <c r="E3523" s="33">
        <f>Model!$D$17</f>
        <v>800</v>
      </c>
      <c r="G3523" s="36">
        <f t="shared" ca="1" si="57"/>
        <v>1058.9811355521642</v>
      </c>
    </row>
    <row r="3524" spans="1:7" x14ac:dyDescent="0.2">
      <c r="A3524" s="6">
        <f ca="1">Model!$F$13+RAND()*(Model!$G$13-Model!$F$13)</f>
        <v>1471.5626980001064</v>
      </c>
      <c r="B3524" s="31">
        <f ca="1">Model!$F$14+RAND()*(Model!$G$14-Model!$F$14)</f>
        <v>0.30674668689621909</v>
      </c>
      <c r="C3524" s="32">
        <f ca="1">Model!$F$15+RAND()*(Model!$G$15-Model!$F$15)</f>
        <v>2.3521438575562E-2</v>
      </c>
      <c r="D3524" s="33">
        <f ca="1">Model!$F$16+RAND()*(Model!$G$16-Model!$F$16)</f>
        <v>47.204207797049236</v>
      </c>
      <c r="E3524" s="33">
        <f>Model!$D$17</f>
        <v>800</v>
      </c>
      <c r="G3524" s="36">
        <f t="shared" ca="1" si="57"/>
        <v>382.49508349437133</v>
      </c>
    </row>
    <row r="3525" spans="1:7" x14ac:dyDescent="0.2">
      <c r="A3525" s="6">
        <f ca="1">Model!$F$13+RAND()*(Model!$G$13-Model!$F$13)</f>
        <v>1390.4508945443567</v>
      </c>
      <c r="B3525" s="31">
        <f ca="1">Model!$F$14+RAND()*(Model!$G$14-Model!$F$14)</f>
        <v>0.51158845580155798</v>
      </c>
      <c r="C3525" s="32">
        <f ca="1">Model!$F$15+RAND()*(Model!$G$15-Model!$F$15)</f>
        <v>2.456301750890718E-2</v>
      </c>
      <c r="D3525" s="33">
        <f ca="1">Model!$F$16+RAND()*(Model!$G$16-Model!$F$16)</f>
        <v>48.856697217221424</v>
      </c>
      <c r="E3525" s="33">
        <f>Model!$D$17</f>
        <v>800</v>
      </c>
      <c r="G3525" s="36">
        <f t="shared" ca="1" si="57"/>
        <v>157.29687181710301</v>
      </c>
    </row>
    <row r="3526" spans="1:7" x14ac:dyDescent="0.2">
      <c r="A3526" s="6">
        <f ca="1">Model!$F$13+RAND()*(Model!$G$13-Model!$F$13)</f>
        <v>1601.4209814797828</v>
      </c>
      <c r="B3526" s="31">
        <f ca="1">Model!$F$14+RAND()*(Model!$G$14-Model!$F$14)</f>
        <v>0.79904774204156492</v>
      </c>
      <c r="C3526" s="32">
        <f ca="1">Model!$F$15+RAND()*(Model!$G$15-Model!$F$15)</f>
        <v>3.8575343158229899E-2</v>
      </c>
      <c r="D3526" s="33">
        <f ca="1">Model!$F$16+RAND()*(Model!$G$16-Model!$F$16)</f>
        <v>50.044280951294247</v>
      </c>
      <c r="E3526" s="33">
        <f>Model!$D$17</f>
        <v>800</v>
      </c>
      <c r="G3526" s="36">
        <f t="shared" ca="1" si="57"/>
        <v>1011.8918476392914</v>
      </c>
    </row>
    <row r="3527" spans="1:7" x14ac:dyDescent="0.2">
      <c r="A3527" s="6">
        <f ca="1">Model!$F$13+RAND()*(Model!$G$13-Model!$F$13)</f>
        <v>1630.7297245769187</v>
      </c>
      <c r="B3527" s="31">
        <f ca="1">Model!$F$14+RAND()*(Model!$G$14-Model!$F$14)</f>
        <v>0.2749304065262505</v>
      </c>
      <c r="C3527" s="32">
        <f ca="1">Model!$F$15+RAND()*(Model!$G$15-Model!$F$15)</f>
        <v>4.1692284719681262E-2</v>
      </c>
      <c r="D3527" s="33">
        <f ca="1">Model!$F$16+RAND()*(Model!$G$16-Model!$F$16)</f>
        <v>51.105974826511911</v>
      </c>
      <c r="E3527" s="33">
        <f>Model!$D$17</f>
        <v>800</v>
      </c>
      <c r="G3527" s="36">
        <f t="shared" ca="1" si="57"/>
        <v>2226.2991671301538</v>
      </c>
    </row>
    <row r="3528" spans="1:7" x14ac:dyDescent="0.2">
      <c r="A3528" s="6">
        <f ca="1">Model!$F$13+RAND()*(Model!$G$13-Model!$F$13)</f>
        <v>1795.8898926989518</v>
      </c>
      <c r="B3528" s="31">
        <f ca="1">Model!$F$14+RAND()*(Model!$G$14-Model!$F$14)</f>
        <v>0.37064423952681769</v>
      </c>
      <c r="C3528" s="32">
        <f ca="1">Model!$F$15+RAND()*(Model!$G$15-Model!$F$15)</f>
        <v>3.7279984025778916E-2</v>
      </c>
      <c r="D3528" s="33">
        <f ca="1">Model!$F$16+RAND()*(Model!$G$16-Model!$F$16)</f>
        <v>50.299441483490639</v>
      </c>
      <c r="E3528" s="33">
        <f>Model!$D$17</f>
        <v>800</v>
      </c>
      <c r="G3528" s="36">
        <f t="shared" ca="1" si="57"/>
        <v>1901.9489128967573</v>
      </c>
    </row>
    <row r="3529" spans="1:7" x14ac:dyDescent="0.2">
      <c r="A3529" s="6">
        <f ca="1">Model!$F$13+RAND()*(Model!$G$13-Model!$F$13)</f>
        <v>1329.9071129905342</v>
      </c>
      <c r="B3529" s="31">
        <f ca="1">Model!$F$14+RAND()*(Model!$G$14-Model!$F$14)</f>
        <v>0.50803743212686991</v>
      </c>
      <c r="C3529" s="32">
        <f ca="1">Model!$F$15+RAND()*(Model!$G$15-Model!$F$15)</f>
        <v>1.0552073881814891E-2</v>
      </c>
      <c r="D3529" s="33">
        <f ca="1">Model!$F$16+RAND()*(Model!$G$16-Model!$F$16)</f>
        <v>51.473697837642852</v>
      </c>
      <c r="E3529" s="33">
        <f>Model!$D$17</f>
        <v>800</v>
      </c>
      <c r="G3529" s="36">
        <f t="shared" ca="1" si="57"/>
        <v>-753.29787743057705</v>
      </c>
    </row>
    <row r="3530" spans="1:7" x14ac:dyDescent="0.2">
      <c r="A3530" s="6">
        <f ca="1">Model!$F$13+RAND()*(Model!$G$13-Model!$F$13)</f>
        <v>1232.5291697178538</v>
      </c>
      <c r="B3530" s="31">
        <f ca="1">Model!$F$14+RAND()*(Model!$G$14-Model!$F$14)</f>
        <v>0.36827018507709847</v>
      </c>
      <c r="C3530" s="32">
        <f ca="1">Model!$F$15+RAND()*(Model!$G$15-Model!$F$15)</f>
        <v>4.2557480080866752E-2</v>
      </c>
      <c r="D3530" s="33">
        <f ca="1">Model!$F$16+RAND()*(Model!$G$16-Model!$F$16)</f>
        <v>49.600222647605477</v>
      </c>
      <c r="E3530" s="33">
        <f>Model!$D$17</f>
        <v>800</v>
      </c>
      <c r="G3530" s="36">
        <f t="shared" ca="1" si="57"/>
        <v>1347.7933783966498</v>
      </c>
    </row>
    <row r="3531" spans="1:7" x14ac:dyDescent="0.2">
      <c r="A3531" s="6">
        <f ca="1">Model!$F$13+RAND()*(Model!$G$13-Model!$F$13)</f>
        <v>1354.1768028908984</v>
      </c>
      <c r="B3531" s="31">
        <f ca="1">Model!$F$14+RAND()*(Model!$G$14-Model!$F$14)</f>
        <v>0.64214961329077092</v>
      </c>
      <c r="C3531" s="32">
        <f ca="1">Model!$F$15+RAND()*(Model!$G$15-Model!$F$15)</f>
        <v>2.8591386988324793E-2</v>
      </c>
      <c r="D3531" s="33">
        <f ca="1">Model!$F$16+RAND()*(Model!$G$16-Model!$F$16)</f>
        <v>48.775110167151823</v>
      </c>
      <c r="E3531" s="33">
        <f>Model!$D$17</f>
        <v>800</v>
      </c>
      <c r="G3531" s="36">
        <f t="shared" ca="1" si="57"/>
        <v>218.88050977653347</v>
      </c>
    </row>
    <row r="3532" spans="1:7" x14ac:dyDescent="0.2">
      <c r="A3532" s="6">
        <f ca="1">Model!$F$13+RAND()*(Model!$G$13-Model!$F$13)</f>
        <v>1270.6572571491236</v>
      </c>
      <c r="B3532" s="31">
        <f ca="1">Model!$F$14+RAND()*(Model!$G$14-Model!$F$14)</f>
        <v>0.23530135608617314</v>
      </c>
      <c r="C3532" s="32">
        <f ca="1">Model!$F$15+RAND()*(Model!$G$15-Model!$F$15)</f>
        <v>1.1885243719712099E-2</v>
      </c>
      <c r="D3532" s="33">
        <f ca="1">Model!$F$16+RAND()*(Model!$G$16-Model!$F$16)</f>
        <v>50.822291371743205</v>
      </c>
      <c r="E3532" s="33">
        <f>Model!$D$17</f>
        <v>800</v>
      </c>
      <c r="G3532" s="36">
        <f t="shared" ca="1" si="57"/>
        <v>-331.46551362477749</v>
      </c>
    </row>
    <row r="3533" spans="1:7" x14ac:dyDescent="0.2">
      <c r="A3533" s="6">
        <f ca="1">Model!$F$13+RAND()*(Model!$G$13-Model!$F$13)</f>
        <v>1431.5005780874399</v>
      </c>
      <c r="B3533" s="31">
        <f ca="1">Model!$F$14+RAND()*(Model!$G$14-Model!$F$14)</f>
        <v>0.7748864189482616</v>
      </c>
      <c r="C3533" s="32">
        <f ca="1">Model!$F$15+RAND()*(Model!$G$15-Model!$F$15)</f>
        <v>3.8651128741995992E-2</v>
      </c>
      <c r="D3533" s="33">
        <f ca="1">Model!$F$16+RAND()*(Model!$G$16-Model!$F$16)</f>
        <v>47.753247872870674</v>
      </c>
      <c r="E3533" s="33">
        <f>Model!$D$17</f>
        <v>800</v>
      </c>
      <c r="G3533" s="36">
        <f t="shared" ca="1" si="57"/>
        <v>732.89449758366936</v>
      </c>
    </row>
    <row r="3534" spans="1:7" x14ac:dyDescent="0.2">
      <c r="A3534" s="6">
        <f ca="1">Model!$F$13+RAND()*(Model!$G$13-Model!$F$13)</f>
        <v>1355.8146100872286</v>
      </c>
      <c r="B3534" s="31">
        <f ca="1">Model!$F$14+RAND()*(Model!$G$14-Model!$F$14)</f>
        <v>0.59569538466166039</v>
      </c>
      <c r="C3534" s="32">
        <f ca="1">Model!$F$15+RAND()*(Model!$G$15-Model!$F$15)</f>
        <v>4.3830753546021652E-2</v>
      </c>
      <c r="D3534" s="33">
        <f ca="1">Model!$F$16+RAND()*(Model!$G$16-Model!$F$16)</f>
        <v>52.132643089695378</v>
      </c>
      <c r="E3534" s="33">
        <f>Model!$D$17</f>
        <v>800</v>
      </c>
      <c r="G3534" s="36">
        <f t="shared" ca="1" si="57"/>
        <v>1490.4015459391476</v>
      </c>
    </row>
    <row r="3535" spans="1:7" x14ac:dyDescent="0.2">
      <c r="A3535" s="6">
        <f ca="1">Model!$F$13+RAND()*(Model!$G$13-Model!$F$13)</f>
        <v>1429.4951166254309</v>
      </c>
      <c r="B3535" s="31">
        <f ca="1">Model!$F$14+RAND()*(Model!$G$14-Model!$F$14)</f>
        <v>0.70326309267409859</v>
      </c>
      <c r="C3535" s="32">
        <f ca="1">Model!$F$15+RAND()*(Model!$G$15-Model!$F$15)</f>
        <v>1.1275577379654114E-2</v>
      </c>
      <c r="D3535" s="33">
        <f ca="1">Model!$F$16+RAND()*(Model!$G$16-Model!$F$16)</f>
        <v>50.62910064997606</v>
      </c>
      <c r="E3535" s="33">
        <f>Model!$D$17</f>
        <v>800</v>
      </c>
      <c r="G3535" s="36">
        <f t="shared" ca="1" si="57"/>
        <v>-989.25193151624467</v>
      </c>
    </row>
    <row r="3536" spans="1:7" x14ac:dyDescent="0.2">
      <c r="A3536" s="6">
        <f ca="1">Model!$F$13+RAND()*(Model!$G$13-Model!$F$13)</f>
        <v>1532.7325705649389</v>
      </c>
      <c r="B3536" s="31">
        <f ca="1">Model!$F$14+RAND()*(Model!$G$14-Model!$F$14)</f>
        <v>0.20589323170699725</v>
      </c>
      <c r="C3536" s="32">
        <f ca="1">Model!$F$15+RAND()*(Model!$G$15-Model!$F$15)</f>
        <v>3.5605326715165551E-2</v>
      </c>
      <c r="D3536" s="33">
        <f ca="1">Model!$F$16+RAND()*(Model!$G$16-Model!$F$16)</f>
        <v>52.007913986821507</v>
      </c>
      <c r="E3536" s="33">
        <f>Model!$D$17</f>
        <v>800</v>
      </c>
      <c r="G3536" s="36">
        <f t="shared" ca="1" si="57"/>
        <v>1722.6717162008622</v>
      </c>
    </row>
    <row r="3537" spans="1:7" x14ac:dyDescent="0.2">
      <c r="A3537" s="6">
        <f ca="1">Model!$F$13+RAND()*(Model!$G$13-Model!$F$13)</f>
        <v>1554.3600269227625</v>
      </c>
      <c r="B3537" s="31">
        <f ca="1">Model!$F$14+RAND()*(Model!$G$14-Model!$F$14)</f>
        <v>0.44614443482730493</v>
      </c>
      <c r="C3537" s="32">
        <f ca="1">Model!$F$15+RAND()*(Model!$G$15-Model!$F$15)</f>
        <v>2.392114340427768E-2</v>
      </c>
      <c r="D3537" s="33">
        <f ca="1">Model!$F$16+RAND()*(Model!$G$16-Model!$F$16)</f>
        <v>52.232756791425629</v>
      </c>
      <c r="E3537" s="33">
        <f>Model!$D$17</f>
        <v>800</v>
      </c>
      <c r="G3537" s="36">
        <f t="shared" ca="1" si="57"/>
        <v>448.65289688065263</v>
      </c>
    </row>
    <row r="3538" spans="1:7" x14ac:dyDescent="0.2">
      <c r="A3538" s="6">
        <f ca="1">Model!$F$13+RAND()*(Model!$G$13-Model!$F$13)</f>
        <v>1681.8557827343593</v>
      </c>
      <c r="B3538" s="31">
        <f ca="1">Model!$F$14+RAND()*(Model!$G$14-Model!$F$14)</f>
        <v>0.28570907236213372</v>
      </c>
      <c r="C3538" s="32">
        <f ca="1">Model!$F$15+RAND()*(Model!$G$15-Model!$F$15)</f>
        <v>1.7957855504991585E-2</v>
      </c>
      <c r="D3538" s="33">
        <f ca="1">Model!$F$16+RAND()*(Model!$G$16-Model!$F$16)</f>
        <v>48.174969165263882</v>
      </c>
      <c r="E3538" s="33">
        <f>Model!$D$17</f>
        <v>800</v>
      </c>
      <c r="G3538" s="36">
        <f t="shared" ca="1" si="57"/>
        <v>174.48416480414721</v>
      </c>
    </row>
    <row r="3539" spans="1:7" x14ac:dyDescent="0.2">
      <c r="A3539" s="6">
        <f ca="1">Model!$F$13+RAND()*(Model!$G$13-Model!$F$13)</f>
        <v>1247.7834990650497</v>
      </c>
      <c r="B3539" s="31">
        <f ca="1">Model!$F$14+RAND()*(Model!$G$14-Model!$F$14)</f>
        <v>0.21841831944926074</v>
      </c>
      <c r="C3539" s="32">
        <f ca="1">Model!$F$15+RAND()*(Model!$G$15-Model!$F$15)</f>
        <v>2.6386358142269008E-2</v>
      </c>
      <c r="D3539" s="33">
        <f ca="1">Model!$F$16+RAND()*(Model!$G$16-Model!$F$16)</f>
        <v>52.243501768099676</v>
      </c>
      <c r="E3539" s="33">
        <f>Model!$D$17</f>
        <v>800</v>
      </c>
      <c r="G3539" s="36">
        <f t="shared" ca="1" si="57"/>
        <v>647.55042897701082</v>
      </c>
    </row>
    <row r="3540" spans="1:7" x14ac:dyDescent="0.2">
      <c r="A3540" s="6">
        <f ca="1">Model!$F$13+RAND()*(Model!$G$13-Model!$F$13)</f>
        <v>1218.7350072253043</v>
      </c>
      <c r="B3540" s="31">
        <f ca="1">Model!$F$14+RAND()*(Model!$G$14-Model!$F$14)</f>
        <v>0.3330087364190697</v>
      </c>
      <c r="C3540" s="32">
        <f ca="1">Model!$F$15+RAND()*(Model!$G$15-Model!$F$15)</f>
        <v>4.5072179449311897E-2</v>
      </c>
      <c r="D3540" s="33">
        <f ca="1">Model!$F$16+RAND()*(Model!$G$16-Model!$F$16)</f>
        <v>47.344738383540509</v>
      </c>
      <c r="E3540" s="33">
        <f>Model!$D$17</f>
        <v>800</v>
      </c>
      <c r="G3540" s="36">
        <f t="shared" ca="1" si="57"/>
        <v>1394.8464526663111</v>
      </c>
    </row>
    <row r="3541" spans="1:7" x14ac:dyDescent="0.2">
      <c r="A3541" s="6">
        <f ca="1">Model!$F$13+RAND()*(Model!$G$13-Model!$F$13)</f>
        <v>1266.6520969891267</v>
      </c>
      <c r="B3541" s="31">
        <f ca="1">Model!$F$14+RAND()*(Model!$G$14-Model!$F$14)</f>
        <v>0.49529107804423711</v>
      </c>
      <c r="C3541" s="32">
        <f ca="1">Model!$F$15+RAND()*(Model!$G$15-Model!$F$15)</f>
        <v>1.5904372975386952E-2</v>
      </c>
      <c r="D3541" s="33">
        <f ca="1">Model!$F$16+RAND()*(Model!$G$16-Model!$F$16)</f>
        <v>52.387690366616631</v>
      </c>
      <c r="E3541" s="33">
        <f>Model!$D$17</f>
        <v>800</v>
      </c>
      <c r="G3541" s="36">
        <f t="shared" ca="1" si="57"/>
        <v>-371.99535723106351</v>
      </c>
    </row>
    <row r="3542" spans="1:7" x14ac:dyDescent="0.2">
      <c r="A3542" s="6">
        <f ca="1">Model!$F$13+RAND()*(Model!$G$13-Model!$F$13)</f>
        <v>1376.6707928863129</v>
      </c>
      <c r="B3542" s="31">
        <f ca="1">Model!$F$14+RAND()*(Model!$G$14-Model!$F$14)</f>
        <v>0.63670154940393475</v>
      </c>
      <c r="C3542" s="32">
        <f ca="1">Model!$F$15+RAND()*(Model!$G$15-Model!$F$15)</f>
        <v>1.5877742393223381E-2</v>
      </c>
      <c r="D3542" s="33">
        <f ca="1">Model!$F$16+RAND()*(Model!$G$16-Model!$F$16)</f>
        <v>49.101390423120854</v>
      </c>
      <c r="E3542" s="33">
        <f>Model!$D$17</f>
        <v>800</v>
      </c>
      <c r="G3542" s="36">
        <f t="shared" ca="1" si="57"/>
        <v>-603.24940569403043</v>
      </c>
    </row>
    <row r="3543" spans="1:7" x14ac:dyDescent="0.2">
      <c r="A3543" s="6">
        <f ca="1">Model!$F$13+RAND()*(Model!$G$13-Model!$F$13)</f>
        <v>1533.0128570038523</v>
      </c>
      <c r="B3543" s="31">
        <f ca="1">Model!$F$14+RAND()*(Model!$G$14-Model!$F$14)</f>
        <v>0.31876517271891708</v>
      </c>
      <c r="C3543" s="32">
        <f ca="1">Model!$F$15+RAND()*(Model!$G$15-Model!$F$15)</f>
        <v>4.3948234411696603E-2</v>
      </c>
      <c r="D3543" s="33">
        <f ca="1">Model!$F$16+RAND()*(Model!$G$16-Model!$F$16)</f>
        <v>47.369755471744334</v>
      </c>
      <c r="E3543" s="33">
        <f>Model!$D$17</f>
        <v>800</v>
      </c>
      <c r="G3543" s="36">
        <f t="shared" ca="1" si="57"/>
        <v>1902.7812989103977</v>
      </c>
    </row>
    <row r="3544" spans="1:7" x14ac:dyDescent="0.2">
      <c r="A3544" s="6">
        <f ca="1">Model!$F$13+RAND()*(Model!$G$13-Model!$F$13)</f>
        <v>1328.3849025859747</v>
      </c>
      <c r="B3544" s="31">
        <f ca="1">Model!$F$14+RAND()*(Model!$G$14-Model!$F$14)</f>
        <v>0.57879549737913716</v>
      </c>
      <c r="C3544" s="32">
        <f ca="1">Model!$F$15+RAND()*(Model!$G$15-Model!$F$15)</f>
        <v>1.5781732283737526E-2</v>
      </c>
      <c r="D3544" s="33">
        <f ca="1">Model!$F$16+RAND()*(Model!$G$16-Model!$F$16)</f>
        <v>52.740139625765707</v>
      </c>
      <c r="E3544" s="33">
        <f>Model!$D$17</f>
        <v>800</v>
      </c>
      <c r="G3544" s="36">
        <f t="shared" ca="1" si="57"/>
        <v>-463.20757930760215</v>
      </c>
    </row>
    <row r="3545" spans="1:7" x14ac:dyDescent="0.2">
      <c r="A3545" s="6">
        <f ca="1">Model!$F$13+RAND()*(Model!$G$13-Model!$F$13)</f>
        <v>1280.0957996300092</v>
      </c>
      <c r="B3545" s="31">
        <f ca="1">Model!$F$14+RAND()*(Model!$G$14-Model!$F$14)</f>
        <v>0.39893864257264855</v>
      </c>
      <c r="C3545" s="32">
        <f ca="1">Model!$F$15+RAND()*(Model!$G$15-Model!$F$15)</f>
        <v>1.4957180640597346E-2</v>
      </c>
      <c r="D3545" s="33">
        <f ca="1">Model!$F$16+RAND()*(Model!$G$16-Model!$F$16)</f>
        <v>49.216067395062964</v>
      </c>
      <c r="E3545" s="33">
        <f>Model!$D$17</f>
        <v>800</v>
      </c>
      <c r="G3545" s="36">
        <f t="shared" ca="1" si="57"/>
        <v>-368.35813796668128</v>
      </c>
    </row>
    <row r="3546" spans="1:7" x14ac:dyDescent="0.2">
      <c r="A3546" s="6">
        <f ca="1">Model!$F$13+RAND()*(Model!$G$13-Model!$F$13)</f>
        <v>1451.6658583815533</v>
      </c>
      <c r="B3546" s="31">
        <f ca="1">Model!$F$14+RAND()*(Model!$G$14-Model!$F$14)</f>
        <v>0.39894420716344869</v>
      </c>
      <c r="C3546" s="32">
        <f ca="1">Model!$F$15+RAND()*(Model!$G$15-Model!$F$15)</f>
        <v>2.2730699848944873E-2</v>
      </c>
      <c r="D3546" s="33">
        <f ca="1">Model!$F$16+RAND()*(Model!$G$16-Model!$F$16)</f>
        <v>48.394076635833521</v>
      </c>
      <c r="E3546" s="33">
        <f>Model!$D$17</f>
        <v>800</v>
      </c>
      <c r="G3546" s="36">
        <f t="shared" ca="1" si="57"/>
        <v>217.74409549713573</v>
      </c>
    </row>
    <row r="3547" spans="1:7" x14ac:dyDescent="0.2">
      <c r="A3547" s="6">
        <f ca="1">Model!$F$13+RAND()*(Model!$G$13-Model!$F$13)</f>
        <v>1271.2649853181449</v>
      </c>
      <c r="B3547" s="31">
        <f ca="1">Model!$F$14+RAND()*(Model!$G$14-Model!$F$14)</f>
        <v>0.67636828863030307</v>
      </c>
      <c r="C3547" s="32">
        <f ca="1">Model!$F$15+RAND()*(Model!$G$15-Model!$F$15)</f>
        <v>1.512568596929775E-2</v>
      </c>
      <c r="D3547" s="33">
        <f ca="1">Model!$F$16+RAND()*(Model!$G$16-Model!$F$16)</f>
        <v>48.047910792708812</v>
      </c>
      <c r="E3547" s="33">
        <f>Model!$D$17</f>
        <v>800</v>
      </c>
      <c r="G3547" s="36">
        <f t="shared" ca="1" si="57"/>
        <v>-735.94181994178587</v>
      </c>
    </row>
    <row r="3548" spans="1:7" x14ac:dyDescent="0.2">
      <c r="A3548" s="6">
        <f ca="1">Model!$F$13+RAND()*(Model!$G$13-Model!$F$13)</f>
        <v>1548.075011936309</v>
      </c>
      <c r="B3548" s="31">
        <f ca="1">Model!$F$14+RAND()*(Model!$G$14-Model!$F$14)</f>
        <v>0.55264558586553991</v>
      </c>
      <c r="C3548" s="32">
        <f ca="1">Model!$F$15+RAND()*(Model!$G$15-Model!$F$15)</f>
        <v>4.272098761967158E-2</v>
      </c>
      <c r="D3548" s="33">
        <f ca="1">Model!$F$16+RAND()*(Model!$G$16-Model!$F$16)</f>
        <v>48.367044078926284</v>
      </c>
      <c r="E3548" s="33">
        <f>Model!$D$17</f>
        <v>800</v>
      </c>
      <c r="G3548" s="36">
        <f t="shared" ca="1" si="57"/>
        <v>1543.2318300464367</v>
      </c>
    </row>
    <row r="3549" spans="1:7" x14ac:dyDescent="0.2">
      <c r="A3549" s="6">
        <f ca="1">Model!$F$13+RAND()*(Model!$G$13-Model!$F$13)</f>
        <v>1708.2603181317841</v>
      </c>
      <c r="B3549" s="31">
        <f ca="1">Model!$F$14+RAND()*(Model!$G$14-Model!$F$14)</f>
        <v>0.66729881054415763</v>
      </c>
      <c r="C3549" s="32">
        <f ca="1">Model!$F$15+RAND()*(Model!$G$15-Model!$F$15)</f>
        <v>2.2448754131533879E-2</v>
      </c>
      <c r="D3549" s="33">
        <f ca="1">Model!$F$16+RAND()*(Model!$G$16-Model!$F$16)</f>
        <v>50.061305811865822</v>
      </c>
      <c r="E3549" s="33">
        <f>Model!$D$17</f>
        <v>800</v>
      </c>
      <c r="G3549" s="36">
        <f t="shared" ca="1" si="57"/>
        <v>-20.153310030943658</v>
      </c>
    </row>
    <row r="3550" spans="1:7" x14ac:dyDescent="0.2">
      <c r="A3550" s="6">
        <f ca="1">Model!$F$13+RAND()*(Model!$G$13-Model!$F$13)</f>
        <v>1579.8571938241171</v>
      </c>
      <c r="B3550" s="31">
        <f ca="1">Model!$F$14+RAND()*(Model!$G$14-Model!$F$14)</f>
        <v>0.26590697907656946</v>
      </c>
      <c r="C3550" s="32">
        <f ca="1">Model!$F$15+RAND()*(Model!$G$15-Model!$F$15)</f>
        <v>4.0247856455071146E-2</v>
      </c>
      <c r="D3550" s="33">
        <f ca="1">Model!$F$16+RAND()*(Model!$G$16-Model!$F$16)</f>
        <v>47.400807179215782</v>
      </c>
      <c r="E3550" s="33">
        <f>Model!$D$17</f>
        <v>800</v>
      </c>
      <c r="G3550" s="36">
        <f t="shared" ca="1" si="57"/>
        <v>1793.9262987871502</v>
      </c>
    </row>
    <row r="3551" spans="1:7" x14ac:dyDescent="0.2">
      <c r="A3551" s="6">
        <f ca="1">Model!$F$13+RAND()*(Model!$G$13-Model!$F$13)</f>
        <v>1658.0600383957292</v>
      </c>
      <c r="B3551" s="31">
        <f ca="1">Model!$F$14+RAND()*(Model!$G$14-Model!$F$14)</f>
        <v>0.57347864320052289</v>
      </c>
      <c r="C3551" s="32">
        <f ca="1">Model!$F$15+RAND()*(Model!$G$15-Model!$F$15)</f>
        <v>3.4395267763083957E-2</v>
      </c>
      <c r="D3551" s="33">
        <f ca="1">Model!$F$16+RAND()*(Model!$G$16-Model!$F$16)</f>
        <v>51.284809854839878</v>
      </c>
      <c r="E3551" s="33">
        <f>Model!$D$17</f>
        <v>800</v>
      </c>
      <c r="G3551" s="36">
        <f t="shared" ca="1" si="57"/>
        <v>1173.880887761763</v>
      </c>
    </row>
    <row r="3552" spans="1:7" x14ac:dyDescent="0.2">
      <c r="A3552" s="6">
        <f ca="1">Model!$F$13+RAND()*(Model!$G$13-Model!$F$13)</f>
        <v>1394.5243472622137</v>
      </c>
      <c r="B3552" s="31">
        <f ca="1">Model!$F$14+RAND()*(Model!$G$14-Model!$F$14)</f>
        <v>0.21917897030689712</v>
      </c>
      <c r="C3552" s="32">
        <f ca="1">Model!$F$15+RAND()*(Model!$G$15-Model!$F$15)</f>
        <v>1.5053382930793037E-2</v>
      </c>
      <c r="D3552" s="33">
        <f ca="1">Model!$F$16+RAND()*(Model!$G$16-Model!$F$16)</f>
        <v>48.993739641190984</v>
      </c>
      <c r="E3552" s="33">
        <f>Model!$D$17</f>
        <v>800</v>
      </c>
      <c r="G3552" s="36">
        <f t="shared" ca="1" si="57"/>
        <v>-77.1586886104717</v>
      </c>
    </row>
    <row r="3553" spans="1:7" x14ac:dyDescent="0.2">
      <c r="A3553" s="6">
        <f ca="1">Model!$F$13+RAND()*(Model!$G$13-Model!$F$13)</f>
        <v>1258.7219743085579</v>
      </c>
      <c r="B3553" s="31">
        <f ca="1">Model!$F$14+RAND()*(Model!$G$14-Model!$F$14)</f>
        <v>0.45743520098867407</v>
      </c>
      <c r="C3553" s="32">
        <f ca="1">Model!$F$15+RAND()*(Model!$G$15-Model!$F$15)</f>
        <v>3.7585342548128627E-2</v>
      </c>
      <c r="D3553" s="33">
        <f ca="1">Model!$F$16+RAND()*(Model!$G$16-Model!$F$16)</f>
        <v>48.09409730053936</v>
      </c>
      <c r="E3553" s="33">
        <f>Model!$D$17</f>
        <v>800</v>
      </c>
      <c r="G3553" s="36">
        <f t="shared" ca="1" si="57"/>
        <v>899.52379231880695</v>
      </c>
    </row>
    <row r="3554" spans="1:7" x14ac:dyDescent="0.2">
      <c r="A3554" s="6">
        <f ca="1">Model!$F$13+RAND()*(Model!$G$13-Model!$F$13)</f>
        <v>1495.7549658958469</v>
      </c>
      <c r="B3554" s="31">
        <f ca="1">Model!$F$14+RAND()*(Model!$G$14-Model!$F$14)</f>
        <v>0.52213850609143175</v>
      </c>
      <c r="C3554" s="32">
        <f ca="1">Model!$F$15+RAND()*(Model!$G$15-Model!$F$15)</f>
        <v>2.8165958709407315E-2</v>
      </c>
      <c r="D3554" s="33">
        <f ca="1">Model!$F$16+RAND()*(Model!$G$16-Model!$F$16)</f>
        <v>49.497904478906143</v>
      </c>
      <c r="E3554" s="33">
        <f>Model!$D$17</f>
        <v>800</v>
      </c>
      <c r="G3554" s="36">
        <f t="shared" ca="1" si="57"/>
        <v>504.32439777559102</v>
      </c>
    </row>
    <row r="3555" spans="1:7" x14ac:dyDescent="0.2">
      <c r="A3555" s="6">
        <f ca="1">Model!$F$13+RAND()*(Model!$G$13-Model!$F$13)</f>
        <v>1471.8364912603406</v>
      </c>
      <c r="B3555" s="31">
        <f ca="1">Model!$F$14+RAND()*(Model!$G$14-Model!$F$14)</f>
        <v>0.26457610109364205</v>
      </c>
      <c r="C3555" s="32">
        <f ca="1">Model!$F$15+RAND()*(Model!$G$15-Model!$F$15)</f>
        <v>3.7610970492344527E-2</v>
      </c>
      <c r="D3555" s="33">
        <f ca="1">Model!$F$16+RAND()*(Model!$G$16-Model!$F$16)</f>
        <v>49.084357982014751</v>
      </c>
      <c r="E3555" s="33">
        <f>Model!$D$17</f>
        <v>800</v>
      </c>
      <c r="G3555" s="36">
        <f t="shared" ca="1" si="57"/>
        <v>1527.7598045544028</v>
      </c>
    </row>
    <row r="3556" spans="1:7" x14ac:dyDescent="0.2">
      <c r="A3556" s="6">
        <f ca="1">Model!$F$13+RAND()*(Model!$G$13-Model!$F$13)</f>
        <v>1398.7300066417733</v>
      </c>
      <c r="B3556" s="31">
        <f ca="1">Model!$F$14+RAND()*(Model!$G$14-Model!$F$14)</f>
        <v>0.77985832194678451</v>
      </c>
      <c r="C3556" s="32">
        <f ca="1">Model!$F$15+RAND()*(Model!$G$15-Model!$F$15)</f>
        <v>1.2811742300708225E-2</v>
      </c>
      <c r="D3556" s="33">
        <f ca="1">Model!$F$16+RAND()*(Model!$G$16-Model!$F$16)</f>
        <v>50.808406824004763</v>
      </c>
      <c r="E3556" s="33">
        <f>Model!$D$17</f>
        <v>800</v>
      </c>
      <c r="G3556" s="36">
        <f t="shared" ca="1" si="57"/>
        <v>-980.31602975164424</v>
      </c>
    </row>
    <row r="3557" spans="1:7" x14ac:dyDescent="0.2">
      <c r="A3557" s="6">
        <f ca="1">Model!$F$13+RAND()*(Model!$G$13-Model!$F$13)</f>
        <v>1609.9967381081312</v>
      </c>
      <c r="B3557" s="31">
        <f ca="1">Model!$F$14+RAND()*(Model!$G$14-Model!$F$14)</f>
        <v>0.37393021778412949</v>
      </c>
      <c r="C3557" s="32">
        <f ca="1">Model!$F$15+RAND()*(Model!$G$15-Model!$F$15)</f>
        <v>2.5441272800981254E-2</v>
      </c>
      <c r="D3557" s="33">
        <f ca="1">Model!$F$16+RAND()*(Model!$G$16-Model!$F$16)</f>
        <v>52.542191541844815</v>
      </c>
      <c r="E3557" s="33">
        <f>Model!$D$17</f>
        <v>800</v>
      </c>
      <c r="G3557" s="36">
        <f t="shared" ca="1" si="57"/>
        <v>750.12097679515523</v>
      </c>
    </row>
    <row r="3558" spans="1:7" x14ac:dyDescent="0.2">
      <c r="A3558" s="6">
        <f ca="1">Model!$F$13+RAND()*(Model!$G$13-Model!$F$13)</f>
        <v>1621.4091721860041</v>
      </c>
      <c r="B3558" s="31">
        <f ca="1">Model!$F$14+RAND()*(Model!$G$14-Model!$F$14)</f>
        <v>0.32013159425192045</v>
      </c>
      <c r="C3558" s="32">
        <f ca="1">Model!$F$15+RAND()*(Model!$G$15-Model!$F$15)</f>
        <v>4.0524863435502247E-2</v>
      </c>
      <c r="D3558" s="33">
        <f ca="1">Model!$F$16+RAND()*(Model!$G$16-Model!$F$16)</f>
        <v>49.693105061355901</v>
      </c>
      <c r="E3558" s="33">
        <f>Model!$D$17</f>
        <v>800</v>
      </c>
      <c r="G3558" s="36">
        <f t="shared" ca="1" si="57"/>
        <v>1946.1396965961221</v>
      </c>
    </row>
    <row r="3559" spans="1:7" x14ac:dyDescent="0.2">
      <c r="A3559" s="6">
        <f ca="1">Model!$F$13+RAND()*(Model!$G$13-Model!$F$13)</f>
        <v>1507.6303614855283</v>
      </c>
      <c r="B3559" s="31">
        <f ca="1">Model!$F$14+RAND()*(Model!$G$14-Model!$F$14)</f>
        <v>0.60730986375099261</v>
      </c>
      <c r="C3559" s="32">
        <f ca="1">Model!$F$15+RAND()*(Model!$G$15-Model!$F$15)</f>
        <v>1.7035749749475984E-2</v>
      </c>
      <c r="D3559" s="33">
        <f ca="1">Model!$F$16+RAND()*(Model!$G$16-Model!$F$16)</f>
        <v>48.353768313814633</v>
      </c>
      <c r="E3559" s="33">
        <f>Model!$D$17</f>
        <v>800</v>
      </c>
      <c r="G3559" s="36">
        <f t="shared" ca="1" si="57"/>
        <v>-473.69929021831695</v>
      </c>
    </row>
    <row r="3560" spans="1:7" x14ac:dyDescent="0.2">
      <c r="A3560" s="6">
        <f ca="1">Model!$F$13+RAND()*(Model!$G$13-Model!$F$13)</f>
        <v>1616.6220518113334</v>
      </c>
      <c r="B3560" s="31">
        <f ca="1">Model!$F$14+RAND()*(Model!$G$14-Model!$F$14)</f>
        <v>0.21647400281758244</v>
      </c>
      <c r="C3560" s="32">
        <f ca="1">Model!$F$15+RAND()*(Model!$G$15-Model!$F$15)</f>
        <v>4.7441081935245245E-2</v>
      </c>
      <c r="D3560" s="33">
        <f ca="1">Model!$F$16+RAND()*(Model!$G$16-Model!$F$16)</f>
        <v>47.698707643879452</v>
      </c>
      <c r="E3560" s="33">
        <f>Model!$D$17</f>
        <v>800</v>
      </c>
      <c r="G3560" s="36">
        <f t="shared" ca="1" si="57"/>
        <v>2508.2623097674059</v>
      </c>
    </row>
    <row r="3561" spans="1:7" x14ac:dyDescent="0.2">
      <c r="A3561" s="6">
        <f ca="1">Model!$F$13+RAND()*(Model!$G$13-Model!$F$13)</f>
        <v>1290.5388561309039</v>
      </c>
      <c r="B3561" s="31">
        <f ca="1">Model!$F$14+RAND()*(Model!$G$14-Model!$F$14)</f>
        <v>0.32971819152097526</v>
      </c>
      <c r="C3561" s="32">
        <f ca="1">Model!$F$15+RAND()*(Model!$G$15-Model!$F$15)</f>
        <v>1.5332980510706088E-2</v>
      </c>
      <c r="D3561" s="33">
        <f ca="1">Model!$F$16+RAND()*(Model!$G$16-Model!$F$16)</f>
        <v>49.944754531067673</v>
      </c>
      <c r="E3561" s="33">
        <f>Model!$D$17</f>
        <v>800</v>
      </c>
      <c r="G3561" s="36">
        <f t="shared" ref="G3561:G3624" ca="1" si="58">A3561*C3561*D3561-(E3561+A3561*B3561)</f>
        <v>-237.21696794682987</v>
      </c>
    </row>
    <row r="3562" spans="1:7" x14ac:dyDescent="0.2">
      <c r="A3562" s="6">
        <f ca="1">Model!$F$13+RAND()*(Model!$G$13-Model!$F$13)</f>
        <v>1360.7209508365786</v>
      </c>
      <c r="B3562" s="31">
        <f ca="1">Model!$F$14+RAND()*(Model!$G$14-Model!$F$14)</f>
        <v>0.63285046573242654</v>
      </c>
      <c r="C3562" s="32">
        <f ca="1">Model!$F$15+RAND()*(Model!$G$15-Model!$F$15)</f>
        <v>2.386267278719402E-2</v>
      </c>
      <c r="D3562" s="33">
        <f ca="1">Model!$F$16+RAND()*(Model!$G$16-Model!$F$16)</f>
        <v>48.869412119997079</v>
      </c>
      <c r="E3562" s="33">
        <f>Model!$D$17</f>
        <v>800</v>
      </c>
      <c r="G3562" s="36">
        <f t="shared" ca="1" si="58"/>
        <v>-74.321631814895454</v>
      </c>
    </row>
    <row r="3563" spans="1:7" x14ac:dyDescent="0.2">
      <c r="A3563" s="6">
        <f ca="1">Model!$F$13+RAND()*(Model!$G$13-Model!$F$13)</f>
        <v>1739.7165477804479</v>
      </c>
      <c r="B3563" s="31">
        <f ca="1">Model!$F$14+RAND()*(Model!$G$14-Model!$F$14)</f>
        <v>0.59890650575999205</v>
      </c>
      <c r="C3563" s="32">
        <f ca="1">Model!$F$15+RAND()*(Model!$G$15-Model!$F$15)</f>
        <v>2.9523418660862021E-2</v>
      </c>
      <c r="D3563" s="33">
        <f ca="1">Model!$F$16+RAND()*(Model!$G$16-Model!$F$16)</f>
        <v>50.750437886778059</v>
      </c>
      <c r="E3563" s="33">
        <f>Model!$D$17</f>
        <v>800</v>
      </c>
      <c r="G3563" s="36">
        <f t="shared" ca="1" si="58"/>
        <v>764.735716824164</v>
      </c>
    </row>
    <row r="3564" spans="1:7" x14ac:dyDescent="0.2">
      <c r="A3564" s="6">
        <f ca="1">Model!$F$13+RAND()*(Model!$G$13-Model!$F$13)</f>
        <v>1743.2019207481185</v>
      </c>
      <c r="B3564" s="31">
        <f ca="1">Model!$F$14+RAND()*(Model!$G$14-Model!$F$14)</f>
        <v>0.36098587972430762</v>
      </c>
      <c r="C3564" s="32">
        <f ca="1">Model!$F$15+RAND()*(Model!$G$15-Model!$F$15)</f>
        <v>1.911425151174935E-2</v>
      </c>
      <c r="D3564" s="33">
        <f ca="1">Model!$F$16+RAND()*(Model!$G$16-Model!$F$16)</f>
        <v>51.338356485231145</v>
      </c>
      <c r="E3564" s="33">
        <f>Model!$D$17</f>
        <v>800</v>
      </c>
      <c r="G3564" s="36">
        <f t="shared" ca="1" si="58"/>
        <v>281.3227565684133</v>
      </c>
    </row>
    <row r="3565" spans="1:7" x14ac:dyDescent="0.2">
      <c r="A3565" s="6">
        <f ca="1">Model!$F$13+RAND()*(Model!$G$13-Model!$F$13)</f>
        <v>1450.0641642214302</v>
      </c>
      <c r="B3565" s="31">
        <f ca="1">Model!$F$14+RAND()*(Model!$G$14-Model!$F$14)</f>
        <v>0.43328944185927737</v>
      </c>
      <c r="C3565" s="32">
        <f ca="1">Model!$F$15+RAND()*(Model!$G$15-Model!$F$15)</f>
        <v>3.7079709047120074E-2</v>
      </c>
      <c r="D3565" s="33">
        <f ca="1">Model!$F$16+RAND()*(Model!$G$16-Model!$F$16)</f>
        <v>48.948001815253676</v>
      </c>
      <c r="E3565" s="33">
        <f>Model!$D$17</f>
        <v>800</v>
      </c>
      <c r="G3565" s="36">
        <f t="shared" ca="1" si="58"/>
        <v>1203.5365795870846</v>
      </c>
    </row>
    <row r="3566" spans="1:7" x14ac:dyDescent="0.2">
      <c r="A3566" s="6">
        <f ca="1">Model!$F$13+RAND()*(Model!$G$13-Model!$F$13)</f>
        <v>1232.9651882666767</v>
      </c>
      <c r="B3566" s="31">
        <f ca="1">Model!$F$14+RAND()*(Model!$G$14-Model!$F$14)</f>
        <v>0.51007664183058654</v>
      </c>
      <c r="C3566" s="32">
        <f ca="1">Model!$F$15+RAND()*(Model!$G$15-Model!$F$15)</f>
        <v>3.5423674416771397E-2</v>
      </c>
      <c r="D3566" s="33">
        <f ca="1">Model!$F$16+RAND()*(Model!$G$16-Model!$F$16)</f>
        <v>47.629877392687114</v>
      </c>
      <c r="E3566" s="33">
        <f>Model!$D$17</f>
        <v>800</v>
      </c>
      <c r="G3566" s="36">
        <f t="shared" ca="1" si="58"/>
        <v>651.38327904781954</v>
      </c>
    </row>
    <row r="3567" spans="1:7" x14ac:dyDescent="0.2">
      <c r="A3567" s="6">
        <f ca="1">Model!$F$13+RAND()*(Model!$G$13-Model!$F$13)</f>
        <v>1254.3700219766336</v>
      </c>
      <c r="B3567" s="31">
        <f ca="1">Model!$F$14+RAND()*(Model!$G$14-Model!$F$14)</f>
        <v>0.55372426081318604</v>
      </c>
      <c r="C3567" s="32">
        <f ca="1">Model!$F$15+RAND()*(Model!$G$15-Model!$F$15)</f>
        <v>4.08333561489439E-2</v>
      </c>
      <c r="D3567" s="33">
        <f ca="1">Model!$F$16+RAND()*(Model!$G$16-Model!$F$16)</f>
        <v>49.38574694189969</v>
      </c>
      <c r="E3567" s="33">
        <f>Model!$D$17</f>
        <v>800</v>
      </c>
      <c r="G3567" s="36">
        <f t="shared" ca="1" si="58"/>
        <v>1034.9696529806529</v>
      </c>
    </row>
    <row r="3568" spans="1:7" x14ac:dyDescent="0.2">
      <c r="A3568" s="6">
        <f ca="1">Model!$F$13+RAND()*(Model!$G$13-Model!$F$13)</f>
        <v>1298.5139054495112</v>
      </c>
      <c r="B3568" s="31">
        <f ca="1">Model!$F$14+RAND()*(Model!$G$14-Model!$F$14)</f>
        <v>0.32991981494771871</v>
      </c>
      <c r="C3568" s="32">
        <f ca="1">Model!$F$15+RAND()*(Model!$G$15-Model!$F$15)</f>
        <v>1.1402967673010286E-2</v>
      </c>
      <c r="D3568" s="33">
        <f ca="1">Model!$F$16+RAND()*(Model!$G$16-Model!$F$16)</f>
        <v>47.524187252307783</v>
      </c>
      <c r="E3568" s="33">
        <f>Model!$D$17</f>
        <v>800</v>
      </c>
      <c r="G3568" s="36">
        <f t="shared" ca="1" si="58"/>
        <v>-524.71900475163193</v>
      </c>
    </row>
    <row r="3569" spans="1:7" x14ac:dyDescent="0.2">
      <c r="A3569" s="6">
        <f ca="1">Model!$F$13+RAND()*(Model!$G$13-Model!$F$13)</f>
        <v>1558.7510812653868</v>
      </c>
      <c r="B3569" s="31">
        <f ca="1">Model!$F$14+RAND()*(Model!$G$14-Model!$F$14)</f>
        <v>0.4943286294153727</v>
      </c>
      <c r="C3569" s="32">
        <f ca="1">Model!$F$15+RAND()*(Model!$G$15-Model!$F$15)</f>
        <v>1.5296105369899404E-2</v>
      </c>
      <c r="D3569" s="33">
        <f ca="1">Model!$F$16+RAND()*(Model!$G$16-Model!$F$16)</f>
        <v>50.796941104888191</v>
      </c>
      <c r="E3569" s="33">
        <f>Model!$D$17</f>
        <v>800</v>
      </c>
      <c r="G3569" s="36">
        <f t="shared" ca="1" si="58"/>
        <v>-359.39292243801492</v>
      </c>
    </row>
    <row r="3570" spans="1:7" x14ac:dyDescent="0.2">
      <c r="A3570" s="6">
        <f ca="1">Model!$F$13+RAND()*(Model!$G$13-Model!$F$13)</f>
        <v>1447.3573104663913</v>
      </c>
      <c r="B3570" s="31">
        <f ca="1">Model!$F$14+RAND()*(Model!$G$14-Model!$F$14)</f>
        <v>0.31218554014368732</v>
      </c>
      <c r="C3570" s="32">
        <f ca="1">Model!$F$15+RAND()*(Model!$G$15-Model!$F$15)</f>
        <v>3.1568474267759175E-2</v>
      </c>
      <c r="D3570" s="33">
        <f ca="1">Model!$F$16+RAND()*(Model!$G$16-Model!$F$16)</f>
        <v>48.013098418925587</v>
      </c>
      <c r="E3570" s="33">
        <f>Model!$D$17</f>
        <v>800</v>
      </c>
      <c r="G3570" s="36">
        <f t="shared" ca="1" si="58"/>
        <v>941.91583086498304</v>
      </c>
    </row>
    <row r="3571" spans="1:7" x14ac:dyDescent="0.2">
      <c r="A3571" s="6">
        <f ca="1">Model!$F$13+RAND()*(Model!$G$13-Model!$F$13)</f>
        <v>1782.3573696758024</v>
      </c>
      <c r="B3571" s="31">
        <f ca="1">Model!$F$14+RAND()*(Model!$G$14-Model!$F$14)</f>
        <v>0.54049058516885973</v>
      </c>
      <c r="C3571" s="32">
        <f ca="1">Model!$F$15+RAND()*(Model!$G$15-Model!$F$15)</f>
        <v>4.930633566646625E-2</v>
      </c>
      <c r="D3571" s="33">
        <f ca="1">Model!$F$16+RAND()*(Model!$G$16-Model!$F$16)</f>
        <v>47.562085865893316</v>
      </c>
      <c r="E3571" s="33">
        <f>Model!$D$17</f>
        <v>800</v>
      </c>
      <c r="G3571" s="36">
        <f t="shared" ca="1" si="58"/>
        <v>2416.4805824492878</v>
      </c>
    </row>
    <row r="3572" spans="1:7" x14ac:dyDescent="0.2">
      <c r="A3572" s="6">
        <f ca="1">Model!$F$13+RAND()*(Model!$G$13-Model!$F$13)</f>
        <v>1782.3856499510225</v>
      </c>
      <c r="B3572" s="31">
        <f ca="1">Model!$F$14+RAND()*(Model!$G$14-Model!$F$14)</f>
        <v>0.46319908889372835</v>
      </c>
      <c r="C3572" s="32">
        <f ca="1">Model!$F$15+RAND()*(Model!$G$15-Model!$F$15)</f>
        <v>1.8281075401957309E-2</v>
      </c>
      <c r="D3572" s="33">
        <f ca="1">Model!$F$16+RAND()*(Model!$G$16-Model!$F$16)</f>
        <v>52.286007375441557</v>
      </c>
      <c r="E3572" s="33">
        <f>Model!$D$17</f>
        <v>800</v>
      </c>
      <c r="G3572" s="36">
        <f t="shared" ca="1" si="58"/>
        <v>78.084010204751621</v>
      </c>
    </row>
    <row r="3573" spans="1:7" x14ac:dyDescent="0.2">
      <c r="A3573" s="6">
        <f ca="1">Model!$F$13+RAND()*(Model!$G$13-Model!$F$13)</f>
        <v>1306.3061685587036</v>
      </c>
      <c r="B3573" s="31">
        <f ca="1">Model!$F$14+RAND()*(Model!$G$14-Model!$F$14)</f>
        <v>0.2963465283502652</v>
      </c>
      <c r="C3573" s="32">
        <f ca="1">Model!$F$15+RAND()*(Model!$G$15-Model!$F$15)</f>
        <v>4.404601759456106E-2</v>
      </c>
      <c r="D3573" s="33">
        <f ca="1">Model!$F$16+RAND()*(Model!$G$16-Model!$F$16)</f>
        <v>52.693662785534457</v>
      </c>
      <c r="E3573" s="33">
        <f>Model!$D$17</f>
        <v>800</v>
      </c>
      <c r="G3573" s="36">
        <f t="shared" ca="1" si="58"/>
        <v>1844.7467762907963</v>
      </c>
    </row>
    <row r="3574" spans="1:7" x14ac:dyDescent="0.2">
      <c r="A3574" s="6">
        <f ca="1">Model!$F$13+RAND()*(Model!$G$13-Model!$F$13)</f>
        <v>1300.5755280755645</v>
      </c>
      <c r="B3574" s="31">
        <f ca="1">Model!$F$14+RAND()*(Model!$G$14-Model!$F$14)</f>
        <v>0.21141879189415452</v>
      </c>
      <c r="C3574" s="32">
        <f ca="1">Model!$F$15+RAND()*(Model!$G$15-Model!$F$15)</f>
        <v>4.0784612624363045E-2</v>
      </c>
      <c r="D3574" s="33">
        <f ca="1">Model!$F$16+RAND()*(Model!$G$16-Model!$F$16)</f>
        <v>52.226808764376486</v>
      </c>
      <c r="E3574" s="33">
        <f>Model!$D$17</f>
        <v>800</v>
      </c>
      <c r="G3574" s="36">
        <f t="shared" ca="1" si="58"/>
        <v>1695.3250100392593</v>
      </c>
    </row>
    <row r="3575" spans="1:7" x14ac:dyDescent="0.2">
      <c r="A3575" s="6">
        <f ca="1">Model!$F$13+RAND()*(Model!$G$13-Model!$F$13)</f>
        <v>1548.4273581604414</v>
      </c>
      <c r="B3575" s="31">
        <f ca="1">Model!$F$14+RAND()*(Model!$G$14-Model!$F$14)</f>
        <v>0.52885307162711293</v>
      </c>
      <c r="C3575" s="32">
        <f ca="1">Model!$F$15+RAND()*(Model!$G$15-Model!$F$15)</f>
        <v>4.7378120188761884E-2</v>
      </c>
      <c r="D3575" s="33">
        <f ca="1">Model!$F$16+RAND()*(Model!$G$16-Model!$F$16)</f>
        <v>50.412524710759904</v>
      </c>
      <c r="E3575" s="33">
        <f>Model!$D$17</f>
        <v>800</v>
      </c>
      <c r="G3575" s="36">
        <f t="shared" ca="1" si="58"/>
        <v>2079.4517729002218</v>
      </c>
    </row>
    <row r="3576" spans="1:7" x14ac:dyDescent="0.2">
      <c r="A3576" s="6">
        <f ca="1">Model!$F$13+RAND()*(Model!$G$13-Model!$F$13)</f>
        <v>1207.329700313589</v>
      </c>
      <c r="B3576" s="31">
        <f ca="1">Model!$F$14+RAND()*(Model!$G$14-Model!$F$14)</f>
        <v>0.58801036466786805</v>
      </c>
      <c r="C3576" s="32">
        <f ca="1">Model!$F$15+RAND()*(Model!$G$15-Model!$F$15)</f>
        <v>1.6448163448146112E-2</v>
      </c>
      <c r="D3576" s="33">
        <f ca="1">Model!$F$16+RAND()*(Model!$G$16-Model!$F$16)</f>
        <v>48.105146561150079</v>
      </c>
      <c r="E3576" s="33">
        <f>Model!$D$17</f>
        <v>800</v>
      </c>
      <c r="G3576" s="36">
        <f t="shared" ca="1" si="58"/>
        <v>-554.63323965148209</v>
      </c>
    </row>
    <row r="3577" spans="1:7" x14ac:dyDescent="0.2">
      <c r="A3577" s="6">
        <f ca="1">Model!$F$13+RAND()*(Model!$G$13-Model!$F$13)</f>
        <v>1621.3524728631928</v>
      </c>
      <c r="B3577" s="31">
        <f ca="1">Model!$F$14+RAND()*(Model!$G$14-Model!$F$14)</f>
        <v>0.48432507359150323</v>
      </c>
      <c r="C3577" s="32">
        <f ca="1">Model!$F$15+RAND()*(Model!$G$15-Model!$F$15)</f>
        <v>3.3686619540717562E-2</v>
      </c>
      <c r="D3577" s="33">
        <f ca="1">Model!$F$16+RAND()*(Model!$G$16-Model!$F$16)</f>
        <v>48.537937792586305</v>
      </c>
      <c r="E3577" s="33">
        <f>Model!$D$17</f>
        <v>800</v>
      </c>
      <c r="G3577" s="36">
        <f t="shared" ca="1" si="58"/>
        <v>1065.7777951085527</v>
      </c>
    </row>
    <row r="3578" spans="1:7" x14ac:dyDescent="0.2">
      <c r="A3578" s="6">
        <f ca="1">Model!$F$13+RAND()*(Model!$G$13-Model!$F$13)</f>
        <v>1203.0035419136975</v>
      </c>
      <c r="B3578" s="31">
        <f ca="1">Model!$F$14+RAND()*(Model!$G$14-Model!$F$14)</f>
        <v>0.7572724404482547</v>
      </c>
      <c r="C3578" s="32">
        <f ca="1">Model!$F$15+RAND()*(Model!$G$15-Model!$F$15)</f>
        <v>4.9593294219785554E-2</v>
      </c>
      <c r="D3578" s="33">
        <f ca="1">Model!$F$16+RAND()*(Model!$G$16-Model!$F$16)</f>
        <v>47.153595024169896</v>
      </c>
      <c r="E3578" s="33">
        <f>Model!$D$17</f>
        <v>800</v>
      </c>
      <c r="G3578" s="36">
        <f t="shared" ca="1" si="58"/>
        <v>1102.2248949195719</v>
      </c>
    </row>
    <row r="3579" spans="1:7" x14ac:dyDescent="0.2">
      <c r="A3579" s="6">
        <f ca="1">Model!$F$13+RAND()*(Model!$G$13-Model!$F$13)</f>
        <v>1362.5874221964827</v>
      </c>
      <c r="B3579" s="31">
        <f ca="1">Model!$F$14+RAND()*(Model!$G$14-Model!$F$14)</f>
        <v>0.36433533970496901</v>
      </c>
      <c r="C3579" s="32">
        <f ca="1">Model!$F$15+RAND()*(Model!$G$15-Model!$F$15)</f>
        <v>3.6212277857840314E-2</v>
      </c>
      <c r="D3579" s="33">
        <f ca="1">Model!$F$16+RAND()*(Model!$G$16-Model!$F$16)</f>
        <v>48.160537729282495</v>
      </c>
      <c r="E3579" s="33">
        <f>Model!$D$17</f>
        <v>800</v>
      </c>
      <c r="G3579" s="36">
        <f t="shared" ca="1" si="58"/>
        <v>1079.9174928332545</v>
      </c>
    </row>
    <row r="3580" spans="1:7" x14ac:dyDescent="0.2">
      <c r="A3580" s="6">
        <f ca="1">Model!$F$13+RAND()*(Model!$G$13-Model!$F$13)</f>
        <v>1649.5839085178873</v>
      </c>
      <c r="B3580" s="31">
        <f ca="1">Model!$F$14+RAND()*(Model!$G$14-Model!$F$14)</f>
        <v>0.59300035475194135</v>
      </c>
      <c r="C3580" s="32">
        <f ca="1">Model!$F$15+RAND()*(Model!$G$15-Model!$F$15)</f>
        <v>1.6690384815189318E-2</v>
      </c>
      <c r="D3580" s="33">
        <f ca="1">Model!$F$16+RAND()*(Model!$G$16-Model!$F$16)</f>
        <v>47.126870357953806</v>
      </c>
      <c r="E3580" s="33">
        <f>Model!$D$17</f>
        <v>800</v>
      </c>
      <c r="G3580" s="36">
        <f t="shared" ca="1" si="58"/>
        <v>-480.69788386492087</v>
      </c>
    </row>
    <row r="3581" spans="1:7" x14ac:dyDescent="0.2">
      <c r="A3581" s="6">
        <f ca="1">Model!$F$13+RAND()*(Model!$G$13-Model!$F$13)</f>
        <v>1630.6862607818489</v>
      </c>
      <c r="B3581" s="31">
        <f ca="1">Model!$F$14+RAND()*(Model!$G$14-Model!$F$14)</f>
        <v>0.62216881827032711</v>
      </c>
      <c r="C3581" s="32">
        <f ca="1">Model!$F$15+RAND()*(Model!$G$15-Model!$F$15)</f>
        <v>4.381244769595298E-2</v>
      </c>
      <c r="D3581" s="33">
        <f ca="1">Model!$F$16+RAND()*(Model!$G$16-Model!$F$16)</f>
        <v>50.233899190451929</v>
      </c>
      <c r="E3581" s="33">
        <f>Model!$D$17</f>
        <v>800</v>
      </c>
      <c r="G3581" s="36">
        <f t="shared" ca="1" si="58"/>
        <v>1774.3664587602111</v>
      </c>
    </row>
    <row r="3582" spans="1:7" x14ac:dyDescent="0.2">
      <c r="A3582" s="6">
        <f ca="1">Model!$F$13+RAND()*(Model!$G$13-Model!$F$13)</f>
        <v>1392.9060607025635</v>
      </c>
      <c r="B3582" s="31">
        <f ca="1">Model!$F$14+RAND()*(Model!$G$14-Model!$F$14)</f>
        <v>0.317364435084178</v>
      </c>
      <c r="C3582" s="32">
        <f ca="1">Model!$F$15+RAND()*(Model!$G$15-Model!$F$15)</f>
        <v>2.0691379135204295E-2</v>
      </c>
      <c r="D3582" s="33">
        <f ca="1">Model!$F$16+RAND()*(Model!$G$16-Model!$F$16)</f>
        <v>52.741887251433184</v>
      </c>
      <c r="E3582" s="33">
        <f>Model!$D$17</f>
        <v>800</v>
      </c>
      <c r="G3582" s="36">
        <f t="shared" ca="1" si="58"/>
        <v>278.02286163828921</v>
      </c>
    </row>
    <row r="3583" spans="1:7" x14ac:dyDescent="0.2">
      <c r="A3583" s="6">
        <f ca="1">Model!$F$13+RAND()*(Model!$G$13-Model!$F$13)</f>
        <v>1589.2941452023633</v>
      </c>
      <c r="B3583" s="31">
        <f ca="1">Model!$F$14+RAND()*(Model!$G$14-Model!$F$14)</f>
        <v>0.25741667549633196</v>
      </c>
      <c r="C3583" s="32">
        <f ca="1">Model!$F$15+RAND()*(Model!$G$15-Model!$F$15)</f>
        <v>1.197258993058652E-2</v>
      </c>
      <c r="D3583" s="33">
        <f ca="1">Model!$F$16+RAND()*(Model!$G$16-Model!$F$16)</f>
        <v>51.3949600549915</v>
      </c>
      <c r="E3583" s="33">
        <f>Model!$D$17</f>
        <v>800</v>
      </c>
      <c r="G3583" s="36">
        <f t="shared" ca="1" si="58"/>
        <v>-231.16920726055969</v>
      </c>
    </row>
    <row r="3584" spans="1:7" x14ac:dyDescent="0.2">
      <c r="A3584" s="6">
        <f ca="1">Model!$F$13+RAND()*(Model!$G$13-Model!$F$13)</f>
        <v>1326.3752191580079</v>
      </c>
      <c r="B3584" s="31">
        <f ca="1">Model!$F$14+RAND()*(Model!$G$14-Model!$F$14)</f>
        <v>0.48123013425300226</v>
      </c>
      <c r="C3584" s="32">
        <f ca="1">Model!$F$15+RAND()*(Model!$G$15-Model!$F$15)</f>
        <v>4.3692494866672517E-2</v>
      </c>
      <c r="D3584" s="33">
        <f ca="1">Model!$F$16+RAND()*(Model!$G$16-Model!$F$16)</f>
        <v>50.550604623368926</v>
      </c>
      <c r="E3584" s="33">
        <f>Model!$D$17</f>
        <v>800</v>
      </c>
      <c r="G3584" s="36">
        <f t="shared" ca="1" si="58"/>
        <v>1491.249390803689</v>
      </c>
    </row>
    <row r="3585" spans="1:7" x14ac:dyDescent="0.2">
      <c r="A3585" s="6">
        <f ca="1">Model!$F$13+RAND()*(Model!$G$13-Model!$F$13)</f>
        <v>1393.7940052492838</v>
      </c>
      <c r="B3585" s="31">
        <f ca="1">Model!$F$14+RAND()*(Model!$G$14-Model!$F$14)</f>
        <v>0.73256708614955346</v>
      </c>
      <c r="C3585" s="32">
        <f ca="1">Model!$F$15+RAND()*(Model!$G$15-Model!$F$15)</f>
        <v>3.1941275418902702E-2</v>
      </c>
      <c r="D3585" s="33">
        <f ca="1">Model!$F$16+RAND()*(Model!$G$16-Model!$F$16)</f>
        <v>52.953088596566829</v>
      </c>
      <c r="E3585" s="33">
        <f>Model!$D$17</f>
        <v>800</v>
      </c>
      <c r="G3585" s="36">
        <f t="shared" ca="1" si="58"/>
        <v>536.40049646727584</v>
      </c>
    </row>
    <row r="3586" spans="1:7" x14ac:dyDescent="0.2">
      <c r="A3586" s="6">
        <f ca="1">Model!$F$13+RAND()*(Model!$G$13-Model!$F$13)</f>
        <v>1798.3270680056658</v>
      </c>
      <c r="B3586" s="31">
        <f ca="1">Model!$F$14+RAND()*(Model!$G$14-Model!$F$14)</f>
        <v>0.43866638954766318</v>
      </c>
      <c r="C3586" s="32">
        <f ca="1">Model!$F$15+RAND()*(Model!$G$15-Model!$F$15)</f>
        <v>2.5801554773797142E-2</v>
      </c>
      <c r="D3586" s="33">
        <f ca="1">Model!$F$16+RAND()*(Model!$G$16-Model!$F$16)</f>
        <v>51.447133441600108</v>
      </c>
      <c r="E3586" s="33">
        <f>Model!$D$17</f>
        <v>800</v>
      </c>
      <c r="G3586" s="36">
        <f t="shared" ca="1" si="58"/>
        <v>798.2625377102504</v>
      </c>
    </row>
    <row r="3587" spans="1:7" x14ac:dyDescent="0.2">
      <c r="A3587" s="6">
        <f ca="1">Model!$F$13+RAND()*(Model!$G$13-Model!$F$13)</f>
        <v>1764.4012457584599</v>
      </c>
      <c r="B3587" s="31">
        <f ca="1">Model!$F$14+RAND()*(Model!$G$14-Model!$F$14)</f>
        <v>0.48241450541066888</v>
      </c>
      <c r="C3587" s="32">
        <f ca="1">Model!$F$15+RAND()*(Model!$G$15-Model!$F$15)</f>
        <v>3.3190933797383318E-2</v>
      </c>
      <c r="D3587" s="33">
        <f ca="1">Model!$F$16+RAND()*(Model!$G$16-Model!$F$16)</f>
        <v>48.699556543595868</v>
      </c>
      <c r="E3587" s="33">
        <f>Model!$D$17</f>
        <v>800</v>
      </c>
      <c r="G3587" s="36">
        <f t="shared" ca="1" si="58"/>
        <v>1200.7767605096185</v>
      </c>
    </row>
    <row r="3588" spans="1:7" x14ac:dyDescent="0.2">
      <c r="A3588" s="6">
        <f ca="1">Model!$F$13+RAND()*(Model!$G$13-Model!$F$13)</f>
        <v>1622.4752653042324</v>
      </c>
      <c r="B3588" s="31">
        <f ca="1">Model!$F$14+RAND()*(Model!$G$14-Model!$F$14)</f>
        <v>0.2869811427509808</v>
      </c>
      <c r="C3588" s="32">
        <f ca="1">Model!$F$15+RAND()*(Model!$G$15-Model!$F$15)</f>
        <v>4.5339120102667878E-2</v>
      </c>
      <c r="D3588" s="33">
        <f ca="1">Model!$F$16+RAND()*(Model!$G$16-Model!$F$16)</f>
        <v>51.014516089762594</v>
      </c>
      <c r="E3588" s="33">
        <f>Model!$D$17</f>
        <v>800</v>
      </c>
      <c r="G3588" s="36">
        <f t="shared" ca="1" si="58"/>
        <v>2487.0896678588479</v>
      </c>
    </row>
    <row r="3589" spans="1:7" x14ac:dyDescent="0.2">
      <c r="A3589" s="6">
        <f ca="1">Model!$F$13+RAND()*(Model!$G$13-Model!$F$13)</f>
        <v>1403.5255690139425</v>
      </c>
      <c r="B3589" s="31">
        <f ca="1">Model!$F$14+RAND()*(Model!$G$14-Model!$F$14)</f>
        <v>0.7391101116061074</v>
      </c>
      <c r="C3589" s="32">
        <f ca="1">Model!$F$15+RAND()*(Model!$G$15-Model!$F$15)</f>
        <v>4.4601282175399465E-2</v>
      </c>
      <c r="D3589" s="33">
        <f ca="1">Model!$F$16+RAND()*(Model!$G$16-Model!$F$16)</f>
        <v>49.219255534444677</v>
      </c>
      <c r="E3589" s="33">
        <f>Model!$D$17</f>
        <v>800</v>
      </c>
      <c r="G3589" s="36">
        <f t="shared" ca="1" si="58"/>
        <v>1243.7182032576886</v>
      </c>
    </row>
    <row r="3590" spans="1:7" x14ac:dyDescent="0.2">
      <c r="A3590" s="6">
        <f ca="1">Model!$F$13+RAND()*(Model!$G$13-Model!$F$13)</f>
        <v>1629.5080825701752</v>
      </c>
      <c r="B3590" s="31">
        <f ca="1">Model!$F$14+RAND()*(Model!$G$14-Model!$F$14)</f>
        <v>0.21850961388516379</v>
      </c>
      <c r="C3590" s="32">
        <f ca="1">Model!$F$15+RAND()*(Model!$G$15-Model!$F$15)</f>
        <v>1.2604353351670877E-2</v>
      </c>
      <c r="D3590" s="33">
        <f ca="1">Model!$F$16+RAND()*(Model!$G$16-Model!$F$16)</f>
        <v>51.70265825798586</v>
      </c>
      <c r="E3590" s="33">
        <f>Model!$D$17</f>
        <v>800</v>
      </c>
      <c r="G3590" s="36">
        <f t="shared" ca="1" si="58"/>
        <v>-94.147678530238409</v>
      </c>
    </row>
    <row r="3591" spans="1:7" x14ac:dyDescent="0.2">
      <c r="A3591" s="6">
        <f ca="1">Model!$F$13+RAND()*(Model!$G$13-Model!$F$13)</f>
        <v>1769.8698094993404</v>
      </c>
      <c r="B3591" s="31">
        <f ca="1">Model!$F$14+RAND()*(Model!$G$14-Model!$F$14)</f>
        <v>0.74944736947283408</v>
      </c>
      <c r="C3591" s="32">
        <f ca="1">Model!$F$15+RAND()*(Model!$G$15-Model!$F$15)</f>
        <v>3.072103799028271E-2</v>
      </c>
      <c r="D3591" s="33">
        <f ca="1">Model!$F$16+RAND()*(Model!$G$16-Model!$F$16)</f>
        <v>50.026785843805854</v>
      </c>
      <c r="E3591" s="33">
        <f>Model!$D$17</f>
        <v>800</v>
      </c>
      <c r="G3591" s="36">
        <f t="shared" ca="1" si="58"/>
        <v>593.64401600073052</v>
      </c>
    </row>
    <row r="3592" spans="1:7" x14ac:dyDescent="0.2">
      <c r="A3592" s="6">
        <f ca="1">Model!$F$13+RAND()*(Model!$G$13-Model!$F$13)</f>
        <v>1422.1848280131278</v>
      </c>
      <c r="B3592" s="31">
        <f ca="1">Model!$F$14+RAND()*(Model!$G$14-Model!$F$14)</f>
        <v>0.77151973049077638</v>
      </c>
      <c r="C3592" s="32">
        <f ca="1">Model!$F$15+RAND()*(Model!$G$15-Model!$F$15)</f>
        <v>2.0753691577379038E-2</v>
      </c>
      <c r="D3592" s="33">
        <f ca="1">Model!$F$16+RAND()*(Model!$G$16-Model!$F$16)</f>
        <v>48.635287423654901</v>
      </c>
      <c r="E3592" s="33">
        <f>Model!$D$17</f>
        <v>800</v>
      </c>
      <c r="G3592" s="36">
        <f t="shared" ca="1" si="58"/>
        <v>-461.74468132497032</v>
      </c>
    </row>
    <row r="3593" spans="1:7" x14ac:dyDescent="0.2">
      <c r="A3593" s="6">
        <f ca="1">Model!$F$13+RAND()*(Model!$G$13-Model!$F$13)</f>
        <v>1302.5747789444601</v>
      </c>
      <c r="B3593" s="31">
        <f ca="1">Model!$F$14+RAND()*(Model!$G$14-Model!$F$14)</f>
        <v>0.61117519579824087</v>
      </c>
      <c r="C3593" s="32">
        <f ca="1">Model!$F$15+RAND()*(Model!$G$15-Model!$F$15)</f>
        <v>2.7533215670011782E-2</v>
      </c>
      <c r="D3593" s="33">
        <f ca="1">Model!$F$16+RAND()*(Model!$G$16-Model!$F$16)</f>
        <v>48.924224010747821</v>
      </c>
      <c r="E3593" s="33">
        <f>Model!$D$17</f>
        <v>800</v>
      </c>
      <c r="G3593" s="36">
        <f t="shared" ca="1" si="58"/>
        <v>158.52051231328028</v>
      </c>
    </row>
    <row r="3594" spans="1:7" x14ac:dyDescent="0.2">
      <c r="A3594" s="6">
        <f ca="1">Model!$F$13+RAND()*(Model!$G$13-Model!$F$13)</f>
        <v>1631.1355637488157</v>
      </c>
      <c r="B3594" s="31">
        <f ca="1">Model!$F$14+RAND()*(Model!$G$14-Model!$F$14)</f>
        <v>0.39812354521050419</v>
      </c>
      <c r="C3594" s="32">
        <f ca="1">Model!$F$15+RAND()*(Model!$G$15-Model!$F$15)</f>
        <v>2.3919757247173101E-2</v>
      </c>
      <c r="D3594" s="33">
        <f ca="1">Model!$F$16+RAND()*(Model!$G$16-Model!$F$16)</f>
        <v>49.223639336103297</v>
      </c>
      <c r="E3594" s="33">
        <f>Model!$D$17</f>
        <v>800</v>
      </c>
      <c r="G3594" s="36">
        <f t="shared" ca="1" si="58"/>
        <v>471.13409037530414</v>
      </c>
    </row>
    <row r="3595" spans="1:7" x14ac:dyDescent="0.2">
      <c r="A3595" s="6">
        <f ca="1">Model!$F$13+RAND()*(Model!$G$13-Model!$F$13)</f>
        <v>1405.209330495366</v>
      </c>
      <c r="B3595" s="31">
        <f ca="1">Model!$F$14+RAND()*(Model!$G$14-Model!$F$14)</f>
        <v>0.74918564638490759</v>
      </c>
      <c r="C3595" s="32">
        <f ca="1">Model!$F$15+RAND()*(Model!$G$15-Model!$F$15)</f>
        <v>1.9706010342434868E-2</v>
      </c>
      <c r="D3595" s="33">
        <f ca="1">Model!$F$16+RAND()*(Model!$G$16-Model!$F$16)</f>
        <v>50.792659505308144</v>
      </c>
      <c r="E3595" s="33">
        <f>Model!$D$17</f>
        <v>800</v>
      </c>
      <c r="G3595" s="36">
        <f t="shared" ca="1" si="58"/>
        <v>-446.25959104127969</v>
      </c>
    </row>
    <row r="3596" spans="1:7" x14ac:dyDescent="0.2">
      <c r="A3596" s="6">
        <f ca="1">Model!$F$13+RAND()*(Model!$G$13-Model!$F$13)</f>
        <v>1793.8077353270091</v>
      </c>
      <c r="B3596" s="31">
        <f ca="1">Model!$F$14+RAND()*(Model!$G$14-Model!$F$14)</f>
        <v>0.57743100863966923</v>
      </c>
      <c r="C3596" s="32">
        <f ca="1">Model!$F$15+RAND()*(Model!$G$15-Model!$F$15)</f>
        <v>4.4378861532423555E-2</v>
      </c>
      <c r="D3596" s="33">
        <f ca="1">Model!$F$16+RAND()*(Model!$G$16-Model!$F$16)</f>
        <v>49.3601644634536</v>
      </c>
      <c r="E3596" s="33">
        <f>Model!$D$17</f>
        <v>800</v>
      </c>
      <c r="G3596" s="36">
        <f t="shared" ca="1" si="58"/>
        <v>2093.6215647786848</v>
      </c>
    </row>
    <row r="3597" spans="1:7" x14ac:dyDescent="0.2">
      <c r="A3597" s="6">
        <f ca="1">Model!$F$13+RAND()*(Model!$G$13-Model!$F$13)</f>
        <v>1635.9870131406583</v>
      </c>
      <c r="B3597" s="31">
        <f ca="1">Model!$F$14+RAND()*(Model!$G$14-Model!$F$14)</f>
        <v>0.69687683028939884</v>
      </c>
      <c r="C3597" s="32">
        <f ca="1">Model!$F$15+RAND()*(Model!$G$15-Model!$F$15)</f>
        <v>2.1438352170866384E-2</v>
      </c>
      <c r="D3597" s="33">
        <f ca="1">Model!$F$16+RAND()*(Model!$G$16-Model!$F$16)</f>
        <v>52.082745294260796</v>
      </c>
      <c r="E3597" s="33">
        <f>Model!$D$17</f>
        <v>800</v>
      </c>
      <c r="G3597" s="36">
        <f t="shared" ca="1" si="58"/>
        <v>-113.39031131328943</v>
      </c>
    </row>
    <row r="3598" spans="1:7" x14ac:dyDescent="0.2">
      <c r="A3598" s="6">
        <f ca="1">Model!$F$13+RAND()*(Model!$G$13-Model!$F$13)</f>
        <v>1658.9651271937378</v>
      </c>
      <c r="B3598" s="31">
        <f ca="1">Model!$F$14+RAND()*(Model!$G$14-Model!$F$14)</f>
        <v>0.37345213964580626</v>
      </c>
      <c r="C3598" s="32">
        <f ca="1">Model!$F$15+RAND()*(Model!$G$15-Model!$F$15)</f>
        <v>2.8979580965277786E-2</v>
      </c>
      <c r="D3598" s="33">
        <f ca="1">Model!$F$16+RAND()*(Model!$G$16-Model!$F$16)</f>
        <v>52.563136946136311</v>
      </c>
      <c r="E3598" s="33">
        <f>Model!$D$17</f>
        <v>800</v>
      </c>
      <c r="G3598" s="36">
        <f t="shared" ca="1" si="58"/>
        <v>1107.4872993451768</v>
      </c>
    </row>
    <row r="3599" spans="1:7" x14ac:dyDescent="0.2">
      <c r="A3599" s="6">
        <f ca="1">Model!$F$13+RAND()*(Model!$G$13-Model!$F$13)</f>
        <v>1637.3010812311936</v>
      </c>
      <c r="B3599" s="31">
        <f ca="1">Model!$F$14+RAND()*(Model!$G$14-Model!$F$14)</f>
        <v>0.62436417402951516</v>
      </c>
      <c r="C3599" s="32">
        <f ca="1">Model!$F$15+RAND()*(Model!$G$15-Model!$F$15)</f>
        <v>1.8418363863371326E-2</v>
      </c>
      <c r="D3599" s="33">
        <f ca="1">Model!$F$16+RAND()*(Model!$G$16-Model!$F$16)</f>
        <v>51.913941092963512</v>
      </c>
      <c r="E3599" s="33">
        <f>Model!$D$17</f>
        <v>800</v>
      </c>
      <c r="G3599" s="36">
        <f t="shared" ca="1" si="58"/>
        <v>-256.73419711658084</v>
      </c>
    </row>
    <row r="3600" spans="1:7" x14ac:dyDescent="0.2">
      <c r="A3600" s="6">
        <f ca="1">Model!$F$13+RAND()*(Model!$G$13-Model!$F$13)</f>
        <v>1638.9099910313239</v>
      </c>
      <c r="B3600" s="31">
        <f ca="1">Model!$F$14+RAND()*(Model!$G$14-Model!$F$14)</f>
        <v>0.63427955274479653</v>
      </c>
      <c r="C3600" s="32">
        <f ca="1">Model!$F$15+RAND()*(Model!$G$15-Model!$F$15)</f>
        <v>2.3407551649659263E-2</v>
      </c>
      <c r="D3600" s="33">
        <f ca="1">Model!$F$16+RAND()*(Model!$G$16-Model!$F$16)</f>
        <v>49.892201105232225</v>
      </c>
      <c r="E3600" s="33">
        <f>Model!$D$17</f>
        <v>800</v>
      </c>
      <c r="G3600" s="36">
        <f t="shared" ca="1" si="58"/>
        <v>74.480942095487762</v>
      </c>
    </row>
    <row r="3601" spans="1:7" x14ac:dyDescent="0.2">
      <c r="A3601" s="6">
        <f ca="1">Model!$F$13+RAND()*(Model!$G$13-Model!$F$13)</f>
        <v>1629.3646093827056</v>
      </c>
      <c r="B3601" s="31">
        <f ca="1">Model!$F$14+RAND()*(Model!$G$14-Model!$F$14)</f>
        <v>0.65542115965840031</v>
      </c>
      <c r="C3601" s="32">
        <f ca="1">Model!$F$15+RAND()*(Model!$G$15-Model!$F$15)</f>
        <v>2.2428131892643373E-2</v>
      </c>
      <c r="D3601" s="33">
        <f ca="1">Model!$F$16+RAND()*(Model!$G$16-Model!$F$16)</f>
        <v>51.497650753181503</v>
      </c>
      <c r="E3601" s="33">
        <f>Model!$D$17</f>
        <v>800</v>
      </c>
      <c r="G3601" s="36">
        <f t="shared" ca="1" si="58"/>
        <v>13.989732828445085</v>
      </c>
    </row>
    <row r="3602" spans="1:7" x14ac:dyDescent="0.2">
      <c r="A3602" s="6">
        <f ca="1">Model!$F$13+RAND()*(Model!$G$13-Model!$F$13)</f>
        <v>1496.832558720314</v>
      </c>
      <c r="B3602" s="31">
        <f ca="1">Model!$F$14+RAND()*(Model!$G$14-Model!$F$14)</f>
        <v>0.52292064336725819</v>
      </c>
      <c r="C3602" s="32">
        <f ca="1">Model!$F$15+RAND()*(Model!$G$15-Model!$F$15)</f>
        <v>2.3778676567822697E-2</v>
      </c>
      <c r="D3602" s="33">
        <f ca="1">Model!$F$16+RAND()*(Model!$G$16-Model!$F$16)</f>
        <v>50.08700768751946</v>
      </c>
      <c r="E3602" s="33">
        <f>Model!$D$17</f>
        <v>800</v>
      </c>
      <c r="G3602" s="36">
        <f t="shared" ca="1" si="58"/>
        <v>200.00705816453797</v>
      </c>
    </row>
    <row r="3603" spans="1:7" x14ac:dyDescent="0.2">
      <c r="A3603" s="6">
        <f ca="1">Model!$F$13+RAND()*(Model!$G$13-Model!$F$13)</f>
        <v>1214.5221423218866</v>
      </c>
      <c r="B3603" s="31">
        <f ca="1">Model!$F$14+RAND()*(Model!$G$14-Model!$F$14)</f>
        <v>0.3556298844749754</v>
      </c>
      <c r="C3603" s="32">
        <f ca="1">Model!$F$15+RAND()*(Model!$G$15-Model!$F$15)</f>
        <v>3.3365740030911945E-2</v>
      </c>
      <c r="D3603" s="33">
        <f ca="1">Model!$F$16+RAND()*(Model!$G$16-Model!$F$16)</f>
        <v>48.478883156584331</v>
      </c>
      <c r="E3603" s="33">
        <f>Model!$D$17</f>
        <v>800</v>
      </c>
      <c r="G3603" s="36">
        <f t="shared" ca="1" si="58"/>
        <v>732.61026193764019</v>
      </c>
    </row>
    <row r="3604" spans="1:7" x14ac:dyDescent="0.2">
      <c r="A3604" s="6">
        <f ca="1">Model!$F$13+RAND()*(Model!$G$13-Model!$F$13)</f>
        <v>1601.7519078329947</v>
      </c>
      <c r="B3604" s="31">
        <f ca="1">Model!$F$14+RAND()*(Model!$G$14-Model!$F$14)</f>
        <v>0.235403279705728</v>
      </c>
      <c r="C3604" s="32">
        <f ca="1">Model!$F$15+RAND()*(Model!$G$15-Model!$F$15)</f>
        <v>4.1044935468188964E-2</v>
      </c>
      <c r="D3604" s="33">
        <f ca="1">Model!$F$16+RAND()*(Model!$G$16-Model!$F$16)</f>
        <v>50.703457994283269</v>
      </c>
      <c r="E3604" s="33">
        <f>Model!$D$17</f>
        <v>800</v>
      </c>
      <c r="G3604" s="36">
        <f t="shared" ca="1" si="58"/>
        <v>2156.3805365563658</v>
      </c>
    </row>
    <row r="3605" spans="1:7" x14ac:dyDescent="0.2">
      <c r="A3605" s="6">
        <f ca="1">Model!$F$13+RAND()*(Model!$G$13-Model!$F$13)</f>
        <v>1722.7830900967606</v>
      </c>
      <c r="B3605" s="31">
        <f ca="1">Model!$F$14+RAND()*(Model!$G$14-Model!$F$14)</f>
        <v>0.68122512860141615</v>
      </c>
      <c r="C3605" s="32">
        <f ca="1">Model!$F$15+RAND()*(Model!$G$15-Model!$F$15)</f>
        <v>1.6101673851582392E-2</v>
      </c>
      <c r="D3605" s="33">
        <f ca="1">Model!$F$16+RAND()*(Model!$G$16-Model!$F$16)</f>
        <v>48.720170316328634</v>
      </c>
      <c r="E3605" s="33">
        <f>Model!$D$17</f>
        <v>800</v>
      </c>
      <c r="G3605" s="36">
        <f t="shared" ca="1" si="58"/>
        <v>-622.12064092835431</v>
      </c>
    </row>
    <row r="3606" spans="1:7" x14ac:dyDescent="0.2">
      <c r="A3606" s="6">
        <f ca="1">Model!$F$13+RAND()*(Model!$G$13-Model!$F$13)</f>
        <v>1726.6852950553707</v>
      </c>
      <c r="B3606" s="31">
        <f ca="1">Model!$F$14+RAND()*(Model!$G$14-Model!$F$14)</f>
        <v>0.56674021286293952</v>
      </c>
      <c r="C3606" s="32">
        <f ca="1">Model!$F$15+RAND()*(Model!$G$15-Model!$F$15)</f>
        <v>3.7014210520471699E-2</v>
      </c>
      <c r="D3606" s="33">
        <f ca="1">Model!$F$16+RAND()*(Model!$G$16-Model!$F$16)</f>
        <v>47.201796453050285</v>
      </c>
      <c r="E3606" s="33">
        <f>Model!$D$17</f>
        <v>800</v>
      </c>
      <c r="G3606" s="36">
        <f t="shared" ca="1" si="58"/>
        <v>1238.1741732986893</v>
      </c>
    </row>
    <row r="3607" spans="1:7" x14ac:dyDescent="0.2">
      <c r="A3607" s="6">
        <f ca="1">Model!$F$13+RAND()*(Model!$G$13-Model!$F$13)</f>
        <v>1773.2992236536702</v>
      </c>
      <c r="B3607" s="31">
        <f ca="1">Model!$F$14+RAND()*(Model!$G$14-Model!$F$14)</f>
        <v>0.36467979784139809</v>
      </c>
      <c r="C3607" s="32">
        <f ca="1">Model!$F$15+RAND()*(Model!$G$15-Model!$F$15)</f>
        <v>1.3395359426871294E-2</v>
      </c>
      <c r="D3607" s="33">
        <f ca="1">Model!$F$16+RAND()*(Model!$G$16-Model!$F$16)</f>
        <v>48.391553492406061</v>
      </c>
      <c r="E3607" s="33">
        <f>Model!$D$17</f>
        <v>800</v>
      </c>
      <c r="G3607" s="36">
        <f t="shared" ca="1" si="58"/>
        <v>-297.19438571470891</v>
      </c>
    </row>
    <row r="3608" spans="1:7" x14ac:dyDescent="0.2">
      <c r="A3608" s="6">
        <f ca="1">Model!$F$13+RAND()*(Model!$G$13-Model!$F$13)</f>
        <v>1625.834150157109</v>
      </c>
      <c r="B3608" s="31">
        <f ca="1">Model!$F$14+RAND()*(Model!$G$14-Model!$F$14)</f>
        <v>0.57014645273428732</v>
      </c>
      <c r="C3608" s="32">
        <f ca="1">Model!$F$15+RAND()*(Model!$G$15-Model!$F$15)</f>
        <v>2.6069275483294282E-2</v>
      </c>
      <c r="D3608" s="33">
        <f ca="1">Model!$F$16+RAND()*(Model!$G$16-Model!$F$16)</f>
        <v>51.559247559573095</v>
      </c>
      <c r="E3608" s="33">
        <f>Model!$D$17</f>
        <v>800</v>
      </c>
      <c r="G3608" s="36">
        <f t="shared" ca="1" si="58"/>
        <v>458.33998903565725</v>
      </c>
    </row>
    <row r="3609" spans="1:7" x14ac:dyDescent="0.2">
      <c r="A3609" s="6">
        <f ca="1">Model!$F$13+RAND()*(Model!$G$13-Model!$F$13)</f>
        <v>1700.5168245715054</v>
      </c>
      <c r="B3609" s="31">
        <f ca="1">Model!$F$14+RAND()*(Model!$G$14-Model!$F$14)</f>
        <v>0.65253933739482961</v>
      </c>
      <c r="C3609" s="32">
        <f ca="1">Model!$F$15+RAND()*(Model!$G$15-Model!$F$15)</f>
        <v>3.9197506875918976E-2</v>
      </c>
      <c r="D3609" s="33">
        <f ca="1">Model!$F$16+RAND()*(Model!$G$16-Model!$F$16)</f>
        <v>52.236495089173943</v>
      </c>
      <c r="E3609" s="33">
        <f>Model!$D$17</f>
        <v>800</v>
      </c>
      <c r="G3609" s="36">
        <f t="shared" ca="1" si="58"/>
        <v>1572.2227354765885</v>
      </c>
    </row>
    <row r="3610" spans="1:7" x14ac:dyDescent="0.2">
      <c r="A3610" s="6">
        <f ca="1">Model!$F$13+RAND()*(Model!$G$13-Model!$F$13)</f>
        <v>1295.0536345863597</v>
      </c>
      <c r="B3610" s="31">
        <f ca="1">Model!$F$14+RAND()*(Model!$G$14-Model!$F$14)</f>
        <v>0.71969770157621515</v>
      </c>
      <c r="C3610" s="32">
        <f ca="1">Model!$F$15+RAND()*(Model!$G$15-Model!$F$15)</f>
        <v>3.0461467131536663E-2</v>
      </c>
      <c r="D3610" s="33">
        <f ca="1">Model!$F$16+RAND()*(Model!$G$16-Model!$F$16)</f>
        <v>50.141688233697224</v>
      </c>
      <c r="E3610" s="33">
        <f>Model!$D$17</f>
        <v>800</v>
      </c>
      <c r="G3610" s="36">
        <f t="shared" ca="1" si="58"/>
        <v>246.00405419374351</v>
      </c>
    </row>
    <row r="3611" spans="1:7" x14ac:dyDescent="0.2">
      <c r="A3611" s="6">
        <f ca="1">Model!$F$13+RAND()*(Model!$G$13-Model!$F$13)</f>
        <v>1444.7384774754028</v>
      </c>
      <c r="B3611" s="31">
        <f ca="1">Model!$F$14+RAND()*(Model!$G$14-Model!$F$14)</f>
        <v>0.6479672975036368</v>
      </c>
      <c r="C3611" s="32">
        <f ca="1">Model!$F$15+RAND()*(Model!$G$15-Model!$F$15)</f>
        <v>4.9006616505446583E-2</v>
      </c>
      <c r="D3611" s="33">
        <f ca="1">Model!$F$16+RAND()*(Model!$G$16-Model!$F$16)</f>
        <v>47.380397242909801</v>
      </c>
      <c r="E3611" s="33">
        <f>Model!$D$17</f>
        <v>800</v>
      </c>
      <c r="G3611" s="36">
        <f t="shared" ca="1" si="58"/>
        <v>1618.4714938240413</v>
      </c>
    </row>
    <row r="3612" spans="1:7" x14ac:dyDescent="0.2">
      <c r="A3612" s="6">
        <f ca="1">Model!$F$13+RAND()*(Model!$G$13-Model!$F$13)</f>
        <v>1369.0855455199021</v>
      </c>
      <c r="B3612" s="31">
        <f ca="1">Model!$F$14+RAND()*(Model!$G$14-Model!$F$14)</f>
        <v>0.6309744758494753</v>
      </c>
      <c r="C3612" s="32">
        <f ca="1">Model!$F$15+RAND()*(Model!$G$15-Model!$F$15)</f>
        <v>4.5558154122561187E-2</v>
      </c>
      <c r="D3612" s="33">
        <f ca="1">Model!$F$16+RAND()*(Model!$G$16-Model!$F$16)</f>
        <v>52.514901950527261</v>
      </c>
      <c r="E3612" s="33">
        <f>Model!$D$17</f>
        <v>800</v>
      </c>
      <c r="G3612" s="36">
        <f t="shared" ca="1" si="58"/>
        <v>1611.6544852488005</v>
      </c>
    </row>
    <row r="3613" spans="1:7" x14ac:dyDescent="0.2">
      <c r="A3613" s="6">
        <f ca="1">Model!$F$13+RAND()*(Model!$G$13-Model!$F$13)</f>
        <v>1479.6451421622714</v>
      </c>
      <c r="B3613" s="31">
        <f ca="1">Model!$F$14+RAND()*(Model!$G$14-Model!$F$14)</f>
        <v>0.75124143230439966</v>
      </c>
      <c r="C3613" s="32">
        <f ca="1">Model!$F$15+RAND()*(Model!$G$15-Model!$F$15)</f>
        <v>3.0435209529126567E-2</v>
      </c>
      <c r="D3613" s="33">
        <f ca="1">Model!$F$16+RAND()*(Model!$G$16-Model!$F$16)</f>
        <v>48.382914674288166</v>
      </c>
      <c r="E3613" s="33">
        <f>Model!$D$17</f>
        <v>800</v>
      </c>
      <c r="G3613" s="36">
        <f t="shared" ca="1" si="58"/>
        <v>267.27205596613339</v>
      </c>
    </row>
    <row r="3614" spans="1:7" x14ac:dyDescent="0.2">
      <c r="A3614" s="6">
        <f ca="1">Model!$F$13+RAND()*(Model!$G$13-Model!$F$13)</f>
        <v>1539.0039902163612</v>
      </c>
      <c r="B3614" s="31">
        <f ca="1">Model!$F$14+RAND()*(Model!$G$14-Model!$F$14)</f>
        <v>0.52985194669316971</v>
      </c>
      <c r="C3614" s="32">
        <f ca="1">Model!$F$15+RAND()*(Model!$G$15-Model!$F$15)</f>
        <v>4.667557650445113E-2</v>
      </c>
      <c r="D3614" s="33">
        <f ca="1">Model!$F$16+RAND()*(Model!$G$16-Model!$F$16)</f>
        <v>49.959277383655476</v>
      </c>
      <c r="E3614" s="33">
        <f>Model!$D$17</f>
        <v>800</v>
      </c>
      <c r="G3614" s="36">
        <f t="shared" ca="1" si="58"/>
        <v>1973.3253998266946</v>
      </c>
    </row>
    <row r="3615" spans="1:7" x14ac:dyDescent="0.2">
      <c r="A3615" s="6">
        <f ca="1">Model!$F$13+RAND()*(Model!$G$13-Model!$F$13)</f>
        <v>1249.5032939174605</v>
      </c>
      <c r="B3615" s="31">
        <f ca="1">Model!$F$14+RAND()*(Model!$G$14-Model!$F$14)</f>
        <v>0.6824806605705297</v>
      </c>
      <c r="C3615" s="32">
        <f ca="1">Model!$F$15+RAND()*(Model!$G$15-Model!$F$15)</f>
        <v>3.0602284108022959E-2</v>
      </c>
      <c r="D3615" s="33">
        <f ca="1">Model!$F$16+RAND()*(Model!$G$16-Model!$F$16)</f>
        <v>49.715097365869042</v>
      </c>
      <c r="E3615" s="33">
        <f>Model!$D$17</f>
        <v>800</v>
      </c>
      <c r="G3615" s="36">
        <f t="shared" ca="1" si="58"/>
        <v>248.22689772688432</v>
      </c>
    </row>
    <row r="3616" spans="1:7" x14ac:dyDescent="0.2">
      <c r="A3616" s="6">
        <f ca="1">Model!$F$13+RAND()*(Model!$G$13-Model!$F$13)</f>
        <v>1698.8321807303078</v>
      </c>
      <c r="B3616" s="31">
        <f ca="1">Model!$F$14+RAND()*(Model!$G$14-Model!$F$14)</f>
        <v>0.24718633206788485</v>
      </c>
      <c r="C3616" s="32">
        <f ca="1">Model!$F$15+RAND()*(Model!$G$15-Model!$F$15)</f>
        <v>3.695448940044696E-2</v>
      </c>
      <c r="D3616" s="33">
        <f ca="1">Model!$F$16+RAND()*(Model!$G$16-Model!$F$16)</f>
        <v>51.270202321947465</v>
      </c>
      <c r="E3616" s="33">
        <f>Model!$D$17</f>
        <v>800</v>
      </c>
      <c r="G3616" s="36">
        <f t="shared" ca="1" si="58"/>
        <v>1998.7883311952539</v>
      </c>
    </row>
    <row r="3617" spans="1:7" x14ac:dyDescent="0.2">
      <c r="A3617" s="6">
        <f ca="1">Model!$F$13+RAND()*(Model!$G$13-Model!$F$13)</f>
        <v>1680.9246564204786</v>
      </c>
      <c r="B3617" s="31">
        <f ca="1">Model!$F$14+RAND()*(Model!$G$14-Model!$F$14)</f>
        <v>0.52188771914853493</v>
      </c>
      <c r="C3617" s="32">
        <f ca="1">Model!$F$15+RAND()*(Model!$G$15-Model!$F$15)</f>
        <v>1.0480888824635395E-2</v>
      </c>
      <c r="D3617" s="33">
        <f ca="1">Model!$F$16+RAND()*(Model!$G$16-Model!$F$16)</f>
        <v>51.037304922335153</v>
      </c>
      <c r="E3617" s="33">
        <f>Model!$D$17</f>
        <v>800</v>
      </c>
      <c r="G3617" s="36">
        <f t="shared" ca="1" si="58"/>
        <v>-778.09990560720166</v>
      </c>
    </row>
    <row r="3618" spans="1:7" x14ac:dyDescent="0.2">
      <c r="A3618" s="6">
        <f ca="1">Model!$F$13+RAND()*(Model!$G$13-Model!$F$13)</f>
        <v>1781.3720555818622</v>
      </c>
      <c r="B3618" s="31">
        <f ca="1">Model!$F$14+RAND()*(Model!$G$14-Model!$F$14)</f>
        <v>0.75001525291091009</v>
      </c>
      <c r="C3618" s="32">
        <f ca="1">Model!$F$15+RAND()*(Model!$G$15-Model!$F$15)</f>
        <v>4.7759654248452549E-2</v>
      </c>
      <c r="D3618" s="33">
        <f ca="1">Model!$F$16+RAND()*(Model!$G$16-Model!$F$16)</f>
        <v>50.842223999734941</v>
      </c>
      <c r="E3618" s="33">
        <f>Model!$D$17</f>
        <v>800</v>
      </c>
      <c r="G3618" s="36">
        <f t="shared" ca="1" si="58"/>
        <v>2189.4839524472318</v>
      </c>
    </row>
    <row r="3619" spans="1:7" x14ac:dyDescent="0.2">
      <c r="A3619" s="6">
        <f ca="1">Model!$F$13+RAND()*(Model!$G$13-Model!$F$13)</f>
        <v>1723.0138436908717</v>
      </c>
      <c r="B3619" s="31">
        <f ca="1">Model!$F$14+RAND()*(Model!$G$14-Model!$F$14)</f>
        <v>0.56850562757267131</v>
      </c>
      <c r="C3619" s="32">
        <f ca="1">Model!$F$15+RAND()*(Model!$G$15-Model!$F$15)</f>
        <v>1.4489591550759472E-2</v>
      </c>
      <c r="D3619" s="33">
        <f ca="1">Model!$F$16+RAND()*(Model!$G$16-Model!$F$16)</f>
        <v>50.955890883818761</v>
      </c>
      <c r="E3619" s="33">
        <f>Model!$D$17</f>
        <v>800</v>
      </c>
      <c r="G3619" s="36">
        <f t="shared" ca="1" si="58"/>
        <v>-507.39017603297111</v>
      </c>
    </row>
    <row r="3620" spans="1:7" x14ac:dyDescent="0.2">
      <c r="A3620" s="6">
        <f ca="1">Model!$F$13+RAND()*(Model!$G$13-Model!$F$13)</f>
        <v>1233.3254357125945</v>
      </c>
      <c r="B3620" s="31">
        <f ca="1">Model!$F$14+RAND()*(Model!$G$14-Model!$F$14)</f>
        <v>0.23515706904209488</v>
      </c>
      <c r="C3620" s="32">
        <f ca="1">Model!$F$15+RAND()*(Model!$G$15-Model!$F$15)</f>
        <v>1.5560506699576187E-2</v>
      </c>
      <c r="D3620" s="33">
        <f ca="1">Model!$F$16+RAND()*(Model!$G$16-Model!$F$16)</f>
        <v>49.524716870659887</v>
      </c>
      <c r="E3620" s="33">
        <f>Model!$D$17</f>
        <v>800</v>
      </c>
      <c r="G3620" s="36">
        <f t="shared" ca="1" si="58"/>
        <v>-139.58799809694494</v>
      </c>
    </row>
    <row r="3621" spans="1:7" x14ac:dyDescent="0.2">
      <c r="A3621" s="6">
        <f ca="1">Model!$F$13+RAND()*(Model!$G$13-Model!$F$13)</f>
        <v>1394.8820622953722</v>
      </c>
      <c r="B3621" s="31">
        <f ca="1">Model!$F$14+RAND()*(Model!$G$14-Model!$F$14)</f>
        <v>0.64189548485489145</v>
      </c>
      <c r="C3621" s="32">
        <f ca="1">Model!$F$15+RAND()*(Model!$G$15-Model!$F$15)</f>
        <v>1.2502736165180904E-2</v>
      </c>
      <c r="D3621" s="33">
        <f ca="1">Model!$F$16+RAND()*(Model!$G$16-Model!$F$16)</f>
        <v>52.976435437944026</v>
      </c>
      <c r="E3621" s="33">
        <f>Model!$D$17</f>
        <v>800</v>
      </c>
      <c r="G3621" s="36">
        <f t="shared" ca="1" si="58"/>
        <v>-771.46781240072028</v>
      </c>
    </row>
    <row r="3622" spans="1:7" x14ac:dyDescent="0.2">
      <c r="A3622" s="6">
        <f ca="1">Model!$F$13+RAND()*(Model!$G$13-Model!$F$13)</f>
        <v>1669.7274242285998</v>
      </c>
      <c r="B3622" s="31">
        <f ca="1">Model!$F$14+RAND()*(Model!$G$14-Model!$F$14)</f>
        <v>0.58310155992455304</v>
      </c>
      <c r="C3622" s="32">
        <f ca="1">Model!$F$15+RAND()*(Model!$G$15-Model!$F$15)</f>
        <v>4.1711238176888044E-2</v>
      </c>
      <c r="D3622" s="33">
        <f ca="1">Model!$F$16+RAND()*(Model!$G$16-Model!$F$16)</f>
        <v>51.219240479211294</v>
      </c>
      <c r="E3622" s="33">
        <f>Model!$D$17</f>
        <v>800</v>
      </c>
      <c r="G3622" s="36">
        <f t="shared" ca="1" si="58"/>
        <v>1793.6149564248158</v>
      </c>
    </row>
    <row r="3623" spans="1:7" x14ac:dyDescent="0.2">
      <c r="A3623" s="6">
        <f ca="1">Model!$F$13+RAND()*(Model!$G$13-Model!$F$13)</f>
        <v>1785.1111609701161</v>
      </c>
      <c r="B3623" s="31">
        <f ca="1">Model!$F$14+RAND()*(Model!$G$14-Model!$F$14)</f>
        <v>0.61808833145869313</v>
      </c>
      <c r="C3623" s="32">
        <f ca="1">Model!$F$15+RAND()*(Model!$G$15-Model!$F$15)</f>
        <v>3.2679190265036573E-2</v>
      </c>
      <c r="D3623" s="33">
        <f ca="1">Model!$F$16+RAND()*(Model!$G$16-Model!$F$16)</f>
        <v>48.842530371099272</v>
      </c>
      <c r="E3623" s="33">
        <f>Model!$D$17</f>
        <v>800</v>
      </c>
      <c r="G3623" s="36">
        <f t="shared" ca="1" si="58"/>
        <v>945.92085118571686</v>
      </c>
    </row>
    <row r="3624" spans="1:7" x14ac:dyDescent="0.2">
      <c r="A3624" s="6">
        <f ca="1">Model!$F$13+RAND()*(Model!$G$13-Model!$F$13)</f>
        <v>1481.9484841649255</v>
      </c>
      <c r="B3624" s="31">
        <f ca="1">Model!$F$14+RAND()*(Model!$G$14-Model!$F$14)</f>
        <v>0.22959601736271212</v>
      </c>
      <c r="C3624" s="32">
        <f ca="1">Model!$F$15+RAND()*(Model!$G$15-Model!$F$15)</f>
        <v>4.7944763530137269E-2</v>
      </c>
      <c r="D3624" s="33">
        <f ca="1">Model!$F$16+RAND()*(Model!$G$16-Model!$F$16)</f>
        <v>51.993777713974737</v>
      </c>
      <c r="E3624" s="33">
        <f>Model!$D$17</f>
        <v>800</v>
      </c>
      <c r="G3624" s="36">
        <f t="shared" ca="1" si="58"/>
        <v>2553.9952474188722</v>
      </c>
    </row>
    <row r="3625" spans="1:7" x14ac:dyDescent="0.2">
      <c r="A3625" s="6">
        <f ca="1">Model!$F$13+RAND()*(Model!$G$13-Model!$F$13)</f>
        <v>1328.8222415876535</v>
      </c>
      <c r="B3625" s="31">
        <f ca="1">Model!$F$14+RAND()*(Model!$G$14-Model!$F$14)</f>
        <v>0.57135715175301671</v>
      </c>
      <c r="C3625" s="32">
        <f ca="1">Model!$F$15+RAND()*(Model!$G$15-Model!$F$15)</f>
        <v>4.4166193659151406E-2</v>
      </c>
      <c r="D3625" s="33">
        <f ca="1">Model!$F$16+RAND()*(Model!$G$16-Model!$F$16)</f>
        <v>48.583295092751705</v>
      </c>
      <c r="E3625" s="33">
        <f>Model!$D$17</f>
        <v>800</v>
      </c>
      <c r="G3625" s="36">
        <f t="shared" ref="G3625:G3688" ca="1" si="59">A3625*C3625*D3625-(E3625+A3625*B3625)</f>
        <v>1292.0739085997643</v>
      </c>
    </row>
    <row r="3626" spans="1:7" x14ac:dyDescent="0.2">
      <c r="A3626" s="6">
        <f ca="1">Model!$F$13+RAND()*(Model!$G$13-Model!$F$13)</f>
        <v>1758.6125070088187</v>
      </c>
      <c r="B3626" s="31">
        <f ca="1">Model!$F$14+RAND()*(Model!$G$14-Model!$F$14)</f>
        <v>0.57651836577649851</v>
      </c>
      <c r="C3626" s="32">
        <f ca="1">Model!$F$15+RAND()*(Model!$G$15-Model!$F$15)</f>
        <v>2.3080120064099645E-2</v>
      </c>
      <c r="D3626" s="33">
        <f ca="1">Model!$F$16+RAND()*(Model!$G$16-Model!$F$16)</f>
        <v>50.580626917737433</v>
      </c>
      <c r="E3626" s="33">
        <f>Model!$D$17</f>
        <v>800</v>
      </c>
      <c r="G3626" s="36">
        <f t="shared" ca="1" si="59"/>
        <v>239.14404070974138</v>
      </c>
    </row>
    <row r="3627" spans="1:7" x14ac:dyDescent="0.2">
      <c r="A3627" s="6">
        <f ca="1">Model!$F$13+RAND()*(Model!$G$13-Model!$F$13)</f>
        <v>1550.4945766281994</v>
      </c>
      <c r="B3627" s="31">
        <f ca="1">Model!$F$14+RAND()*(Model!$G$14-Model!$F$14)</f>
        <v>0.48937001462031121</v>
      </c>
      <c r="C3627" s="32">
        <f ca="1">Model!$F$15+RAND()*(Model!$G$15-Model!$F$15)</f>
        <v>4.4016553625800786E-2</v>
      </c>
      <c r="D3627" s="33">
        <f ca="1">Model!$F$16+RAND()*(Model!$G$16-Model!$F$16)</f>
        <v>50.326973549336358</v>
      </c>
      <c r="E3627" s="33">
        <f>Model!$D$17</f>
        <v>800</v>
      </c>
      <c r="G3627" s="36">
        <f t="shared" ca="1" si="59"/>
        <v>1875.9209339613369</v>
      </c>
    </row>
    <row r="3628" spans="1:7" x14ac:dyDescent="0.2">
      <c r="A3628" s="6">
        <f ca="1">Model!$F$13+RAND()*(Model!$G$13-Model!$F$13)</f>
        <v>1713.5042053979153</v>
      </c>
      <c r="B3628" s="31">
        <f ca="1">Model!$F$14+RAND()*(Model!$G$14-Model!$F$14)</f>
        <v>0.71300249056573883</v>
      </c>
      <c r="C3628" s="32">
        <f ca="1">Model!$F$15+RAND()*(Model!$G$15-Model!$F$15)</f>
        <v>1.0881182325413073E-2</v>
      </c>
      <c r="D3628" s="33">
        <f ca="1">Model!$F$16+RAND()*(Model!$G$16-Model!$F$16)</f>
        <v>50.80011884194731</v>
      </c>
      <c r="E3628" s="33">
        <f>Model!$D$17</f>
        <v>800</v>
      </c>
      <c r="G3628" s="36">
        <f t="shared" ca="1" si="59"/>
        <v>-1074.5670051869406</v>
      </c>
    </row>
    <row r="3629" spans="1:7" x14ac:dyDescent="0.2">
      <c r="A3629" s="6">
        <f ca="1">Model!$F$13+RAND()*(Model!$G$13-Model!$F$13)</f>
        <v>1343.2793684687024</v>
      </c>
      <c r="B3629" s="31">
        <f ca="1">Model!$F$14+RAND()*(Model!$G$14-Model!$F$14)</f>
        <v>0.29125673785745787</v>
      </c>
      <c r="C3629" s="32">
        <f ca="1">Model!$F$15+RAND()*(Model!$G$15-Model!$F$15)</f>
        <v>4.0544729870894795E-2</v>
      </c>
      <c r="D3629" s="33">
        <f ca="1">Model!$F$16+RAND()*(Model!$G$16-Model!$F$16)</f>
        <v>48.248587783347418</v>
      </c>
      <c r="E3629" s="33">
        <f>Model!$D$17</f>
        <v>800</v>
      </c>
      <c r="G3629" s="36">
        <f t="shared" ca="1" si="59"/>
        <v>1436.518802993465</v>
      </c>
    </row>
    <row r="3630" spans="1:7" x14ac:dyDescent="0.2">
      <c r="A3630" s="6">
        <f ca="1">Model!$F$13+RAND()*(Model!$G$13-Model!$F$13)</f>
        <v>1363.7356992638754</v>
      </c>
      <c r="B3630" s="31">
        <f ca="1">Model!$F$14+RAND()*(Model!$G$14-Model!$F$14)</f>
        <v>0.29184550700432793</v>
      </c>
      <c r="C3630" s="32">
        <f ca="1">Model!$F$15+RAND()*(Model!$G$15-Model!$F$15)</f>
        <v>1.8476791677234032E-2</v>
      </c>
      <c r="D3630" s="33">
        <f ca="1">Model!$F$16+RAND()*(Model!$G$16-Model!$F$16)</f>
        <v>51.762055511945071</v>
      </c>
      <c r="E3630" s="33">
        <f>Model!$D$17</f>
        <v>800</v>
      </c>
      <c r="G3630" s="36">
        <f t="shared" ca="1" si="59"/>
        <v>106.27220835045864</v>
      </c>
    </row>
    <row r="3631" spans="1:7" x14ac:dyDescent="0.2">
      <c r="A3631" s="6">
        <f ca="1">Model!$F$13+RAND()*(Model!$G$13-Model!$F$13)</f>
        <v>1517.8724381447121</v>
      </c>
      <c r="B3631" s="31">
        <f ca="1">Model!$F$14+RAND()*(Model!$G$14-Model!$F$14)</f>
        <v>0.26618513305004915</v>
      </c>
      <c r="C3631" s="32">
        <f ca="1">Model!$F$15+RAND()*(Model!$G$15-Model!$F$15)</f>
        <v>3.0713543394073749E-2</v>
      </c>
      <c r="D3631" s="33">
        <f ca="1">Model!$F$16+RAND()*(Model!$G$16-Model!$F$16)</f>
        <v>47.019709677508139</v>
      </c>
      <c r="E3631" s="33">
        <f>Model!$D$17</f>
        <v>800</v>
      </c>
      <c r="G3631" s="36">
        <f t="shared" ca="1" si="59"/>
        <v>987.98810009957378</v>
      </c>
    </row>
    <row r="3632" spans="1:7" x14ac:dyDescent="0.2">
      <c r="A3632" s="6">
        <f ca="1">Model!$F$13+RAND()*(Model!$G$13-Model!$F$13)</f>
        <v>1296.5801668631991</v>
      </c>
      <c r="B3632" s="31">
        <f ca="1">Model!$F$14+RAND()*(Model!$G$14-Model!$F$14)</f>
        <v>0.27099282702581429</v>
      </c>
      <c r="C3632" s="32">
        <f ca="1">Model!$F$15+RAND()*(Model!$G$15-Model!$F$15)</f>
        <v>3.8369072675082688E-2</v>
      </c>
      <c r="D3632" s="33">
        <f ca="1">Model!$F$16+RAND()*(Model!$G$16-Model!$F$16)</f>
        <v>50.692411818678366</v>
      </c>
      <c r="E3632" s="33">
        <f>Model!$D$17</f>
        <v>800</v>
      </c>
      <c r="G3632" s="36">
        <f t="shared" ca="1" si="59"/>
        <v>1370.5115115090966</v>
      </c>
    </row>
    <row r="3633" spans="1:7" x14ac:dyDescent="0.2">
      <c r="A3633" s="6">
        <f ca="1">Model!$F$13+RAND()*(Model!$G$13-Model!$F$13)</f>
        <v>1240.1385218340567</v>
      </c>
      <c r="B3633" s="31">
        <f ca="1">Model!$F$14+RAND()*(Model!$G$14-Model!$F$14)</f>
        <v>0.40939095799027214</v>
      </c>
      <c r="C3633" s="32">
        <f ca="1">Model!$F$15+RAND()*(Model!$G$15-Model!$F$15)</f>
        <v>3.7178128688044855E-2</v>
      </c>
      <c r="D3633" s="33">
        <f ca="1">Model!$F$16+RAND()*(Model!$G$16-Model!$F$16)</f>
        <v>50.047901071790903</v>
      </c>
      <c r="E3633" s="33">
        <f>Model!$D$17</f>
        <v>800</v>
      </c>
      <c r="G3633" s="36">
        <f t="shared" ca="1" si="59"/>
        <v>999.8085085248731</v>
      </c>
    </row>
    <row r="3634" spans="1:7" x14ac:dyDescent="0.2">
      <c r="A3634" s="6">
        <f ca="1">Model!$F$13+RAND()*(Model!$G$13-Model!$F$13)</f>
        <v>1629.2583074629133</v>
      </c>
      <c r="B3634" s="31">
        <f ca="1">Model!$F$14+RAND()*(Model!$G$14-Model!$F$14)</f>
        <v>0.48873306869012328</v>
      </c>
      <c r="C3634" s="32">
        <f ca="1">Model!$F$15+RAND()*(Model!$G$15-Model!$F$15)</f>
        <v>1.2379425037861545E-2</v>
      </c>
      <c r="D3634" s="33">
        <f ca="1">Model!$F$16+RAND()*(Model!$G$16-Model!$F$16)</f>
        <v>50.766335034164115</v>
      </c>
      <c r="E3634" s="33">
        <f>Model!$D$17</f>
        <v>800</v>
      </c>
      <c r="G3634" s="36">
        <f t="shared" ca="1" si="59"/>
        <v>-572.35193135871566</v>
      </c>
    </row>
    <row r="3635" spans="1:7" x14ac:dyDescent="0.2">
      <c r="A3635" s="6">
        <f ca="1">Model!$F$13+RAND()*(Model!$G$13-Model!$F$13)</f>
        <v>1546.7778266274445</v>
      </c>
      <c r="B3635" s="31">
        <f ca="1">Model!$F$14+RAND()*(Model!$G$14-Model!$F$14)</f>
        <v>0.54907130938359239</v>
      </c>
      <c r="C3635" s="32">
        <f ca="1">Model!$F$15+RAND()*(Model!$G$15-Model!$F$15)</f>
        <v>4.2253434456521154E-2</v>
      </c>
      <c r="D3635" s="33">
        <f ca="1">Model!$F$16+RAND()*(Model!$G$16-Model!$F$16)</f>
        <v>52.50897545980056</v>
      </c>
      <c r="E3635" s="33">
        <f>Model!$D$17</f>
        <v>800</v>
      </c>
      <c r="G3635" s="36">
        <f t="shared" ca="1" si="59"/>
        <v>1782.5207442226115</v>
      </c>
    </row>
    <row r="3636" spans="1:7" x14ac:dyDescent="0.2">
      <c r="A3636" s="6">
        <f ca="1">Model!$F$13+RAND()*(Model!$G$13-Model!$F$13)</f>
        <v>1378.0696364446735</v>
      </c>
      <c r="B3636" s="31">
        <f ca="1">Model!$F$14+RAND()*(Model!$G$14-Model!$F$14)</f>
        <v>0.66528707125345554</v>
      </c>
      <c r="C3636" s="32">
        <f ca="1">Model!$F$15+RAND()*(Model!$G$15-Model!$F$15)</f>
        <v>3.819541237964795E-2</v>
      </c>
      <c r="D3636" s="33">
        <f ca="1">Model!$F$16+RAND()*(Model!$G$16-Model!$F$16)</f>
        <v>52.581941897846789</v>
      </c>
      <c r="E3636" s="33">
        <f>Model!$D$17</f>
        <v>800</v>
      </c>
      <c r="G3636" s="36">
        <f t="shared" ca="1" si="59"/>
        <v>1050.8879239688072</v>
      </c>
    </row>
    <row r="3637" spans="1:7" x14ac:dyDescent="0.2">
      <c r="A3637" s="6">
        <f ca="1">Model!$F$13+RAND()*(Model!$G$13-Model!$F$13)</f>
        <v>1644.7811541419849</v>
      </c>
      <c r="B3637" s="31">
        <f ca="1">Model!$F$14+RAND()*(Model!$G$14-Model!$F$14)</f>
        <v>0.73848824014029324</v>
      </c>
      <c r="C3637" s="32">
        <f ca="1">Model!$F$15+RAND()*(Model!$G$15-Model!$F$15)</f>
        <v>3.4913484963234161E-2</v>
      </c>
      <c r="D3637" s="33">
        <f ca="1">Model!$F$16+RAND()*(Model!$G$16-Model!$F$16)</f>
        <v>51.661011984294227</v>
      </c>
      <c r="E3637" s="33">
        <f>Model!$D$17</f>
        <v>800</v>
      </c>
      <c r="G3637" s="36">
        <f t="shared" ca="1" si="59"/>
        <v>951.98424782410666</v>
      </c>
    </row>
    <row r="3638" spans="1:7" x14ac:dyDescent="0.2">
      <c r="A3638" s="6">
        <f ca="1">Model!$F$13+RAND()*(Model!$G$13-Model!$F$13)</f>
        <v>1614.2364710558497</v>
      </c>
      <c r="B3638" s="31">
        <f ca="1">Model!$F$14+RAND()*(Model!$G$14-Model!$F$14)</f>
        <v>0.66861747739011368</v>
      </c>
      <c r="C3638" s="32">
        <f ca="1">Model!$F$15+RAND()*(Model!$G$15-Model!$F$15)</f>
        <v>3.6202513784413248E-2</v>
      </c>
      <c r="D3638" s="33">
        <f ca="1">Model!$F$16+RAND()*(Model!$G$16-Model!$F$16)</f>
        <v>49.751024518319177</v>
      </c>
      <c r="E3638" s="33">
        <f>Model!$D$17</f>
        <v>800</v>
      </c>
      <c r="G3638" s="36">
        <f t="shared" ca="1" si="59"/>
        <v>1028.1142052773428</v>
      </c>
    </row>
    <row r="3639" spans="1:7" x14ac:dyDescent="0.2">
      <c r="A3639" s="6">
        <f ca="1">Model!$F$13+RAND()*(Model!$G$13-Model!$F$13)</f>
        <v>1210.192428524057</v>
      </c>
      <c r="B3639" s="31">
        <f ca="1">Model!$F$14+RAND()*(Model!$G$14-Model!$F$14)</f>
        <v>0.38510288401945758</v>
      </c>
      <c r="C3639" s="32">
        <f ca="1">Model!$F$15+RAND()*(Model!$G$15-Model!$F$15)</f>
        <v>3.1048280941368946E-2</v>
      </c>
      <c r="D3639" s="33">
        <f ca="1">Model!$F$16+RAND()*(Model!$G$16-Model!$F$16)</f>
        <v>47.58461711134855</v>
      </c>
      <c r="E3639" s="33">
        <f>Model!$D$17</f>
        <v>800</v>
      </c>
      <c r="G3639" s="36">
        <f t="shared" ca="1" si="59"/>
        <v>521.91458169310704</v>
      </c>
    </row>
    <row r="3640" spans="1:7" x14ac:dyDescent="0.2">
      <c r="A3640" s="6">
        <f ca="1">Model!$F$13+RAND()*(Model!$G$13-Model!$F$13)</f>
        <v>1359.4021061766719</v>
      </c>
      <c r="B3640" s="31">
        <f ca="1">Model!$F$14+RAND()*(Model!$G$14-Model!$F$14)</f>
        <v>0.76121416128930841</v>
      </c>
      <c r="C3640" s="32">
        <f ca="1">Model!$F$15+RAND()*(Model!$G$15-Model!$F$15)</f>
        <v>4.9759291262061668E-2</v>
      </c>
      <c r="D3640" s="33">
        <f ca="1">Model!$F$16+RAND()*(Model!$G$16-Model!$F$16)</f>
        <v>51.69727589592469</v>
      </c>
      <c r="E3640" s="33">
        <f>Model!$D$17</f>
        <v>800</v>
      </c>
      <c r="G3640" s="36">
        <f t="shared" ca="1" si="59"/>
        <v>1662.1567718913893</v>
      </c>
    </row>
    <row r="3641" spans="1:7" x14ac:dyDescent="0.2">
      <c r="A3641" s="6">
        <f ca="1">Model!$F$13+RAND()*(Model!$G$13-Model!$F$13)</f>
        <v>1747.7913396743922</v>
      </c>
      <c r="B3641" s="31">
        <f ca="1">Model!$F$14+RAND()*(Model!$G$14-Model!$F$14)</f>
        <v>0.22732940510565741</v>
      </c>
      <c r="C3641" s="32">
        <f ca="1">Model!$F$15+RAND()*(Model!$G$15-Model!$F$15)</f>
        <v>3.0233159563011952E-2</v>
      </c>
      <c r="D3641" s="33">
        <f ca="1">Model!$F$16+RAND()*(Model!$G$16-Model!$F$16)</f>
        <v>50.45390631079826</v>
      </c>
      <c r="E3641" s="33">
        <f>Model!$D$17</f>
        <v>800</v>
      </c>
      <c r="G3641" s="36">
        <f t="shared" ca="1" si="59"/>
        <v>1468.72333613204</v>
      </c>
    </row>
    <row r="3642" spans="1:7" x14ac:dyDescent="0.2">
      <c r="A3642" s="6">
        <f ca="1">Model!$F$13+RAND()*(Model!$G$13-Model!$F$13)</f>
        <v>1392.9320339746041</v>
      </c>
      <c r="B3642" s="31">
        <f ca="1">Model!$F$14+RAND()*(Model!$G$14-Model!$F$14)</f>
        <v>0.25683929227323082</v>
      </c>
      <c r="C3642" s="32">
        <f ca="1">Model!$F$15+RAND()*(Model!$G$15-Model!$F$15)</f>
        <v>1.0275658947651723E-2</v>
      </c>
      <c r="D3642" s="33">
        <f ca="1">Model!$F$16+RAND()*(Model!$G$16-Model!$F$16)</f>
        <v>48.779498579347248</v>
      </c>
      <c r="E3642" s="33">
        <f>Model!$D$17</f>
        <v>800</v>
      </c>
      <c r="G3642" s="36">
        <f t="shared" ca="1" si="59"/>
        <v>-459.56434816556293</v>
      </c>
    </row>
    <row r="3643" spans="1:7" x14ac:dyDescent="0.2">
      <c r="A3643" s="6">
        <f ca="1">Model!$F$13+RAND()*(Model!$G$13-Model!$F$13)</f>
        <v>1451.3418348980001</v>
      </c>
      <c r="B3643" s="31">
        <f ca="1">Model!$F$14+RAND()*(Model!$G$14-Model!$F$14)</f>
        <v>0.61990562483892897</v>
      </c>
      <c r="C3643" s="32">
        <f ca="1">Model!$F$15+RAND()*(Model!$G$15-Model!$F$15)</f>
        <v>4.102232879098467E-2</v>
      </c>
      <c r="D3643" s="33">
        <f ca="1">Model!$F$16+RAND()*(Model!$G$16-Model!$F$16)</f>
        <v>47.577397867796449</v>
      </c>
      <c r="E3643" s="33">
        <f>Model!$D$17</f>
        <v>800</v>
      </c>
      <c r="G3643" s="36">
        <f t="shared" ca="1" si="59"/>
        <v>1132.9406446114722</v>
      </c>
    </row>
    <row r="3644" spans="1:7" x14ac:dyDescent="0.2">
      <c r="A3644" s="6">
        <f ca="1">Model!$F$13+RAND()*(Model!$G$13-Model!$F$13)</f>
        <v>1560.8454739520841</v>
      </c>
      <c r="B3644" s="31">
        <f ca="1">Model!$F$14+RAND()*(Model!$G$14-Model!$F$14)</f>
        <v>0.25315829470208107</v>
      </c>
      <c r="C3644" s="32">
        <f ca="1">Model!$F$15+RAND()*(Model!$G$15-Model!$F$15)</f>
        <v>3.9044211719319655E-2</v>
      </c>
      <c r="D3644" s="33">
        <f ca="1">Model!$F$16+RAND()*(Model!$G$16-Model!$F$16)</f>
        <v>48.348107661510056</v>
      </c>
      <c r="E3644" s="33">
        <f>Model!$D$17</f>
        <v>800</v>
      </c>
      <c r="G3644" s="36">
        <f t="shared" ca="1" si="59"/>
        <v>1751.2884870794935</v>
      </c>
    </row>
    <row r="3645" spans="1:7" x14ac:dyDescent="0.2">
      <c r="A3645" s="6">
        <f ca="1">Model!$F$13+RAND()*(Model!$G$13-Model!$F$13)</f>
        <v>1637.3343923438922</v>
      </c>
      <c r="B3645" s="31">
        <f ca="1">Model!$F$14+RAND()*(Model!$G$14-Model!$F$14)</f>
        <v>0.73659111045043835</v>
      </c>
      <c r="C3645" s="32">
        <f ca="1">Model!$F$15+RAND()*(Model!$G$15-Model!$F$15)</f>
        <v>1.4948462866056601E-2</v>
      </c>
      <c r="D3645" s="33">
        <f ca="1">Model!$F$16+RAND()*(Model!$G$16-Model!$F$16)</f>
        <v>52.780269904755293</v>
      </c>
      <c r="E3645" s="33">
        <f>Model!$D$17</f>
        <v>800</v>
      </c>
      <c r="G3645" s="36">
        <f t="shared" ca="1" si="59"/>
        <v>-714.21547601232578</v>
      </c>
    </row>
    <row r="3646" spans="1:7" x14ac:dyDescent="0.2">
      <c r="A3646" s="6">
        <f ca="1">Model!$F$13+RAND()*(Model!$G$13-Model!$F$13)</f>
        <v>1210.6096473726188</v>
      </c>
      <c r="B3646" s="31">
        <f ca="1">Model!$F$14+RAND()*(Model!$G$14-Model!$F$14)</f>
        <v>0.26256431442685124</v>
      </c>
      <c r="C3646" s="32">
        <f ca="1">Model!$F$15+RAND()*(Model!$G$15-Model!$F$15)</f>
        <v>4.3375854064446419E-2</v>
      </c>
      <c r="D3646" s="33">
        <f ca="1">Model!$F$16+RAND()*(Model!$G$16-Model!$F$16)</f>
        <v>50.034305277935871</v>
      </c>
      <c r="E3646" s="33">
        <f>Model!$D$17</f>
        <v>800</v>
      </c>
      <c r="G3646" s="36">
        <f t="shared" ca="1" si="59"/>
        <v>1509.4998898218448</v>
      </c>
    </row>
    <row r="3647" spans="1:7" x14ac:dyDescent="0.2">
      <c r="A3647" s="6">
        <f ca="1">Model!$F$13+RAND()*(Model!$G$13-Model!$F$13)</f>
        <v>1437.9905435663964</v>
      </c>
      <c r="B3647" s="31">
        <f ca="1">Model!$F$14+RAND()*(Model!$G$14-Model!$F$14)</f>
        <v>0.55745290867964581</v>
      </c>
      <c r="C3647" s="32">
        <f ca="1">Model!$F$15+RAND()*(Model!$G$15-Model!$F$15)</f>
        <v>2.2230591678614992E-2</v>
      </c>
      <c r="D3647" s="33">
        <f ca="1">Model!$F$16+RAND()*(Model!$G$16-Model!$F$16)</f>
        <v>51.651254412867608</v>
      </c>
      <c r="E3647" s="33">
        <f>Model!$D$17</f>
        <v>800</v>
      </c>
      <c r="G3647" s="36">
        <f t="shared" ca="1" si="59"/>
        <v>49.543297724741024</v>
      </c>
    </row>
    <row r="3648" spans="1:7" x14ac:dyDescent="0.2">
      <c r="A3648" s="6">
        <f ca="1">Model!$F$13+RAND()*(Model!$G$13-Model!$F$13)</f>
        <v>1658.5441483127124</v>
      </c>
      <c r="B3648" s="31">
        <f ca="1">Model!$F$14+RAND()*(Model!$G$14-Model!$F$14)</f>
        <v>0.75406974988338549</v>
      </c>
      <c r="C3648" s="32">
        <f ca="1">Model!$F$15+RAND()*(Model!$G$15-Model!$F$15)</f>
        <v>3.4717018224626646E-2</v>
      </c>
      <c r="D3648" s="33">
        <f ca="1">Model!$F$16+RAND()*(Model!$G$16-Model!$F$16)</f>
        <v>52.3394123864623</v>
      </c>
      <c r="E3648" s="33">
        <f>Model!$D$17</f>
        <v>800</v>
      </c>
      <c r="G3648" s="36">
        <f t="shared" ca="1" si="59"/>
        <v>963.03008083228679</v>
      </c>
    </row>
    <row r="3649" spans="1:7" x14ac:dyDescent="0.2">
      <c r="A3649" s="6">
        <f ca="1">Model!$F$13+RAND()*(Model!$G$13-Model!$F$13)</f>
        <v>1543.9995790515945</v>
      </c>
      <c r="B3649" s="31">
        <f ca="1">Model!$F$14+RAND()*(Model!$G$14-Model!$F$14)</f>
        <v>0.72220139012358953</v>
      </c>
      <c r="C3649" s="32">
        <f ca="1">Model!$F$15+RAND()*(Model!$G$15-Model!$F$15)</f>
        <v>2.1923591596747498E-2</v>
      </c>
      <c r="D3649" s="33">
        <f ca="1">Model!$F$16+RAND()*(Model!$G$16-Model!$F$16)</f>
        <v>51.599896967079886</v>
      </c>
      <c r="E3649" s="33">
        <f>Model!$D$17</f>
        <v>800</v>
      </c>
      <c r="G3649" s="36">
        <f t="shared" ca="1" si="59"/>
        <v>-168.42129425876942</v>
      </c>
    </row>
    <row r="3650" spans="1:7" x14ac:dyDescent="0.2">
      <c r="A3650" s="6">
        <f ca="1">Model!$F$13+RAND()*(Model!$G$13-Model!$F$13)</f>
        <v>1357.4111446021632</v>
      </c>
      <c r="B3650" s="31">
        <f ca="1">Model!$F$14+RAND()*(Model!$G$14-Model!$F$14)</f>
        <v>0.43597914687012007</v>
      </c>
      <c r="C3650" s="32">
        <f ca="1">Model!$F$15+RAND()*(Model!$G$15-Model!$F$15)</f>
        <v>4.8163348148236557E-2</v>
      </c>
      <c r="D3650" s="33">
        <f ca="1">Model!$F$16+RAND()*(Model!$G$16-Model!$F$16)</f>
        <v>52.871707244432727</v>
      </c>
      <c r="E3650" s="33">
        <f>Model!$D$17</f>
        <v>800</v>
      </c>
      <c r="G3650" s="36">
        <f t="shared" ca="1" si="59"/>
        <v>2064.8152655203344</v>
      </c>
    </row>
    <row r="3651" spans="1:7" x14ac:dyDescent="0.2">
      <c r="A3651" s="6">
        <f ca="1">Model!$F$13+RAND()*(Model!$G$13-Model!$F$13)</f>
        <v>1585.1479127939533</v>
      </c>
      <c r="B3651" s="31">
        <f ca="1">Model!$F$14+RAND()*(Model!$G$14-Model!$F$14)</f>
        <v>0.60483601727509639</v>
      </c>
      <c r="C3651" s="32">
        <f ca="1">Model!$F$15+RAND()*(Model!$G$15-Model!$F$15)</f>
        <v>1.2836642100644143E-2</v>
      </c>
      <c r="D3651" s="33">
        <f ca="1">Model!$F$16+RAND()*(Model!$G$16-Model!$F$16)</f>
        <v>50.270692598171117</v>
      </c>
      <c r="E3651" s="33">
        <f>Model!$D$17</f>
        <v>800</v>
      </c>
      <c r="G3651" s="36">
        <f t="shared" ca="1" si="59"/>
        <v>-735.84768210206835</v>
      </c>
    </row>
    <row r="3652" spans="1:7" x14ac:dyDescent="0.2">
      <c r="A3652" s="6">
        <f ca="1">Model!$F$13+RAND()*(Model!$G$13-Model!$F$13)</f>
        <v>1223.4095197017718</v>
      </c>
      <c r="B3652" s="31">
        <f ca="1">Model!$F$14+RAND()*(Model!$G$14-Model!$F$14)</f>
        <v>0.79487993585602945</v>
      </c>
      <c r="C3652" s="32">
        <f ca="1">Model!$F$15+RAND()*(Model!$G$15-Model!$F$15)</f>
        <v>4.4791986134869385E-2</v>
      </c>
      <c r="D3652" s="33">
        <f ca="1">Model!$F$16+RAND()*(Model!$G$16-Model!$F$16)</f>
        <v>52.885439699799115</v>
      </c>
      <c r="E3652" s="33">
        <f>Model!$D$17</f>
        <v>800</v>
      </c>
      <c r="G3652" s="36">
        <f t="shared" ca="1" si="59"/>
        <v>1125.6024750983606</v>
      </c>
    </row>
    <row r="3653" spans="1:7" x14ac:dyDescent="0.2">
      <c r="A3653" s="6">
        <f ca="1">Model!$F$13+RAND()*(Model!$G$13-Model!$F$13)</f>
        <v>1610.4703361430475</v>
      </c>
      <c r="B3653" s="31">
        <f ca="1">Model!$F$14+RAND()*(Model!$G$14-Model!$F$14)</f>
        <v>0.42331621711390827</v>
      </c>
      <c r="C3653" s="32">
        <f ca="1">Model!$F$15+RAND()*(Model!$G$15-Model!$F$15)</f>
        <v>3.997210275535442E-2</v>
      </c>
      <c r="D3653" s="33">
        <f ca="1">Model!$F$16+RAND()*(Model!$G$16-Model!$F$16)</f>
        <v>49.560023055372532</v>
      </c>
      <c r="E3653" s="33">
        <f>Model!$D$17</f>
        <v>800</v>
      </c>
      <c r="G3653" s="36">
        <f t="shared" ca="1" si="59"/>
        <v>1708.633051996947</v>
      </c>
    </row>
    <row r="3654" spans="1:7" x14ac:dyDescent="0.2">
      <c r="A3654" s="6">
        <f ca="1">Model!$F$13+RAND()*(Model!$G$13-Model!$F$13)</f>
        <v>1404.2510630298605</v>
      </c>
      <c r="B3654" s="31">
        <f ca="1">Model!$F$14+RAND()*(Model!$G$14-Model!$F$14)</f>
        <v>0.55211836715759355</v>
      </c>
      <c r="C3654" s="32">
        <f ca="1">Model!$F$15+RAND()*(Model!$G$15-Model!$F$15)</f>
        <v>4.2026076632520684E-2</v>
      </c>
      <c r="D3654" s="33">
        <f ca="1">Model!$F$16+RAND()*(Model!$G$16-Model!$F$16)</f>
        <v>49.676357291269866</v>
      </c>
      <c r="E3654" s="33">
        <f>Model!$D$17</f>
        <v>800</v>
      </c>
      <c r="G3654" s="36">
        <f t="shared" ca="1" si="59"/>
        <v>1356.3455081699426</v>
      </c>
    </row>
    <row r="3655" spans="1:7" x14ac:dyDescent="0.2">
      <c r="A3655" s="6">
        <f ca="1">Model!$F$13+RAND()*(Model!$G$13-Model!$F$13)</f>
        <v>1535.6941375356398</v>
      </c>
      <c r="B3655" s="31">
        <f ca="1">Model!$F$14+RAND()*(Model!$G$14-Model!$F$14)</f>
        <v>0.37344101928903389</v>
      </c>
      <c r="C3655" s="32">
        <f ca="1">Model!$F$15+RAND()*(Model!$G$15-Model!$F$15)</f>
        <v>3.2692709423484005E-2</v>
      </c>
      <c r="D3655" s="33">
        <f ca="1">Model!$F$16+RAND()*(Model!$G$16-Model!$F$16)</f>
        <v>49.734642396297851</v>
      </c>
      <c r="E3655" s="33">
        <f>Model!$D$17</f>
        <v>800</v>
      </c>
      <c r="G3655" s="36">
        <f t="shared" ca="1" si="59"/>
        <v>1123.4863816167899</v>
      </c>
    </row>
    <row r="3656" spans="1:7" x14ac:dyDescent="0.2">
      <c r="A3656" s="6">
        <f ca="1">Model!$F$13+RAND()*(Model!$G$13-Model!$F$13)</f>
        <v>1412.9095972354414</v>
      </c>
      <c r="B3656" s="31">
        <f ca="1">Model!$F$14+RAND()*(Model!$G$14-Model!$F$14)</f>
        <v>0.41064877941651834</v>
      </c>
      <c r="C3656" s="32">
        <f ca="1">Model!$F$15+RAND()*(Model!$G$15-Model!$F$15)</f>
        <v>3.6594633437295992E-2</v>
      </c>
      <c r="D3656" s="33">
        <f ca="1">Model!$F$16+RAND()*(Model!$G$16-Model!$F$16)</f>
        <v>52.21617630772046</v>
      </c>
      <c r="E3656" s="33">
        <f>Model!$D$17</f>
        <v>800</v>
      </c>
      <c r="G3656" s="36">
        <f t="shared" ca="1" si="59"/>
        <v>1319.6230318679766</v>
      </c>
    </row>
    <row r="3657" spans="1:7" x14ac:dyDescent="0.2">
      <c r="A3657" s="6">
        <f ca="1">Model!$F$13+RAND()*(Model!$G$13-Model!$F$13)</f>
        <v>1567.1293620593874</v>
      </c>
      <c r="B3657" s="31">
        <f ca="1">Model!$F$14+RAND()*(Model!$G$14-Model!$F$14)</f>
        <v>0.34381000935847611</v>
      </c>
      <c r="C3657" s="32">
        <f ca="1">Model!$F$15+RAND()*(Model!$G$15-Model!$F$15)</f>
        <v>2.0923455109159762E-2</v>
      </c>
      <c r="D3657" s="33">
        <f ca="1">Model!$F$16+RAND()*(Model!$G$16-Model!$F$16)</f>
        <v>47.991833611076451</v>
      </c>
      <c r="E3657" s="33">
        <f>Model!$D$17</f>
        <v>800</v>
      </c>
      <c r="G3657" s="36">
        <f t="shared" ca="1" si="59"/>
        <v>234.84598657474544</v>
      </c>
    </row>
    <row r="3658" spans="1:7" x14ac:dyDescent="0.2">
      <c r="A3658" s="6">
        <f ca="1">Model!$F$13+RAND()*(Model!$G$13-Model!$F$13)</f>
        <v>1580.7100264156106</v>
      </c>
      <c r="B3658" s="31">
        <f ca="1">Model!$F$14+RAND()*(Model!$G$14-Model!$F$14)</f>
        <v>0.65270643172121412</v>
      </c>
      <c r="C3658" s="32">
        <f ca="1">Model!$F$15+RAND()*(Model!$G$15-Model!$F$15)</f>
        <v>3.1126114160062453E-2</v>
      </c>
      <c r="D3658" s="33">
        <f ca="1">Model!$F$16+RAND()*(Model!$G$16-Model!$F$16)</f>
        <v>48.024305368681077</v>
      </c>
      <c r="E3658" s="33">
        <f>Model!$D$17</f>
        <v>800</v>
      </c>
      <c r="G3658" s="36">
        <f t="shared" ca="1" si="59"/>
        <v>531.12157162067001</v>
      </c>
    </row>
    <row r="3659" spans="1:7" x14ac:dyDescent="0.2">
      <c r="A3659" s="6">
        <f ca="1">Model!$F$13+RAND()*(Model!$G$13-Model!$F$13)</f>
        <v>1548.4577100950562</v>
      </c>
      <c r="B3659" s="31">
        <f ca="1">Model!$F$14+RAND()*(Model!$G$14-Model!$F$14)</f>
        <v>0.22525792226187102</v>
      </c>
      <c r="C3659" s="32">
        <f ca="1">Model!$F$15+RAND()*(Model!$G$15-Model!$F$15)</f>
        <v>2.3268139346319015E-2</v>
      </c>
      <c r="D3659" s="33">
        <f ca="1">Model!$F$16+RAND()*(Model!$G$16-Model!$F$16)</f>
        <v>49.991375423576699</v>
      </c>
      <c r="E3659" s="33">
        <f>Model!$D$17</f>
        <v>800</v>
      </c>
      <c r="G3659" s="36">
        <f t="shared" ca="1" si="59"/>
        <v>652.37338087438843</v>
      </c>
    </row>
    <row r="3660" spans="1:7" x14ac:dyDescent="0.2">
      <c r="A3660" s="6">
        <f ca="1">Model!$F$13+RAND()*(Model!$G$13-Model!$F$13)</f>
        <v>1764.1287732949863</v>
      </c>
      <c r="B3660" s="31">
        <f ca="1">Model!$F$14+RAND()*(Model!$G$14-Model!$F$14)</f>
        <v>0.44040285597606288</v>
      </c>
      <c r="C3660" s="32">
        <f ca="1">Model!$F$15+RAND()*(Model!$G$15-Model!$F$15)</f>
        <v>2.4881869930464248E-2</v>
      </c>
      <c r="D3660" s="33">
        <f ca="1">Model!$F$16+RAND()*(Model!$G$16-Model!$F$16)</f>
        <v>50.642046178855125</v>
      </c>
      <c r="E3660" s="33">
        <f>Model!$D$17</f>
        <v>800</v>
      </c>
      <c r="G3660" s="36">
        <f t="shared" ca="1" si="59"/>
        <v>645.99628698885499</v>
      </c>
    </row>
    <row r="3661" spans="1:7" x14ac:dyDescent="0.2">
      <c r="A3661" s="6">
        <f ca="1">Model!$F$13+RAND()*(Model!$G$13-Model!$F$13)</f>
        <v>1213.2730281415634</v>
      </c>
      <c r="B3661" s="31">
        <f ca="1">Model!$F$14+RAND()*(Model!$G$14-Model!$F$14)</f>
        <v>0.77144660929411302</v>
      </c>
      <c r="C3661" s="32">
        <f ca="1">Model!$F$15+RAND()*(Model!$G$15-Model!$F$15)</f>
        <v>2.6257991232421313E-2</v>
      </c>
      <c r="D3661" s="33">
        <f ca="1">Model!$F$16+RAND()*(Model!$G$16-Model!$F$16)</f>
        <v>47.41810757282677</v>
      </c>
      <c r="E3661" s="33">
        <f>Model!$D$17</f>
        <v>800</v>
      </c>
      <c r="G3661" s="36">
        <f t="shared" ca="1" si="59"/>
        <v>-225.32395643346285</v>
      </c>
    </row>
    <row r="3662" spans="1:7" x14ac:dyDescent="0.2">
      <c r="A3662" s="6">
        <f ca="1">Model!$F$13+RAND()*(Model!$G$13-Model!$F$13)</f>
        <v>1239.8672047140565</v>
      </c>
      <c r="B3662" s="31">
        <f ca="1">Model!$F$14+RAND()*(Model!$G$14-Model!$F$14)</f>
        <v>0.62715094491984291</v>
      </c>
      <c r="C3662" s="32">
        <f ca="1">Model!$F$15+RAND()*(Model!$G$15-Model!$F$15)</f>
        <v>2.7040860349151423E-2</v>
      </c>
      <c r="D3662" s="33">
        <f ca="1">Model!$F$16+RAND()*(Model!$G$16-Model!$F$16)</f>
        <v>52.587519867295434</v>
      </c>
      <c r="E3662" s="33">
        <f>Model!$D$17</f>
        <v>800</v>
      </c>
      <c r="G3662" s="36">
        <f t="shared" ca="1" si="59"/>
        <v>185.52188276870811</v>
      </c>
    </row>
    <row r="3663" spans="1:7" x14ac:dyDescent="0.2">
      <c r="A3663" s="6">
        <f ca="1">Model!$F$13+RAND()*(Model!$G$13-Model!$F$13)</f>
        <v>1686.7008950303577</v>
      </c>
      <c r="B3663" s="31">
        <f ca="1">Model!$F$14+RAND()*(Model!$G$14-Model!$F$14)</f>
        <v>0.28631358559402192</v>
      </c>
      <c r="C3663" s="32">
        <f ca="1">Model!$F$15+RAND()*(Model!$G$15-Model!$F$15)</f>
        <v>2.3723811191724578E-2</v>
      </c>
      <c r="D3663" s="33">
        <f ca="1">Model!$F$16+RAND()*(Model!$G$16-Model!$F$16)</f>
        <v>49.638719333621552</v>
      </c>
      <c r="E3663" s="33">
        <f>Model!$D$17</f>
        <v>800</v>
      </c>
      <c r="G3663" s="36">
        <f t="shared" ca="1" si="59"/>
        <v>703.36666113315846</v>
      </c>
    </row>
    <row r="3664" spans="1:7" x14ac:dyDescent="0.2">
      <c r="A3664" s="6">
        <f ca="1">Model!$F$13+RAND()*(Model!$G$13-Model!$F$13)</f>
        <v>1525.3845893668406</v>
      </c>
      <c r="B3664" s="31">
        <f ca="1">Model!$F$14+RAND()*(Model!$G$14-Model!$F$14)</f>
        <v>0.5431246805078126</v>
      </c>
      <c r="C3664" s="32">
        <f ca="1">Model!$F$15+RAND()*(Model!$G$15-Model!$F$15)</f>
        <v>1.1930287493391135E-2</v>
      </c>
      <c r="D3664" s="33">
        <f ca="1">Model!$F$16+RAND()*(Model!$G$16-Model!$F$16)</f>
        <v>52.743164799408781</v>
      </c>
      <c r="E3664" s="33">
        <f>Model!$D$17</f>
        <v>800</v>
      </c>
      <c r="G3664" s="36">
        <f t="shared" ca="1" si="59"/>
        <v>-668.63931127113085</v>
      </c>
    </row>
    <row r="3665" spans="1:7" x14ac:dyDescent="0.2">
      <c r="A3665" s="6">
        <f ca="1">Model!$F$13+RAND()*(Model!$G$13-Model!$F$13)</f>
        <v>1264.3582489761025</v>
      </c>
      <c r="B3665" s="31">
        <f ca="1">Model!$F$14+RAND()*(Model!$G$14-Model!$F$14)</f>
        <v>0.76120549075257249</v>
      </c>
      <c r="C3665" s="32">
        <f ca="1">Model!$F$15+RAND()*(Model!$G$15-Model!$F$15)</f>
        <v>3.5359225131343319E-2</v>
      </c>
      <c r="D3665" s="33">
        <f ca="1">Model!$F$16+RAND()*(Model!$G$16-Model!$F$16)</f>
        <v>50.560879598592294</v>
      </c>
      <c r="E3665" s="33">
        <f>Model!$D$17</f>
        <v>800</v>
      </c>
      <c r="G3665" s="36">
        <f t="shared" ca="1" si="59"/>
        <v>497.97504885136641</v>
      </c>
    </row>
    <row r="3666" spans="1:7" x14ac:dyDescent="0.2">
      <c r="A3666" s="6">
        <f ca="1">Model!$F$13+RAND()*(Model!$G$13-Model!$F$13)</f>
        <v>1695.4851803982176</v>
      </c>
      <c r="B3666" s="31">
        <f ca="1">Model!$F$14+RAND()*(Model!$G$14-Model!$F$14)</f>
        <v>0.75386421218851796</v>
      </c>
      <c r="C3666" s="32">
        <f ca="1">Model!$F$15+RAND()*(Model!$G$15-Model!$F$15)</f>
        <v>4.255114887259933E-2</v>
      </c>
      <c r="D3666" s="33">
        <f ca="1">Model!$F$16+RAND()*(Model!$G$16-Model!$F$16)</f>
        <v>51.551907964402268</v>
      </c>
      <c r="E3666" s="33">
        <f>Model!$D$17</f>
        <v>800</v>
      </c>
      <c r="G3666" s="36">
        <f t="shared" ca="1" si="59"/>
        <v>1641.0386717130091</v>
      </c>
    </row>
    <row r="3667" spans="1:7" x14ac:dyDescent="0.2">
      <c r="A3667" s="6">
        <f ca="1">Model!$F$13+RAND()*(Model!$G$13-Model!$F$13)</f>
        <v>1323.4134554810648</v>
      </c>
      <c r="B3667" s="31">
        <f ca="1">Model!$F$14+RAND()*(Model!$G$14-Model!$F$14)</f>
        <v>0.38130386928350379</v>
      </c>
      <c r="C3667" s="32">
        <f ca="1">Model!$F$15+RAND()*(Model!$G$15-Model!$F$15)</f>
        <v>1.940398655908035E-2</v>
      </c>
      <c r="D3667" s="33">
        <f ca="1">Model!$F$16+RAND()*(Model!$G$16-Model!$F$16)</f>
        <v>47.463251475282192</v>
      </c>
      <c r="E3667" s="33">
        <f>Model!$D$17</f>
        <v>800</v>
      </c>
      <c r="G3667" s="36">
        <f t="shared" ca="1" si="59"/>
        <v>-85.790252006054061</v>
      </c>
    </row>
    <row r="3668" spans="1:7" x14ac:dyDescent="0.2">
      <c r="A3668" s="6">
        <f ca="1">Model!$F$13+RAND()*(Model!$G$13-Model!$F$13)</f>
        <v>1202.2808577919693</v>
      </c>
      <c r="B3668" s="31">
        <f ca="1">Model!$F$14+RAND()*(Model!$G$14-Model!$F$14)</f>
        <v>0.52943596519921921</v>
      </c>
      <c r="C3668" s="32">
        <f ca="1">Model!$F$15+RAND()*(Model!$G$15-Model!$F$15)</f>
        <v>4.0076595098220306E-2</v>
      </c>
      <c r="D3668" s="33">
        <f ca="1">Model!$F$16+RAND()*(Model!$G$16-Model!$F$16)</f>
        <v>47.377779925232396</v>
      </c>
      <c r="E3668" s="33">
        <f>Model!$D$17</f>
        <v>800</v>
      </c>
      <c r="G3668" s="36">
        <f t="shared" ca="1" si="59"/>
        <v>846.28815303192323</v>
      </c>
    </row>
    <row r="3669" spans="1:7" x14ac:dyDescent="0.2">
      <c r="A3669" s="6">
        <f ca="1">Model!$F$13+RAND()*(Model!$G$13-Model!$F$13)</f>
        <v>1479.0842059409044</v>
      </c>
      <c r="B3669" s="31">
        <f ca="1">Model!$F$14+RAND()*(Model!$G$14-Model!$F$14)</f>
        <v>0.35796159850890846</v>
      </c>
      <c r="C3669" s="32">
        <f ca="1">Model!$F$15+RAND()*(Model!$G$15-Model!$F$15)</f>
        <v>1.4977645265190494E-2</v>
      </c>
      <c r="D3669" s="33">
        <f ca="1">Model!$F$16+RAND()*(Model!$G$16-Model!$F$16)</f>
        <v>48.350109295669412</v>
      </c>
      <c r="E3669" s="33">
        <f>Model!$D$17</f>
        <v>800</v>
      </c>
      <c r="G3669" s="36">
        <f t="shared" ca="1" si="59"/>
        <v>-258.34577535676112</v>
      </c>
    </row>
    <row r="3670" spans="1:7" x14ac:dyDescent="0.2">
      <c r="A3670" s="6">
        <f ca="1">Model!$F$13+RAND()*(Model!$G$13-Model!$F$13)</f>
        <v>1483.3833158610585</v>
      </c>
      <c r="B3670" s="31">
        <f ca="1">Model!$F$14+RAND()*(Model!$G$14-Model!$F$14)</f>
        <v>0.49417471137271274</v>
      </c>
      <c r="C3670" s="32">
        <f ca="1">Model!$F$15+RAND()*(Model!$G$15-Model!$F$15)</f>
        <v>1.4335850621613321E-2</v>
      </c>
      <c r="D3670" s="33">
        <f ca="1">Model!$F$16+RAND()*(Model!$G$16-Model!$F$16)</f>
        <v>51.557949870203402</v>
      </c>
      <c r="E3670" s="33">
        <f>Model!$D$17</f>
        <v>800</v>
      </c>
      <c r="G3670" s="36">
        <f t="shared" ca="1" si="59"/>
        <v>-436.6417614493846</v>
      </c>
    </row>
    <row r="3671" spans="1:7" x14ac:dyDescent="0.2">
      <c r="A3671" s="6">
        <f ca="1">Model!$F$13+RAND()*(Model!$G$13-Model!$F$13)</f>
        <v>1631.1345202519585</v>
      </c>
      <c r="B3671" s="31">
        <f ca="1">Model!$F$14+RAND()*(Model!$G$14-Model!$F$14)</f>
        <v>0.39942839649486878</v>
      </c>
      <c r="C3671" s="32">
        <f ca="1">Model!$F$15+RAND()*(Model!$G$15-Model!$F$15)</f>
        <v>4.691513054421817E-2</v>
      </c>
      <c r="D3671" s="33">
        <f ca="1">Model!$F$16+RAND()*(Model!$G$16-Model!$F$16)</f>
        <v>51.397076898189148</v>
      </c>
      <c r="E3671" s="33">
        <f>Model!$D$17</f>
        <v>800</v>
      </c>
      <c r="G3671" s="36">
        <f t="shared" ca="1" si="59"/>
        <v>2481.634156240847</v>
      </c>
    </row>
    <row r="3672" spans="1:7" x14ac:dyDescent="0.2">
      <c r="A3672" s="6">
        <f ca="1">Model!$F$13+RAND()*(Model!$G$13-Model!$F$13)</f>
        <v>1213.0784527410628</v>
      </c>
      <c r="B3672" s="31">
        <f ca="1">Model!$F$14+RAND()*(Model!$G$14-Model!$F$14)</f>
        <v>0.63456471316010465</v>
      </c>
      <c r="C3672" s="32">
        <f ca="1">Model!$F$15+RAND()*(Model!$G$15-Model!$F$15)</f>
        <v>1.3835037303655371E-2</v>
      </c>
      <c r="D3672" s="33">
        <f ca="1">Model!$F$16+RAND()*(Model!$G$16-Model!$F$16)</f>
        <v>52.240686773109985</v>
      </c>
      <c r="E3672" s="33">
        <f>Model!$D$17</f>
        <v>800</v>
      </c>
      <c r="G3672" s="36">
        <f t="shared" ca="1" si="59"/>
        <v>-693.0220841575416</v>
      </c>
    </row>
    <row r="3673" spans="1:7" x14ac:dyDescent="0.2">
      <c r="A3673" s="6">
        <f ca="1">Model!$F$13+RAND()*(Model!$G$13-Model!$F$13)</f>
        <v>1368.8348092273961</v>
      </c>
      <c r="B3673" s="31">
        <f ca="1">Model!$F$14+RAND()*(Model!$G$14-Model!$F$14)</f>
        <v>0.7106373503400103</v>
      </c>
      <c r="C3673" s="32">
        <f ca="1">Model!$F$15+RAND()*(Model!$G$15-Model!$F$15)</f>
        <v>1.0437510074461032E-2</v>
      </c>
      <c r="D3673" s="33">
        <f ca="1">Model!$F$16+RAND()*(Model!$G$16-Model!$F$16)</f>
        <v>47.862549718196483</v>
      </c>
      <c r="E3673" s="33">
        <f>Model!$D$17</f>
        <v>800</v>
      </c>
      <c r="G3673" s="36">
        <f t="shared" ca="1" si="59"/>
        <v>-1088.9220239191816</v>
      </c>
    </row>
    <row r="3674" spans="1:7" x14ac:dyDescent="0.2">
      <c r="A3674" s="6">
        <f ca="1">Model!$F$13+RAND()*(Model!$G$13-Model!$F$13)</f>
        <v>1234.9614590734466</v>
      </c>
      <c r="B3674" s="31">
        <f ca="1">Model!$F$14+RAND()*(Model!$G$14-Model!$F$14)</f>
        <v>0.49215844897266542</v>
      </c>
      <c r="C3674" s="32">
        <f ca="1">Model!$F$15+RAND()*(Model!$G$15-Model!$F$15)</f>
        <v>1.9287940358492617E-2</v>
      </c>
      <c r="D3674" s="33">
        <f ca="1">Model!$F$16+RAND()*(Model!$G$16-Model!$F$16)</f>
        <v>49.170951971861236</v>
      </c>
      <c r="E3674" s="33">
        <f>Model!$D$17</f>
        <v>800</v>
      </c>
      <c r="G3674" s="36">
        <f t="shared" ca="1" si="59"/>
        <v>-236.55137828018633</v>
      </c>
    </row>
    <row r="3675" spans="1:7" x14ac:dyDescent="0.2">
      <c r="A3675" s="6">
        <f ca="1">Model!$F$13+RAND()*(Model!$G$13-Model!$F$13)</f>
        <v>1566.4585842082336</v>
      </c>
      <c r="B3675" s="31">
        <f ca="1">Model!$F$14+RAND()*(Model!$G$14-Model!$F$14)</f>
        <v>0.68507310542683497</v>
      </c>
      <c r="C3675" s="32">
        <f ca="1">Model!$F$15+RAND()*(Model!$G$15-Model!$F$15)</f>
        <v>3.6295810180917036E-2</v>
      </c>
      <c r="D3675" s="33">
        <f ca="1">Model!$F$16+RAND()*(Model!$G$16-Model!$F$16)</f>
        <v>51.679211447274845</v>
      </c>
      <c r="E3675" s="33">
        <f>Model!$D$17</f>
        <v>800</v>
      </c>
      <c r="G3675" s="36">
        <f t="shared" ca="1" si="59"/>
        <v>1065.1285749268272</v>
      </c>
    </row>
    <row r="3676" spans="1:7" x14ac:dyDescent="0.2">
      <c r="A3676" s="6">
        <f ca="1">Model!$F$13+RAND()*(Model!$G$13-Model!$F$13)</f>
        <v>1672.8346979137129</v>
      </c>
      <c r="B3676" s="31">
        <f ca="1">Model!$F$14+RAND()*(Model!$G$14-Model!$F$14)</f>
        <v>0.672997645198674</v>
      </c>
      <c r="C3676" s="32">
        <f ca="1">Model!$F$15+RAND()*(Model!$G$15-Model!$F$15)</f>
        <v>1.3476057715478405E-2</v>
      </c>
      <c r="D3676" s="33">
        <f ca="1">Model!$F$16+RAND()*(Model!$G$16-Model!$F$16)</f>
        <v>49.284896752948796</v>
      </c>
      <c r="E3676" s="33">
        <f>Model!$D$17</f>
        <v>800</v>
      </c>
      <c r="G3676" s="36">
        <f t="shared" ca="1" si="59"/>
        <v>-814.77369325657446</v>
      </c>
    </row>
    <row r="3677" spans="1:7" x14ac:dyDescent="0.2">
      <c r="A3677" s="6">
        <f ca="1">Model!$F$13+RAND()*(Model!$G$13-Model!$F$13)</f>
        <v>1385.1346419346437</v>
      </c>
      <c r="B3677" s="31">
        <f ca="1">Model!$F$14+RAND()*(Model!$G$14-Model!$F$14)</f>
        <v>0.42897450551970434</v>
      </c>
      <c r="C3677" s="32">
        <f ca="1">Model!$F$15+RAND()*(Model!$G$15-Model!$F$15)</f>
        <v>4.4187872493312574E-2</v>
      </c>
      <c r="D3677" s="33">
        <f ca="1">Model!$F$16+RAND()*(Model!$G$16-Model!$F$16)</f>
        <v>50.087751587618797</v>
      </c>
      <c r="E3677" s="33">
        <f>Model!$D$17</f>
        <v>800</v>
      </c>
      <c r="G3677" s="36">
        <f t="shared" ca="1" si="59"/>
        <v>1671.491136184648</v>
      </c>
    </row>
    <row r="3678" spans="1:7" x14ac:dyDescent="0.2">
      <c r="A3678" s="6">
        <f ca="1">Model!$F$13+RAND()*(Model!$G$13-Model!$F$13)</f>
        <v>1293.1967719518739</v>
      </c>
      <c r="B3678" s="31">
        <f ca="1">Model!$F$14+RAND()*(Model!$G$14-Model!$F$14)</f>
        <v>0.28051472012903389</v>
      </c>
      <c r="C3678" s="32">
        <f ca="1">Model!$F$15+RAND()*(Model!$G$15-Model!$F$15)</f>
        <v>4.302182433436081E-2</v>
      </c>
      <c r="D3678" s="33">
        <f ca="1">Model!$F$16+RAND()*(Model!$G$16-Model!$F$16)</f>
        <v>47.743266855857051</v>
      </c>
      <c r="E3678" s="33">
        <f>Model!$D$17</f>
        <v>800</v>
      </c>
      <c r="G3678" s="36">
        <f t="shared" ca="1" si="59"/>
        <v>1493.4685942021897</v>
      </c>
    </row>
    <row r="3679" spans="1:7" x14ac:dyDescent="0.2">
      <c r="A3679" s="6">
        <f ca="1">Model!$F$13+RAND()*(Model!$G$13-Model!$F$13)</f>
        <v>1478.0179806020874</v>
      </c>
      <c r="B3679" s="31">
        <f ca="1">Model!$F$14+RAND()*(Model!$G$14-Model!$F$14)</f>
        <v>0.26379282169402135</v>
      </c>
      <c r="C3679" s="32">
        <f ca="1">Model!$F$15+RAND()*(Model!$G$15-Model!$F$15)</f>
        <v>1.4905072135311889E-2</v>
      </c>
      <c r="D3679" s="33">
        <f ca="1">Model!$F$16+RAND()*(Model!$G$16-Model!$F$16)</f>
        <v>51.851403580773578</v>
      </c>
      <c r="E3679" s="33">
        <f>Model!$D$17</f>
        <v>800</v>
      </c>
      <c r="G3679" s="36">
        <f t="shared" ca="1" si="59"/>
        <v>-47.605947331037441</v>
      </c>
    </row>
    <row r="3680" spans="1:7" x14ac:dyDescent="0.2">
      <c r="A3680" s="6">
        <f ca="1">Model!$F$13+RAND()*(Model!$G$13-Model!$F$13)</f>
        <v>1769.537865210857</v>
      </c>
      <c r="B3680" s="31">
        <f ca="1">Model!$F$14+RAND()*(Model!$G$14-Model!$F$14)</f>
        <v>0.36421778951915218</v>
      </c>
      <c r="C3680" s="32">
        <f ca="1">Model!$F$15+RAND()*(Model!$G$15-Model!$F$15)</f>
        <v>2.4203240118242233E-2</v>
      </c>
      <c r="D3680" s="33">
        <f ca="1">Model!$F$16+RAND()*(Model!$G$16-Model!$F$16)</f>
        <v>51.704617731897301</v>
      </c>
      <c r="E3680" s="33">
        <f>Model!$D$17</f>
        <v>800</v>
      </c>
      <c r="G3680" s="36">
        <f t="shared" ca="1" si="59"/>
        <v>769.93662826926084</v>
      </c>
    </row>
    <row r="3681" spans="1:7" x14ac:dyDescent="0.2">
      <c r="A3681" s="6">
        <f ca="1">Model!$F$13+RAND()*(Model!$G$13-Model!$F$13)</f>
        <v>1566.4971231752857</v>
      </c>
      <c r="B3681" s="31">
        <f ca="1">Model!$F$14+RAND()*(Model!$G$14-Model!$F$14)</f>
        <v>0.73261074809195814</v>
      </c>
      <c r="C3681" s="32">
        <f ca="1">Model!$F$15+RAND()*(Model!$G$15-Model!$F$15)</f>
        <v>1.1702688583188054E-2</v>
      </c>
      <c r="D3681" s="33">
        <f ca="1">Model!$F$16+RAND()*(Model!$G$16-Model!$F$16)</f>
        <v>49.029476946772959</v>
      </c>
      <c r="E3681" s="33">
        <f>Model!$D$17</f>
        <v>800</v>
      </c>
      <c r="G3681" s="36">
        <f t="shared" ca="1" si="59"/>
        <v>-1048.8130792343536</v>
      </c>
    </row>
    <row r="3682" spans="1:7" x14ac:dyDescent="0.2">
      <c r="A3682" s="6">
        <f ca="1">Model!$F$13+RAND()*(Model!$G$13-Model!$F$13)</f>
        <v>1244.3501304048366</v>
      </c>
      <c r="B3682" s="31">
        <f ca="1">Model!$F$14+RAND()*(Model!$G$14-Model!$F$14)</f>
        <v>0.3341491819422856</v>
      </c>
      <c r="C3682" s="32">
        <f ca="1">Model!$F$15+RAND()*(Model!$G$15-Model!$F$15)</f>
        <v>4.4301904606281882E-2</v>
      </c>
      <c r="D3682" s="33">
        <f ca="1">Model!$F$16+RAND()*(Model!$G$16-Model!$F$16)</f>
        <v>47.829510732264922</v>
      </c>
      <c r="E3682" s="33">
        <f>Model!$D$17</f>
        <v>800</v>
      </c>
      <c r="G3682" s="36">
        <f t="shared" ca="1" si="59"/>
        <v>1420.9027233943698</v>
      </c>
    </row>
    <row r="3683" spans="1:7" x14ac:dyDescent="0.2">
      <c r="A3683" s="6">
        <f ca="1">Model!$F$13+RAND()*(Model!$G$13-Model!$F$13)</f>
        <v>1689.6782769851111</v>
      </c>
      <c r="B3683" s="31">
        <f ca="1">Model!$F$14+RAND()*(Model!$G$14-Model!$F$14)</f>
        <v>0.73490719523784476</v>
      </c>
      <c r="C3683" s="32">
        <f ca="1">Model!$F$15+RAND()*(Model!$G$15-Model!$F$15)</f>
        <v>1.7515154702631205E-2</v>
      </c>
      <c r="D3683" s="33">
        <f ca="1">Model!$F$16+RAND()*(Model!$G$16-Model!$F$16)</f>
        <v>51.420905526265976</v>
      </c>
      <c r="E3683" s="33">
        <f>Model!$D$17</f>
        <v>800</v>
      </c>
      <c r="G3683" s="36">
        <f t="shared" ca="1" si="59"/>
        <v>-519.95623689639683</v>
      </c>
    </row>
    <row r="3684" spans="1:7" x14ac:dyDescent="0.2">
      <c r="A3684" s="6">
        <f ca="1">Model!$F$13+RAND()*(Model!$G$13-Model!$F$13)</f>
        <v>1712.7160835645009</v>
      </c>
      <c r="B3684" s="31">
        <f ca="1">Model!$F$14+RAND()*(Model!$G$14-Model!$F$14)</f>
        <v>0.3493060714799936</v>
      </c>
      <c r="C3684" s="32">
        <f ca="1">Model!$F$15+RAND()*(Model!$G$15-Model!$F$15)</f>
        <v>4.6849999407136168E-2</v>
      </c>
      <c r="D3684" s="33">
        <f ca="1">Model!$F$16+RAND()*(Model!$G$16-Model!$F$16)</f>
        <v>52.29133508434284</v>
      </c>
      <c r="E3684" s="33">
        <f>Model!$D$17</f>
        <v>800</v>
      </c>
      <c r="G3684" s="36">
        <f t="shared" ca="1" si="59"/>
        <v>2797.6336882086607</v>
      </c>
    </row>
    <row r="3685" spans="1:7" x14ac:dyDescent="0.2">
      <c r="A3685" s="6">
        <f ca="1">Model!$F$13+RAND()*(Model!$G$13-Model!$F$13)</f>
        <v>1383.9002857531464</v>
      </c>
      <c r="B3685" s="31">
        <f ca="1">Model!$F$14+RAND()*(Model!$G$14-Model!$F$14)</f>
        <v>0.31251324567128669</v>
      </c>
      <c r="C3685" s="32">
        <f ca="1">Model!$F$15+RAND()*(Model!$G$15-Model!$F$15)</f>
        <v>4.9327852612062406E-2</v>
      </c>
      <c r="D3685" s="33">
        <f ca="1">Model!$F$16+RAND()*(Model!$G$16-Model!$F$16)</f>
        <v>50.882744624385687</v>
      </c>
      <c r="E3685" s="33">
        <f>Model!$D$17</f>
        <v>800</v>
      </c>
      <c r="G3685" s="36">
        <f t="shared" ca="1" si="59"/>
        <v>2241.0147074065985</v>
      </c>
    </row>
    <row r="3686" spans="1:7" x14ac:dyDescent="0.2">
      <c r="A3686" s="6">
        <f ca="1">Model!$F$13+RAND()*(Model!$G$13-Model!$F$13)</f>
        <v>1624.9479457296709</v>
      </c>
      <c r="B3686" s="31">
        <f ca="1">Model!$F$14+RAND()*(Model!$G$14-Model!$F$14)</f>
        <v>0.3393618652201007</v>
      </c>
      <c r="C3686" s="32">
        <f ca="1">Model!$F$15+RAND()*(Model!$G$15-Model!$F$15)</f>
        <v>2.3868855529978784E-2</v>
      </c>
      <c r="D3686" s="33">
        <f ca="1">Model!$F$16+RAND()*(Model!$G$16-Model!$F$16)</f>
        <v>50.79990238311705</v>
      </c>
      <c r="E3686" s="33">
        <f>Model!$D$17</f>
        <v>800</v>
      </c>
      <c r="G3686" s="36">
        <f t="shared" ca="1" si="59"/>
        <v>618.8617543437224</v>
      </c>
    </row>
    <row r="3687" spans="1:7" x14ac:dyDescent="0.2">
      <c r="A3687" s="6">
        <f ca="1">Model!$F$13+RAND()*(Model!$G$13-Model!$F$13)</f>
        <v>1788.1882904097401</v>
      </c>
      <c r="B3687" s="31">
        <f ca="1">Model!$F$14+RAND()*(Model!$G$14-Model!$F$14)</f>
        <v>0.78024724427824044</v>
      </c>
      <c r="C3687" s="32">
        <f ca="1">Model!$F$15+RAND()*(Model!$G$15-Model!$F$15)</f>
        <v>2.7469329763364858E-2</v>
      </c>
      <c r="D3687" s="33">
        <f ca="1">Model!$F$16+RAND()*(Model!$G$16-Model!$F$16)</f>
        <v>50.80400639779068</v>
      </c>
      <c r="E3687" s="33">
        <f>Model!$D$17</f>
        <v>800</v>
      </c>
      <c r="G3687" s="36">
        <f t="shared" ca="1" si="59"/>
        <v>300.28076822935145</v>
      </c>
    </row>
    <row r="3688" spans="1:7" x14ac:dyDescent="0.2">
      <c r="A3688" s="6">
        <f ca="1">Model!$F$13+RAND()*(Model!$G$13-Model!$F$13)</f>
        <v>1382.9759251408937</v>
      </c>
      <c r="B3688" s="31">
        <f ca="1">Model!$F$14+RAND()*(Model!$G$14-Model!$F$14)</f>
        <v>0.56289507592127952</v>
      </c>
      <c r="C3688" s="32">
        <f ca="1">Model!$F$15+RAND()*(Model!$G$15-Model!$F$15)</f>
        <v>3.0401388767766643E-2</v>
      </c>
      <c r="D3688" s="33">
        <f ca="1">Model!$F$16+RAND()*(Model!$G$16-Model!$F$16)</f>
        <v>49.963969943638475</v>
      </c>
      <c r="E3688" s="33">
        <f>Model!$D$17</f>
        <v>800</v>
      </c>
      <c r="G3688" s="36">
        <f t="shared" ca="1" si="59"/>
        <v>522.23423775742845</v>
      </c>
    </row>
    <row r="3689" spans="1:7" x14ac:dyDescent="0.2">
      <c r="A3689" s="6">
        <f ca="1">Model!$F$13+RAND()*(Model!$G$13-Model!$F$13)</f>
        <v>1419.8959661524948</v>
      </c>
      <c r="B3689" s="31">
        <f ca="1">Model!$F$14+RAND()*(Model!$G$14-Model!$F$14)</f>
        <v>0.53338402901336646</v>
      </c>
      <c r="C3689" s="32">
        <f ca="1">Model!$F$15+RAND()*(Model!$G$15-Model!$F$15)</f>
        <v>3.1169479091188272E-2</v>
      </c>
      <c r="D3689" s="33">
        <f ca="1">Model!$F$16+RAND()*(Model!$G$16-Model!$F$16)</f>
        <v>48.376224529785283</v>
      </c>
      <c r="E3689" s="33">
        <f>Model!$D$17</f>
        <v>800</v>
      </c>
      <c r="G3689" s="36">
        <f t="shared" ref="G3689:G3752" ca="1" si="60">A3689*C3689*D3689-(E3689+A3689*B3689)</f>
        <v>583.65694110593904</v>
      </c>
    </row>
    <row r="3690" spans="1:7" x14ac:dyDescent="0.2">
      <c r="A3690" s="6">
        <f ca="1">Model!$F$13+RAND()*(Model!$G$13-Model!$F$13)</f>
        <v>1254.5182204517882</v>
      </c>
      <c r="B3690" s="31">
        <f ca="1">Model!$F$14+RAND()*(Model!$G$14-Model!$F$14)</f>
        <v>0.37281639648220422</v>
      </c>
      <c r="C3690" s="32">
        <f ca="1">Model!$F$15+RAND()*(Model!$G$15-Model!$F$15)</f>
        <v>1.0081192051147877E-2</v>
      </c>
      <c r="D3690" s="33">
        <f ca="1">Model!$F$16+RAND()*(Model!$G$16-Model!$F$16)</f>
        <v>50.369825931916345</v>
      </c>
      <c r="E3690" s="33">
        <f>Model!$D$17</f>
        <v>800</v>
      </c>
      <c r="G3690" s="36">
        <f t="shared" ca="1" si="60"/>
        <v>-630.67580364257356</v>
      </c>
    </row>
    <row r="3691" spans="1:7" x14ac:dyDescent="0.2">
      <c r="A3691" s="6">
        <f ca="1">Model!$F$13+RAND()*(Model!$G$13-Model!$F$13)</f>
        <v>1720.0898684516869</v>
      </c>
      <c r="B3691" s="31">
        <f ca="1">Model!$F$14+RAND()*(Model!$G$14-Model!$F$14)</f>
        <v>0.65841936893377451</v>
      </c>
      <c r="C3691" s="32">
        <f ca="1">Model!$F$15+RAND()*(Model!$G$15-Model!$F$15)</f>
        <v>1.968479969018657E-2</v>
      </c>
      <c r="D3691" s="33">
        <f ca="1">Model!$F$16+RAND()*(Model!$G$16-Model!$F$16)</f>
        <v>48.424410435662402</v>
      </c>
      <c r="E3691" s="33">
        <f>Model!$D$17</f>
        <v>800</v>
      </c>
      <c r="G3691" s="36">
        <f t="shared" ca="1" si="60"/>
        <v>-292.90813124549868</v>
      </c>
    </row>
    <row r="3692" spans="1:7" x14ac:dyDescent="0.2">
      <c r="A3692" s="6">
        <f ca="1">Model!$F$13+RAND()*(Model!$G$13-Model!$F$13)</f>
        <v>1648.6542056236226</v>
      </c>
      <c r="B3692" s="31">
        <f ca="1">Model!$F$14+RAND()*(Model!$G$14-Model!$F$14)</f>
        <v>0.73021401337141745</v>
      </c>
      <c r="C3692" s="32">
        <f ca="1">Model!$F$15+RAND()*(Model!$G$15-Model!$F$15)</f>
        <v>1.5539714122425448E-2</v>
      </c>
      <c r="D3692" s="33">
        <f ca="1">Model!$F$16+RAND()*(Model!$G$16-Model!$F$16)</f>
        <v>48.638226108817726</v>
      </c>
      <c r="E3692" s="33">
        <f>Model!$D$17</f>
        <v>800</v>
      </c>
      <c r="G3692" s="36">
        <f t="shared" ca="1" si="60"/>
        <v>-757.77777491032293</v>
      </c>
    </row>
    <row r="3693" spans="1:7" x14ac:dyDescent="0.2">
      <c r="A3693" s="6">
        <f ca="1">Model!$F$13+RAND()*(Model!$G$13-Model!$F$13)</f>
        <v>1572.9299881533439</v>
      </c>
      <c r="B3693" s="31">
        <f ca="1">Model!$F$14+RAND()*(Model!$G$14-Model!$F$14)</f>
        <v>0.31509333873711337</v>
      </c>
      <c r="C3693" s="32">
        <f ca="1">Model!$F$15+RAND()*(Model!$G$15-Model!$F$15)</f>
        <v>2.7456438368617365E-2</v>
      </c>
      <c r="D3693" s="33">
        <f ca="1">Model!$F$16+RAND()*(Model!$G$16-Model!$F$16)</f>
        <v>48.695528536501264</v>
      </c>
      <c r="E3693" s="33">
        <f>Model!$D$17</f>
        <v>800</v>
      </c>
      <c r="G3693" s="36">
        <f t="shared" ca="1" si="60"/>
        <v>807.3967211246113</v>
      </c>
    </row>
    <row r="3694" spans="1:7" x14ac:dyDescent="0.2">
      <c r="A3694" s="6">
        <f ca="1">Model!$F$13+RAND()*(Model!$G$13-Model!$F$13)</f>
        <v>1721.5604112130259</v>
      </c>
      <c r="B3694" s="31">
        <f ca="1">Model!$F$14+RAND()*(Model!$G$14-Model!$F$14)</f>
        <v>0.50530103331947207</v>
      </c>
      <c r="C3694" s="32">
        <f ca="1">Model!$F$15+RAND()*(Model!$G$15-Model!$F$15)</f>
        <v>4.8787720610378595E-2</v>
      </c>
      <c r="D3694" s="33">
        <f ca="1">Model!$F$16+RAND()*(Model!$G$16-Model!$F$16)</f>
        <v>51.184571104809443</v>
      </c>
      <c r="E3694" s="33">
        <f>Model!$D$17</f>
        <v>800</v>
      </c>
      <c r="G3694" s="36">
        <f t="shared" ca="1" si="60"/>
        <v>2629.1374846621457</v>
      </c>
    </row>
    <row r="3695" spans="1:7" x14ac:dyDescent="0.2">
      <c r="A3695" s="6">
        <f ca="1">Model!$F$13+RAND()*(Model!$G$13-Model!$F$13)</f>
        <v>1661.5065838071137</v>
      </c>
      <c r="B3695" s="31">
        <f ca="1">Model!$F$14+RAND()*(Model!$G$14-Model!$F$14)</f>
        <v>0.21839456068773158</v>
      </c>
      <c r="C3695" s="32">
        <f ca="1">Model!$F$15+RAND()*(Model!$G$15-Model!$F$15)</f>
        <v>4.9550653802775575E-2</v>
      </c>
      <c r="D3695" s="33">
        <f ca="1">Model!$F$16+RAND()*(Model!$G$16-Model!$F$16)</f>
        <v>49.240135339103524</v>
      </c>
      <c r="E3695" s="33">
        <f>Model!$D$17</f>
        <v>800</v>
      </c>
      <c r="G3695" s="36">
        <f t="shared" ca="1" si="60"/>
        <v>2891.0141775909369</v>
      </c>
    </row>
    <row r="3696" spans="1:7" x14ac:dyDescent="0.2">
      <c r="A3696" s="6">
        <f ca="1">Model!$F$13+RAND()*(Model!$G$13-Model!$F$13)</f>
        <v>1778.1309835426914</v>
      </c>
      <c r="B3696" s="31">
        <f ca="1">Model!$F$14+RAND()*(Model!$G$14-Model!$F$14)</f>
        <v>0.49479980262724288</v>
      </c>
      <c r="C3696" s="32">
        <f ca="1">Model!$F$15+RAND()*(Model!$G$15-Model!$F$15)</f>
        <v>4.2649735447342504E-2</v>
      </c>
      <c r="D3696" s="33">
        <f ca="1">Model!$F$16+RAND()*(Model!$G$16-Model!$F$16)</f>
        <v>52.095598251296209</v>
      </c>
      <c r="E3696" s="33">
        <f>Model!$D$17</f>
        <v>800</v>
      </c>
      <c r="G3696" s="36">
        <f t="shared" ca="1" si="60"/>
        <v>2270.9454413134472</v>
      </c>
    </row>
    <row r="3697" spans="1:7" x14ac:dyDescent="0.2">
      <c r="A3697" s="6">
        <f ca="1">Model!$F$13+RAND()*(Model!$G$13-Model!$F$13)</f>
        <v>1525.2691587670965</v>
      </c>
      <c r="B3697" s="31">
        <f ca="1">Model!$F$14+RAND()*(Model!$G$14-Model!$F$14)</f>
        <v>0.21149037969380408</v>
      </c>
      <c r="C3697" s="32">
        <f ca="1">Model!$F$15+RAND()*(Model!$G$15-Model!$F$15)</f>
        <v>1.9217726709181041E-2</v>
      </c>
      <c r="D3697" s="33">
        <f ca="1">Model!$F$16+RAND()*(Model!$G$16-Model!$F$16)</f>
        <v>50.264943803415697</v>
      </c>
      <c r="E3697" s="33">
        <f>Model!$D$17</f>
        <v>800</v>
      </c>
      <c r="G3697" s="36">
        <f t="shared" ca="1" si="60"/>
        <v>350.79662633822591</v>
      </c>
    </row>
    <row r="3698" spans="1:7" x14ac:dyDescent="0.2">
      <c r="A3698" s="6">
        <f ca="1">Model!$F$13+RAND()*(Model!$G$13-Model!$F$13)</f>
        <v>1481.2106738868247</v>
      </c>
      <c r="B3698" s="31">
        <f ca="1">Model!$F$14+RAND()*(Model!$G$14-Model!$F$14)</f>
        <v>0.56225749441070039</v>
      </c>
      <c r="C3698" s="32">
        <f ca="1">Model!$F$15+RAND()*(Model!$G$15-Model!$F$15)</f>
        <v>1.911266176308677E-2</v>
      </c>
      <c r="D3698" s="33">
        <f ca="1">Model!$F$16+RAND()*(Model!$G$16-Model!$F$16)</f>
        <v>52.17212594141867</v>
      </c>
      <c r="E3698" s="33">
        <f>Model!$D$17</f>
        <v>800</v>
      </c>
      <c r="G3698" s="36">
        <f t="shared" ca="1" si="60"/>
        <v>-155.83524997343807</v>
      </c>
    </row>
    <row r="3699" spans="1:7" x14ac:dyDescent="0.2">
      <c r="A3699" s="6">
        <f ca="1">Model!$F$13+RAND()*(Model!$G$13-Model!$F$13)</f>
        <v>1782.9670628255544</v>
      </c>
      <c r="B3699" s="31">
        <f ca="1">Model!$F$14+RAND()*(Model!$G$14-Model!$F$14)</f>
        <v>0.74061704555625796</v>
      </c>
      <c r="C3699" s="32">
        <f ca="1">Model!$F$15+RAND()*(Model!$G$15-Model!$F$15)</f>
        <v>3.2096375626631334E-2</v>
      </c>
      <c r="D3699" s="33">
        <f ca="1">Model!$F$16+RAND()*(Model!$G$16-Model!$F$16)</f>
        <v>50.132355546753317</v>
      </c>
      <c r="E3699" s="33">
        <f>Model!$D$17</f>
        <v>800</v>
      </c>
      <c r="G3699" s="36">
        <f t="shared" ca="1" si="60"/>
        <v>748.41751235642914</v>
      </c>
    </row>
    <row r="3700" spans="1:7" x14ac:dyDescent="0.2">
      <c r="A3700" s="6">
        <f ca="1">Model!$F$13+RAND()*(Model!$G$13-Model!$F$13)</f>
        <v>1777.8579932144976</v>
      </c>
      <c r="B3700" s="31">
        <f ca="1">Model!$F$14+RAND()*(Model!$G$14-Model!$F$14)</f>
        <v>0.61277958185646542</v>
      </c>
      <c r="C3700" s="32">
        <f ca="1">Model!$F$15+RAND()*(Model!$G$15-Model!$F$15)</f>
        <v>2.245833828313671E-2</v>
      </c>
      <c r="D3700" s="33">
        <f ca="1">Model!$F$16+RAND()*(Model!$G$16-Model!$F$16)</f>
        <v>50.068140727994724</v>
      </c>
      <c r="E3700" s="33">
        <f>Model!$D$17</f>
        <v>800</v>
      </c>
      <c r="G3700" s="36">
        <f t="shared" ca="1" si="60"/>
        <v>109.67243888129428</v>
      </c>
    </row>
    <row r="3701" spans="1:7" x14ac:dyDescent="0.2">
      <c r="A3701" s="6">
        <f ca="1">Model!$F$13+RAND()*(Model!$G$13-Model!$F$13)</f>
        <v>1474.6253547625674</v>
      </c>
      <c r="B3701" s="31">
        <f ca="1">Model!$F$14+RAND()*(Model!$G$14-Model!$F$14)</f>
        <v>0.6002921545458938</v>
      </c>
      <c r="C3701" s="32">
        <f ca="1">Model!$F$15+RAND()*(Model!$G$15-Model!$F$15)</f>
        <v>1.8661544441909983E-2</v>
      </c>
      <c r="D3701" s="33">
        <f ca="1">Model!$F$16+RAND()*(Model!$G$16-Model!$F$16)</f>
        <v>49.350248586078102</v>
      </c>
      <c r="E3701" s="33">
        <f>Model!$D$17</f>
        <v>800</v>
      </c>
      <c r="G3701" s="36">
        <f t="shared" ca="1" si="60"/>
        <v>-327.14707220323976</v>
      </c>
    </row>
    <row r="3702" spans="1:7" x14ac:dyDescent="0.2">
      <c r="A3702" s="6">
        <f ca="1">Model!$F$13+RAND()*(Model!$G$13-Model!$F$13)</f>
        <v>1430.3728300857356</v>
      </c>
      <c r="B3702" s="31">
        <f ca="1">Model!$F$14+RAND()*(Model!$G$14-Model!$F$14)</f>
        <v>0.7172355545333351</v>
      </c>
      <c r="C3702" s="32">
        <f ca="1">Model!$F$15+RAND()*(Model!$G$15-Model!$F$15)</f>
        <v>4.361656110775456E-2</v>
      </c>
      <c r="D3702" s="33">
        <f ca="1">Model!$F$16+RAND()*(Model!$G$16-Model!$F$16)</f>
        <v>49.362252792091716</v>
      </c>
      <c r="E3702" s="33">
        <f>Model!$D$17</f>
        <v>800</v>
      </c>
      <c r="G3702" s="36">
        <f t="shared" ca="1" si="60"/>
        <v>1253.6952104779109</v>
      </c>
    </row>
    <row r="3703" spans="1:7" x14ac:dyDescent="0.2">
      <c r="A3703" s="6">
        <f ca="1">Model!$F$13+RAND()*(Model!$G$13-Model!$F$13)</f>
        <v>1400.0481426079293</v>
      </c>
      <c r="B3703" s="31">
        <f ca="1">Model!$F$14+RAND()*(Model!$G$14-Model!$F$14)</f>
        <v>0.73402600753328318</v>
      </c>
      <c r="C3703" s="32">
        <f ca="1">Model!$F$15+RAND()*(Model!$G$15-Model!$F$15)</f>
        <v>4.28894382072008E-2</v>
      </c>
      <c r="D3703" s="33">
        <f ca="1">Model!$F$16+RAND()*(Model!$G$16-Model!$F$16)</f>
        <v>51.78968737586424</v>
      </c>
      <c r="E3703" s="33">
        <f>Model!$D$17</f>
        <v>800</v>
      </c>
      <c r="G3703" s="36">
        <f t="shared" ca="1" si="60"/>
        <v>1282.158022429167</v>
      </c>
    </row>
    <row r="3704" spans="1:7" x14ac:dyDescent="0.2">
      <c r="A3704" s="6">
        <f ca="1">Model!$F$13+RAND()*(Model!$G$13-Model!$F$13)</f>
        <v>1670.5854212313543</v>
      </c>
      <c r="B3704" s="31">
        <f ca="1">Model!$F$14+RAND()*(Model!$G$14-Model!$F$14)</f>
        <v>0.4283583254397173</v>
      </c>
      <c r="C3704" s="32">
        <f ca="1">Model!$F$15+RAND()*(Model!$G$15-Model!$F$15)</f>
        <v>3.4390605985913918E-2</v>
      </c>
      <c r="D3704" s="33">
        <f ca="1">Model!$F$16+RAND()*(Model!$G$16-Model!$F$16)</f>
        <v>47.409706322893271</v>
      </c>
      <c r="E3704" s="33">
        <f>Model!$D$17</f>
        <v>800</v>
      </c>
      <c r="G3704" s="36">
        <f t="shared" ca="1" si="60"/>
        <v>1208.1943708411777</v>
      </c>
    </row>
    <row r="3705" spans="1:7" x14ac:dyDescent="0.2">
      <c r="A3705" s="6">
        <f ca="1">Model!$F$13+RAND()*(Model!$G$13-Model!$F$13)</f>
        <v>1708.4300154349089</v>
      </c>
      <c r="B3705" s="31">
        <f ca="1">Model!$F$14+RAND()*(Model!$G$14-Model!$F$14)</f>
        <v>0.56015469936916662</v>
      </c>
      <c r="C3705" s="32">
        <f ca="1">Model!$F$15+RAND()*(Model!$G$15-Model!$F$15)</f>
        <v>4.3354863798292925E-2</v>
      </c>
      <c r="D3705" s="33">
        <f ca="1">Model!$F$16+RAND()*(Model!$G$16-Model!$F$16)</f>
        <v>50.20458075867851</v>
      </c>
      <c r="E3705" s="33">
        <f>Model!$D$17</f>
        <v>800</v>
      </c>
      <c r="G3705" s="36">
        <f t="shared" ca="1" si="60"/>
        <v>1961.605470913461</v>
      </c>
    </row>
    <row r="3706" spans="1:7" x14ac:dyDescent="0.2">
      <c r="A3706" s="6">
        <f ca="1">Model!$F$13+RAND()*(Model!$G$13-Model!$F$13)</f>
        <v>1287.1406005770405</v>
      </c>
      <c r="B3706" s="31">
        <f ca="1">Model!$F$14+RAND()*(Model!$G$14-Model!$F$14)</f>
        <v>0.78852225037622792</v>
      </c>
      <c r="C3706" s="32">
        <f ca="1">Model!$F$15+RAND()*(Model!$G$15-Model!$F$15)</f>
        <v>3.7677213038176095E-2</v>
      </c>
      <c r="D3706" s="33">
        <f ca="1">Model!$F$16+RAND()*(Model!$G$16-Model!$F$16)</f>
        <v>49.070002119071837</v>
      </c>
      <c r="E3706" s="33">
        <f>Model!$D$17</f>
        <v>800</v>
      </c>
      <c r="G3706" s="36">
        <f t="shared" ca="1" si="60"/>
        <v>564.75347107520474</v>
      </c>
    </row>
    <row r="3707" spans="1:7" x14ac:dyDescent="0.2">
      <c r="A3707" s="6">
        <f ca="1">Model!$F$13+RAND()*(Model!$G$13-Model!$F$13)</f>
        <v>1552.436340155288</v>
      </c>
      <c r="B3707" s="31">
        <f ca="1">Model!$F$14+RAND()*(Model!$G$14-Model!$F$14)</f>
        <v>0.33562794423160169</v>
      </c>
      <c r="C3707" s="32">
        <f ca="1">Model!$F$15+RAND()*(Model!$G$15-Model!$F$15)</f>
        <v>4.5613910478261681E-2</v>
      </c>
      <c r="D3707" s="33">
        <f ca="1">Model!$F$16+RAND()*(Model!$G$16-Model!$F$16)</f>
        <v>52.726322016974528</v>
      </c>
      <c r="E3707" s="33">
        <f>Model!$D$17</f>
        <v>800</v>
      </c>
      <c r="G3707" s="36">
        <f t="shared" ca="1" si="60"/>
        <v>2412.6517966988754</v>
      </c>
    </row>
    <row r="3708" spans="1:7" x14ac:dyDescent="0.2">
      <c r="A3708" s="6">
        <f ca="1">Model!$F$13+RAND()*(Model!$G$13-Model!$F$13)</f>
        <v>1530.3293714694589</v>
      </c>
      <c r="B3708" s="31">
        <f ca="1">Model!$F$14+RAND()*(Model!$G$14-Model!$F$14)</f>
        <v>0.73180325510813482</v>
      </c>
      <c r="C3708" s="32">
        <f ca="1">Model!$F$15+RAND()*(Model!$G$15-Model!$F$15)</f>
        <v>3.8869743117987451E-2</v>
      </c>
      <c r="D3708" s="33">
        <f ca="1">Model!$F$16+RAND()*(Model!$G$16-Model!$F$16)</f>
        <v>50.371805878043553</v>
      </c>
      <c r="E3708" s="33">
        <f>Model!$D$17</f>
        <v>800</v>
      </c>
      <c r="G3708" s="36">
        <f t="shared" ca="1" si="60"/>
        <v>1076.3917808166998</v>
      </c>
    </row>
    <row r="3709" spans="1:7" x14ac:dyDescent="0.2">
      <c r="A3709" s="6">
        <f ca="1">Model!$F$13+RAND()*(Model!$G$13-Model!$F$13)</f>
        <v>1577.0660021975332</v>
      </c>
      <c r="B3709" s="31">
        <f ca="1">Model!$F$14+RAND()*(Model!$G$14-Model!$F$14)</f>
        <v>0.25568419077797311</v>
      </c>
      <c r="C3709" s="32">
        <f ca="1">Model!$F$15+RAND()*(Model!$G$15-Model!$F$15)</f>
        <v>3.2776146363018462E-2</v>
      </c>
      <c r="D3709" s="33">
        <f ca="1">Model!$F$16+RAND()*(Model!$G$16-Model!$F$16)</f>
        <v>51.259709737847302</v>
      </c>
      <c r="E3709" s="33">
        <f>Model!$D$17</f>
        <v>800</v>
      </c>
      <c r="G3709" s="36">
        <f t="shared" ca="1" si="60"/>
        <v>1446.3910414412542</v>
      </c>
    </row>
    <row r="3710" spans="1:7" x14ac:dyDescent="0.2">
      <c r="A3710" s="6">
        <f ca="1">Model!$F$13+RAND()*(Model!$G$13-Model!$F$13)</f>
        <v>1243.5550311433085</v>
      </c>
      <c r="B3710" s="31">
        <f ca="1">Model!$F$14+RAND()*(Model!$G$14-Model!$F$14)</f>
        <v>0.34450220442193691</v>
      </c>
      <c r="C3710" s="32">
        <f ca="1">Model!$F$15+RAND()*(Model!$G$15-Model!$F$15)</f>
        <v>2.1781649427397239E-2</v>
      </c>
      <c r="D3710" s="33">
        <f ca="1">Model!$F$16+RAND()*(Model!$G$16-Model!$F$16)</f>
        <v>49.543327913682305</v>
      </c>
      <c r="E3710" s="33">
        <f>Model!$D$17</f>
        <v>800</v>
      </c>
      <c r="G3710" s="36">
        <f t="shared" ca="1" si="60"/>
        <v>113.55680650847012</v>
      </c>
    </row>
    <row r="3711" spans="1:7" x14ac:dyDescent="0.2">
      <c r="A3711" s="6">
        <f ca="1">Model!$F$13+RAND()*(Model!$G$13-Model!$F$13)</f>
        <v>1615.7068976823682</v>
      </c>
      <c r="B3711" s="31">
        <f ca="1">Model!$F$14+RAND()*(Model!$G$14-Model!$F$14)</f>
        <v>0.56815657875934478</v>
      </c>
      <c r="C3711" s="32">
        <f ca="1">Model!$F$15+RAND()*(Model!$G$15-Model!$F$15)</f>
        <v>1.7314047172082018E-2</v>
      </c>
      <c r="D3711" s="33">
        <f ca="1">Model!$F$16+RAND()*(Model!$G$16-Model!$F$16)</f>
        <v>51.954303118448237</v>
      </c>
      <c r="E3711" s="33">
        <f>Model!$D$17</f>
        <v>800</v>
      </c>
      <c r="G3711" s="36">
        <f t="shared" ca="1" si="60"/>
        <v>-264.58272424902157</v>
      </c>
    </row>
    <row r="3712" spans="1:7" x14ac:dyDescent="0.2">
      <c r="A3712" s="6">
        <f ca="1">Model!$F$13+RAND()*(Model!$G$13-Model!$F$13)</f>
        <v>1555.4939873431185</v>
      </c>
      <c r="B3712" s="31">
        <f ca="1">Model!$F$14+RAND()*(Model!$G$14-Model!$F$14)</f>
        <v>0.6037684713118292</v>
      </c>
      <c r="C3712" s="32">
        <f ca="1">Model!$F$15+RAND()*(Model!$G$15-Model!$F$15)</f>
        <v>2.4049484901568184E-2</v>
      </c>
      <c r="D3712" s="33">
        <f ca="1">Model!$F$16+RAND()*(Model!$G$16-Model!$F$16)</f>
        <v>48.963731455626714</v>
      </c>
      <c r="E3712" s="33">
        <f>Model!$D$17</f>
        <v>800</v>
      </c>
      <c r="G3712" s="36">
        <f t="shared" ca="1" si="60"/>
        <v>92.51763833798168</v>
      </c>
    </row>
    <row r="3713" spans="1:7" x14ac:dyDescent="0.2">
      <c r="A3713" s="6">
        <f ca="1">Model!$F$13+RAND()*(Model!$G$13-Model!$F$13)</f>
        <v>1369.1219706319305</v>
      </c>
      <c r="B3713" s="31">
        <f ca="1">Model!$F$14+RAND()*(Model!$G$14-Model!$F$14)</f>
        <v>0.59226357532806506</v>
      </c>
      <c r="C3713" s="32">
        <f ca="1">Model!$F$15+RAND()*(Model!$G$15-Model!$F$15)</f>
        <v>4.4962758415045129E-2</v>
      </c>
      <c r="D3713" s="33">
        <f ca="1">Model!$F$16+RAND()*(Model!$G$16-Model!$F$16)</f>
        <v>50.328538535956532</v>
      </c>
      <c r="E3713" s="33">
        <f>Model!$D$17</f>
        <v>800</v>
      </c>
      <c r="G3713" s="36">
        <f t="shared" ca="1" si="60"/>
        <v>1487.3186150637132</v>
      </c>
    </row>
    <row r="3714" spans="1:7" x14ac:dyDescent="0.2">
      <c r="A3714" s="6">
        <f ca="1">Model!$F$13+RAND()*(Model!$G$13-Model!$F$13)</f>
        <v>1680.5751396346063</v>
      </c>
      <c r="B3714" s="31">
        <f ca="1">Model!$F$14+RAND()*(Model!$G$14-Model!$F$14)</f>
        <v>0.60547659754616356</v>
      </c>
      <c r="C3714" s="32">
        <f ca="1">Model!$F$15+RAND()*(Model!$G$15-Model!$F$15)</f>
        <v>3.2076191443472471E-2</v>
      </c>
      <c r="D3714" s="33">
        <f ca="1">Model!$F$16+RAND()*(Model!$G$16-Model!$F$16)</f>
        <v>52.639691712930343</v>
      </c>
      <c r="E3714" s="33">
        <f>Model!$D$17</f>
        <v>800</v>
      </c>
      <c r="G3714" s="36">
        <f t="shared" ca="1" si="60"/>
        <v>1020.0699873480146</v>
      </c>
    </row>
    <row r="3715" spans="1:7" x14ac:dyDescent="0.2">
      <c r="A3715" s="6">
        <f ca="1">Model!$F$13+RAND()*(Model!$G$13-Model!$F$13)</f>
        <v>1548.214213169103</v>
      </c>
      <c r="B3715" s="31">
        <f ca="1">Model!$F$14+RAND()*(Model!$G$14-Model!$F$14)</f>
        <v>0.40192919823717566</v>
      </c>
      <c r="C3715" s="32">
        <f ca="1">Model!$F$15+RAND()*(Model!$G$15-Model!$F$15)</f>
        <v>3.7417255555655615E-2</v>
      </c>
      <c r="D3715" s="33">
        <f ca="1">Model!$F$16+RAND()*(Model!$G$16-Model!$F$16)</f>
        <v>49.675396925191571</v>
      </c>
      <c r="E3715" s="33">
        <f>Model!$D$17</f>
        <v>800</v>
      </c>
      <c r="G3715" s="36">
        <f t="shared" ca="1" si="60"/>
        <v>1455.4196136687528</v>
      </c>
    </row>
    <row r="3716" spans="1:7" x14ac:dyDescent="0.2">
      <c r="A3716" s="6">
        <f ca="1">Model!$F$13+RAND()*(Model!$G$13-Model!$F$13)</f>
        <v>1327.9940417017701</v>
      </c>
      <c r="B3716" s="31">
        <f ca="1">Model!$F$14+RAND()*(Model!$G$14-Model!$F$14)</f>
        <v>0.65303215689040517</v>
      </c>
      <c r="C3716" s="32">
        <f ca="1">Model!$F$15+RAND()*(Model!$G$15-Model!$F$15)</f>
        <v>4.5715432450356128E-2</v>
      </c>
      <c r="D3716" s="33">
        <f ca="1">Model!$F$16+RAND()*(Model!$G$16-Model!$F$16)</f>
        <v>52.737453729052461</v>
      </c>
      <c r="E3716" s="33">
        <f>Model!$D$17</f>
        <v>800</v>
      </c>
      <c r="G3716" s="36">
        <f t="shared" ca="1" si="60"/>
        <v>1534.4586103763927</v>
      </c>
    </row>
    <row r="3717" spans="1:7" x14ac:dyDescent="0.2">
      <c r="A3717" s="6">
        <f ca="1">Model!$F$13+RAND()*(Model!$G$13-Model!$F$13)</f>
        <v>1384.420961357846</v>
      </c>
      <c r="B3717" s="31">
        <f ca="1">Model!$F$14+RAND()*(Model!$G$14-Model!$F$14)</f>
        <v>0.71856669165579334</v>
      </c>
      <c r="C3717" s="32">
        <f ca="1">Model!$F$15+RAND()*(Model!$G$15-Model!$F$15)</f>
        <v>2.4758883159113943E-2</v>
      </c>
      <c r="D3717" s="33">
        <f ca="1">Model!$F$16+RAND()*(Model!$G$16-Model!$F$16)</f>
        <v>47.810046427413475</v>
      </c>
      <c r="E3717" s="33">
        <f>Model!$D$17</f>
        <v>800</v>
      </c>
      <c r="G3717" s="36">
        <f t="shared" ca="1" si="60"/>
        <v>-156.02736726555895</v>
      </c>
    </row>
    <row r="3718" spans="1:7" x14ac:dyDescent="0.2">
      <c r="A3718" s="6">
        <f ca="1">Model!$F$13+RAND()*(Model!$G$13-Model!$F$13)</f>
        <v>1595.7809310955292</v>
      </c>
      <c r="B3718" s="31">
        <f ca="1">Model!$F$14+RAND()*(Model!$G$14-Model!$F$14)</f>
        <v>0.68751973916901488</v>
      </c>
      <c r="C3718" s="32">
        <f ca="1">Model!$F$15+RAND()*(Model!$G$15-Model!$F$15)</f>
        <v>4.3800583384508457E-2</v>
      </c>
      <c r="D3718" s="33">
        <f ca="1">Model!$F$16+RAND()*(Model!$G$16-Model!$F$16)</f>
        <v>52.755470198269421</v>
      </c>
      <c r="E3718" s="33">
        <f>Model!$D$17</f>
        <v>800</v>
      </c>
      <c r="G3718" s="36">
        <f t="shared" ca="1" si="60"/>
        <v>1790.2726162695792</v>
      </c>
    </row>
    <row r="3719" spans="1:7" x14ac:dyDescent="0.2">
      <c r="A3719" s="6">
        <f ca="1">Model!$F$13+RAND()*(Model!$G$13-Model!$F$13)</f>
        <v>1434.6808861175132</v>
      </c>
      <c r="B3719" s="31">
        <f ca="1">Model!$F$14+RAND()*(Model!$G$14-Model!$F$14)</f>
        <v>0.25037418695969371</v>
      </c>
      <c r="C3719" s="32">
        <f ca="1">Model!$F$15+RAND()*(Model!$G$15-Model!$F$15)</f>
        <v>1.1269343014403126E-2</v>
      </c>
      <c r="D3719" s="33">
        <f ca="1">Model!$F$16+RAND()*(Model!$G$16-Model!$F$16)</f>
        <v>52.270440168939864</v>
      </c>
      <c r="E3719" s="33">
        <f>Model!$D$17</f>
        <v>800</v>
      </c>
      <c r="G3719" s="36">
        <f t="shared" ca="1" si="60"/>
        <v>-314.10323468309093</v>
      </c>
    </row>
    <row r="3720" spans="1:7" x14ac:dyDescent="0.2">
      <c r="A3720" s="6">
        <f ca="1">Model!$F$13+RAND()*(Model!$G$13-Model!$F$13)</f>
        <v>1453.9043415950266</v>
      </c>
      <c r="B3720" s="31">
        <f ca="1">Model!$F$14+RAND()*(Model!$G$14-Model!$F$14)</f>
        <v>0.37714678001780888</v>
      </c>
      <c r="C3720" s="32">
        <f ca="1">Model!$F$15+RAND()*(Model!$G$15-Model!$F$15)</f>
        <v>4.0438079746393511E-2</v>
      </c>
      <c r="D3720" s="33">
        <f ca="1">Model!$F$16+RAND()*(Model!$G$16-Model!$F$16)</f>
        <v>48.702635202326725</v>
      </c>
      <c r="E3720" s="33">
        <f>Model!$D$17</f>
        <v>800</v>
      </c>
      <c r="G3720" s="36">
        <f t="shared" ca="1" si="60"/>
        <v>1515.0435466572821</v>
      </c>
    </row>
    <row r="3721" spans="1:7" x14ac:dyDescent="0.2">
      <c r="A3721" s="6">
        <f ca="1">Model!$F$13+RAND()*(Model!$G$13-Model!$F$13)</f>
        <v>1697.5388692600743</v>
      </c>
      <c r="B3721" s="31">
        <f ca="1">Model!$F$14+RAND()*(Model!$G$14-Model!$F$14)</f>
        <v>0.65514515753230429</v>
      </c>
      <c r="C3721" s="32">
        <f ca="1">Model!$F$15+RAND()*(Model!$G$15-Model!$F$15)</f>
        <v>4.3286383817865329E-2</v>
      </c>
      <c r="D3721" s="33">
        <f ca="1">Model!$F$16+RAND()*(Model!$G$16-Model!$F$16)</f>
        <v>48.016022933245587</v>
      </c>
      <c r="E3721" s="33">
        <f>Model!$D$17</f>
        <v>800</v>
      </c>
      <c r="G3721" s="36">
        <f t="shared" ca="1" si="60"/>
        <v>1616.0983142740108</v>
      </c>
    </row>
    <row r="3722" spans="1:7" x14ac:dyDescent="0.2">
      <c r="A3722" s="6">
        <f ca="1">Model!$F$13+RAND()*(Model!$G$13-Model!$F$13)</f>
        <v>1662.4700442773762</v>
      </c>
      <c r="B3722" s="31">
        <f ca="1">Model!$F$14+RAND()*(Model!$G$14-Model!$F$14)</f>
        <v>0.25809435129308866</v>
      </c>
      <c r="C3722" s="32">
        <f ca="1">Model!$F$15+RAND()*(Model!$G$15-Model!$F$15)</f>
        <v>1.5162458904297767E-2</v>
      </c>
      <c r="D3722" s="33">
        <f ca="1">Model!$F$16+RAND()*(Model!$G$16-Model!$F$16)</f>
        <v>48.681140432846853</v>
      </c>
      <c r="E3722" s="33">
        <f>Model!$D$17</f>
        <v>800</v>
      </c>
      <c r="G3722" s="36">
        <f t="shared" ca="1" si="60"/>
        <v>-1.9621107978914551</v>
      </c>
    </row>
    <row r="3723" spans="1:7" x14ac:dyDescent="0.2">
      <c r="A3723" s="6">
        <f ca="1">Model!$F$13+RAND()*(Model!$G$13-Model!$F$13)</f>
        <v>1282.8890368500367</v>
      </c>
      <c r="B3723" s="31">
        <f ca="1">Model!$F$14+RAND()*(Model!$G$14-Model!$F$14)</f>
        <v>0.27850986625329088</v>
      </c>
      <c r="C3723" s="32">
        <f ca="1">Model!$F$15+RAND()*(Model!$G$15-Model!$F$15)</f>
        <v>3.7515806577889256E-2</v>
      </c>
      <c r="D3723" s="33">
        <f ca="1">Model!$F$16+RAND()*(Model!$G$16-Model!$F$16)</f>
        <v>47.733893865437338</v>
      </c>
      <c r="E3723" s="33">
        <f>Model!$D$17</f>
        <v>800</v>
      </c>
      <c r="G3723" s="36">
        <f t="shared" ca="1" si="60"/>
        <v>1140.0690401393617</v>
      </c>
    </row>
    <row r="3724" spans="1:7" x14ac:dyDescent="0.2">
      <c r="A3724" s="6">
        <f ca="1">Model!$F$13+RAND()*(Model!$G$13-Model!$F$13)</f>
        <v>1593.3113615328184</v>
      </c>
      <c r="B3724" s="31">
        <f ca="1">Model!$F$14+RAND()*(Model!$G$14-Model!$F$14)</f>
        <v>0.77666077569311587</v>
      </c>
      <c r="C3724" s="32">
        <f ca="1">Model!$F$15+RAND()*(Model!$G$15-Model!$F$15)</f>
        <v>3.1617696785633378E-2</v>
      </c>
      <c r="D3724" s="33">
        <f ca="1">Model!$F$16+RAND()*(Model!$G$16-Model!$F$16)</f>
        <v>51.842703537752712</v>
      </c>
      <c r="E3724" s="33">
        <f>Model!$D$17</f>
        <v>800</v>
      </c>
      <c r="G3724" s="36">
        <f t="shared" ca="1" si="60"/>
        <v>574.20891075625832</v>
      </c>
    </row>
    <row r="3725" spans="1:7" x14ac:dyDescent="0.2">
      <c r="A3725" s="6">
        <f ca="1">Model!$F$13+RAND()*(Model!$G$13-Model!$F$13)</f>
        <v>1241.0288635534594</v>
      </c>
      <c r="B3725" s="31">
        <f ca="1">Model!$F$14+RAND()*(Model!$G$14-Model!$F$14)</f>
        <v>0.31963294561883326</v>
      </c>
      <c r="C3725" s="32">
        <f ca="1">Model!$F$15+RAND()*(Model!$G$15-Model!$F$15)</f>
        <v>4.9501633345404278E-2</v>
      </c>
      <c r="D3725" s="33">
        <f ca="1">Model!$F$16+RAND()*(Model!$G$16-Model!$F$16)</f>
        <v>50.423694096698476</v>
      </c>
      <c r="E3725" s="33">
        <f>Model!$D$17</f>
        <v>800</v>
      </c>
      <c r="G3725" s="36">
        <f t="shared" ca="1" si="60"/>
        <v>1901.0028581832435</v>
      </c>
    </row>
    <row r="3726" spans="1:7" x14ac:dyDescent="0.2">
      <c r="A3726" s="6">
        <f ca="1">Model!$F$13+RAND()*(Model!$G$13-Model!$F$13)</f>
        <v>1744.7700174643728</v>
      </c>
      <c r="B3726" s="31">
        <f ca="1">Model!$F$14+RAND()*(Model!$G$14-Model!$F$14)</f>
        <v>0.72117474345791477</v>
      </c>
      <c r="C3726" s="32">
        <f ca="1">Model!$F$15+RAND()*(Model!$G$15-Model!$F$15)</f>
        <v>1.303235944640143E-2</v>
      </c>
      <c r="D3726" s="33">
        <f ca="1">Model!$F$16+RAND()*(Model!$G$16-Model!$F$16)</f>
        <v>52.973182063331429</v>
      </c>
      <c r="E3726" s="33">
        <f>Model!$D$17</f>
        <v>800</v>
      </c>
      <c r="G3726" s="36">
        <f t="shared" ca="1" si="60"/>
        <v>-853.75495758514785</v>
      </c>
    </row>
    <row r="3727" spans="1:7" x14ac:dyDescent="0.2">
      <c r="A3727" s="6">
        <f ca="1">Model!$F$13+RAND()*(Model!$G$13-Model!$F$13)</f>
        <v>1232.6869132479587</v>
      </c>
      <c r="B3727" s="31">
        <f ca="1">Model!$F$14+RAND()*(Model!$G$14-Model!$F$14)</f>
        <v>0.44589635282499834</v>
      </c>
      <c r="C3727" s="32">
        <f ca="1">Model!$F$15+RAND()*(Model!$G$15-Model!$F$15)</f>
        <v>4.3174624491429572E-2</v>
      </c>
      <c r="D3727" s="33">
        <f ca="1">Model!$F$16+RAND()*(Model!$G$16-Model!$F$16)</f>
        <v>49.965954479968936</v>
      </c>
      <c r="E3727" s="33">
        <f>Model!$D$17</f>
        <v>800</v>
      </c>
      <c r="G3727" s="36">
        <f t="shared" ca="1" si="60"/>
        <v>1309.5772013281796</v>
      </c>
    </row>
    <row r="3728" spans="1:7" x14ac:dyDescent="0.2">
      <c r="A3728" s="6">
        <f ca="1">Model!$F$13+RAND()*(Model!$G$13-Model!$F$13)</f>
        <v>1671.7715388177203</v>
      </c>
      <c r="B3728" s="31">
        <f ca="1">Model!$F$14+RAND()*(Model!$G$14-Model!$F$14)</f>
        <v>0.76829643093568412</v>
      </c>
      <c r="C3728" s="32">
        <f ca="1">Model!$F$15+RAND()*(Model!$G$15-Model!$F$15)</f>
        <v>2.431183042204535E-2</v>
      </c>
      <c r="D3728" s="33">
        <f ca="1">Model!$F$16+RAND()*(Model!$G$16-Model!$F$16)</f>
        <v>52.885816873640593</v>
      </c>
      <c r="E3728" s="33">
        <f>Model!$D$17</f>
        <v>800</v>
      </c>
      <c r="G3728" s="36">
        <f t="shared" ca="1" si="60"/>
        <v>65.065840524098348</v>
      </c>
    </row>
    <row r="3729" spans="1:7" x14ac:dyDescent="0.2">
      <c r="A3729" s="6">
        <f ca="1">Model!$F$13+RAND()*(Model!$G$13-Model!$F$13)</f>
        <v>1590.8663248232788</v>
      </c>
      <c r="B3729" s="31">
        <f ca="1">Model!$F$14+RAND()*(Model!$G$14-Model!$F$14)</f>
        <v>0.43870182096820182</v>
      </c>
      <c r="C3729" s="32">
        <f ca="1">Model!$F$15+RAND()*(Model!$G$15-Model!$F$15)</f>
        <v>3.2294067584930253E-2</v>
      </c>
      <c r="D3729" s="33">
        <f ca="1">Model!$F$16+RAND()*(Model!$G$16-Model!$F$16)</f>
        <v>48.968109125965938</v>
      </c>
      <c r="E3729" s="33">
        <f>Model!$D$17</f>
        <v>800</v>
      </c>
      <c r="G3729" s="36">
        <f t="shared" ca="1" si="60"/>
        <v>1017.8473213705665</v>
      </c>
    </row>
    <row r="3730" spans="1:7" x14ac:dyDescent="0.2">
      <c r="A3730" s="6">
        <f ca="1">Model!$F$13+RAND()*(Model!$G$13-Model!$F$13)</f>
        <v>1537.3673496915294</v>
      </c>
      <c r="B3730" s="31">
        <f ca="1">Model!$F$14+RAND()*(Model!$G$14-Model!$F$14)</f>
        <v>0.60682422213116127</v>
      </c>
      <c r="C3730" s="32">
        <f ca="1">Model!$F$15+RAND()*(Model!$G$15-Model!$F$15)</f>
        <v>2.2476186491913405E-2</v>
      </c>
      <c r="D3730" s="33">
        <f ca="1">Model!$F$16+RAND()*(Model!$G$16-Model!$F$16)</f>
        <v>50.781014439881048</v>
      </c>
      <c r="E3730" s="33">
        <f>Model!$D$17</f>
        <v>800</v>
      </c>
      <c r="G3730" s="36">
        <f t="shared" ca="1" si="60"/>
        <v>21.783311020447172</v>
      </c>
    </row>
    <row r="3731" spans="1:7" x14ac:dyDescent="0.2">
      <c r="A3731" s="6">
        <f ca="1">Model!$F$13+RAND()*(Model!$G$13-Model!$F$13)</f>
        <v>1318.3792855863858</v>
      </c>
      <c r="B3731" s="31">
        <f ca="1">Model!$F$14+RAND()*(Model!$G$14-Model!$F$14)</f>
        <v>0.33730173958867515</v>
      </c>
      <c r="C3731" s="32">
        <f ca="1">Model!$F$15+RAND()*(Model!$G$15-Model!$F$15)</f>
        <v>4.9772559120229071E-2</v>
      </c>
      <c r="D3731" s="33">
        <f ca="1">Model!$F$16+RAND()*(Model!$G$16-Model!$F$16)</f>
        <v>48.227362878703858</v>
      </c>
      <c r="E3731" s="33">
        <f>Model!$D$17</f>
        <v>800</v>
      </c>
      <c r="G3731" s="36">
        <f t="shared" ca="1" si="60"/>
        <v>1919.9450483613664</v>
      </c>
    </row>
    <row r="3732" spans="1:7" x14ac:dyDescent="0.2">
      <c r="A3732" s="6">
        <f ca="1">Model!$F$13+RAND()*(Model!$G$13-Model!$F$13)</f>
        <v>1694.9244276427166</v>
      </c>
      <c r="B3732" s="31">
        <f ca="1">Model!$F$14+RAND()*(Model!$G$14-Model!$F$14)</f>
        <v>0.38850338270423768</v>
      </c>
      <c r="C3732" s="32">
        <f ca="1">Model!$F$15+RAND()*(Model!$G$15-Model!$F$15)</f>
        <v>1.1618464421907117E-2</v>
      </c>
      <c r="D3732" s="33">
        <f ca="1">Model!$F$16+RAND()*(Model!$G$16-Model!$F$16)</f>
        <v>52.821810133704844</v>
      </c>
      <c r="E3732" s="33">
        <f>Model!$D$17</f>
        <v>800</v>
      </c>
      <c r="G3732" s="36">
        <f t="shared" ca="1" si="60"/>
        <v>-418.29464760388305</v>
      </c>
    </row>
    <row r="3733" spans="1:7" x14ac:dyDescent="0.2">
      <c r="A3733" s="6">
        <f ca="1">Model!$F$13+RAND()*(Model!$G$13-Model!$F$13)</f>
        <v>1348.1280685793558</v>
      </c>
      <c r="B3733" s="31">
        <f ca="1">Model!$F$14+RAND()*(Model!$G$14-Model!$F$14)</f>
        <v>0.72996566325570789</v>
      </c>
      <c r="C3733" s="32">
        <f ca="1">Model!$F$15+RAND()*(Model!$G$15-Model!$F$15)</f>
        <v>2.6250532638644825E-2</v>
      </c>
      <c r="D3733" s="33">
        <f ca="1">Model!$F$16+RAND()*(Model!$G$16-Model!$F$16)</f>
        <v>50.172217152024658</v>
      </c>
      <c r="E3733" s="33">
        <f>Model!$D$17</f>
        <v>800</v>
      </c>
      <c r="G3733" s="36">
        <f t="shared" ca="1" si="60"/>
        <v>-8.53859992120897</v>
      </c>
    </row>
    <row r="3734" spans="1:7" x14ac:dyDescent="0.2">
      <c r="A3734" s="6">
        <f ca="1">Model!$F$13+RAND()*(Model!$G$13-Model!$F$13)</f>
        <v>1285.7357734453335</v>
      </c>
      <c r="B3734" s="31">
        <f ca="1">Model!$F$14+RAND()*(Model!$G$14-Model!$F$14)</f>
        <v>0.4132167066761816</v>
      </c>
      <c r="C3734" s="32">
        <f ca="1">Model!$F$15+RAND()*(Model!$G$15-Model!$F$15)</f>
        <v>1.6440045580090983E-2</v>
      </c>
      <c r="D3734" s="33">
        <f ca="1">Model!$F$16+RAND()*(Model!$G$16-Model!$F$16)</f>
        <v>51.443136116286588</v>
      </c>
      <c r="E3734" s="33">
        <f>Model!$D$17</f>
        <v>800</v>
      </c>
      <c r="G3734" s="36">
        <f t="shared" ca="1" si="60"/>
        <v>-243.90539736355026</v>
      </c>
    </row>
    <row r="3735" spans="1:7" x14ac:dyDescent="0.2">
      <c r="A3735" s="6">
        <f ca="1">Model!$F$13+RAND()*(Model!$G$13-Model!$F$13)</f>
        <v>1527.9597501141059</v>
      </c>
      <c r="B3735" s="31">
        <f ca="1">Model!$F$14+RAND()*(Model!$G$14-Model!$F$14)</f>
        <v>0.25954175716255956</v>
      </c>
      <c r="C3735" s="32">
        <f ca="1">Model!$F$15+RAND()*(Model!$G$15-Model!$F$15)</f>
        <v>3.3385533378119198E-2</v>
      </c>
      <c r="D3735" s="33">
        <f ca="1">Model!$F$16+RAND()*(Model!$G$16-Model!$F$16)</f>
        <v>48.77906400453049</v>
      </c>
      <c r="E3735" s="33">
        <f>Model!$D$17</f>
        <v>800</v>
      </c>
      <c r="G3735" s="36">
        <f t="shared" ca="1" si="60"/>
        <v>1291.7361201963408</v>
      </c>
    </row>
    <row r="3736" spans="1:7" x14ac:dyDescent="0.2">
      <c r="A3736" s="6">
        <f ca="1">Model!$F$13+RAND()*(Model!$G$13-Model!$F$13)</f>
        <v>1609.5694206367946</v>
      </c>
      <c r="B3736" s="31">
        <f ca="1">Model!$F$14+RAND()*(Model!$G$14-Model!$F$14)</f>
        <v>0.34724509244702439</v>
      </c>
      <c r="C3736" s="32">
        <f ca="1">Model!$F$15+RAND()*(Model!$G$15-Model!$F$15)</f>
        <v>2.9271978079416658E-2</v>
      </c>
      <c r="D3736" s="33">
        <f ca="1">Model!$F$16+RAND()*(Model!$G$16-Model!$F$16)</f>
        <v>48.4453099723383</v>
      </c>
      <c r="E3736" s="33">
        <f>Model!$D$17</f>
        <v>800</v>
      </c>
      <c r="G3736" s="36">
        <f t="shared" ca="1" si="60"/>
        <v>923.5993004326433</v>
      </c>
    </row>
    <row r="3737" spans="1:7" x14ac:dyDescent="0.2">
      <c r="A3737" s="6">
        <f ca="1">Model!$F$13+RAND()*(Model!$G$13-Model!$F$13)</f>
        <v>1734.2878938052645</v>
      </c>
      <c r="B3737" s="31">
        <f ca="1">Model!$F$14+RAND()*(Model!$G$14-Model!$F$14)</f>
        <v>0.29443026597897165</v>
      </c>
      <c r="C3737" s="32">
        <f ca="1">Model!$F$15+RAND()*(Model!$G$15-Model!$F$15)</f>
        <v>4.6367916831546903E-2</v>
      </c>
      <c r="D3737" s="33">
        <f ca="1">Model!$F$16+RAND()*(Model!$G$16-Model!$F$16)</f>
        <v>50.163588276240681</v>
      </c>
      <c r="E3737" s="33">
        <f>Model!$D$17</f>
        <v>800</v>
      </c>
      <c r="G3737" s="36">
        <f t="shared" ca="1" si="60"/>
        <v>2723.2939983011097</v>
      </c>
    </row>
    <row r="3738" spans="1:7" x14ac:dyDescent="0.2">
      <c r="A3738" s="6">
        <f ca="1">Model!$F$13+RAND()*(Model!$G$13-Model!$F$13)</f>
        <v>1597.5350539841611</v>
      </c>
      <c r="B3738" s="31">
        <f ca="1">Model!$F$14+RAND()*(Model!$G$14-Model!$F$14)</f>
        <v>0.26621339744012773</v>
      </c>
      <c r="C3738" s="32">
        <f ca="1">Model!$F$15+RAND()*(Model!$G$15-Model!$F$15)</f>
        <v>3.5147749585427331E-2</v>
      </c>
      <c r="D3738" s="33">
        <f ca="1">Model!$F$16+RAND()*(Model!$G$16-Model!$F$16)</f>
        <v>52.384169444084137</v>
      </c>
      <c r="E3738" s="33">
        <f>Model!$D$17</f>
        <v>800</v>
      </c>
      <c r="G3738" s="36">
        <f t="shared" ca="1" si="60"/>
        <v>1716.0734142458559</v>
      </c>
    </row>
    <row r="3739" spans="1:7" x14ac:dyDescent="0.2">
      <c r="A3739" s="6">
        <f ca="1">Model!$F$13+RAND()*(Model!$G$13-Model!$F$13)</f>
        <v>1593.8599169607332</v>
      </c>
      <c r="B3739" s="31">
        <f ca="1">Model!$F$14+RAND()*(Model!$G$14-Model!$F$14)</f>
        <v>0.65341582330174175</v>
      </c>
      <c r="C3739" s="32">
        <f ca="1">Model!$F$15+RAND()*(Model!$G$15-Model!$F$15)</f>
        <v>2.6947792366842034E-2</v>
      </c>
      <c r="D3739" s="33">
        <f ca="1">Model!$F$16+RAND()*(Model!$G$16-Model!$F$16)</f>
        <v>50.564677886636701</v>
      </c>
      <c r="E3739" s="33">
        <f>Model!$D$17</f>
        <v>800</v>
      </c>
      <c r="G3739" s="36">
        <f t="shared" ca="1" si="60"/>
        <v>330.35049869173076</v>
      </c>
    </row>
    <row r="3740" spans="1:7" x14ac:dyDescent="0.2">
      <c r="A3740" s="6">
        <f ca="1">Model!$F$13+RAND()*(Model!$G$13-Model!$F$13)</f>
        <v>1268.6521058510075</v>
      </c>
      <c r="B3740" s="31">
        <f ca="1">Model!$F$14+RAND()*(Model!$G$14-Model!$F$14)</f>
        <v>0.22151762897763985</v>
      </c>
      <c r="C3740" s="32">
        <f ca="1">Model!$F$15+RAND()*(Model!$G$15-Model!$F$15)</f>
        <v>2.8544982435046856E-2</v>
      </c>
      <c r="D3740" s="33">
        <f ca="1">Model!$F$16+RAND()*(Model!$G$16-Model!$F$16)</f>
        <v>48.955477293667101</v>
      </c>
      <c r="E3740" s="33">
        <f>Model!$D$17</f>
        <v>800</v>
      </c>
      <c r="G3740" s="36">
        <f t="shared" ca="1" si="60"/>
        <v>691.82781552510619</v>
      </c>
    </row>
    <row r="3741" spans="1:7" x14ac:dyDescent="0.2">
      <c r="A3741" s="6">
        <f ca="1">Model!$F$13+RAND()*(Model!$G$13-Model!$F$13)</f>
        <v>1397.0003821619339</v>
      </c>
      <c r="B3741" s="31">
        <f ca="1">Model!$F$14+RAND()*(Model!$G$14-Model!$F$14)</f>
        <v>0.42619211982216276</v>
      </c>
      <c r="C3741" s="32">
        <f ca="1">Model!$F$15+RAND()*(Model!$G$15-Model!$F$15)</f>
        <v>1.8414115025664129E-2</v>
      </c>
      <c r="D3741" s="33">
        <f ca="1">Model!$F$16+RAND()*(Model!$G$16-Model!$F$16)</f>
        <v>48.606664039879455</v>
      </c>
      <c r="E3741" s="33">
        <f>Model!$D$17</f>
        <v>800</v>
      </c>
      <c r="G3741" s="36">
        <f t="shared" ca="1" si="60"/>
        <v>-145.00717461854197</v>
      </c>
    </row>
    <row r="3742" spans="1:7" x14ac:dyDescent="0.2">
      <c r="A3742" s="6">
        <f ca="1">Model!$F$13+RAND()*(Model!$G$13-Model!$F$13)</f>
        <v>1492.1353621536582</v>
      </c>
      <c r="B3742" s="31">
        <f ca="1">Model!$F$14+RAND()*(Model!$G$14-Model!$F$14)</f>
        <v>0.32272735314573026</v>
      </c>
      <c r="C3742" s="32">
        <f ca="1">Model!$F$15+RAND()*(Model!$G$15-Model!$F$15)</f>
        <v>1.0528703116430562E-2</v>
      </c>
      <c r="D3742" s="33">
        <f ca="1">Model!$F$16+RAND()*(Model!$G$16-Model!$F$16)</f>
        <v>49.757333366478477</v>
      </c>
      <c r="E3742" s="33">
        <f>Model!$D$17</f>
        <v>800</v>
      </c>
      <c r="G3742" s="36">
        <f t="shared" ca="1" si="60"/>
        <v>-499.85273761777216</v>
      </c>
    </row>
    <row r="3743" spans="1:7" x14ac:dyDescent="0.2">
      <c r="A3743" s="6">
        <f ca="1">Model!$F$13+RAND()*(Model!$G$13-Model!$F$13)</f>
        <v>1777.9727037644452</v>
      </c>
      <c r="B3743" s="31">
        <f ca="1">Model!$F$14+RAND()*(Model!$G$14-Model!$F$14)</f>
        <v>0.78714959089688596</v>
      </c>
      <c r="C3743" s="32">
        <f ca="1">Model!$F$15+RAND()*(Model!$G$15-Model!$F$15)</f>
        <v>3.1509878456842971E-2</v>
      </c>
      <c r="D3743" s="33">
        <f ca="1">Model!$F$16+RAND()*(Model!$G$16-Model!$F$16)</f>
        <v>52.073700968712927</v>
      </c>
      <c r="E3743" s="33">
        <f>Model!$D$17</f>
        <v>800</v>
      </c>
      <c r="G3743" s="36">
        <f t="shared" ca="1" si="60"/>
        <v>717.83111219709099</v>
      </c>
    </row>
    <row r="3744" spans="1:7" x14ac:dyDescent="0.2">
      <c r="A3744" s="6">
        <f ca="1">Model!$F$13+RAND()*(Model!$G$13-Model!$F$13)</f>
        <v>1434.2099877171283</v>
      </c>
      <c r="B3744" s="31">
        <f ca="1">Model!$F$14+RAND()*(Model!$G$14-Model!$F$14)</f>
        <v>0.57453662156724061</v>
      </c>
      <c r="C3744" s="32">
        <f ca="1">Model!$F$15+RAND()*(Model!$G$15-Model!$F$15)</f>
        <v>2.6986820290957739E-2</v>
      </c>
      <c r="D3744" s="33">
        <f ca="1">Model!$F$16+RAND()*(Model!$G$16-Model!$F$16)</f>
        <v>51.234816930654532</v>
      </c>
      <c r="E3744" s="33">
        <f>Model!$D$17</f>
        <v>800</v>
      </c>
      <c r="G3744" s="36">
        <f t="shared" ca="1" si="60"/>
        <v>359.02550077310593</v>
      </c>
    </row>
    <row r="3745" spans="1:7" x14ac:dyDescent="0.2">
      <c r="A3745" s="6">
        <f ca="1">Model!$F$13+RAND()*(Model!$G$13-Model!$F$13)</f>
        <v>1648.881858639148</v>
      </c>
      <c r="B3745" s="31">
        <f ca="1">Model!$F$14+RAND()*(Model!$G$14-Model!$F$14)</f>
        <v>0.75909160163094791</v>
      </c>
      <c r="C3745" s="32">
        <f ca="1">Model!$F$15+RAND()*(Model!$G$15-Model!$F$15)</f>
        <v>1.8766100721570041E-2</v>
      </c>
      <c r="D3745" s="33">
        <f ca="1">Model!$F$16+RAND()*(Model!$G$16-Model!$F$16)</f>
        <v>50.535609723458109</v>
      </c>
      <c r="E3745" s="33">
        <f>Model!$D$17</f>
        <v>800</v>
      </c>
      <c r="G3745" s="36">
        <f t="shared" ca="1" si="60"/>
        <v>-487.92480296652025</v>
      </c>
    </row>
    <row r="3746" spans="1:7" x14ac:dyDescent="0.2">
      <c r="A3746" s="6">
        <f ca="1">Model!$F$13+RAND()*(Model!$G$13-Model!$F$13)</f>
        <v>1669.2015256160273</v>
      </c>
      <c r="B3746" s="31">
        <f ca="1">Model!$F$14+RAND()*(Model!$G$14-Model!$F$14)</f>
        <v>0.79025876624970315</v>
      </c>
      <c r="C3746" s="32">
        <f ca="1">Model!$F$15+RAND()*(Model!$G$15-Model!$F$15)</f>
        <v>2.9503380896044214E-2</v>
      </c>
      <c r="D3746" s="33">
        <f ca="1">Model!$F$16+RAND()*(Model!$G$16-Model!$F$16)</f>
        <v>48.22078560655833</v>
      </c>
      <c r="E3746" s="33">
        <f>Model!$D$17</f>
        <v>800</v>
      </c>
      <c r="G3746" s="36">
        <f t="shared" ca="1" si="60"/>
        <v>255.63215334910728</v>
      </c>
    </row>
    <row r="3747" spans="1:7" x14ac:dyDescent="0.2">
      <c r="A3747" s="6">
        <f ca="1">Model!$F$13+RAND()*(Model!$G$13-Model!$F$13)</f>
        <v>1569.4856929259411</v>
      </c>
      <c r="B3747" s="31">
        <f ca="1">Model!$F$14+RAND()*(Model!$G$14-Model!$F$14)</f>
        <v>0.62568237495990109</v>
      </c>
      <c r="C3747" s="32">
        <f ca="1">Model!$F$15+RAND()*(Model!$G$15-Model!$F$15)</f>
        <v>3.2749438712536404E-2</v>
      </c>
      <c r="D3747" s="33">
        <f ca="1">Model!$F$16+RAND()*(Model!$G$16-Model!$F$16)</f>
        <v>51.769844370211253</v>
      </c>
      <c r="E3747" s="33">
        <f>Model!$D$17</f>
        <v>800</v>
      </c>
      <c r="G3747" s="36">
        <f t="shared" ca="1" si="60"/>
        <v>878.95884303625371</v>
      </c>
    </row>
    <row r="3748" spans="1:7" x14ac:dyDescent="0.2">
      <c r="A3748" s="6">
        <f ca="1">Model!$F$13+RAND()*(Model!$G$13-Model!$F$13)</f>
        <v>1667.009427251706</v>
      </c>
      <c r="B3748" s="31">
        <f ca="1">Model!$F$14+RAND()*(Model!$G$14-Model!$F$14)</f>
        <v>0.56432231999135196</v>
      </c>
      <c r="C3748" s="32">
        <f ca="1">Model!$F$15+RAND()*(Model!$G$15-Model!$F$15)</f>
        <v>3.4484776009159925E-2</v>
      </c>
      <c r="D3748" s="33">
        <f ca="1">Model!$F$16+RAND()*(Model!$G$16-Model!$F$16)</f>
        <v>52.684475890553628</v>
      </c>
      <c r="E3748" s="33">
        <f>Model!$D$17</f>
        <v>800</v>
      </c>
      <c r="G3748" s="36">
        <f t="shared" ca="1" si="60"/>
        <v>1287.9126879728196</v>
      </c>
    </row>
    <row r="3749" spans="1:7" x14ac:dyDescent="0.2">
      <c r="A3749" s="6">
        <f ca="1">Model!$F$13+RAND()*(Model!$G$13-Model!$F$13)</f>
        <v>1792.086156222025</v>
      </c>
      <c r="B3749" s="31">
        <f ca="1">Model!$F$14+RAND()*(Model!$G$14-Model!$F$14)</f>
        <v>0.5039071050150461</v>
      </c>
      <c r="C3749" s="32">
        <f ca="1">Model!$F$15+RAND()*(Model!$G$15-Model!$F$15)</f>
        <v>2.7784792555980695E-2</v>
      </c>
      <c r="D3749" s="33">
        <f ca="1">Model!$F$16+RAND()*(Model!$G$16-Model!$F$16)</f>
        <v>52.261631620911949</v>
      </c>
      <c r="E3749" s="33">
        <f>Model!$D$17</f>
        <v>800</v>
      </c>
      <c r="G3749" s="36">
        <f t="shared" ca="1" si="60"/>
        <v>899.20499774391556</v>
      </c>
    </row>
    <row r="3750" spans="1:7" x14ac:dyDescent="0.2">
      <c r="A3750" s="6">
        <f ca="1">Model!$F$13+RAND()*(Model!$G$13-Model!$F$13)</f>
        <v>1330.6604854476554</v>
      </c>
      <c r="B3750" s="31">
        <f ca="1">Model!$F$14+RAND()*(Model!$G$14-Model!$F$14)</f>
        <v>0.67065369461891022</v>
      </c>
      <c r="C3750" s="32">
        <f ca="1">Model!$F$15+RAND()*(Model!$G$15-Model!$F$15)</f>
        <v>2.4562087130323134E-2</v>
      </c>
      <c r="D3750" s="33">
        <f ca="1">Model!$F$16+RAND()*(Model!$G$16-Model!$F$16)</f>
        <v>50.985203981851221</v>
      </c>
      <c r="E3750" s="33">
        <f>Model!$D$17</f>
        <v>800</v>
      </c>
      <c r="G3750" s="36">
        <f t="shared" ca="1" si="60"/>
        <v>-26.022222922235642</v>
      </c>
    </row>
    <row r="3751" spans="1:7" x14ac:dyDescent="0.2">
      <c r="A3751" s="6">
        <f ca="1">Model!$F$13+RAND()*(Model!$G$13-Model!$F$13)</f>
        <v>1786.3207220938125</v>
      </c>
      <c r="B3751" s="31">
        <f ca="1">Model!$F$14+RAND()*(Model!$G$14-Model!$F$14)</f>
        <v>0.45500827320255166</v>
      </c>
      <c r="C3751" s="32">
        <f ca="1">Model!$F$15+RAND()*(Model!$G$15-Model!$F$15)</f>
        <v>3.7052222233802459E-2</v>
      </c>
      <c r="D3751" s="33">
        <f ca="1">Model!$F$16+RAND()*(Model!$G$16-Model!$F$16)</f>
        <v>48.510190918412277</v>
      </c>
      <c r="E3751" s="33">
        <f>Model!$D$17</f>
        <v>800</v>
      </c>
      <c r="G3751" s="36">
        <f t="shared" ca="1" si="60"/>
        <v>1597.9606909534841</v>
      </c>
    </row>
    <row r="3752" spans="1:7" x14ac:dyDescent="0.2">
      <c r="A3752" s="6">
        <f ca="1">Model!$F$13+RAND()*(Model!$G$13-Model!$F$13)</f>
        <v>1648.8183467972001</v>
      </c>
      <c r="B3752" s="31">
        <f ca="1">Model!$F$14+RAND()*(Model!$G$14-Model!$F$14)</f>
        <v>0.29844282909605174</v>
      </c>
      <c r="C3752" s="32">
        <f ca="1">Model!$F$15+RAND()*(Model!$G$15-Model!$F$15)</f>
        <v>2.8474130870364156E-2</v>
      </c>
      <c r="D3752" s="33">
        <f ca="1">Model!$F$16+RAND()*(Model!$G$16-Model!$F$16)</f>
        <v>52.72103055784774</v>
      </c>
      <c r="E3752" s="33">
        <f>Model!$D$17</f>
        <v>800</v>
      </c>
      <c r="G3752" s="36">
        <f t="shared" ca="1" si="60"/>
        <v>1183.104221379893</v>
      </c>
    </row>
    <row r="3753" spans="1:7" x14ac:dyDescent="0.2">
      <c r="A3753" s="6">
        <f ca="1">Model!$F$13+RAND()*(Model!$G$13-Model!$F$13)</f>
        <v>1682.8225292457389</v>
      </c>
      <c r="B3753" s="31">
        <f ca="1">Model!$F$14+RAND()*(Model!$G$14-Model!$F$14)</f>
        <v>0.29296424705350865</v>
      </c>
      <c r="C3753" s="32">
        <f ca="1">Model!$F$15+RAND()*(Model!$G$15-Model!$F$15)</f>
        <v>2.0056939474221151E-2</v>
      </c>
      <c r="D3753" s="33">
        <f ca="1">Model!$F$16+RAND()*(Model!$G$16-Model!$F$16)</f>
        <v>52.889847575135121</v>
      </c>
      <c r="E3753" s="33">
        <f>Model!$D$17</f>
        <v>800</v>
      </c>
      <c r="G3753" s="36">
        <f t="shared" ref="G3753:G3816" ca="1" si="61">A3753*C3753*D3753-(E3753+A3753*B3753)</f>
        <v>492.14556004375208</v>
      </c>
    </row>
    <row r="3754" spans="1:7" x14ac:dyDescent="0.2">
      <c r="A3754" s="6">
        <f ca="1">Model!$F$13+RAND()*(Model!$G$13-Model!$F$13)</f>
        <v>1611.7258989523566</v>
      </c>
      <c r="B3754" s="31">
        <f ca="1">Model!$F$14+RAND()*(Model!$G$14-Model!$F$14)</f>
        <v>0.27129475179297019</v>
      </c>
      <c r="C3754" s="32">
        <f ca="1">Model!$F$15+RAND()*(Model!$G$15-Model!$F$15)</f>
        <v>4.4565639836930612E-2</v>
      </c>
      <c r="D3754" s="33">
        <f ca="1">Model!$F$16+RAND()*(Model!$G$16-Model!$F$16)</f>
        <v>52.99054074849915</v>
      </c>
      <c r="E3754" s="33">
        <f>Model!$D$17</f>
        <v>800</v>
      </c>
      <c r="G3754" s="36">
        <f t="shared" ca="1" si="61"/>
        <v>2568.9303712047185</v>
      </c>
    </row>
    <row r="3755" spans="1:7" x14ac:dyDescent="0.2">
      <c r="A3755" s="6">
        <f ca="1">Model!$F$13+RAND()*(Model!$G$13-Model!$F$13)</f>
        <v>1744.1194388080178</v>
      </c>
      <c r="B3755" s="31">
        <f ca="1">Model!$F$14+RAND()*(Model!$G$14-Model!$F$14)</f>
        <v>0.59063537856987613</v>
      </c>
      <c r="C3755" s="32">
        <f ca="1">Model!$F$15+RAND()*(Model!$G$15-Model!$F$15)</f>
        <v>3.2942574380897309E-2</v>
      </c>
      <c r="D3755" s="33">
        <f ca="1">Model!$F$16+RAND()*(Model!$G$16-Model!$F$16)</f>
        <v>52.654189812688976</v>
      </c>
      <c r="E3755" s="33">
        <f>Model!$D$17</f>
        <v>800</v>
      </c>
      <c r="G3755" s="36">
        <f t="shared" ca="1" si="61"/>
        <v>1195.1491295745084</v>
      </c>
    </row>
    <row r="3756" spans="1:7" x14ac:dyDescent="0.2">
      <c r="A3756" s="6">
        <f ca="1">Model!$F$13+RAND()*(Model!$G$13-Model!$F$13)</f>
        <v>1285.430203725093</v>
      </c>
      <c r="B3756" s="31">
        <f ca="1">Model!$F$14+RAND()*(Model!$G$14-Model!$F$14)</f>
        <v>0.61166281659689914</v>
      </c>
      <c r="C3756" s="32">
        <f ca="1">Model!$F$15+RAND()*(Model!$G$15-Model!$F$15)</f>
        <v>4.310439468388419E-2</v>
      </c>
      <c r="D3756" s="33">
        <f ca="1">Model!$F$16+RAND()*(Model!$G$16-Model!$F$16)</f>
        <v>48.981720463689243</v>
      </c>
      <c r="E3756" s="33">
        <f>Model!$D$17</f>
        <v>800</v>
      </c>
      <c r="G3756" s="36">
        <f t="shared" ca="1" si="61"/>
        <v>1127.714165311831</v>
      </c>
    </row>
    <row r="3757" spans="1:7" x14ac:dyDescent="0.2">
      <c r="A3757" s="6">
        <f ca="1">Model!$F$13+RAND()*(Model!$G$13-Model!$F$13)</f>
        <v>1463.8406772994163</v>
      </c>
      <c r="B3757" s="31">
        <f ca="1">Model!$F$14+RAND()*(Model!$G$14-Model!$F$14)</f>
        <v>0.71003349632069601</v>
      </c>
      <c r="C3757" s="32">
        <f ca="1">Model!$F$15+RAND()*(Model!$G$15-Model!$F$15)</f>
        <v>2.9367452851038325E-2</v>
      </c>
      <c r="D3757" s="33">
        <f ca="1">Model!$F$16+RAND()*(Model!$G$16-Model!$F$16)</f>
        <v>48.834592104629792</v>
      </c>
      <c r="E3757" s="33">
        <f>Model!$D$17</f>
        <v>800</v>
      </c>
      <c r="G3757" s="36">
        <f t="shared" ca="1" si="61"/>
        <v>259.98765235281712</v>
      </c>
    </row>
    <row r="3758" spans="1:7" x14ac:dyDescent="0.2">
      <c r="A3758" s="6">
        <f ca="1">Model!$F$13+RAND()*(Model!$G$13-Model!$F$13)</f>
        <v>1431.818645190182</v>
      </c>
      <c r="B3758" s="31">
        <f ca="1">Model!$F$14+RAND()*(Model!$G$14-Model!$F$14)</f>
        <v>0.6743405528132953</v>
      </c>
      <c r="C3758" s="32">
        <f ca="1">Model!$F$15+RAND()*(Model!$G$15-Model!$F$15)</f>
        <v>2.5695236598299295E-2</v>
      </c>
      <c r="D3758" s="33">
        <f ca="1">Model!$F$16+RAND()*(Model!$G$16-Model!$F$16)</f>
        <v>52.534714936919478</v>
      </c>
      <c r="E3758" s="33">
        <f>Model!$D$17</f>
        <v>800</v>
      </c>
      <c r="G3758" s="36">
        <f t="shared" ca="1" si="61"/>
        <v>167.26705753724536</v>
      </c>
    </row>
    <row r="3759" spans="1:7" x14ac:dyDescent="0.2">
      <c r="A3759" s="6">
        <f ca="1">Model!$F$13+RAND()*(Model!$G$13-Model!$F$13)</f>
        <v>1600.2424865274425</v>
      </c>
      <c r="B3759" s="31">
        <f ca="1">Model!$F$14+RAND()*(Model!$G$14-Model!$F$14)</f>
        <v>0.5223601299027516</v>
      </c>
      <c r="C3759" s="32">
        <f ca="1">Model!$F$15+RAND()*(Model!$G$15-Model!$F$15)</f>
        <v>4.9104130578998539E-2</v>
      </c>
      <c r="D3759" s="33">
        <f ca="1">Model!$F$16+RAND()*(Model!$G$16-Model!$F$16)</f>
        <v>48.168795915426159</v>
      </c>
      <c r="E3759" s="33">
        <f>Model!$D$17</f>
        <v>800</v>
      </c>
      <c r="G3759" s="36">
        <f t="shared" ca="1" si="61"/>
        <v>2149.1296281976911</v>
      </c>
    </row>
    <row r="3760" spans="1:7" x14ac:dyDescent="0.2">
      <c r="A3760" s="6">
        <f ca="1">Model!$F$13+RAND()*(Model!$G$13-Model!$F$13)</f>
        <v>1583.0992555727407</v>
      </c>
      <c r="B3760" s="31">
        <f ca="1">Model!$F$14+RAND()*(Model!$G$14-Model!$F$14)</f>
        <v>0.79164898628832892</v>
      </c>
      <c r="C3760" s="32">
        <f ca="1">Model!$F$15+RAND()*(Model!$G$15-Model!$F$15)</f>
        <v>2.1597379265525081E-2</v>
      </c>
      <c r="D3760" s="33">
        <f ca="1">Model!$F$16+RAND()*(Model!$G$16-Model!$F$16)</f>
        <v>52.153185352293285</v>
      </c>
      <c r="E3760" s="33">
        <f>Model!$D$17</f>
        <v>800</v>
      </c>
      <c r="G3760" s="36">
        <f t="shared" ca="1" si="61"/>
        <v>-270.10004993105508</v>
      </c>
    </row>
    <row r="3761" spans="1:7" x14ac:dyDescent="0.2">
      <c r="A3761" s="6">
        <f ca="1">Model!$F$13+RAND()*(Model!$G$13-Model!$F$13)</f>
        <v>1302.342755818815</v>
      </c>
      <c r="B3761" s="31">
        <f ca="1">Model!$F$14+RAND()*(Model!$G$14-Model!$F$14)</f>
        <v>0.23979829402157715</v>
      </c>
      <c r="C3761" s="32">
        <f ca="1">Model!$F$15+RAND()*(Model!$G$15-Model!$F$15)</f>
        <v>2.0186994838894558E-2</v>
      </c>
      <c r="D3761" s="33">
        <f ca="1">Model!$F$16+RAND()*(Model!$G$16-Model!$F$16)</f>
        <v>51.92245377151238</v>
      </c>
      <c r="E3761" s="33">
        <f>Model!$D$17</f>
        <v>800</v>
      </c>
      <c r="G3761" s="36">
        <f t="shared" ca="1" si="61"/>
        <v>252.76180609517178</v>
      </c>
    </row>
    <row r="3762" spans="1:7" x14ac:dyDescent="0.2">
      <c r="A3762" s="6">
        <f ca="1">Model!$F$13+RAND()*(Model!$G$13-Model!$F$13)</f>
        <v>1205.9790857595299</v>
      </c>
      <c r="B3762" s="31">
        <f ca="1">Model!$F$14+RAND()*(Model!$G$14-Model!$F$14)</f>
        <v>0.38186791292394984</v>
      </c>
      <c r="C3762" s="32">
        <f ca="1">Model!$F$15+RAND()*(Model!$G$15-Model!$F$15)</f>
        <v>2.7658368322148894E-2</v>
      </c>
      <c r="D3762" s="33">
        <f ca="1">Model!$F$16+RAND()*(Model!$G$16-Model!$F$16)</f>
        <v>48.54214491121261</v>
      </c>
      <c r="E3762" s="33">
        <f>Model!$D$17</f>
        <v>800</v>
      </c>
      <c r="G3762" s="36">
        <f t="shared" ca="1" si="61"/>
        <v>358.61861096487814</v>
      </c>
    </row>
    <row r="3763" spans="1:7" x14ac:dyDescent="0.2">
      <c r="A3763" s="6">
        <f ca="1">Model!$F$13+RAND()*(Model!$G$13-Model!$F$13)</f>
        <v>1407.8727668490012</v>
      </c>
      <c r="B3763" s="31">
        <f ca="1">Model!$F$14+RAND()*(Model!$G$14-Model!$F$14)</f>
        <v>0.67009920615543417</v>
      </c>
      <c r="C3763" s="32">
        <f ca="1">Model!$F$15+RAND()*(Model!$G$15-Model!$F$15)</f>
        <v>4.1321099516624576E-2</v>
      </c>
      <c r="D3763" s="33">
        <f ca="1">Model!$F$16+RAND()*(Model!$G$16-Model!$F$16)</f>
        <v>50.882419855759018</v>
      </c>
      <c r="E3763" s="33">
        <f>Model!$D$17</f>
        <v>800</v>
      </c>
      <c r="G3763" s="36">
        <f t="shared" ca="1" si="61"/>
        <v>1216.6627552208261</v>
      </c>
    </row>
    <row r="3764" spans="1:7" x14ac:dyDescent="0.2">
      <c r="A3764" s="6">
        <f ca="1">Model!$F$13+RAND()*(Model!$G$13-Model!$F$13)</f>
        <v>1781.639249095364</v>
      </c>
      <c r="B3764" s="31">
        <f ca="1">Model!$F$14+RAND()*(Model!$G$14-Model!$F$14)</f>
        <v>0.42039763646850503</v>
      </c>
      <c r="C3764" s="32">
        <f ca="1">Model!$F$15+RAND()*(Model!$G$15-Model!$F$15)</f>
        <v>3.1739062738842326E-2</v>
      </c>
      <c r="D3764" s="33">
        <f ca="1">Model!$F$16+RAND()*(Model!$G$16-Model!$F$16)</f>
        <v>52.916851773409626</v>
      </c>
      <c r="E3764" s="33">
        <f>Model!$D$17</f>
        <v>800</v>
      </c>
      <c r="G3764" s="36">
        <f t="shared" ca="1" si="61"/>
        <v>1443.3219162828209</v>
      </c>
    </row>
    <row r="3765" spans="1:7" x14ac:dyDescent="0.2">
      <c r="A3765" s="6">
        <f ca="1">Model!$F$13+RAND()*(Model!$G$13-Model!$F$13)</f>
        <v>1528.7429487346117</v>
      </c>
      <c r="B3765" s="31">
        <f ca="1">Model!$F$14+RAND()*(Model!$G$14-Model!$F$14)</f>
        <v>0.76808064712379154</v>
      </c>
      <c r="C3765" s="32">
        <f ca="1">Model!$F$15+RAND()*(Model!$G$15-Model!$F$15)</f>
        <v>2.1305587713285785E-2</v>
      </c>
      <c r="D3765" s="33">
        <f ca="1">Model!$F$16+RAND()*(Model!$G$16-Model!$F$16)</f>
        <v>48.358708414163083</v>
      </c>
      <c r="E3765" s="33">
        <f>Model!$D$17</f>
        <v>800</v>
      </c>
      <c r="G3765" s="36">
        <f t="shared" ca="1" si="61"/>
        <v>-399.11764988067353</v>
      </c>
    </row>
    <row r="3766" spans="1:7" x14ac:dyDescent="0.2">
      <c r="A3766" s="6">
        <f ca="1">Model!$F$13+RAND()*(Model!$G$13-Model!$F$13)</f>
        <v>1226.7071850275213</v>
      </c>
      <c r="B3766" s="31">
        <f ca="1">Model!$F$14+RAND()*(Model!$G$14-Model!$F$14)</f>
        <v>0.59683140977842741</v>
      </c>
      <c r="C3766" s="32">
        <f ca="1">Model!$F$15+RAND()*(Model!$G$15-Model!$F$15)</f>
        <v>2.6260034037534047E-2</v>
      </c>
      <c r="D3766" s="33">
        <f ca="1">Model!$F$16+RAND()*(Model!$G$16-Model!$F$16)</f>
        <v>47.137673483320057</v>
      </c>
      <c r="E3766" s="33">
        <f>Model!$D$17</f>
        <v>800</v>
      </c>
      <c r="G3766" s="36">
        <f t="shared" ca="1" si="61"/>
        <v>-13.673947086193266</v>
      </c>
    </row>
    <row r="3767" spans="1:7" x14ac:dyDescent="0.2">
      <c r="A3767" s="6">
        <f ca="1">Model!$F$13+RAND()*(Model!$G$13-Model!$F$13)</f>
        <v>1238.3318966318593</v>
      </c>
      <c r="B3767" s="31">
        <f ca="1">Model!$F$14+RAND()*(Model!$G$14-Model!$F$14)</f>
        <v>0.41719390438443554</v>
      </c>
      <c r="C3767" s="32">
        <f ca="1">Model!$F$15+RAND()*(Model!$G$15-Model!$F$15)</f>
        <v>1.4715600499303153E-2</v>
      </c>
      <c r="D3767" s="33">
        <f ca="1">Model!$F$16+RAND()*(Model!$G$16-Model!$F$16)</f>
        <v>49.11952182424956</v>
      </c>
      <c r="E3767" s="33">
        <f>Model!$D$17</f>
        <v>800</v>
      </c>
      <c r="G3767" s="36">
        <f t="shared" ca="1" si="61"/>
        <v>-421.52942053976017</v>
      </c>
    </row>
    <row r="3768" spans="1:7" x14ac:dyDescent="0.2">
      <c r="A3768" s="6">
        <f ca="1">Model!$F$13+RAND()*(Model!$G$13-Model!$F$13)</f>
        <v>1668.3826879683397</v>
      </c>
      <c r="B3768" s="31">
        <f ca="1">Model!$F$14+RAND()*(Model!$G$14-Model!$F$14)</f>
        <v>0.51740114325914099</v>
      </c>
      <c r="C3768" s="32">
        <f ca="1">Model!$F$15+RAND()*(Model!$G$15-Model!$F$15)</f>
        <v>1.5377803522151349E-2</v>
      </c>
      <c r="D3768" s="33">
        <f ca="1">Model!$F$16+RAND()*(Model!$G$16-Model!$F$16)</f>
        <v>50.16342124970199</v>
      </c>
      <c r="E3768" s="33">
        <f>Model!$D$17</f>
        <v>800</v>
      </c>
      <c r="G3768" s="36">
        <f t="shared" ca="1" si="61"/>
        <v>-376.22730580208031</v>
      </c>
    </row>
    <row r="3769" spans="1:7" x14ac:dyDescent="0.2">
      <c r="A3769" s="6">
        <f ca="1">Model!$F$13+RAND()*(Model!$G$13-Model!$F$13)</f>
        <v>1216.6271359179009</v>
      </c>
      <c r="B3769" s="31">
        <f ca="1">Model!$F$14+RAND()*(Model!$G$14-Model!$F$14)</f>
        <v>0.37259726257947812</v>
      </c>
      <c r="C3769" s="32">
        <f ca="1">Model!$F$15+RAND()*(Model!$G$15-Model!$F$15)</f>
        <v>1.2409555212301058E-2</v>
      </c>
      <c r="D3769" s="33">
        <f ca="1">Model!$F$16+RAND()*(Model!$G$16-Model!$F$16)</f>
        <v>48.563355509657029</v>
      </c>
      <c r="E3769" s="33">
        <f>Model!$D$17</f>
        <v>800</v>
      </c>
      <c r="G3769" s="36">
        <f t="shared" ca="1" si="61"/>
        <v>-520.11203313293151</v>
      </c>
    </row>
    <row r="3770" spans="1:7" x14ac:dyDescent="0.2">
      <c r="A3770" s="6">
        <f ca="1">Model!$F$13+RAND()*(Model!$G$13-Model!$F$13)</f>
        <v>1611.793053961947</v>
      </c>
      <c r="B3770" s="31">
        <f ca="1">Model!$F$14+RAND()*(Model!$G$14-Model!$F$14)</f>
        <v>0.79492683882655957</v>
      </c>
      <c r="C3770" s="32">
        <f ca="1">Model!$F$15+RAND()*(Model!$G$15-Model!$F$15)</f>
        <v>3.2055971084993903E-2</v>
      </c>
      <c r="D3770" s="33">
        <f ca="1">Model!$F$16+RAND()*(Model!$G$16-Model!$F$16)</f>
        <v>52.778675250316503</v>
      </c>
      <c r="E3770" s="33">
        <f>Model!$D$17</f>
        <v>800</v>
      </c>
      <c r="G3770" s="36">
        <f t="shared" ca="1" si="61"/>
        <v>645.68947724698137</v>
      </c>
    </row>
    <row r="3771" spans="1:7" x14ac:dyDescent="0.2">
      <c r="A3771" s="6">
        <f ca="1">Model!$F$13+RAND()*(Model!$G$13-Model!$F$13)</f>
        <v>1484.5502770327205</v>
      </c>
      <c r="B3771" s="31">
        <f ca="1">Model!$F$14+RAND()*(Model!$G$14-Model!$F$14)</f>
        <v>0.46535432578404196</v>
      </c>
      <c r="C3771" s="32">
        <f ca="1">Model!$F$15+RAND()*(Model!$G$15-Model!$F$15)</f>
        <v>2.5401236044362792E-2</v>
      </c>
      <c r="D3771" s="33">
        <f ca="1">Model!$F$16+RAND()*(Model!$G$16-Model!$F$16)</f>
        <v>51.098729406359176</v>
      </c>
      <c r="E3771" s="33">
        <f>Model!$D$17</f>
        <v>800</v>
      </c>
      <c r="G3771" s="36">
        <f t="shared" ca="1" si="61"/>
        <v>436.06114693874156</v>
      </c>
    </row>
    <row r="3772" spans="1:7" x14ac:dyDescent="0.2">
      <c r="A3772" s="6">
        <f ca="1">Model!$F$13+RAND()*(Model!$G$13-Model!$F$13)</f>
        <v>1291.3422851713872</v>
      </c>
      <c r="B3772" s="31">
        <f ca="1">Model!$F$14+RAND()*(Model!$G$14-Model!$F$14)</f>
        <v>0.27700150596552042</v>
      </c>
      <c r="C3772" s="32">
        <f ca="1">Model!$F$15+RAND()*(Model!$G$15-Model!$F$15)</f>
        <v>3.1783610291103832E-2</v>
      </c>
      <c r="D3772" s="33">
        <f ca="1">Model!$F$16+RAND()*(Model!$G$16-Model!$F$16)</f>
        <v>52.217112242292558</v>
      </c>
      <c r="E3772" s="33">
        <f>Model!$D$17</f>
        <v>800</v>
      </c>
      <c r="G3772" s="36">
        <f t="shared" ca="1" si="61"/>
        <v>985.47033004142213</v>
      </c>
    </row>
    <row r="3773" spans="1:7" x14ac:dyDescent="0.2">
      <c r="A3773" s="6">
        <f ca="1">Model!$F$13+RAND()*(Model!$G$13-Model!$F$13)</f>
        <v>1622.4982073090725</v>
      </c>
      <c r="B3773" s="31">
        <f ca="1">Model!$F$14+RAND()*(Model!$G$14-Model!$F$14)</f>
        <v>0.65905521113382926</v>
      </c>
      <c r="C3773" s="32">
        <f ca="1">Model!$F$15+RAND()*(Model!$G$15-Model!$F$15)</f>
        <v>3.9202580955367695E-2</v>
      </c>
      <c r="D3773" s="33">
        <f ca="1">Model!$F$16+RAND()*(Model!$G$16-Model!$F$16)</f>
        <v>47.131416089714506</v>
      </c>
      <c r="E3773" s="33">
        <f>Model!$D$17</f>
        <v>800</v>
      </c>
      <c r="G3773" s="36">
        <f t="shared" ca="1" si="61"/>
        <v>1128.5304827707605</v>
      </c>
    </row>
    <row r="3774" spans="1:7" x14ac:dyDescent="0.2">
      <c r="A3774" s="6">
        <f ca="1">Model!$F$13+RAND()*(Model!$G$13-Model!$F$13)</f>
        <v>1554.3044570042978</v>
      </c>
      <c r="B3774" s="31">
        <f ca="1">Model!$F$14+RAND()*(Model!$G$14-Model!$F$14)</f>
        <v>0.71389360677515401</v>
      </c>
      <c r="C3774" s="32">
        <f ca="1">Model!$F$15+RAND()*(Model!$G$15-Model!$F$15)</f>
        <v>1.0689154290363052E-2</v>
      </c>
      <c r="D3774" s="33">
        <f ca="1">Model!$F$16+RAND()*(Model!$G$16-Model!$F$16)</f>
        <v>48.44548208661395</v>
      </c>
      <c r="E3774" s="33">
        <f>Model!$D$17</f>
        <v>800</v>
      </c>
      <c r="G3774" s="36">
        <f t="shared" ca="1" si="61"/>
        <v>-1104.7250788393123</v>
      </c>
    </row>
    <row r="3775" spans="1:7" x14ac:dyDescent="0.2">
      <c r="A3775" s="6">
        <f ca="1">Model!$F$13+RAND()*(Model!$G$13-Model!$F$13)</f>
        <v>1205.5750673604089</v>
      </c>
      <c r="B3775" s="31">
        <f ca="1">Model!$F$14+RAND()*(Model!$G$14-Model!$F$14)</f>
        <v>0.27677517909949229</v>
      </c>
      <c r="C3775" s="32">
        <f ca="1">Model!$F$15+RAND()*(Model!$G$15-Model!$F$15)</f>
        <v>2.1927596098807359E-2</v>
      </c>
      <c r="D3775" s="33">
        <f ca="1">Model!$F$16+RAND()*(Model!$G$16-Model!$F$16)</f>
        <v>52.516914274252422</v>
      </c>
      <c r="E3775" s="33">
        <f>Model!$D$17</f>
        <v>800</v>
      </c>
      <c r="G3775" s="36">
        <f t="shared" ca="1" si="61"/>
        <v>254.63044484887291</v>
      </c>
    </row>
    <row r="3776" spans="1:7" x14ac:dyDescent="0.2">
      <c r="A3776" s="6">
        <f ca="1">Model!$F$13+RAND()*(Model!$G$13-Model!$F$13)</f>
        <v>1207.2817315658831</v>
      </c>
      <c r="B3776" s="31">
        <f ca="1">Model!$F$14+RAND()*(Model!$G$14-Model!$F$14)</f>
        <v>0.55406641103978016</v>
      </c>
      <c r="C3776" s="32">
        <f ca="1">Model!$F$15+RAND()*(Model!$G$15-Model!$F$15)</f>
        <v>3.5326030508507945E-2</v>
      </c>
      <c r="D3776" s="33">
        <f ca="1">Model!$F$16+RAND()*(Model!$G$16-Model!$F$16)</f>
        <v>52.484060693258272</v>
      </c>
      <c r="E3776" s="33">
        <f>Model!$D$17</f>
        <v>800</v>
      </c>
      <c r="G3776" s="36">
        <f t="shared" ca="1" si="61"/>
        <v>769.45069909876133</v>
      </c>
    </row>
    <row r="3777" spans="1:7" x14ac:dyDescent="0.2">
      <c r="A3777" s="6">
        <f ca="1">Model!$F$13+RAND()*(Model!$G$13-Model!$F$13)</f>
        <v>1390.3642418864115</v>
      </c>
      <c r="B3777" s="31">
        <f ca="1">Model!$F$14+RAND()*(Model!$G$14-Model!$F$14)</f>
        <v>0.36430966565027068</v>
      </c>
      <c r="C3777" s="32">
        <f ca="1">Model!$F$15+RAND()*(Model!$G$15-Model!$F$15)</f>
        <v>3.3655297436420407E-2</v>
      </c>
      <c r="D3777" s="33">
        <f ca="1">Model!$F$16+RAND()*(Model!$G$16-Model!$F$16)</f>
        <v>51.736131655846947</v>
      </c>
      <c r="E3777" s="33">
        <f>Model!$D$17</f>
        <v>800</v>
      </c>
      <c r="G3777" s="36">
        <f t="shared" ca="1" si="61"/>
        <v>1114.3719937523178</v>
      </c>
    </row>
    <row r="3778" spans="1:7" x14ac:dyDescent="0.2">
      <c r="A3778" s="6">
        <f ca="1">Model!$F$13+RAND()*(Model!$G$13-Model!$F$13)</f>
        <v>1619.0114562509521</v>
      </c>
      <c r="B3778" s="31">
        <f ca="1">Model!$F$14+RAND()*(Model!$G$14-Model!$F$14)</f>
        <v>0.61567269926796642</v>
      </c>
      <c r="C3778" s="32">
        <f ca="1">Model!$F$15+RAND()*(Model!$G$15-Model!$F$15)</f>
        <v>1.892699683584715E-2</v>
      </c>
      <c r="D3778" s="33">
        <f ca="1">Model!$F$16+RAND()*(Model!$G$16-Model!$F$16)</f>
        <v>50.729558335159936</v>
      </c>
      <c r="E3778" s="33">
        <f>Model!$D$17</f>
        <v>800</v>
      </c>
      <c r="G3778" s="36">
        <f t="shared" ca="1" si="61"/>
        <v>-242.27404384123611</v>
      </c>
    </row>
    <row r="3779" spans="1:7" x14ac:dyDescent="0.2">
      <c r="A3779" s="6">
        <f ca="1">Model!$F$13+RAND()*(Model!$G$13-Model!$F$13)</f>
        <v>1330.8978326846127</v>
      </c>
      <c r="B3779" s="31">
        <f ca="1">Model!$F$14+RAND()*(Model!$G$14-Model!$F$14)</f>
        <v>0.50598899037087008</v>
      </c>
      <c r="C3779" s="32">
        <f ca="1">Model!$F$15+RAND()*(Model!$G$15-Model!$F$15)</f>
        <v>2.6202245146612201E-2</v>
      </c>
      <c r="D3779" s="33">
        <f ca="1">Model!$F$16+RAND()*(Model!$G$16-Model!$F$16)</f>
        <v>50.883068294660703</v>
      </c>
      <c r="E3779" s="33">
        <f>Model!$D$17</f>
        <v>800</v>
      </c>
      <c r="G3779" s="36">
        <f t="shared" ca="1" si="61"/>
        <v>301.0007222719903</v>
      </c>
    </row>
    <row r="3780" spans="1:7" x14ac:dyDescent="0.2">
      <c r="A3780" s="6">
        <f ca="1">Model!$F$13+RAND()*(Model!$G$13-Model!$F$13)</f>
        <v>1297.7758420569151</v>
      </c>
      <c r="B3780" s="31">
        <f ca="1">Model!$F$14+RAND()*(Model!$G$14-Model!$F$14)</f>
        <v>0.56752832201312198</v>
      </c>
      <c r="C3780" s="32">
        <f ca="1">Model!$F$15+RAND()*(Model!$G$15-Model!$F$15)</f>
        <v>3.6964941075801672E-2</v>
      </c>
      <c r="D3780" s="33">
        <f ca="1">Model!$F$16+RAND()*(Model!$G$16-Model!$F$16)</f>
        <v>49.646044286783216</v>
      </c>
      <c r="E3780" s="33">
        <f>Model!$D$17</f>
        <v>800</v>
      </c>
      <c r="G3780" s="36">
        <f t="shared" ca="1" si="61"/>
        <v>845.10579363860961</v>
      </c>
    </row>
    <row r="3781" spans="1:7" x14ac:dyDescent="0.2">
      <c r="A3781" s="6">
        <f ca="1">Model!$F$13+RAND()*(Model!$G$13-Model!$F$13)</f>
        <v>1321.3154212631625</v>
      </c>
      <c r="B3781" s="31">
        <f ca="1">Model!$F$14+RAND()*(Model!$G$14-Model!$F$14)</f>
        <v>0.2801643711883598</v>
      </c>
      <c r="C3781" s="32">
        <f ca="1">Model!$F$15+RAND()*(Model!$G$15-Model!$F$15)</f>
        <v>3.9832808146853908E-2</v>
      </c>
      <c r="D3781" s="33">
        <f ca="1">Model!$F$16+RAND()*(Model!$G$16-Model!$F$16)</f>
        <v>52.125081469280559</v>
      </c>
      <c r="E3781" s="33">
        <f>Model!$D$17</f>
        <v>800</v>
      </c>
      <c r="G3781" s="36">
        <f t="shared" ca="1" si="61"/>
        <v>1573.246337872999</v>
      </c>
    </row>
    <row r="3782" spans="1:7" x14ac:dyDescent="0.2">
      <c r="A3782" s="6">
        <f ca="1">Model!$F$13+RAND()*(Model!$G$13-Model!$F$13)</f>
        <v>1306.9513850996238</v>
      </c>
      <c r="B3782" s="31">
        <f ca="1">Model!$F$14+RAND()*(Model!$G$14-Model!$F$14)</f>
        <v>0.37626176959516677</v>
      </c>
      <c r="C3782" s="32">
        <f ca="1">Model!$F$15+RAND()*(Model!$G$15-Model!$F$15)</f>
        <v>2.6870957599205068E-2</v>
      </c>
      <c r="D3782" s="33">
        <f ca="1">Model!$F$16+RAND()*(Model!$G$16-Model!$F$16)</f>
        <v>49.07765734476294</v>
      </c>
      <c r="E3782" s="33">
        <f>Model!$D$17</f>
        <v>800</v>
      </c>
      <c r="G3782" s="36">
        <f t="shared" ca="1" si="61"/>
        <v>431.80413750444563</v>
      </c>
    </row>
    <row r="3783" spans="1:7" x14ac:dyDescent="0.2">
      <c r="A3783" s="6">
        <f ca="1">Model!$F$13+RAND()*(Model!$G$13-Model!$F$13)</f>
        <v>1593.3860548504604</v>
      </c>
      <c r="B3783" s="31">
        <f ca="1">Model!$F$14+RAND()*(Model!$G$14-Model!$F$14)</f>
        <v>0.62916765008384612</v>
      </c>
      <c r="C3783" s="32">
        <f ca="1">Model!$F$15+RAND()*(Model!$G$15-Model!$F$15)</f>
        <v>2.7473944389795585E-2</v>
      </c>
      <c r="D3783" s="33">
        <f ca="1">Model!$F$16+RAND()*(Model!$G$16-Model!$F$16)</f>
        <v>51.717719470143379</v>
      </c>
      <c r="E3783" s="33">
        <f>Model!$D$17</f>
        <v>800</v>
      </c>
      <c r="G3783" s="36">
        <f t="shared" ca="1" si="61"/>
        <v>461.51895123561621</v>
      </c>
    </row>
    <row r="3784" spans="1:7" x14ac:dyDescent="0.2">
      <c r="A3784" s="6">
        <f ca="1">Model!$F$13+RAND()*(Model!$G$13-Model!$F$13)</f>
        <v>1774.4163273770246</v>
      </c>
      <c r="B3784" s="31">
        <f ca="1">Model!$F$14+RAND()*(Model!$G$14-Model!$F$14)</f>
        <v>0.50828872252589918</v>
      </c>
      <c r="C3784" s="32">
        <f ca="1">Model!$F$15+RAND()*(Model!$G$15-Model!$F$15)</f>
        <v>1.9766569030242903E-2</v>
      </c>
      <c r="D3784" s="33">
        <f ca="1">Model!$F$16+RAND()*(Model!$G$16-Model!$F$16)</f>
        <v>49.111666590554208</v>
      </c>
      <c r="E3784" s="33">
        <f>Model!$D$17</f>
        <v>800</v>
      </c>
      <c r="G3784" s="36">
        <f t="shared" ca="1" si="61"/>
        <v>20.63281779172712</v>
      </c>
    </row>
    <row r="3785" spans="1:7" x14ac:dyDescent="0.2">
      <c r="A3785" s="6">
        <f ca="1">Model!$F$13+RAND()*(Model!$G$13-Model!$F$13)</f>
        <v>1647.1410673307691</v>
      </c>
      <c r="B3785" s="31">
        <f ca="1">Model!$F$14+RAND()*(Model!$G$14-Model!$F$14)</f>
        <v>0.65104265814578743</v>
      </c>
      <c r="C3785" s="32">
        <f ca="1">Model!$F$15+RAND()*(Model!$G$15-Model!$F$15)</f>
        <v>3.1798056662614489E-2</v>
      </c>
      <c r="D3785" s="33">
        <f ca="1">Model!$F$16+RAND()*(Model!$G$16-Model!$F$16)</f>
        <v>50.892062681296395</v>
      </c>
      <c r="E3785" s="33">
        <f>Model!$D$17</f>
        <v>800</v>
      </c>
      <c r="G3785" s="36">
        <f t="shared" ca="1" si="61"/>
        <v>793.15772309876343</v>
      </c>
    </row>
    <row r="3786" spans="1:7" x14ac:dyDescent="0.2">
      <c r="A3786" s="6">
        <f ca="1">Model!$F$13+RAND()*(Model!$G$13-Model!$F$13)</f>
        <v>1460.307936244951</v>
      </c>
      <c r="B3786" s="31">
        <f ca="1">Model!$F$14+RAND()*(Model!$G$14-Model!$F$14)</f>
        <v>0.54307637812853582</v>
      </c>
      <c r="C3786" s="32">
        <f ca="1">Model!$F$15+RAND()*(Model!$G$15-Model!$F$15)</f>
        <v>4.0525824307927304E-2</v>
      </c>
      <c r="D3786" s="33">
        <f ca="1">Model!$F$16+RAND()*(Model!$G$16-Model!$F$16)</f>
        <v>47.617783350954603</v>
      </c>
      <c r="E3786" s="33">
        <f>Model!$D$17</f>
        <v>800</v>
      </c>
      <c r="G3786" s="36">
        <f t="shared" ca="1" si="61"/>
        <v>1224.9703811164632</v>
      </c>
    </row>
    <row r="3787" spans="1:7" x14ac:dyDescent="0.2">
      <c r="A3787" s="6">
        <f ca="1">Model!$F$13+RAND()*(Model!$G$13-Model!$F$13)</f>
        <v>1691.419341957979</v>
      </c>
      <c r="B3787" s="31">
        <f ca="1">Model!$F$14+RAND()*(Model!$G$14-Model!$F$14)</f>
        <v>0.65176335266011654</v>
      </c>
      <c r="C3787" s="32">
        <f ca="1">Model!$F$15+RAND()*(Model!$G$15-Model!$F$15)</f>
        <v>3.7136822372564791E-2</v>
      </c>
      <c r="D3787" s="33">
        <f ca="1">Model!$F$16+RAND()*(Model!$G$16-Model!$F$16)</f>
        <v>48.844602749017554</v>
      </c>
      <c r="E3787" s="33">
        <f>Model!$D$17</f>
        <v>800</v>
      </c>
      <c r="G3787" s="36">
        <f t="shared" ca="1" si="61"/>
        <v>1165.7167887156677</v>
      </c>
    </row>
    <row r="3788" spans="1:7" x14ac:dyDescent="0.2">
      <c r="A3788" s="6">
        <f ca="1">Model!$F$13+RAND()*(Model!$G$13-Model!$F$13)</f>
        <v>1323.8415913232229</v>
      </c>
      <c r="B3788" s="31">
        <f ca="1">Model!$F$14+RAND()*(Model!$G$14-Model!$F$14)</f>
        <v>0.55415661254197757</v>
      </c>
      <c r="C3788" s="32">
        <f ca="1">Model!$F$15+RAND()*(Model!$G$15-Model!$F$15)</f>
        <v>4.9376750914462329E-2</v>
      </c>
      <c r="D3788" s="33">
        <f ca="1">Model!$F$16+RAND()*(Model!$G$16-Model!$F$16)</f>
        <v>50.745305661760881</v>
      </c>
      <c r="E3788" s="33">
        <f>Model!$D$17</f>
        <v>800</v>
      </c>
      <c r="G3788" s="36">
        <f t="shared" ca="1" si="61"/>
        <v>1783.4526460462116</v>
      </c>
    </row>
    <row r="3789" spans="1:7" x14ac:dyDescent="0.2">
      <c r="A3789" s="6">
        <f ca="1">Model!$F$13+RAND()*(Model!$G$13-Model!$F$13)</f>
        <v>1791.3765581853099</v>
      </c>
      <c r="B3789" s="31">
        <f ca="1">Model!$F$14+RAND()*(Model!$G$14-Model!$F$14)</f>
        <v>0.73023615867067027</v>
      </c>
      <c r="C3789" s="32">
        <f ca="1">Model!$F$15+RAND()*(Model!$G$15-Model!$F$15)</f>
        <v>1.0778396208648866E-2</v>
      </c>
      <c r="D3789" s="33">
        <f ca="1">Model!$F$16+RAND()*(Model!$G$16-Model!$F$16)</f>
        <v>48.213586406203902</v>
      </c>
      <c r="E3789" s="33">
        <f>Model!$D$17</f>
        <v>800</v>
      </c>
      <c r="G3789" s="36">
        <f t="shared" ca="1" si="61"/>
        <v>-1177.2119921865449</v>
      </c>
    </row>
    <row r="3790" spans="1:7" x14ac:dyDescent="0.2">
      <c r="A3790" s="6">
        <f ca="1">Model!$F$13+RAND()*(Model!$G$13-Model!$F$13)</f>
        <v>1451.7616392308532</v>
      </c>
      <c r="B3790" s="31">
        <f ca="1">Model!$F$14+RAND()*(Model!$G$14-Model!$F$14)</f>
        <v>0.65157949291722406</v>
      </c>
      <c r="C3790" s="32">
        <f ca="1">Model!$F$15+RAND()*(Model!$G$15-Model!$F$15)</f>
        <v>1.9114823135212861E-2</v>
      </c>
      <c r="D3790" s="33">
        <f ca="1">Model!$F$16+RAND()*(Model!$G$16-Model!$F$16)</f>
        <v>52.415484414710242</v>
      </c>
      <c r="E3790" s="33">
        <f>Model!$D$17</f>
        <v>800</v>
      </c>
      <c r="G3790" s="36">
        <f t="shared" ca="1" si="61"/>
        <v>-291.39966848975473</v>
      </c>
    </row>
    <row r="3791" spans="1:7" x14ac:dyDescent="0.2">
      <c r="A3791" s="6">
        <f ca="1">Model!$F$13+RAND()*(Model!$G$13-Model!$F$13)</f>
        <v>1472.660697903345</v>
      </c>
      <c r="B3791" s="31">
        <f ca="1">Model!$F$14+RAND()*(Model!$G$14-Model!$F$14)</f>
        <v>0.54381855412039304</v>
      </c>
      <c r="C3791" s="32">
        <f ca="1">Model!$F$15+RAND()*(Model!$G$15-Model!$F$15)</f>
        <v>3.9582379319554065E-2</v>
      </c>
      <c r="D3791" s="33">
        <f ca="1">Model!$F$16+RAND()*(Model!$G$16-Model!$F$16)</f>
        <v>49.1917335787113</v>
      </c>
      <c r="E3791" s="33">
        <f>Model!$D$17</f>
        <v>800</v>
      </c>
      <c r="G3791" s="36">
        <f t="shared" ca="1" si="61"/>
        <v>1266.5955133554578</v>
      </c>
    </row>
    <row r="3792" spans="1:7" x14ac:dyDescent="0.2">
      <c r="A3792" s="6">
        <f ca="1">Model!$F$13+RAND()*(Model!$G$13-Model!$F$13)</f>
        <v>1653.3835309481158</v>
      </c>
      <c r="B3792" s="31">
        <f ca="1">Model!$F$14+RAND()*(Model!$G$14-Model!$F$14)</f>
        <v>0.67042890655447851</v>
      </c>
      <c r="C3792" s="32">
        <f ca="1">Model!$F$15+RAND()*(Model!$G$15-Model!$F$15)</f>
        <v>1.4367428546959365E-2</v>
      </c>
      <c r="D3792" s="33">
        <f ca="1">Model!$F$16+RAND()*(Model!$G$16-Model!$F$16)</f>
        <v>51.591731380680301</v>
      </c>
      <c r="E3792" s="33">
        <f>Model!$D$17</f>
        <v>800</v>
      </c>
      <c r="G3792" s="36">
        <f t="shared" ca="1" si="61"/>
        <v>-682.92125407620256</v>
      </c>
    </row>
    <row r="3793" spans="1:7" x14ac:dyDescent="0.2">
      <c r="A3793" s="6">
        <f ca="1">Model!$F$13+RAND()*(Model!$G$13-Model!$F$13)</f>
        <v>1300.8770311503122</v>
      </c>
      <c r="B3793" s="31">
        <f ca="1">Model!$F$14+RAND()*(Model!$G$14-Model!$F$14)</f>
        <v>0.39903265012590089</v>
      </c>
      <c r="C3793" s="32">
        <f ca="1">Model!$F$15+RAND()*(Model!$G$15-Model!$F$15)</f>
        <v>3.5385619455577728E-2</v>
      </c>
      <c r="D3793" s="33">
        <f ca="1">Model!$F$16+RAND()*(Model!$G$16-Model!$F$16)</f>
        <v>52.858679262580353</v>
      </c>
      <c r="E3793" s="33">
        <f>Model!$D$17</f>
        <v>800</v>
      </c>
      <c r="G3793" s="36">
        <f t="shared" ca="1" si="61"/>
        <v>1114.11626448488</v>
      </c>
    </row>
    <row r="3794" spans="1:7" x14ac:dyDescent="0.2">
      <c r="A3794" s="6">
        <f ca="1">Model!$F$13+RAND()*(Model!$G$13-Model!$F$13)</f>
        <v>1778.7979222451054</v>
      </c>
      <c r="B3794" s="31">
        <f ca="1">Model!$F$14+RAND()*(Model!$G$14-Model!$F$14)</f>
        <v>0.47741073979617948</v>
      </c>
      <c r="C3794" s="32">
        <f ca="1">Model!$F$15+RAND()*(Model!$G$15-Model!$F$15)</f>
        <v>3.9197230036777095E-2</v>
      </c>
      <c r="D3794" s="33">
        <f ca="1">Model!$F$16+RAND()*(Model!$G$16-Model!$F$16)</f>
        <v>50.452430613335004</v>
      </c>
      <c r="E3794" s="33">
        <f>Model!$D$17</f>
        <v>800</v>
      </c>
      <c r="G3794" s="36">
        <f t="shared" ca="1" si="61"/>
        <v>1868.5255854243301</v>
      </c>
    </row>
    <row r="3795" spans="1:7" x14ac:dyDescent="0.2">
      <c r="A3795" s="6">
        <f ca="1">Model!$F$13+RAND()*(Model!$G$13-Model!$F$13)</f>
        <v>1452.3626576361571</v>
      </c>
      <c r="B3795" s="31">
        <f ca="1">Model!$F$14+RAND()*(Model!$G$14-Model!$F$14)</f>
        <v>0.48140796243186057</v>
      </c>
      <c r="C3795" s="32">
        <f ca="1">Model!$F$15+RAND()*(Model!$G$15-Model!$F$15)</f>
        <v>3.1475345935856998E-2</v>
      </c>
      <c r="D3795" s="33">
        <f ca="1">Model!$F$16+RAND()*(Model!$G$16-Model!$F$16)</f>
        <v>49.943180891012062</v>
      </c>
      <c r="E3795" s="33">
        <f>Model!$D$17</f>
        <v>800</v>
      </c>
      <c r="G3795" s="36">
        <f t="shared" ca="1" si="61"/>
        <v>783.90449895546271</v>
      </c>
    </row>
    <row r="3796" spans="1:7" x14ac:dyDescent="0.2">
      <c r="A3796" s="6">
        <f ca="1">Model!$F$13+RAND()*(Model!$G$13-Model!$F$13)</f>
        <v>1227.7164634264641</v>
      </c>
      <c r="B3796" s="31">
        <f ca="1">Model!$F$14+RAND()*(Model!$G$14-Model!$F$14)</f>
        <v>0.77827233374390592</v>
      </c>
      <c r="C3796" s="32">
        <f ca="1">Model!$F$15+RAND()*(Model!$G$15-Model!$F$15)</f>
        <v>1.6648455272416384E-2</v>
      </c>
      <c r="D3796" s="33">
        <f ca="1">Model!$F$16+RAND()*(Model!$G$16-Model!$F$16)</f>
        <v>48.31669775731266</v>
      </c>
      <c r="E3796" s="33">
        <f>Model!$D$17</f>
        <v>800</v>
      </c>
      <c r="G3796" s="36">
        <f t="shared" ca="1" si="61"/>
        <v>-767.92462101674948</v>
      </c>
    </row>
    <row r="3797" spans="1:7" x14ac:dyDescent="0.2">
      <c r="A3797" s="6">
        <f ca="1">Model!$F$13+RAND()*(Model!$G$13-Model!$F$13)</f>
        <v>1378.1624249132176</v>
      </c>
      <c r="B3797" s="31">
        <f ca="1">Model!$F$14+RAND()*(Model!$G$14-Model!$F$14)</f>
        <v>0.728374522737681</v>
      </c>
      <c r="C3797" s="32">
        <f ca="1">Model!$F$15+RAND()*(Model!$G$15-Model!$F$15)</f>
        <v>3.7418750212269751E-2</v>
      </c>
      <c r="D3797" s="33">
        <f ca="1">Model!$F$16+RAND()*(Model!$G$16-Model!$F$16)</f>
        <v>48.807891703769194</v>
      </c>
      <c r="E3797" s="33">
        <f>Model!$D$17</f>
        <v>800</v>
      </c>
      <c r="G3797" s="36">
        <f t="shared" ca="1" si="61"/>
        <v>713.16140753469654</v>
      </c>
    </row>
    <row r="3798" spans="1:7" x14ac:dyDescent="0.2">
      <c r="A3798" s="6">
        <f ca="1">Model!$F$13+RAND()*(Model!$G$13-Model!$F$13)</f>
        <v>1584.3908081409274</v>
      </c>
      <c r="B3798" s="31">
        <f ca="1">Model!$F$14+RAND()*(Model!$G$14-Model!$F$14)</f>
        <v>0.37761888312032554</v>
      </c>
      <c r="C3798" s="32">
        <f ca="1">Model!$F$15+RAND()*(Model!$G$15-Model!$F$15)</f>
        <v>3.2706132709031929E-2</v>
      </c>
      <c r="D3798" s="33">
        <f ca="1">Model!$F$16+RAND()*(Model!$G$16-Model!$F$16)</f>
        <v>51.932635693191891</v>
      </c>
      <c r="E3798" s="33">
        <f>Model!$D$17</f>
        <v>800</v>
      </c>
      <c r="G3798" s="36">
        <f t="shared" ca="1" si="61"/>
        <v>1292.8167354165275</v>
      </c>
    </row>
    <row r="3799" spans="1:7" x14ac:dyDescent="0.2">
      <c r="A3799" s="6">
        <f ca="1">Model!$F$13+RAND()*(Model!$G$13-Model!$F$13)</f>
        <v>1566.7770182262957</v>
      </c>
      <c r="B3799" s="31">
        <f ca="1">Model!$F$14+RAND()*(Model!$G$14-Model!$F$14)</f>
        <v>0.49481233160900095</v>
      </c>
      <c r="C3799" s="32">
        <f ca="1">Model!$F$15+RAND()*(Model!$G$15-Model!$F$15)</f>
        <v>1.416805001541754E-2</v>
      </c>
      <c r="D3799" s="33">
        <f ca="1">Model!$F$16+RAND()*(Model!$G$16-Model!$F$16)</f>
        <v>52.514026027431534</v>
      </c>
      <c r="E3799" s="33">
        <f>Model!$D$17</f>
        <v>800</v>
      </c>
      <c r="G3799" s="36">
        <f t="shared" ca="1" si="61"/>
        <v>-409.54504153132802</v>
      </c>
    </row>
    <row r="3800" spans="1:7" x14ac:dyDescent="0.2">
      <c r="A3800" s="6">
        <f ca="1">Model!$F$13+RAND()*(Model!$G$13-Model!$F$13)</f>
        <v>1570.2014406759929</v>
      </c>
      <c r="B3800" s="31">
        <f ca="1">Model!$F$14+RAND()*(Model!$G$14-Model!$F$14)</f>
        <v>0.72194885582420132</v>
      </c>
      <c r="C3800" s="32">
        <f ca="1">Model!$F$15+RAND()*(Model!$G$15-Model!$F$15)</f>
        <v>2.8872088249216839E-2</v>
      </c>
      <c r="D3800" s="33">
        <f ca="1">Model!$F$16+RAND()*(Model!$G$16-Model!$F$16)</f>
        <v>50.047671151321154</v>
      </c>
      <c r="E3800" s="33">
        <f>Model!$D$17</f>
        <v>800</v>
      </c>
      <c r="G3800" s="36">
        <f t="shared" ca="1" si="61"/>
        <v>335.30576608870456</v>
      </c>
    </row>
    <row r="3801" spans="1:7" x14ac:dyDescent="0.2">
      <c r="A3801" s="6">
        <f ca="1">Model!$F$13+RAND()*(Model!$G$13-Model!$F$13)</f>
        <v>1231.8207286170889</v>
      </c>
      <c r="B3801" s="31">
        <f ca="1">Model!$F$14+RAND()*(Model!$G$14-Model!$F$14)</f>
        <v>0.41734584150723797</v>
      </c>
      <c r="C3801" s="32">
        <f ca="1">Model!$F$15+RAND()*(Model!$G$15-Model!$F$15)</f>
        <v>1.2035783289439897E-2</v>
      </c>
      <c r="D3801" s="33">
        <f ca="1">Model!$F$16+RAND()*(Model!$G$16-Model!$F$16)</f>
        <v>50.648455682602133</v>
      </c>
      <c r="E3801" s="33">
        <f>Model!$D$17</f>
        <v>800</v>
      </c>
      <c r="G3801" s="36">
        <f t="shared" ca="1" si="61"/>
        <v>-563.18493468282952</v>
      </c>
    </row>
    <row r="3802" spans="1:7" x14ac:dyDescent="0.2">
      <c r="A3802" s="6">
        <f ca="1">Model!$F$13+RAND()*(Model!$G$13-Model!$F$13)</f>
        <v>1774.4326432199928</v>
      </c>
      <c r="B3802" s="31">
        <f ca="1">Model!$F$14+RAND()*(Model!$G$14-Model!$F$14)</f>
        <v>0.75801945956555095</v>
      </c>
      <c r="C3802" s="32">
        <f ca="1">Model!$F$15+RAND()*(Model!$G$15-Model!$F$15)</f>
        <v>3.1680022448030185E-2</v>
      </c>
      <c r="D3802" s="33">
        <f ca="1">Model!$F$16+RAND()*(Model!$G$16-Model!$F$16)</f>
        <v>52.490824677426609</v>
      </c>
      <c r="E3802" s="33">
        <f>Model!$D$17</f>
        <v>800</v>
      </c>
      <c r="G3802" s="36">
        <f t="shared" ca="1" si="61"/>
        <v>805.66820797313767</v>
      </c>
    </row>
    <row r="3803" spans="1:7" x14ac:dyDescent="0.2">
      <c r="A3803" s="6">
        <f ca="1">Model!$F$13+RAND()*(Model!$G$13-Model!$F$13)</f>
        <v>1501.5662469084941</v>
      </c>
      <c r="B3803" s="31">
        <f ca="1">Model!$F$14+RAND()*(Model!$G$14-Model!$F$14)</f>
        <v>0.76031202060651948</v>
      </c>
      <c r="C3803" s="32">
        <f ca="1">Model!$F$15+RAND()*(Model!$G$15-Model!$F$15)</f>
        <v>4.9971048113569783E-2</v>
      </c>
      <c r="D3803" s="33">
        <f ca="1">Model!$F$16+RAND()*(Model!$G$16-Model!$F$16)</f>
        <v>51.413901231005255</v>
      </c>
      <c r="E3803" s="33">
        <f>Model!$D$17</f>
        <v>800</v>
      </c>
      <c r="G3803" s="36">
        <f t="shared" ca="1" si="61"/>
        <v>1916.1749427080047</v>
      </c>
    </row>
    <row r="3804" spans="1:7" x14ac:dyDescent="0.2">
      <c r="A3804" s="6">
        <f ca="1">Model!$F$13+RAND()*(Model!$G$13-Model!$F$13)</f>
        <v>1732.0119911758457</v>
      </c>
      <c r="B3804" s="31">
        <f ca="1">Model!$F$14+RAND()*(Model!$G$14-Model!$F$14)</f>
        <v>0.63803124748130047</v>
      </c>
      <c r="C3804" s="32">
        <f ca="1">Model!$F$15+RAND()*(Model!$G$15-Model!$F$15)</f>
        <v>3.3400328164928425E-2</v>
      </c>
      <c r="D3804" s="33">
        <f ca="1">Model!$F$16+RAND()*(Model!$G$16-Model!$F$16)</f>
        <v>47.004873172258677</v>
      </c>
      <c r="E3804" s="33">
        <f>Model!$D$17</f>
        <v>800</v>
      </c>
      <c r="G3804" s="36">
        <f t="shared" ca="1" si="61"/>
        <v>814.14327837705878</v>
      </c>
    </row>
    <row r="3805" spans="1:7" x14ac:dyDescent="0.2">
      <c r="A3805" s="6">
        <f ca="1">Model!$F$13+RAND()*(Model!$G$13-Model!$F$13)</f>
        <v>1309.6432714438456</v>
      </c>
      <c r="B3805" s="31">
        <f ca="1">Model!$F$14+RAND()*(Model!$G$14-Model!$F$14)</f>
        <v>0.71498320855540398</v>
      </c>
      <c r="C3805" s="32">
        <f ca="1">Model!$F$15+RAND()*(Model!$G$15-Model!$F$15)</f>
        <v>1.3903354404291917E-2</v>
      </c>
      <c r="D3805" s="33">
        <f ca="1">Model!$F$16+RAND()*(Model!$G$16-Model!$F$16)</f>
        <v>49.343698676538878</v>
      </c>
      <c r="E3805" s="33">
        <f>Model!$D$17</f>
        <v>800</v>
      </c>
      <c r="G3805" s="36">
        <f t="shared" ca="1" si="61"/>
        <v>-837.90144066666096</v>
      </c>
    </row>
    <row r="3806" spans="1:7" x14ac:dyDescent="0.2">
      <c r="A3806" s="6">
        <f ca="1">Model!$F$13+RAND()*(Model!$G$13-Model!$F$13)</f>
        <v>1438.4311514577869</v>
      </c>
      <c r="B3806" s="31">
        <f ca="1">Model!$F$14+RAND()*(Model!$G$14-Model!$F$14)</f>
        <v>0.46172516789904261</v>
      </c>
      <c r="C3806" s="32">
        <f ca="1">Model!$F$15+RAND()*(Model!$G$15-Model!$F$15)</f>
        <v>2.8804600694968062E-2</v>
      </c>
      <c r="D3806" s="33">
        <f ca="1">Model!$F$16+RAND()*(Model!$G$16-Model!$F$16)</f>
        <v>51.738516846517257</v>
      </c>
      <c r="E3806" s="33">
        <f>Model!$D$17</f>
        <v>800</v>
      </c>
      <c r="G3806" s="36">
        <f t="shared" ca="1" si="61"/>
        <v>679.54460699003744</v>
      </c>
    </row>
    <row r="3807" spans="1:7" x14ac:dyDescent="0.2">
      <c r="A3807" s="6">
        <f ca="1">Model!$F$13+RAND()*(Model!$G$13-Model!$F$13)</f>
        <v>1720.3774950775642</v>
      </c>
      <c r="B3807" s="31">
        <f ca="1">Model!$F$14+RAND()*(Model!$G$14-Model!$F$14)</f>
        <v>0.57995749454806578</v>
      </c>
      <c r="C3807" s="32">
        <f ca="1">Model!$F$15+RAND()*(Model!$G$15-Model!$F$15)</f>
        <v>1.7444163775200732E-2</v>
      </c>
      <c r="D3807" s="33">
        <f ca="1">Model!$F$16+RAND()*(Model!$G$16-Model!$F$16)</f>
        <v>49.225620661595826</v>
      </c>
      <c r="E3807" s="33">
        <f>Model!$D$17</f>
        <v>800</v>
      </c>
      <c r="G3807" s="36">
        <f t="shared" ca="1" si="61"/>
        <v>-320.45803011703424</v>
      </c>
    </row>
    <row r="3808" spans="1:7" x14ac:dyDescent="0.2">
      <c r="A3808" s="6">
        <f ca="1">Model!$F$13+RAND()*(Model!$G$13-Model!$F$13)</f>
        <v>1224.8882314612165</v>
      </c>
      <c r="B3808" s="31">
        <f ca="1">Model!$F$14+RAND()*(Model!$G$14-Model!$F$14)</f>
        <v>0.58486422583823638</v>
      </c>
      <c r="C3808" s="32">
        <f ca="1">Model!$F$15+RAND()*(Model!$G$15-Model!$F$15)</f>
        <v>2.4276677439284577E-2</v>
      </c>
      <c r="D3808" s="33">
        <f ca="1">Model!$F$16+RAND()*(Model!$G$16-Model!$F$16)</f>
        <v>50.029539851863561</v>
      </c>
      <c r="E3808" s="33">
        <f>Model!$D$17</f>
        <v>800</v>
      </c>
      <c r="G3808" s="36">
        <f t="shared" ca="1" si="61"/>
        <v>-28.704079083719989</v>
      </c>
    </row>
    <row r="3809" spans="1:7" x14ac:dyDescent="0.2">
      <c r="A3809" s="6">
        <f ca="1">Model!$F$13+RAND()*(Model!$G$13-Model!$F$13)</f>
        <v>1767.7322551475033</v>
      </c>
      <c r="B3809" s="31">
        <f ca="1">Model!$F$14+RAND()*(Model!$G$14-Model!$F$14)</f>
        <v>0.79494280808103102</v>
      </c>
      <c r="C3809" s="32">
        <f ca="1">Model!$F$15+RAND()*(Model!$G$15-Model!$F$15)</f>
        <v>2.8703355456366035E-2</v>
      </c>
      <c r="D3809" s="33">
        <f ca="1">Model!$F$16+RAND()*(Model!$G$16-Model!$F$16)</f>
        <v>52.839576382233673</v>
      </c>
      <c r="E3809" s="33">
        <f>Model!$D$17</f>
        <v>800</v>
      </c>
      <c r="G3809" s="36">
        <f t="shared" ca="1" si="61"/>
        <v>475.82599266613943</v>
      </c>
    </row>
    <row r="3810" spans="1:7" x14ac:dyDescent="0.2">
      <c r="A3810" s="6">
        <f ca="1">Model!$F$13+RAND()*(Model!$G$13-Model!$F$13)</f>
        <v>1752.4065030783845</v>
      </c>
      <c r="B3810" s="31">
        <f ca="1">Model!$F$14+RAND()*(Model!$G$14-Model!$F$14)</f>
        <v>0.60786258766550727</v>
      </c>
      <c r="C3810" s="32">
        <f ca="1">Model!$F$15+RAND()*(Model!$G$15-Model!$F$15)</f>
        <v>4.8213613830243758E-2</v>
      </c>
      <c r="D3810" s="33">
        <f ca="1">Model!$F$16+RAND()*(Model!$G$16-Model!$F$16)</f>
        <v>48.481876616062969</v>
      </c>
      <c r="E3810" s="33">
        <f>Model!$D$17</f>
        <v>800</v>
      </c>
      <c r="G3810" s="36">
        <f t="shared" ca="1" si="61"/>
        <v>2231.0041514310046</v>
      </c>
    </row>
    <row r="3811" spans="1:7" x14ac:dyDescent="0.2">
      <c r="A3811" s="6">
        <f ca="1">Model!$F$13+RAND()*(Model!$G$13-Model!$F$13)</f>
        <v>1230.3898159171956</v>
      </c>
      <c r="B3811" s="31">
        <f ca="1">Model!$F$14+RAND()*(Model!$G$14-Model!$F$14)</f>
        <v>0.70884155653367453</v>
      </c>
      <c r="C3811" s="32">
        <f ca="1">Model!$F$15+RAND()*(Model!$G$15-Model!$F$15)</f>
        <v>4.3687977727421119E-2</v>
      </c>
      <c r="D3811" s="33">
        <f ca="1">Model!$F$16+RAND()*(Model!$G$16-Model!$F$16)</f>
        <v>47.450810935929795</v>
      </c>
      <c r="E3811" s="33">
        <f>Model!$D$17</f>
        <v>800</v>
      </c>
      <c r="G3811" s="36">
        <f t="shared" ca="1" si="61"/>
        <v>878.48353254159133</v>
      </c>
    </row>
    <row r="3812" spans="1:7" x14ac:dyDescent="0.2">
      <c r="A3812" s="6">
        <f ca="1">Model!$F$13+RAND()*(Model!$G$13-Model!$F$13)</f>
        <v>1529.8747439398117</v>
      </c>
      <c r="B3812" s="31">
        <f ca="1">Model!$F$14+RAND()*(Model!$G$14-Model!$F$14)</f>
        <v>0.66433116671260917</v>
      </c>
      <c r="C3812" s="32">
        <f ca="1">Model!$F$15+RAND()*(Model!$G$15-Model!$F$15)</f>
        <v>2.8389994852835394E-2</v>
      </c>
      <c r="D3812" s="33">
        <f ca="1">Model!$F$16+RAND()*(Model!$G$16-Model!$F$16)</f>
        <v>52.737865720279963</v>
      </c>
      <c r="E3812" s="33">
        <f>Model!$D$17</f>
        <v>800</v>
      </c>
      <c r="G3812" s="36">
        <f t="shared" ca="1" si="61"/>
        <v>474.22742619970768</v>
      </c>
    </row>
    <row r="3813" spans="1:7" x14ac:dyDescent="0.2">
      <c r="A3813" s="6">
        <f ca="1">Model!$F$13+RAND()*(Model!$G$13-Model!$F$13)</f>
        <v>1711.6409307497631</v>
      </c>
      <c r="B3813" s="31">
        <f ca="1">Model!$F$14+RAND()*(Model!$G$14-Model!$F$14)</f>
        <v>0.20091774921986616</v>
      </c>
      <c r="C3813" s="32">
        <f ca="1">Model!$F$15+RAND()*(Model!$G$15-Model!$F$15)</f>
        <v>3.0992325714881558E-2</v>
      </c>
      <c r="D3813" s="33">
        <f ca="1">Model!$F$16+RAND()*(Model!$G$16-Model!$F$16)</f>
        <v>48.014992542097858</v>
      </c>
      <c r="E3813" s="33">
        <f>Model!$D$17</f>
        <v>800</v>
      </c>
      <c r="G3813" s="36">
        <f t="shared" ca="1" si="61"/>
        <v>1403.1874722653934</v>
      </c>
    </row>
    <row r="3814" spans="1:7" x14ac:dyDescent="0.2">
      <c r="A3814" s="6">
        <f ca="1">Model!$F$13+RAND()*(Model!$G$13-Model!$F$13)</f>
        <v>1693.7140315270417</v>
      </c>
      <c r="B3814" s="31">
        <f ca="1">Model!$F$14+RAND()*(Model!$G$14-Model!$F$14)</f>
        <v>0.34005964257767762</v>
      </c>
      <c r="C3814" s="32">
        <f ca="1">Model!$F$15+RAND()*(Model!$G$15-Model!$F$15)</f>
        <v>4.450030360218081E-2</v>
      </c>
      <c r="D3814" s="33">
        <f ca="1">Model!$F$16+RAND()*(Model!$G$16-Model!$F$16)</f>
        <v>47.739653558812797</v>
      </c>
      <c r="E3814" s="33">
        <f>Model!$D$17</f>
        <v>800</v>
      </c>
      <c r="G3814" s="36">
        <f t="shared" ca="1" si="61"/>
        <v>2222.2115488987847</v>
      </c>
    </row>
    <row r="3815" spans="1:7" x14ac:dyDescent="0.2">
      <c r="A3815" s="6">
        <f ca="1">Model!$F$13+RAND()*(Model!$G$13-Model!$F$13)</f>
        <v>1420.0533583675731</v>
      </c>
      <c r="B3815" s="31">
        <f ca="1">Model!$F$14+RAND()*(Model!$G$14-Model!$F$14)</f>
        <v>0.76230939065345793</v>
      </c>
      <c r="C3815" s="32">
        <f ca="1">Model!$F$15+RAND()*(Model!$G$15-Model!$F$15)</f>
        <v>1.9941910357116954E-2</v>
      </c>
      <c r="D3815" s="33">
        <f ca="1">Model!$F$16+RAND()*(Model!$G$16-Model!$F$16)</f>
        <v>47.861349815001773</v>
      </c>
      <c r="E3815" s="33">
        <f>Model!$D$17</f>
        <v>800</v>
      </c>
      <c r="G3815" s="36">
        <f t="shared" ca="1" si="61"/>
        <v>-527.15470102663312</v>
      </c>
    </row>
    <row r="3816" spans="1:7" x14ac:dyDescent="0.2">
      <c r="A3816" s="6">
        <f ca="1">Model!$F$13+RAND()*(Model!$G$13-Model!$F$13)</f>
        <v>1781.3571015501066</v>
      </c>
      <c r="B3816" s="31">
        <f ca="1">Model!$F$14+RAND()*(Model!$G$14-Model!$F$14)</f>
        <v>0.40294793141257601</v>
      </c>
      <c r="C3816" s="32">
        <f ca="1">Model!$F$15+RAND()*(Model!$G$15-Model!$F$15)</f>
        <v>4.8219795093201921E-2</v>
      </c>
      <c r="D3816" s="33">
        <f ca="1">Model!$F$16+RAND()*(Model!$G$16-Model!$F$16)</f>
        <v>51.071810217545377</v>
      </c>
      <c r="E3816" s="33">
        <f>Model!$D$17</f>
        <v>800</v>
      </c>
      <c r="G3816" s="36">
        <f t="shared" ca="1" si="61"/>
        <v>2869.1044953530127</v>
      </c>
    </row>
    <row r="3817" spans="1:7" x14ac:dyDescent="0.2">
      <c r="A3817" s="6">
        <f ca="1">Model!$F$13+RAND()*(Model!$G$13-Model!$F$13)</f>
        <v>1447.2236648401467</v>
      </c>
      <c r="B3817" s="31">
        <f ca="1">Model!$F$14+RAND()*(Model!$G$14-Model!$F$14)</f>
        <v>0.45343386670031294</v>
      </c>
      <c r="C3817" s="32">
        <f ca="1">Model!$F$15+RAND()*(Model!$G$15-Model!$F$15)</f>
        <v>3.4266932691503806E-2</v>
      </c>
      <c r="D3817" s="33">
        <f ca="1">Model!$F$16+RAND()*(Model!$G$16-Model!$F$16)</f>
        <v>48.206984549710093</v>
      </c>
      <c r="E3817" s="33">
        <f>Model!$D$17</f>
        <v>800</v>
      </c>
      <c r="G3817" s="36">
        <f t="shared" ref="G3817:G3880" ca="1" si="62">A3817*C3817*D3817-(E3817+A3817*B3817)</f>
        <v>934.45650186195189</v>
      </c>
    </row>
    <row r="3818" spans="1:7" x14ac:dyDescent="0.2">
      <c r="A3818" s="6">
        <f ca="1">Model!$F$13+RAND()*(Model!$G$13-Model!$F$13)</f>
        <v>1310.7820400731648</v>
      </c>
      <c r="B3818" s="31">
        <f ca="1">Model!$F$14+RAND()*(Model!$G$14-Model!$F$14)</f>
        <v>0.74567001714715042</v>
      </c>
      <c r="C3818" s="32">
        <f ca="1">Model!$F$15+RAND()*(Model!$G$15-Model!$F$15)</f>
        <v>2.2217246543791185E-2</v>
      </c>
      <c r="D3818" s="33">
        <f ca="1">Model!$F$16+RAND()*(Model!$G$16-Model!$F$16)</f>
        <v>50.34701933718793</v>
      </c>
      <c r="E3818" s="33">
        <f>Model!$D$17</f>
        <v>800</v>
      </c>
      <c r="G3818" s="36">
        <f t="shared" ca="1" si="62"/>
        <v>-311.20659287754711</v>
      </c>
    </row>
    <row r="3819" spans="1:7" x14ac:dyDescent="0.2">
      <c r="A3819" s="6">
        <f ca="1">Model!$F$13+RAND()*(Model!$G$13-Model!$F$13)</f>
        <v>1640.2626448457013</v>
      </c>
      <c r="B3819" s="31">
        <f ca="1">Model!$F$14+RAND()*(Model!$G$14-Model!$F$14)</f>
        <v>0.43136350734655898</v>
      </c>
      <c r="C3819" s="32">
        <f ca="1">Model!$F$15+RAND()*(Model!$G$15-Model!$F$15)</f>
        <v>4.1518331024273061E-2</v>
      </c>
      <c r="D3819" s="33">
        <f ca="1">Model!$F$16+RAND()*(Model!$G$16-Model!$F$16)</f>
        <v>49.341073567689108</v>
      </c>
      <c r="E3819" s="33">
        <f>Model!$D$17</f>
        <v>800</v>
      </c>
      <c r="G3819" s="36">
        <f t="shared" ca="1" si="62"/>
        <v>1852.6253978001466</v>
      </c>
    </row>
    <row r="3820" spans="1:7" x14ac:dyDescent="0.2">
      <c r="A3820" s="6">
        <f ca="1">Model!$F$13+RAND()*(Model!$G$13-Model!$F$13)</f>
        <v>1609.9008752408099</v>
      </c>
      <c r="B3820" s="31">
        <f ca="1">Model!$F$14+RAND()*(Model!$G$14-Model!$F$14)</f>
        <v>0.62745709837118269</v>
      </c>
      <c r="C3820" s="32">
        <f ca="1">Model!$F$15+RAND()*(Model!$G$15-Model!$F$15)</f>
        <v>2.9857781922213854E-2</v>
      </c>
      <c r="D3820" s="33">
        <f ca="1">Model!$F$16+RAND()*(Model!$G$16-Model!$F$16)</f>
        <v>48.44858764532438</v>
      </c>
      <c r="E3820" s="33">
        <f>Model!$D$17</f>
        <v>800</v>
      </c>
      <c r="G3820" s="36">
        <f t="shared" ca="1" si="62"/>
        <v>518.68633412343934</v>
      </c>
    </row>
    <row r="3821" spans="1:7" x14ac:dyDescent="0.2">
      <c r="A3821" s="6">
        <f ca="1">Model!$F$13+RAND()*(Model!$G$13-Model!$F$13)</f>
        <v>1514.2605636165508</v>
      </c>
      <c r="B3821" s="31">
        <f ca="1">Model!$F$14+RAND()*(Model!$G$14-Model!$F$14)</f>
        <v>0.73238259348919321</v>
      </c>
      <c r="C3821" s="32">
        <f ca="1">Model!$F$15+RAND()*(Model!$G$15-Model!$F$15)</f>
        <v>1.8653714782384381E-2</v>
      </c>
      <c r="D3821" s="33">
        <f ca="1">Model!$F$16+RAND()*(Model!$G$16-Model!$F$16)</f>
        <v>51.342138148865466</v>
      </c>
      <c r="E3821" s="33">
        <f>Model!$D$17</f>
        <v>800</v>
      </c>
      <c r="G3821" s="36">
        <f t="shared" ca="1" si="62"/>
        <v>-458.77802695687819</v>
      </c>
    </row>
    <row r="3822" spans="1:7" x14ac:dyDescent="0.2">
      <c r="A3822" s="6">
        <f ca="1">Model!$F$13+RAND()*(Model!$G$13-Model!$F$13)</f>
        <v>1410.9465588304392</v>
      </c>
      <c r="B3822" s="31">
        <f ca="1">Model!$F$14+RAND()*(Model!$G$14-Model!$F$14)</f>
        <v>0.72442389767326132</v>
      </c>
      <c r="C3822" s="32">
        <f ca="1">Model!$F$15+RAND()*(Model!$G$15-Model!$F$15)</f>
        <v>3.6309906855378341E-2</v>
      </c>
      <c r="D3822" s="33">
        <f ca="1">Model!$F$16+RAND()*(Model!$G$16-Model!$F$16)</f>
        <v>47.439320427465233</v>
      </c>
      <c r="E3822" s="33">
        <f>Model!$D$17</f>
        <v>800</v>
      </c>
      <c r="G3822" s="36">
        <f t="shared" ca="1" si="62"/>
        <v>608.25645987519056</v>
      </c>
    </row>
    <row r="3823" spans="1:7" x14ac:dyDescent="0.2">
      <c r="A3823" s="6">
        <f ca="1">Model!$F$13+RAND()*(Model!$G$13-Model!$F$13)</f>
        <v>1210.9429389569493</v>
      </c>
      <c r="B3823" s="31">
        <f ca="1">Model!$F$14+RAND()*(Model!$G$14-Model!$F$14)</f>
        <v>0.36046217848546014</v>
      </c>
      <c r="C3823" s="32">
        <f ca="1">Model!$F$15+RAND()*(Model!$G$15-Model!$F$15)</f>
        <v>1.5025401599697816E-2</v>
      </c>
      <c r="D3823" s="33">
        <f ca="1">Model!$F$16+RAND()*(Model!$G$16-Model!$F$16)</f>
        <v>52.142433951573651</v>
      </c>
      <c r="E3823" s="33">
        <f>Model!$D$17</f>
        <v>800</v>
      </c>
      <c r="G3823" s="36">
        <f t="shared" ca="1" si="62"/>
        <v>-287.77255117513232</v>
      </c>
    </row>
    <row r="3824" spans="1:7" x14ac:dyDescent="0.2">
      <c r="A3824" s="6">
        <f ca="1">Model!$F$13+RAND()*(Model!$G$13-Model!$F$13)</f>
        <v>1417.1736749591828</v>
      </c>
      <c r="B3824" s="31">
        <f ca="1">Model!$F$14+RAND()*(Model!$G$14-Model!$F$14)</f>
        <v>0.53095617669301953</v>
      </c>
      <c r="C3824" s="32">
        <f ca="1">Model!$F$15+RAND()*(Model!$G$15-Model!$F$15)</f>
        <v>4.031020998499666E-2</v>
      </c>
      <c r="D3824" s="33">
        <f ca="1">Model!$F$16+RAND()*(Model!$G$16-Model!$F$16)</f>
        <v>48.09879844551071</v>
      </c>
      <c r="E3824" s="33">
        <f>Model!$D$17</f>
        <v>800</v>
      </c>
      <c r="G3824" s="36">
        <f t="shared" ca="1" si="62"/>
        <v>1195.2621842862866</v>
      </c>
    </row>
    <row r="3825" spans="1:7" x14ac:dyDescent="0.2">
      <c r="A3825" s="6">
        <f ca="1">Model!$F$13+RAND()*(Model!$G$13-Model!$F$13)</f>
        <v>1291.6026874564445</v>
      </c>
      <c r="B3825" s="31">
        <f ca="1">Model!$F$14+RAND()*(Model!$G$14-Model!$F$14)</f>
        <v>0.47911917299595352</v>
      </c>
      <c r="C3825" s="32">
        <f ca="1">Model!$F$15+RAND()*(Model!$G$15-Model!$F$15)</f>
        <v>2.5480806982365239E-2</v>
      </c>
      <c r="D3825" s="33">
        <f ca="1">Model!$F$16+RAND()*(Model!$G$16-Model!$F$16)</f>
        <v>47.792521814661804</v>
      </c>
      <c r="E3825" s="33">
        <f>Model!$D$17</f>
        <v>800</v>
      </c>
      <c r="G3825" s="36">
        <f t="shared" ca="1" si="62"/>
        <v>154.07183893947695</v>
      </c>
    </row>
    <row r="3826" spans="1:7" x14ac:dyDescent="0.2">
      <c r="A3826" s="6">
        <f ca="1">Model!$F$13+RAND()*(Model!$G$13-Model!$F$13)</f>
        <v>1523.3437860303779</v>
      </c>
      <c r="B3826" s="31">
        <f ca="1">Model!$F$14+RAND()*(Model!$G$14-Model!$F$14)</f>
        <v>0.7021028012784547</v>
      </c>
      <c r="C3826" s="32">
        <f ca="1">Model!$F$15+RAND()*(Model!$G$15-Model!$F$15)</f>
        <v>1.8820347988461113E-2</v>
      </c>
      <c r="D3826" s="33">
        <f ca="1">Model!$F$16+RAND()*(Model!$G$16-Model!$F$16)</f>
        <v>51.580634583442652</v>
      </c>
      <c r="E3826" s="33">
        <f>Model!$D$17</f>
        <v>800</v>
      </c>
      <c r="G3826" s="36">
        <f t="shared" ca="1" si="62"/>
        <v>-390.73435905445785</v>
      </c>
    </row>
    <row r="3827" spans="1:7" x14ac:dyDescent="0.2">
      <c r="A3827" s="6">
        <f ca="1">Model!$F$13+RAND()*(Model!$G$13-Model!$F$13)</f>
        <v>1231.2205882875501</v>
      </c>
      <c r="B3827" s="31">
        <f ca="1">Model!$F$14+RAND()*(Model!$G$14-Model!$F$14)</f>
        <v>0.32727660018538857</v>
      </c>
      <c r="C3827" s="32">
        <f ca="1">Model!$F$15+RAND()*(Model!$G$15-Model!$F$15)</f>
        <v>2.770916962773072E-2</v>
      </c>
      <c r="D3827" s="33">
        <f ca="1">Model!$F$16+RAND()*(Model!$G$16-Model!$F$16)</f>
        <v>51.42408709655551</v>
      </c>
      <c r="E3827" s="33">
        <f>Model!$D$17</f>
        <v>800</v>
      </c>
      <c r="G3827" s="36">
        <f t="shared" ca="1" si="62"/>
        <v>551.43961626765213</v>
      </c>
    </row>
    <row r="3828" spans="1:7" x14ac:dyDescent="0.2">
      <c r="A3828" s="6">
        <f ca="1">Model!$F$13+RAND()*(Model!$G$13-Model!$F$13)</f>
        <v>1381.9630330440013</v>
      </c>
      <c r="B3828" s="31">
        <f ca="1">Model!$F$14+RAND()*(Model!$G$14-Model!$F$14)</f>
        <v>0.67803836226413638</v>
      </c>
      <c r="C3828" s="32">
        <f ca="1">Model!$F$15+RAND()*(Model!$G$15-Model!$F$15)</f>
        <v>2.4745705274003195E-2</v>
      </c>
      <c r="D3828" s="33">
        <f ca="1">Model!$F$16+RAND()*(Model!$G$16-Model!$F$16)</f>
        <v>48.458660337145538</v>
      </c>
      <c r="E3828" s="33">
        <f>Model!$D$17</f>
        <v>800</v>
      </c>
      <c r="G3828" s="36">
        <f t="shared" ca="1" si="62"/>
        <v>-79.85165006183729</v>
      </c>
    </row>
    <row r="3829" spans="1:7" x14ac:dyDescent="0.2">
      <c r="A3829" s="6">
        <f ca="1">Model!$F$13+RAND()*(Model!$G$13-Model!$F$13)</f>
        <v>1313.5314358845364</v>
      </c>
      <c r="B3829" s="31">
        <f ca="1">Model!$F$14+RAND()*(Model!$G$14-Model!$F$14)</f>
        <v>0.37825848909209414</v>
      </c>
      <c r="C3829" s="32">
        <f ca="1">Model!$F$15+RAND()*(Model!$G$15-Model!$F$15)</f>
        <v>2.4625039612171648E-2</v>
      </c>
      <c r="D3829" s="33">
        <f ca="1">Model!$F$16+RAND()*(Model!$G$16-Model!$F$16)</f>
        <v>51.953893675871122</v>
      </c>
      <c r="E3829" s="33">
        <f>Model!$D$17</f>
        <v>800</v>
      </c>
      <c r="G3829" s="36">
        <f t="shared" ca="1" si="62"/>
        <v>383.63394873019138</v>
      </c>
    </row>
    <row r="3830" spans="1:7" x14ac:dyDescent="0.2">
      <c r="A3830" s="6">
        <f ca="1">Model!$F$13+RAND()*(Model!$G$13-Model!$F$13)</f>
        <v>1554.4239043284167</v>
      </c>
      <c r="B3830" s="31">
        <f ca="1">Model!$F$14+RAND()*(Model!$G$14-Model!$F$14)</f>
        <v>0.78972205891008773</v>
      </c>
      <c r="C3830" s="32">
        <f ca="1">Model!$F$15+RAND()*(Model!$G$15-Model!$F$15)</f>
        <v>2.0058739045275092E-2</v>
      </c>
      <c r="D3830" s="33">
        <f ca="1">Model!$F$16+RAND()*(Model!$G$16-Model!$F$16)</f>
        <v>50.060281577068764</v>
      </c>
      <c r="E3830" s="33">
        <f>Model!$D$17</f>
        <v>800</v>
      </c>
      <c r="G3830" s="36">
        <f t="shared" ca="1" si="62"/>
        <v>-466.69410649243446</v>
      </c>
    </row>
    <row r="3831" spans="1:7" x14ac:dyDescent="0.2">
      <c r="A3831" s="6">
        <f ca="1">Model!$F$13+RAND()*(Model!$G$13-Model!$F$13)</f>
        <v>1429.5715101819069</v>
      </c>
      <c r="B3831" s="31">
        <f ca="1">Model!$F$14+RAND()*(Model!$G$14-Model!$F$14)</f>
        <v>0.7569810092718916</v>
      </c>
      <c r="C3831" s="32">
        <f ca="1">Model!$F$15+RAND()*(Model!$G$15-Model!$F$15)</f>
        <v>4.6513408098182385E-2</v>
      </c>
      <c r="D3831" s="33">
        <f ca="1">Model!$F$16+RAND()*(Model!$G$16-Model!$F$16)</f>
        <v>47.248934629675652</v>
      </c>
      <c r="E3831" s="33">
        <f>Model!$D$17</f>
        <v>800</v>
      </c>
      <c r="G3831" s="36">
        <f t="shared" ca="1" si="62"/>
        <v>1259.6236589229384</v>
      </c>
    </row>
    <row r="3832" spans="1:7" x14ac:dyDescent="0.2">
      <c r="A3832" s="6">
        <f ca="1">Model!$F$13+RAND()*(Model!$G$13-Model!$F$13)</f>
        <v>1475.0524377073841</v>
      </c>
      <c r="B3832" s="31">
        <f ca="1">Model!$F$14+RAND()*(Model!$G$14-Model!$F$14)</f>
        <v>0.42500575216940445</v>
      </c>
      <c r="C3832" s="32">
        <f ca="1">Model!$F$15+RAND()*(Model!$G$15-Model!$F$15)</f>
        <v>4.4464102024491289E-2</v>
      </c>
      <c r="D3832" s="33">
        <f ca="1">Model!$F$16+RAND()*(Model!$G$16-Model!$F$16)</f>
        <v>52.478551393333916</v>
      </c>
      <c r="E3832" s="33">
        <f>Model!$D$17</f>
        <v>800</v>
      </c>
      <c r="G3832" s="36">
        <f t="shared" ca="1" si="62"/>
        <v>2014.9987912756592</v>
      </c>
    </row>
    <row r="3833" spans="1:7" x14ac:dyDescent="0.2">
      <c r="A3833" s="6">
        <f ca="1">Model!$F$13+RAND()*(Model!$G$13-Model!$F$13)</f>
        <v>1409.8778571899563</v>
      </c>
      <c r="B3833" s="31">
        <f ca="1">Model!$F$14+RAND()*(Model!$G$14-Model!$F$14)</f>
        <v>0.23562802438124208</v>
      </c>
      <c r="C3833" s="32">
        <f ca="1">Model!$F$15+RAND()*(Model!$G$15-Model!$F$15)</f>
        <v>4.2173402234440861E-2</v>
      </c>
      <c r="D3833" s="33">
        <f ca="1">Model!$F$16+RAND()*(Model!$G$16-Model!$F$16)</f>
        <v>49.622869158281233</v>
      </c>
      <c r="E3833" s="33">
        <f>Model!$D$17</f>
        <v>800</v>
      </c>
      <c r="G3833" s="36">
        <f t="shared" ca="1" si="62"/>
        <v>1818.336611331918</v>
      </c>
    </row>
    <row r="3834" spans="1:7" x14ac:dyDescent="0.2">
      <c r="A3834" s="6">
        <f ca="1">Model!$F$13+RAND()*(Model!$G$13-Model!$F$13)</f>
        <v>1502.4249487283473</v>
      </c>
      <c r="B3834" s="31">
        <f ca="1">Model!$F$14+RAND()*(Model!$G$14-Model!$F$14)</f>
        <v>0.47770719160978914</v>
      </c>
      <c r="C3834" s="32">
        <f ca="1">Model!$F$15+RAND()*(Model!$G$15-Model!$F$15)</f>
        <v>3.3406166184420383E-2</v>
      </c>
      <c r="D3834" s="33">
        <f ca="1">Model!$F$16+RAND()*(Model!$G$16-Model!$F$16)</f>
        <v>47.503767303981931</v>
      </c>
      <c r="E3834" s="33">
        <f>Model!$D$17</f>
        <v>800</v>
      </c>
      <c r="G3834" s="36">
        <f t="shared" ca="1" si="62"/>
        <v>866.50711114532328</v>
      </c>
    </row>
    <row r="3835" spans="1:7" x14ac:dyDescent="0.2">
      <c r="A3835" s="6">
        <f ca="1">Model!$F$13+RAND()*(Model!$G$13-Model!$F$13)</f>
        <v>1221.6177832839385</v>
      </c>
      <c r="B3835" s="31">
        <f ca="1">Model!$F$14+RAND()*(Model!$G$14-Model!$F$14)</f>
        <v>0.78608240497076465</v>
      </c>
      <c r="C3835" s="32">
        <f ca="1">Model!$F$15+RAND()*(Model!$G$15-Model!$F$15)</f>
        <v>4.5639339149983221E-2</v>
      </c>
      <c r="D3835" s="33">
        <f ca="1">Model!$F$16+RAND()*(Model!$G$16-Model!$F$16)</f>
        <v>51.852082639880187</v>
      </c>
      <c r="E3835" s="33">
        <f>Model!$D$17</f>
        <v>800</v>
      </c>
      <c r="G3835" s="36">
        <f t="shared" ca="1" si="62"/>
        <v>1130.6598686522148</v>
      </c>
    </row>
    <row r="3836" spans="1:7" x14ac:dyDescent="0.2">
      <c r="A3836" s="6">
        <f ca="1">Model!$F$13+RAND()*(Model!$G$13-Model!$F$13)</f>
        <v>1242.996047363986</v>
      </c>
      <c r="B3836" s="31">
        <f ca="1">Model!$F$14+RAND()*(Model!$G$14-Model!$F$14)</f>
        <v>0.25438089324107638</v>
      </c>
      <c r="C3836" s="32">
        <f ca="1">Model!$F$15+RAND()*(Model!$G$15-Model!$F$15)</f>
        <v>1.5361417746030019E-2</v>
      </c>
      <c r="D3836" s="33">
        <f ca="1">Model!$F$16+RAND()*(Model!$G$16-Model!$F$16)</f>
        <v>48.85111427839216</v>
      </c>
      <c r="E3836" s="33">
        <f>Model!$D$17</f>
        <v>800</v>
      </c>
      <c r="G3836" s="36">
        <f t="shared" ca="1" si="62"/>
        <v>-183.42240034981228</v>
      </c>
    </row>
    <row r="3837" spans="1:7" x14ac:dyDescent="0.2">
      <c r="A3837" s="6">
        <f ca="1">Model!$F$13+RAND()*(Model!$G$13-Model!$F$13)</f>
        <v>1565.3567397013276</v>
      </c>
      <c r="B3837" s="31">
        <f ca="1">Model!$F$14+RAND()*(Model!$G$14-Model!$F$14)</f>
        <v>0.35425058152949962</v>
      </c>
      <c r="C3837" s="32">
        <f ca="1">Model!$F$15+RAND()*(Model!$G$15-Model!$F$15)</f>
        <v>4.5817326091413639E-2</v>
      </c>
      <c r="D3837" s="33">
        <f ca="1">Model!$F$16+RAND()*(Model!$G$16-Model!$F$16)</f>
        <v>50.248937043239245</v>
      </c>
      <c r="E3837" s="33">
        <f>Model!$D$17</f>
        <v>800</v>
      </c>
      <c r="G3837" s="36">
        <f t="shared" ca="1" si="62"/>
        <v>2249.3483535741002</v>
      </c>
    </row>
    <row r="3838" spans="1:7" x14ac:dyDescent="0.2">
      <c r="A3838" s="6">
        <f ca="1">Model!$F$13+RAND()*(Model!$G$13-Model!$F$13)</f>
        <v>1710.8284672128189</v>
      </c>
      <c r="B3838" s="31">
        <f ca="1">Model!$F$14+RAND()*(Model!$G$14-Model!$F$14)</f>
        <v>0.48083561546673498</v>
      </c>
      <c r="C3838" s="32">
        <f ca="1">Model!$F$15+RAND()*(Model!$G$15-Model!$F$15)</f>
        <v>3.8749083800669624E-2</v>
      </c>
      <c r="D3838" s="33">
        <f ca="1">Model!$F$16+RAND()*(Model!$G$16-Model!$F$16)</f>
        <v>51.334827086398889</v>
      </c>
      <c r="E3838" s="33">
        <f>Model!$D$17</f>
        <v>800</v>
      </c>
      <c r="G3838" s="36">
        <f t="shared" ca="1" si="62"/>
        <v>1780.5142628577673</v>
      </c>
    </row>
    <row r="3839" spans="1:7" x14ac:dyDescent="0.2">
      <c r="A3839" s="6">
        <f ca="1">Model!$F$13+RAND()*(Model!$G$13-Model!$F$13)</f>
        <v>1348.8775638157681</v>
      </c>
      <c r="B3839" s="31">
        <f ca="1">Model!$F$14+RAND()*(Model!$G$14-Model!$F$14)</f>
        <v>0.70143398745275576</v>
      </c>
      <c r="C3839" s="32">
        <f ca="1">Model!$F$15+RAND()*(Model!$G$15-Model!$F$15)</f>
        <v>1.800569020595616E-2</v>
      </c>
      <c r="D3839" s="33">
        <f ca="1">Model!$F$16+RAND()*(Model!$G$16-Model!$F$16)</f>
        <v>48.629997700151897</v>
      </c>
      <c r="E3839" s="33">
        <f>Model!$D$17</f>
        <v>800</v>
      </c>
      <c r="G3839" s="36">
        <f t="shared" ca="1" si="62"/>
        <v>-565.04888304833867</v>
      </c>
    </row>
    <row r="3840" spans="1:7" x14ac:dyDescent="0.2">
      <c r="A3840" s="6">
        <f ca="1">Model!$F$13+RAND()*(Model!$G$13-Model!$F$13)</f>
        <v>1400.280181335276</v>
      </c>
      <c r="B3840" s="31">
        <f ca="1">Model!$F$14+RAND()*(Model!$G$14-Model!$F$14)</f>
        <v>0.30745624528923099</v>
      </c>
      <c r="C3840" s="32">
        <f ca="1">Model!$F$15+RAND()*(Model!$G$15-Model!$F$15)</f>
        <v>3.3480630663507677E-2</v>
      </c>
      <c r="D3840" s="33">
        <f ca="1">Model!$F$16+RAND()*(Model!$G$16-Model!$F$16)</f>
        <v>51.909860889964797</v>
      </c>
      <c r="E3840" s="33">
        <f>Model!$D$17</f>
        <v>800</v>
      </c>
      <c r="G3840" s="36">
        <f t="shared" ca="1" si="62"/>
        <v>1203.1268935677199</v>
      </c>
    </row>
    <row r="3841" spans="1:7" x14ac:dyDescent="0.2">
      <c r="A3841" s="6">
        <f ca="1">Model!$F$13+RAND()*(Model!$G$13-Model!$F$13)</f>
        <v>1225.2125322336312</v>
      </c>
      <c r="B3841" s="31">
        <f ca="1">Model!$F$14+RAND()*(Model!$G$14-Model!$F$14)</f>
        <v>0.45539136348251347</v>
      </c>
      <c r="C3841" s="32">
        <f ca="1">Model!$F$15+RAND()*(Model!$G$15-Model!$F$15)</f>
        <v>3.4971445299253286E-2</v>
      </c>
      <c r="D3841" s="33">
        <f ca="1">Model!$F$16+RAND()*(Model!$G$16-Model!$F$16)</f>
        <v>52.553460283714514</v>
      </c>
      <c r="E3841" s="33">
        <f>Model!$D$17</f>
        <v>800</v>
      </c>
      <c r="G3841" s="36">
        <f t="shared" ca="1" si="62"/>
        <v>893.83071656263428</v>
      </c>
    </row>
    <row r="3842" spans="1:7" x14ac:dyDescent="0.2">
      <c r="A3842" s="6">
        <f ca="1">Model!$F$13+RAND()*(Model!$G$13-Model!$F$13)</f>
        <v>1402.9402739618038</v>
      </c>
      <c r="B3842" s="31">
        <f ca="1">Model!$F$14+RAND()*(Model!$G$14-Model!$F$14)</f>
        <v>0.47190002347226534</v>
      </c>
      <c r="C3842" s="32">
        <f ca="1">Model!$F$15+RAND()*(Model!$G$15-Model!$F$15)</f>
        <v>3.2519182385020121E-2</v>
      </c>
      <c r="D3842" s="33">
        <f ca="1">Model!$F$16+RAND()*(Model!$G$16-Model!$F$16)</f>
        <v>50.846361405022499</v>
      </c>
      <c r="E3842" s="33">
        <f>Model!$D$17</f>
        <v>800</v>
      </c>
      <c r="G3842" s="36">
        <f t="shared" ca="1" si="62"/>
        <v>857.6890823550068</v>
      </c>
    </row>
    <row r="3843" spans="1:7" x14ac:dyDescent="0.2">
      <c r="A3843" s="6">
        <f ca="1">Model!$F$13+RAND()*(Model!$G$13-Model!$F$13)</f>
        <v>1741.8633194099893</v>
      </c>
      <c r="B3843" s="31">
        <f ca="1">Model!$F$14+RAND()*(Model!$G$14-Model!$F$14)</f>
        <v>0.24192826636184256</v>
      </c>
      <c r="C3843" s="32">
        <f ca="1">Model!$F$15+RAND()*(Model!$G$15-Model!$F$15)</f>
        <v>4.5650883678426402E-2</v>
      </c>
      <c r="D3843" s="33">
        <f ca="1">Model!$F$16+RAND()*(Model!$G$16-Model!$F$16)</f>
        <v>51.501794166915538</v>
      </c>
      <c r="E3843" s="33">
        <f>Model!$D$17</f>
        <v>800</v>
      </c>
      <c r="G3843" s="36">
        <f t="shared" ca="1" si="62"/>
        <v>2873.8930833148925</v>
      </c>
    </row>
    <row r="3844" spans="1:7" x14ac:dyDescent="0.2">
      <c r="A3844" s="6">
        <f ca="1">Model!$F$13+RAND()*(Model!$G$13-Model!$F$13)</f>
        <v>1461.7715177343662</v>
      </c>
      <c r="B3844" s="31">
        <f ca="1">Model!$F$14+RAND()*(Model!$G$14-Model!$F$14)</f>
        <v>0.28135948372609809</v>
      </c>
      <c r="C3844" s="32">
        <f ca="1">Model!$F$15+RAND()*(Model!$G$15-Model!$F$15)</f>
        <v>4.6852363774972983E-2</v>
      </c>
      <c r="D3844" s="33">
        <f ca="1">Model!$F$16+RAND()*(Model!$G$16-Model!$F$16)</f>
        <v>48.076502896968705</v>
      </c>
      <c r="E3844" s="33">
        <f>Model!$D$17</f>
        <v>800</v>
      </c>
      <c r="G3844" s="36">
        <f t="shared" ca="1" si="62"/>
        <v>2081.3538522746367</v>
      </c>
    </row>
    <row r="3845" spans="1:7" x14ac:dyDescent="0.2">
      <c r="A3845" s="6">
        <f ca="1">Model!$F$13+RAND()*(Model!$G$13-Model!$F$13)</f>
        <v>1694.0723488699873</v>
      </c>
      <c r="B3845" s="31">
        <f ca="1">Model!$F$14+RAND()*(Model!$G$14-Model!$F$14)</f>
        <v>0.76993819731864188</v>
      </c>
      <c r="C3845" s="32">
        <f ca="1">Model!$F$15+RAND()*(Model!$G$15-Model!$F$15)</f>
        <v>4.5289215709449042E-2</v>
      </c>
      <c r="D3845" s="33">
        <f ca="1">Model!$F$16+RAND()*(Model!$G$16-Model!$F$16)</f>
        <v>50.576927413927883</v>
      </c>
      <c r="E3845" s="33">
        <f>Model!$D$17</f>
        <v>800</v>
      </c>
      <c r="G3845" s="36">
        <f t="shared" ca="1" si="62"/>
        <v>1776.0931133530839</v>
      </c>
    </row>
    <row r="3846" spans="1:7" x14ac:dyDescent="0.2">
      <c r="A3846" s="6">
        <f ca="1">Model!$F$13+RAND()*(Model!$G$13-Model!$F$13)</f>
        <v>1632.7795561329408</v>
      </c>
      <c r="B3846" s="31">
        <f ca="1">Model!$F$14+RAND()*(Model!$G$14-Model!$F$14)</f>
        <v>0.58847202611474514</v>
      </c>
      <c r="C3846" s="32">
        <f ca="1">Model!$F$15+RAND()*(Model!$G$15-Model!$F$15)</f>
        <v>2.9310405808176142E-2</v>
      </c>
      <c r="D3846" s="33">
        <f ca="1">Model!$F$16+RAND()*(Model!$G$16-Model!$F$16)</f>
        <v>47.377070022026871</v>
      </c>
      <c r="E3846" s="33">
        <f>Model!$D$17</f>
        <v>800</v>
      </c>
      <c r="G3846" s="36">
        <f t="shared" ca="1" si="62"/>
        <v>506.49978423127277</v>
      </c>
    </row>
    <row r="3847" spans="1:7" x14ac:dyDescent="0.2">
      <c r="A3847" s="6">
        <f ca="1">Model!$F$13+RAND()*(Model!$G$13-Model!$F$13)</f>
        <v>1414.6838529515157</v>
      </c>
      <c r="B3847" s="31">
        <f ca="1">Model!$F$14+RAND()*(Model!$G$14-Model!$F$14)</f>
        <v>0.28929460736119822</v>
      </c>
      <c r="C3847" s="32">
        <f ca="1">Model!$F$15+RAND()*(Model!$G$15-Model!$F$15)</f>
        <v>2.4130862162607354E-2</v>
      </c>
      <c r="D3847" s="33">
        <f ca="1">Model!$F$16+RAND()*(Model!$G$16-Model!$F$16)</f>
        <v>48.432746531313036</v>
      </c>
      <c r="E3847" s="33">
        <f>Model!$D$17</f>
        <v>800</v>
      </c>
      <c r="G3847" s="36">
        <f t="shared" ca="1" si="62"/>
        <v>444.11446354459372</v>
      </c>
    </row>
    <row r="3848" spans="1:7" x14ac:dyDescent="0.2">
      <c r="A3848" s="6">
        <f ca="1">Model!$F$13+RAND()*(Model!$G$13-Model!$F$13)</f>
        <v>1560.4628527659179</v>
      </c>
      <c r="B3848" s="31">
        <f ca="1">Model!$F$14+RAND()*(Model!$G$14-Model!$F$14)</f>
        <v>0.5738727850791403</v>
      </c>
      <c r="C3848" s="32">
        <f ca="1">Model!$F$15+RAND()*(Model!$G$15-Model!$F$15)</f>
        <v>1.962936598896621E-2</v>
      </c>
      <c r="D3848" s="33">
        <f ca="1">Model!$F$16+RAND()*(Model!$G$16-Model!$F$16)</f>
        <v>48.286871143767094</v>
      </c>
      <c r="E3848" s="33">
        <f>Model!$D$17</f>
        <v>800</v>
      </c>
      <c r="G3848" s="36">
        <f t="shared" ca="1" si="62"/>
        <v>-216.43701347217711</v>
      </c>
    </row>
    <row r="3849" spans="1:7" x14ac:dyDescent="0.2">
      <c r="A3849" s="6">
        <f ca="1">Model!$F$13+RAND()*(Model!$G$13-Model!$F$13)</f>
        <v>1281.6813995794805</v>
      </c>
      <c r="B3849" s="31">
        <f ca="1">Model!$F$14+RAND()*(Model!$G$14-Model!$F$14)</f>
        <v>0.51696831482129579</v>
      </c>
      <c r="C3849" s="32">
        <f ca="1">Model!$F$15+RAND()*(Model!$G$15-Model!$F$15)</f>
        <v>3.5268084286921395E-2</v>
      </c>
      <c r="D3849" s="33">
        <f ca="1">Model!$F$16+RAND()*(Model!$G$16-Model!$F$16)</f>
        <v>49.179040654337953</v>
      </c>
      <c r="E3849" s="33">
        <f>Model!$D$17</f>
        <v>800</v>
      </c>
      <c r="G3849" s="36">
        <f t="shared" ca="1" si="62"/>
        <v>760.424336360908</v>
      </c>
    </row>
    <row r="3850" spans="1:7" x14ac:dyDescent="0.2">
      <c r="A3850" s="6">
        <f ca="1">Model!$F$13+RAND()*(Model!$G$13-Model!$F$13)</f>
        <v>1229.6954597040362</v>
      </c>
      <c r="B3850" s="31">
        <f ca="1">Model!$F$14+RAND()*(Model!$G$14-Model!$F$14)</f>
        <v>0.57542627955639991</v>
      </c>
      <c r="C3850" s="32">
        <f ca="1">Model!$F$15+RAND()*(Model!$G$15-Model!$F$15)</f>
        <v>4.4403940973533264E-2</v>
      </c>
      <c r="D3850" s="33">
        <f ca="1">Model!$F$16+RAND()*(Model!$G$16-Model!$F$16)</f>
        <v>48.274872372538269</v>
      </c>
      <c r="E3850" s="33">
        <f>Model!$D$17</f>
        <v>800</v>
      </c>
      <c r="G3850" s="36">
        <f t="shared" ca="1" si="62"/>
        <v>1128.3694432083746</v>
      </c>
    </row>
    <row r="3851" spans="1:7" x14ac:dyDescent="0.2">
      <c r="A3851" s="6">
        <f ca="1">Model!$F$13+RAND()*(Model!$G$13-Model!$F$13)</f>
        <v>1329.0387432092075</v>
      </c>
      <c r="B3851" s="31">
        <f ca="1">Model!$F$14+RAND()*(Model!$G$14-Model!$F$14)</f>
        <v>0.28918344701002813</v>
      </c>
      <c r="C3851" s="32">
        <f ca="1">Model!$F$15+RAND()*(Model!$G$15-Model!$F$15)</f>
        <v>1.5118613289976298E-2</v>
      </c>
      <c r="D3851" s="33">
        <f ca="1">Model!$F$16+RAND()*(Model!$G$16-Model!$F$16)</f>
        <v>52.736234506367424</v>
      </c>
      <c r="E3851" s="33">
        <f>Model!$D$17</f>
        <v>800</v>
      </c>
      <c r="G3851" s="36">
        <f t="shared" ca="1" si="62"/>
        <v>-124.69509508646752</v>
      </c>
    </row>
    <row r="3852" spans="1:7" x14ac:dyDescent="0.2">
      <c r="A3852" s="6">
        <f ca="1">Model!$F$13+RAND()*(Model!$G$13-Model!$F$13)</f>
        <v>1660.7069735420664</v>
      </c>
      <c r="B3852" s="31">
        <f ca="1">Model!$F$14+RAND()*(Model!$G$14-Model!$F$14)</f>
        <v>0.74875976602370486</v>
      </c>
      <c r="C3852" s="32">
        <f ca="1">Model!$F$15+RAND()*(Model!$G$15-Model!$F$15)</f>
        <v>3.544201134515447E-2</v>
      </c>
      <c r="D3852" s="33">
        <f ca="1">Model!$F$16+RAND()*(Model!$G$16-Model!$F$16)</f>
        <v>48.645624050383404</v>
      </c>
      <c r="E3852" s="33">
        <f>Model!$D$17</f>
        <v>800</v>
      </c>
      <c r="G3852" s="36">
        <f t="shared" ca="1" si="62"/>
        <v>819.75226801001418</v>
      </c>
    </row>
    <row r="3853" spans="1:7" x14ac:dyDescent="0.2">
      <c r="A3853" s="6">
        <f ca="1">Model!$F$13+RAND()*(Model!$G$13-Model!$F$13)</f>
        <v>1341.1495868646314</v>
      </c>
      <c r="B3853" s="31">
        <f ca="1">Model!$F$14+RAND()*(Model!$G$14-Model!$F$14)</f>
        <v>0.38450408531297831</v>
      </c>
      <c r="C3853" s="32">
        <f ca="1">Model!$F$15+RAND()*(Model!$G$15-Model!$F$15)</f>
        <v>3.4398870545223593E-2</v>
      </c>
      <c r="D3853" s="33">
        <f ca="1">Model!$F$16+RAND()*(Model!$G$16-Model!$F$16)</f>
        <v>49.551752254119123</v>
      </c>
      <c r="E3853" s="33">
        <f>Model!$D$17</f>
        <v>800</v>
      </c>
      <c r="G3853" s="36">
        <f t="shared" ca="1" si="62"/>
        <v>970.3445804383</v>
      </c>
    </row>
    <row r="3854" spans="1:7" x14ac:dyDescent="0.2">
      <c r="A3854" s="6">
        <f ca="1">Model!$F$13+RAND()*(Model!$G$13-Model!$F$13)</f>
        <v>1474.2901971419756</v>
      </c>
      <c r="B3854" s="31">
        <f ca="1">Model!$F$14+RAND()*(Model!$G$14-Model!$F$14)</f>
        <v>0.61945094281971069</v>
      </c>
      <c r="C3854" s="32">
        <f ca="1">Model!$F$15+RAND()*(Model!$G$15-Model!$F$15)</f>
        <v>2.8989659071273599E-2</v>
      </c>
      <c r="D3854" s="33">
        <f ca="1">Model!$F$16+RAND()*(Model!$G$16-Model!$F$16)</f>
        <v>48.851780495593097</v>
      </c>
      <c r="E3854" s="33">
        <f>Model!$D$17</f>
        <v>800</v>
      </c>
      <c r="G3854" s="36">
        <f t="shared" ca="1" si="62"/>
        <v>374.63410794269112</v>
      </c>
    </row>
    <row r="3855" spans="1:7" x14ac:dyDescent="0.2">
      <c r="A3855" s="6">
        <f ca="1">Model!$F$13+RAND()*(Model!$G$13-Model!$F$13)</f>
        <v>1652.6426403201992</v>
      </c>
      <c r="B3855" s="31">
        <f ca="1">Model!$F$14+RAND()*(Model!$G$14-Model!$F$14)</f>
        <v>0.61035225307202856</v>
      </c>
      <c r="C3855" s="32">
        <f ca="1">Model!$F$15+RAND()*(Model!$G$15-Model!$F$15)</f>
        <v>2.1117429931014335E-2</v>
      </c>
      <c r="D3855" s="33">
        <f ca="1">Model!$F$16+RAND()*(Model!$G$16-Model!$F$16)</f>
        <v>51.254418303642623</v>
      </c>
      <c r="E3855" s="33">
        <f>Model!$D$17</f>
        <v>800</v>
      </c>
      <c r="G3855" s="36">
        <f t="shared" ca="1" si="62"/>
        <v>-19.937247820599396</v>
      </c>
    </row>
    <row r="3856" spans="1:7" x14ac:dyDescent="0.2">
      <c r="A3856" s="6">
        <f ca="1">Model!$F$13+RAND()*(Model!$G$13-Model!$F$13)</f>
        <v>1205.0853573758061</v>
      </c>
      <c r="B3856" s="31">
        <f ca="1">Model!$F$14+RAND()*(Model!$G$14-Model!$F$14)</f>
        <v>0.32187353761353177</v>
      </c>
      <c r="C3856" s="32">
        <f ca="1">Model!$F$15+RAND()*(Model!$G$15-Model!$F$15)</f>
        <v>3.2570984821025217E-2</v>
      </c>
      <c r="D3856" s="33">
        <f ca="1">Model!$F$16+RAND()*(Model!$G$16-Model!$F$16)</f>
        <v>52.25200691065389</v>
      </c>
      <c r="E3856" s="33">
        <f>Model!$D$17</f>
        <v>800</v>
      </c>
      <c r="G3856" s="36">
        <f t="shared" ca="1" si="62"/>
        <v>863.04886792115121</v>
      </c>
    </row>
    <row r="3857" spans="1:7" x14ac:dyDescent="0.2">
      <c r="A3857" s="6">
        <f ca="1">Model!$F$13+RAND()*(Model!$G$13-Model!$F$13)</f>
        <v>1595.4014741771264</v>
      </c>
      <c r="B3857" s="31">
        <f ca="1">Model!$F$14+RAND()*(Model!$G$14-Model!$F$14)</f>
        <v>0.38042923212162782</v>
      </c>
      <c r="C3857" s="32">
        <f ca="1">Model!$F$15+RAND()*(Model!$G$15-Model!$F$15)</f>
        <v>2.7646360271785866E-2</v>
      </c>
      <c r="D3857" s="33">
        <f ca="1">Model!$F$16+RAND()*(Model!$G$16-Model!$F$16)</f>
        <v>52.116181492309508</v>
      </c>
      <c r="E3857" s="33">
        <f>Model!$D$17</f>
        <v>800</v>
      </c>
      <c r="G3857" s="36">
        <f t="shared" ca="1" si="62"/>
        <v>891.75334896704135</v>
      </c>
    </row>
    <row r="3858" spans="1:7" x14ac:dyDescent="0.2">
      <c r="A3858" s="6">
        <f ca="1">Model!$F$13+RAND()*(Model!$G$13-Model!$F$13)</f>
        <v>1643.9442777586937</v>
      </c>
      <c r="B3858" s="31">
        <f ca="1">Model!$F$14+RAND()*(Model!$G$14-Model!$F$14)</f>
        <v>0.50892502090948066</v>
      </c>
      <c r="C3858" s="32">
        <f ca="1">Model!$F$15+RAND()*(Model!$G$15-Model!$F$15)</f>
        <v>2.2514654277575777E-2</v>
      </c>
      <c r="D3858" s="33">
        <f ca="1">Model!$F$16+RAND()*(Model!$G$16-Model!$F$16)</f>
        <v>47.19691532528293</v>
      </c>
      <c r="E3858" s="33">
        <f>Model!$D$17</f>
        <v>800</v>
      </c>
      <c r="G3858" s="36">
        <f t="shared" ca="1" si="62"/>
        <v>110.24736098879225</v>
      </c>
    </row>
    <row r="3859" spans="1:7" x14ac:dyDescent="0.2">
      <c r="A3859" s="6">
        <f ca="1">Model!$F$13+RAND()*(Model!$G$13-Model!$F$13)</f>
        <v>1633.1500517591508</v>
      </c>
      <c r="B3859" s="31">
        <f ca="1">Model!$F$14+RAND()*(Model!$G$14-Model!$F$14)</f>
        <v>0.50854105879596301</v>
      </c>
      <c r="C3859" s="32">
        <f ca="1">Model!$F$15+RAND()*(Model!$G$15-Model!$F$15)</f>
        <v>1.6692050471059913E-2</v>
      </c>
      <c r="D3859" s="33">
        <f ca="1">Model!$F$16+RAND()*(Model!$G$16-Model!$F$16)</f>
        <v>51.849709777590199</v>
      </c>
      <c r="E3859" s="33">
        <f>Model!$D$17</f>
        <v>800</v>
      </c>
      <c r="G3859" s="36">
        <f t="shared" ca="1" si="62"/>
        <v>-217.06846088117436</v>
      </c>
    </row>
    <row r="3860" spans="1:7" x14ac:dyDescent="0.2">
      <c r="A3860" s="6">
        <f ca="1">Model!$F$13+RAND()*(Model!$G$13-Model!$F$13)</f>
        <v>1225.2945680939645</v>
      </c>
      <c r="B3860" s="31">
        <f ca="1">Model!$F$14+RAND()*(Model!$G$14-Model!$F$14)</f>
        <v>0.54398727304130134</v>
      </c>
      <c r="C3860" s="32">
        <f ca="1">Model!$F$15+RAND()*(Model!$G$15-Model!$F$15)</f>
        <v>2.5817365975068854E-2</v>
      </c>
      <c r="D3860" s="33">
        <f ca="1">Model!$F$16+RAND()*(Model!$G$16-Model!$F$16)</f>
        <v>47.974725072000126</v>
      </c>
      <c r="E3860" s="33">
        <f>Model!$D$17</f>
        <v>800</v>
      </c>
      <c r="G3860" s="36">
        <f t="shared" ca="1" si="62"/>
        <v>51.081963237863192</v>
      </c>
    </row>
    <row r="3861" spans="1:7" x14ac:dyDescent="0.2">
      <c r="A3861" s="6">
        <f ca="1">Model!$F$13+RAND()*(Model!$G$13-Model!$F$13)</f>
        <v>1480.7496903837011</v>
      </c>
      <c r="B3861" s="31">
        <f ca="1">Model!$F$14+RAND()*(Model!$G$14-Model!$F$14)</f>
        <v>0.36255240679015743</v>
      </c>
      <c r="C3861" s="32">
        <f ca="1">Model!$F$15+RAND()*(Model!$G$15-Model!$F$15)</f>
        <v>1.4293571397927907E-2</v>
      </c>
      <c r="D3861" s="33">
        <f ca="1">Model!$F$16+RAND()*(Model!$G$16-Model!$F$16)</f>
        <v>48.405068682302151</v>
      </c>
      <c r="E3861" s="33">
        <f>Model!$D$17</f>
        <v>800</v>
      </c>
      <c r="G3861" s="36">
        <f t="shared" ca="1" si="62"/>
        <v>-312.34633559770305</v>
      </c>
    </row>
    <row r="3862" spans="1:7" x14ac:dyDescent="0.2">
      <c r="A3862" s="6">
        <f ca="1">Model!$F$13+RAND()*(Model!$G$13-Model!$F$13)</f>
        <v>1253.1569742094096</v>
      </c>
      <c r="B3862" s="31">
        <f ca="1">Model!$F$14+RAND()*(Model!$G$14-Model!$F$14)</f>
        <v>0.39152697851716478</v>
      </c>
      <c r="C3862" s="32">
        <f ca="1">Model!$F$15+RAND()*(Model!$G$15-Model!$F$15)</f>
        <v>4.7566221366909758E-2</v>
      </c>
      <c r="D3862" s="33">
        <f ca="1">Model!$F$16+RAND()*(Model!$G$16-Model!$F$16)</f>
        <v>49.962782004184767</v>
      </c>
      <c r="E3862" s="33">
        <f>Model!$D$17</f>
        <v>800</v>
      </c>
      <c r="G3862" s="36">
        <f t="shared" ca="1" si="62"/>
        <v>1687.5338502791565</v>
      </c>
    </row>
    <row r="3863" spans="1:7" x14ac:dyDescent="0.2">
      <c r="A3863" s="6">
        <f ca="1">Model!$F$13+RAND()*(Model!$G$13-Model!$F$13)</f>
        <v>1259.3994589277254</v>
      </c>
      <c r="B3863" s="31">
        <f ca="1">Model!$F$14+RAND()*(Model!$G$14-Model!$F$14)</f>
        <v>0.62086141539673656</v>
      </c>
      <c r="C3863" s="32">
        <f ca="1">Model!$F$15+RAND()*(Model!$G$15-Model!$F$15)</f>
        <v>4.7868625693934339E-2</v>
      </c>
      <c r="D3863" s="33">
        <f ca="1">Model!$F$16+RAND()*(Model!$G$16-Model!$F$16)</f>
        <v>50.431119215510705</v>
      </c>
      <c r="E3863" s="33">
        <f>Model!$D$17</f>
        <v>800</v>
      </c>
      <c r="G3863" s="36">
        <f t="shared" ca="1" si="62"/>
        <v>1458.3638671807141</v>
      </c>
    </row>
    <row r="3864" spans="1:7" x14ac:dyDescent="0.2">
      <c r="A3864" s="6">
        <f ca="1">Model!$F$13+RAND()*(Model!$G$13-Model!$F$13)</f>
        <v>1572.5472536612785</v>
      </c>
      <c r="B3864" s="31">
        <f ca="1">Model!$F$14+RAND()*(Model!$G$14-Model!$F$14)</f>
        <v>0.49105646001535136</v>
      </c>
      <c r="C3864" s="32">
        <f ca="1">Model!$F$15+RAND()*(Model!$G$15-Model!$F$15)</f>
        <v>1.3386713688208087E-2</v>
      </c>
      <c r="D3864" s="33">
        <f ca="1">Model!$F$16+RAND()*(Model!$G$16-Model!$F$16)</f>
        <v>49.82233133053343</v>
      </c>
      <c r="E3864" s="33">
        <f>Model!$D$17</f>
        <v>800</v>
      </c>
      <c r="G3864" s="36">
        <f t="shared" ca="1" si="62"/>
        <v>-523.38764106674648</v>
      </c>
    </row>
    <row r="3865" spans="1:7" x14ac:dyDescent="0.2">
      <c r="A3865" s="6">
        <f ca="1">Model!$F$13+RAND()*(Model!$G$13-Model!$F$13)</f>
        <v>1206.8424959689733</v>
      </c>
      <c r="B3865" s="31">
        <f ca="1">Model!$F$14+RAND()*(Model!$G$14-Model!$F$14)</f>
        <v>0.64965079328598252</v>
      </c>
      <c r="C3865" s="32">
        <f ca="1">Model!$F$15+RAND()*(Model!$G$15-Model!$F$15)</f>
        <v>4.5028949586579894E-2</v>
      </c>
      <c r="D3865" s="33">
        <f ca="1">Model!$F$16+RAND()*(Model!$G$16-Model!$F$16)</f>
        <v>52.90246640048646</v>
      </c>
      <c r="E3865" s="33">
        <f>Model!$D$17</f>
        <v>800</v>
      </c>
      <c r="G3865" s="36">
        <f t="shared" ca="1" si="62"/>
        <v>1290.8446065892267</v>
      </c>
    </row>
    <row r="3866" spans="1:7" x14ac:dyDescent="0.2">
      <c r="A3866" s="6">
        <f ca="1">Model!$F$13+RAND()*(Model!$G$13-Model!$F$13)</f>
        <v>1681.2776604036819</v>
      </c>
      <c r="B3866" s="31">
        <f ca="1">Model!$F$14+RAND()*(Model!$G$14-Model!$F$14)</f>
        <v>0.65704983729218602</v>
      </c>
      <c r="C3866" s="32">
        <f ca="1">Model!$F$15+RAND()*(Model!$G$15-Model!$F$15)</f>
        <v>3.9487662505835054E-2</v>
      </c>
      <c r="D3866" s="33">
        <f ca="1">Model!$F$16+RAND()*(Model!$G$16-Model!$F$16)</f>
        <v>47.440849114939972</v>
      </c>
      <c r="E3866" s="33">
        <f>Model!$D$17</f>
        <v>800</v>
      </c>
      <c r="G3866" s="36">
        <f t="shared" ca="1" si="62"/>
        <v>1244.901705355509</v>
      </c>
    </row>
    <row r="3867" spans="1:7" x14ac:dyDescent="0.2">
      <c r="A3867" s="6">
        <f ca="1">Model!$F$13+RAND()*(Model!$G$13-Model!$F$13)</f>
        <v>1681.8105505737176</v>
      </c>
      <c r="B3867" s="31">
        <f ca="1">Model!$F$14+RAND()*(Model!$G$14-Model!$F$14)</f>
        <v>0.62131907657267349</v>
      </c>
      <c r="C3867" s="32">
        <f ca="1">Model!$F$15+RAND()*(Model!$G$15-Model!$F$15)</f>
        <v>2.8227657355431167E-2</v>
      </c>
      <c r="D3867" s="33">
        <f ca="1">Model!$F$16+RAND()*(Model!$G$16-Model!$F$16)</f>
        <v>52.855371781663685</v>
      </c>
      <c r="E3867" s="33">
        <f>Model!$D$17</f>
        <v>800</v>
      </c>
      <c r="G3867" s="36">
        <f t="shared" ca="1" si="62"/>
        <v>664.29231740919067</v>
      </c>
    </row>
    <row r="3868" spans="1:7" x14ac:dyDescent="0.2">
      <c r="A3868" s="6">
        <f ca="1">Model!$F$13+RAND()*(Model!$G$13-Model!$F$13)</f>
        <v>1722.6292839580833</v>
      </c>
      <c r="B3868" s="31">
        <f ca="1">Model!$F$14+RAND()*(Model!$G$14-Model!$F$14)</f>
        <v>0.55699053918416475</v>
      </c>
      <c r="C3868" s="32">
        <f ca="1">Model!$F$15+RAND()*(Model!$G$15-Model!$F$15)</f>
        <v>3.7187257034326543E-2</v>
      </c>
      <c r="D3868" s="33">
        <f ca="1">Model!$F$16+RAND()*(Model!$G$16-Model!$F$16)</f>
        <v>48.821069090160343</v>
      </c>
      <c r="E3868" s="33">
        <f>Model!$D$17</f>
        <v>800</v>
      </c>
      <c r="G3868" s="36">
        <f t="shared" ca="1" si="62"/>
        <v>1367.9825375581872</v>
      </c>
    </row>
    <row r="3869" spans="1:7" x14ac:dyDescent="0.2">
      <c r="A3869" s="6">
        <f ca="1">Model!$F$13+RAND()*(Model!$G$13-Model!$F$13)</f>
        <v>1536.5840447918511</v>
      </c>
      <c r="B3869" s="31">
        <f ca="1">Model!$F$14+RAND()*(Model!$G$14-Model!$F$14)</f>
        <v>0.67856825752516692</v>
      </c>
      <c r="C3869" s="32">
        <f ca="1">Model!$F$15+RAND()*(Model!$G$15-Model!$F$15)</f>
        <v>1.4252468586791673E-2</v>
      </c>
      <c r="D3869" s="33">
        <f ca="1">Model!$F$16+RAND()*(Model!$G$16-Model!$F$16)</f>
        <v>48.236497724568316</v>
      </c>
      <c r="E3869" s="33">
        <f>Model!$D$17</f>
        <v>800</v>
      </c>
      <c r="G3869" s="36">
        <f t="shared" ca="1" si="62"/>
        <v>-786.29227044461777</v>
      </c>
    </row>
    <row r="3870" spans="1:7" x14ac:dyDescent="0.2">
      <c r="A3870" s="6">
        <f ca="1">Model!$F$13+RAND()*(Model!$G$13-Model!$F$13)</f>
        <v>1787.5232490053359</v>
      </c>
      <c r="B3870" s="31">
        <f ca="1">Model!$F$14+RAND()*(Model!$G$14-Model!$F$14)</f>
        <v>0.22652531277146604</v>
      </c>
      <c r="C3870" s="32">
        <f ca="1">Model!$F$15+RAND()*(Model!$G$15-Model!$F$15)</f>
        <v>3.216822214074249E-2</v>
      </c>
      <c r="D3870" s="33">
        <f ca="1">Model!$F$16+RAND()*(Model!$G$16-Model!$F$16)</f>
        <v>50.528821484932983</v>
      </c>
      <c r="E3870" s="33">
        <f>Model!$D$17</f>
        <v>800</v>
      </c>
      <c r="G3870" s="36">
        <f t="shared" ca="1" si="62"/>
        <v>1700.5609842273584</v>
      </c>
    </row>
    <row r="3871" spans="1:7" x14ac:dyDescent="0.2">
      <c r="A3871" s="6">
        <f ca="1">Model!$F$13+RAND()*(Model!$G$13-Model!$F$13)</f>
        <v>1207.1876413641291</v>
      </c>
      <c r="B3871" s="31">
        <f ca="1">Model!$F$14+RAND()*(Model!$G$14-Model!$F$14)</f>
        <v>0.39868235697278875</v>
      </c>
      <c r="C3871" s="32">
        <f ca="1">Model!$F$15+RAND()*(Model!$G$15-Model!$F$15)</f>
        <v>4.5894369167621525E-2</v>
      </c>
      <c r="D3871" s="33">
        <f ca="1">Model!$F$16+RAND()*(Model!$G$16-Model!$F$16)</f>
        <v>50.723033950377832</v>
      </c>
      <c r="E3871" s="33">
        <f>Model!$D$17</f>
        <v>800</v>
      </c>
      <c r="G3871" s="36">
        <f t="shared" ca="1" si="62"/>
        <v>1528.9296824953035</v>
      </c>
    </row>
    <row r="3872" spans="1:7" x14ac:dyDescent="0.2">
      <c r="A3872" s="6">
        <f ca="1">Model!$F$13+RAND()*(Model!$G$13-Model!$F$13)</f>
        <v>1378.494870364847</v>
      </c>
      <c r="B3872" s="31">
        <f ca="1">Model!$F$14+RAND()*(Model!$G$14-Model!$F$14)</f>
        <v>0.57203597016774044</v>
      </c>
      <c r="C3872" s="32">
        <f ca="1">Model!$F$15+RAND()*(Model!$G$15-Model!$F$15)</f>
        <v>2.5177760127610162E-2</v>
      </c>
      <c r="D3872" s="33">
        <f ca="1">Model!$F$16+RAND()*(Model!$G$16-Model!$F$16)</f>
        <v>47.467644519865267</v>
      </c>
      <c r="E3872" s="33">
        <f>Model!$D$17</f>
        <v>800</v>
      </c>
      <c r="G3872" s="36">
        <f t="shared" ca="1" si="62"/>
        <v>58.93050064320596</v>
      </c>
    </row>
    <row r="3873" spans="1:7" x14ac:dyDescent="0.2">
      <c r="A3873" s="6">
        <f ca="1">Model!$F$13+RAND()*(Model!$G$13-Model!$F$13)</f>
        <v>1406.4094813307972</v>
      </c>
      <c r="B3873" s="31">
        <f ca="1">Model!$F$14+RAND()*(Model!$G$14-Model!$F$14)</f>
        <v>0.76772547764590948</v>
      </c>
      <c r="C3873" s="32">
        <f ca="1">Model!$F$15+RAND()*(Model!$G$15-Model!$F$15)</f>
        <v>1.0813159390524971E-2</v>
      </c>
      <c r="D3873" s="33">
        <f ca="1">Model!$F$16+RAND()*(Model!$G$16-Model!$F$16)</f>
        <v>47.031331619929944</v>
      </c>
      <c r="E3873" s="33">
        <f>Model!$D$17</f>
        <v>800</v>
      </c>
      <c r="G3873" s="36">
        <f t="shared" ca="1" si="62"/>
        <v>-1164.4966031786653</v>
      </c>
    </row>
    <row r="3874" spans="1:7" x14ac:dyDescent="0.2">
      <c r="A3874" s="6">
        <f ca="1">Model!$F$13+RAND()*(Model!$G$13-Model!$F$13)</f>
        <v>1724.7436178756006</v>
      </c>
      <c r="B3874" s="31">
        <f ca="1">Model!$F$14+RAND()*(Model!$G$14-Model!$F$14)</f>
        <v>0.38508025323249417</v>
      </c>
      <c r="C3874" s="32">
        <f ca="1">Model!$F$15+RAND()*(Model!$G$15-Model!$F$15)</f>
        <v>2.5403608132173586E-2</v>
      </c>
      <c r="D3874" s="33">
        <f ca="1">Model!$F$16+RAND()*(Model!$G$16-Model!$F$16)</f>
        <v>52.260680520667066</v>
      </c>
      <c r="E3874" s="33">
        <f>Model!$D$17</f>
        <v>800</v>
      </c>
      <c r="G3874" s="36">
        <f t="shared" ca="1" si="62"/>
        <v>825.6219043858182</v>
      </c>
    </row>
    <row r="3875" spans="1:7" x14ac:dyDescent="0.2">
      <c r="A3875" s="6">
        <f ca="1">Model!$F$13+RAND()*(Model!$G$13-Model!$F$13)</f>
        <v>1447.9059880466052</v>
      </c>
      <c r="B3875" s="31">
        <f ca="1">Model!$F$14+RAND()*(Model!$G$14-Model!$F$14)</f>
        <v>0.38044845198523963</v>
      </c>
      <c r="C3875" s="32">
        <f ca="1">Model!$F$15+RAND()*(Model!$G$15-Model!$F$15)</f>
        <v>1.073046650153135E-2</v>
      </c>
      <c r="D3875" s="33">
        <f ca="1">Model!$F$16+RAND()*(Model!$G$16-Model!$F$16)</f>
        <v>47.252762536744989</v>
      </c>
      <c r="E3875" s="33">
        <f>Model!$D$17</f>
        <v>800</v>
      </c>
      <c r="G3875" s="36">
        <f t="shared" ca="1" si="62"/>
        <v>-616.70127937506879</v>
      </c>
    </row>
    <row r="3876" spans="1:7" x14ac:dyDescent="0.2">
      <c r="A3876" s="6">
        <f ca="1">Model!$F$13+RAND()*(Model!$G$13-Model!$F$13)</f>
        <v>1687.6981494083163</v>
      </c>
      <c r="B3876" s="31">
        <f ca="1">Model!$F$14+RAND()*(Model!$G$14-Model!$F$14)</f>
        <v>0.51750239300918555</v>
      </c>
      <c r="C3876" s="32">
        <f ca="1">Model!$F$15+RAND()*(Model!$G$15-Model!$F$15)</f>
        <v>4.2652448008836857E-2</v>
      </c>
      <c r="D3876" s="33">
        <f ca="1">Model!$F$16+RAND()*(Model!$G$16-Model!$F$16)</f>
        <v>49.370613954800234</v>
      </c>
      <c r="E3876" s="33">
        <f>Model!$D$17</f>
        <v>800</v>
      </c>
      <c r="G3876" s="36">
        <f t="shared" ca="1" si="62"/>
        <v>1880.529034549194</v>
      </c>
    </row>
    <row r="3877" spans="1:7" x14ac:dyDescent="0.2">
      <c r="A3877" s="6">
        <f ca="1">Model!$F$13+RAND()*(Model!$G$13-Model!$F$13)</f>
        <v>1380.892044342216</v>
      </c>
      <c r="B3877" s="31">
        <f ca="1">Model!$F$14+RAND()*(Model!$G$14-Model!$F$14)</f>
        <v>0.4248109269989957</v>
      </c>
      <c r="C3877" s="32">
        <f ca="1">Model!$F$15+RAND()*(Model!$G$15-Model!$F$15)</f>
        <v>4.9317550898271764E-2</v>
      </c>
      <c r="D3877" s="33">
        <f ca="1">Model!$F$16+RAND()*(Model!$G$16-Model!$F$16)</f>
        <v>52.391629326615003</v>
      </c>
      <c r="E3877" s="33">
        <f>Model!$D$17</f>
        <v>800</v>
      </c>
      <c r="G3877" s="36">
        <f t="shared" ca="1" si="62"/>
        <v>2181.3679060996865</v>
      </c>
    </row>
    <row r="3878" spans="1:7" x14ac:dyDescent="0.2">
      <c r="A3878" s="6">
        <f ca="1">Model!$F$13+RAND()*(Model!$G$13-Model!$F$13)</f>
        <v>1751.7553638519107</v>
      </c>
      <c r="B3878" s="31">
        <f ca="1">Model!$F$14+RAND()*(Model!$G$14-Model!$F$14)</f>
        <v>0.54197087749665818</v>
      </c>
      <c r="C3878" s="32">
        <f ca="1">Model!$F$15+RAND()*(Model!$G$15-Model!$F$15)</f>
        <v>3.752430099691826E-2</v>
      </c>
      <c r="D3878" s="33">
        <f ca="1">Model!$F$16+RAND()*(Model!$G$16-Model!$F$16)</f>
        <v>49.26743748937745</v>
      </c>
      <c r="E3878" s="33">
        <f>Model!$D$17</f>
        <v>800</v>
      </c>
      <c r="G3878" s="36">
        <f t="shared" ca="1" si="62"/>
        <v>1489.1155643279308</v>
      </c>
    </row>
    <row r="3879" spans="1:7" x14ac:dyDescent="0.2">
      <c r="A3879" s="6">
        <f ca="1">Model!$F$13+RAND()*(Model!$G$13-Model!$F$13)</f>
        <v>1341.829437343328</v>
      </c>
      <c r="B3879" s="31">
        <f ca="1">Model!$F$14+RAND()*(Model!$G$14-Model!$F$14)</f>
        <v>0.40681085649182164</v>
      </c>
      <c r="C3879" s="32">
        <f ca="1">Model!$F$15+RAND()*(Model!$G$15-Model!$F$15)</f>
        <v>1.567593573787093E-2</v>
      </c>
      <c r="D3879" s="33">
        <f ca="1">Model!$F$16+RAND()*(Model!$G$16-Model!$F$16)</f>
        <v>47.025791787565886</v>
      </c>
      <c r="E3879" s="33">
        <f>Model!$D$17</f>
        <v>800</v>
      </c>
      <c r="G3879" s="36">
        <f t="shared" ca="1" si="62"/>
        <v>-356.70996161312303</v>
      </c>
    </row>
    <row r="3880" spans="1:7" x14ac:dyDescent="0.2">
      <c r="A3880" s="6">
        <f ca="1">Model!$F$13+RAND()*(Model!$G$13-Model!$F$13)</f>
        <v>1554.3502267954591</v>
      </c>
      <c r="B3880" s="31">
        <f ca="1">Model!$F$14+RAND()*(Model!$G$14-Model!$F$14)</f>
        <v>0.78765398539965248</v>
      </c>
      <c r="C3880" s="32">
        <f ca="1">Model!$F$15+RAND()*(Model!$G$15-Model!$F$15)</f>
        <v>3.1303020541952324E-2</v>
      </c>
      <c r="D3880" s="33">
        <f ca="1">Model!$F$16+RAND()*(Model!$G$16-Model!$F$16)</f>
        <v>50.988453971387962</v>
      </c>
      <c r="E3880" s="33">
        <f>Model!$D$17</f>
        <v>800</v>
      </c>
      <c r="G3880" s="36">
        <f t="shared" ca="1" si="62"/>
        <v>456.59677825682047</v>
      </c>
    </row>
    <row r="3881" spans="1:7" x14ac:dyDescent="0.2">
      <c r="A3881" s="6">
        <f ca="1">Model!$F$13+RAND()*(Model!$G$13-Model!$F$13)</f>
        <v>1422.8994444756136</v>
      </c>
      <c r="B3881" s="31">
        <f ca="1">Model!$F$14+RAND()*(Model!$G$14-Model!$F$14)</f>
        <v>0.48515794433306964</v>
      </c>
      <c r="C3881" s="32">
        <f ca="1">Model!$F$15+RAND()*(Model!$G$15-Model!$F$15)</f>
        <v>4.3845784164538611E-2</v>
      </c>
      <c r="D3881" s="33">
        <f ca="1">Model!$F$16+RAND()*(Model!$G$16-Model!$F$16)</f>
        <v>48.944979457919054</v>
      </c>
      <c r="E3881" s="33">
        <f>Model!$D$17</f>
        <v>800</v>
      </c>
      <c r="G3881" s="36">
        <f t="shared" ref="G3881:G3944" ca="1" si="63">A3881*C3881*D3881-(E3881+A3881*B3881)</f>
        <v>1563.2553557227779</v>
      </c>
    </row>
    <row r="3882" spans="1:7" x14ac:dyDescent="0.2">
      <c r="A3882" s="6">
        <f ca="1">Model!$F$13+RAND()*(Model!$G$13-Model!$F$13)</f>
        <v>1243.4599770642819</v>
      </c>
      <c r="B3882" s="31">
        <f ca="1">Model!$F$14+RAND()*(Model!$G$14-Model!$F$14)</f>
        <v>0.60326960094289617</v>
      </c>
      <c r="C3882" s="32">
        <f ca="1">Model!$F$15+RAND()*(Model!$G$15-Model!$F$15)</f>
        <v>1.3748449858639038E-2</v>
      </c>
      <c r="D3882" s="33">
        <f ca="1">Model!$F$16+RAND()*(Model!$G$16-Model!$F$16)</f>
        <v>47.986121033641481</v>
      </c>
      <c r="E3882" s="33">
        <f>Model!$D$17</f>
        <v>800</v>
      </c>
      <c r="G3882" s="36">
        <f t="shared" ca="1" si="63"/>
        <v>-729.78781106079623</v>
      </c>
    </row>
    <row r="3883" spans="1:7" x14ac:dyDescent="0.2">
      <c r="A3883" s="6">
        <f ca="1">Model!$F$13+RAND()*(Model!$G$13-Model!$F$13)</f>
        <v>1527.7243949002709</v>
      </c>
      <c r="B3883" s="31">
        <f ca="1">Model!$F$14+RAND()*(Model!$G$14-Model!$F$14)</f>
        <v>0.47300118484068027</v>
      </c>
      <c r="C3883" s="32">
        <f ca="1">Model!$F$15+RAND()*(Model!$G$15-Model!$F$15)</f>
        <v>2.9815027253464646E-2</v>
      </c>
      <c r="D3883" s="33">
        <f ca="1">Model!$F$16+RAND()*(Model!$G$16-Model!$F$16)</f>
        <v>48.851027568296502</v>
      </c>
      <c r="E3883" s="33">
        <f>Model!$D$17</f>
        <v>800</v>
      </c>
      <c r="G3883" s="36">
        <f t="shared" ca="1" si="63"/>
        <v>702.50706330547428</v>
      </c>
    </row>
    <row r="3884" spans="1:7" x14ac:dyDescent="0.2">
      <c r="A3884" s="6">
        <f ca="1">Model!$F$13+RAND()*(Model!$G$13-Model!$F$13)</f>
        <v>1753.7943639800646</v>
      </c>
      <c r="B3884" s="31">
        <f ca="1">Model!$F$14+RAND()*(Model!$G$14-Model!$F$14)</f>
        <v>0.34638602841492622</v>
      </c>
      <c r="C3884" s="32">
        <f ca="1">Model!$F$15+RAND()*(Model!$G$15-Model!$F$15)</f>
        <v>1.7630360036407992E-2</v>
      </c>
      <c r="D3884" s="33">
        <f ca="1">Model!$F$16+RAND()*(Model!$G$16-Model!$F$16)</f>
        <v>50.667180029118924</v>
      </c>
      <c r="E3884" s="33">
        <f>Model!$D$17</f>
        <v>800</v>
      </c>
      <c r="G3884" s="36">
        <f t="shared" ca="1" si="63"/>
        <v>159.14066283564898</v>
      </c>
    </row>
    <row r="3885" spans="1:7" x14ac:dyDescent="0.2">
      <c r="A3885" s="6">
        <f ca="1">Model!$F$13+RAND()*(Model!$G$13-Model!$F$13)</f>
        <v>1753.6774905432585</v>
      </c>
      <c r="B3885" s="31">
        <f ca="1">Model!$F$14+RAND()*(Model!$G$14-Model!$F$14)</f>
        <v>0.55149628292555253</v>
      </c>
      <c r="C3885" s="32">
        <f ca="1">Model!$F$15+RAND()*(Model!$G$15-Model!$F$15)</f>
        <v>4.496493630294509E-2</v>
      </c>
      <c r="D3885" s="33">
        <f ca="1">Model!$F$16+RAND()*(Model!$G$16-Model!$F$16)</f>
        <v>47.251132111991012</v>
      </c>
      <c r="E3885" s="33">
        <f>Model!$D$17</f>
        <v>800</v>
      </c>
      <c r="G3885" s="36">
        <f t="shared" ca="1" si="63"/>
        <v>1958.7939961696361</v>
      </c>
    </row>
    <row r="3886" spans="1:7" x14ac:dyDescent="0.2">
      <c r="A3886" s="6">
        <f ca="1">Model!$F$13+RAND()*(Model!$G$13-Model!$F$13)</f>
        <v>1312.8770650719753</v>
      </c>
      <c r="B3886" s="31">
        <f ca="1">Model!$F$14+RAND()*(Model!$G$14-Model!$F$14)</f>
        <v>0.23781682628246434</v>
      </c>
      <c r="C3886" s="32">
        <f ca="1">Model!$F$15+RAND()*(Model!$G$15-Model!$F$15)</f>
        <v>4.6267157368980918E-2</v>
      </c>
      <c r="D3886" s="33">
        <f ca="1">Model!$F$16+RAND()*(Model!$G$16-Model!$F$16)</f>
        <v>47.373720014458655</v>
      </c>
      <c r="E3886" s="33">
        <f>Model!$D$17</f>
        <v>800</v>
      </c>
      <c r="G3886" s="36">
        <f t="shared" ca="1" si="63"/>
        <v>1765.401870937937</v>
      </c>
    </row>
    <row r="3887" spans="1:7" x14ac:dyDescent="0.2">
      <c r="A3887" s="6">
        <f ca="1">Model!$F$13+RAND()*(Model!$G$13-Model!$F$13)</f>
        <v>1374.4848950917196</v>
      </c>
      <c r="B3887" s="31">
        <f ca="1">Model!$F$14+RAND()*(Model!$G$14-Model!$F$14)</f>
        <v>0.21616407371994861</v>
      </c>
      <c r="C3887" s="32">
        <f ca="1">Model!$F$15+RAND()*(Model!$G$15-Model!$F$15)</f>
        <v>4.3799124112469584E-2</v>
      </c>
      <c r="D3887" s="33">
        <f ca="1">Model!$F$16+RAND()*(Model!$G$16-Model!$F$16)</f>
        <v>52.988343242217283</v>
      </c>
      <c r="E3887" s="33">
        <f>Model!$D$17</f>
        <v>800</v>
      </c>
      <c r="G3887" s="36">
        <f t="shared" ca="1" si="63"/>
        <v>2092.8494236758834</v>
      </c>
    </row>
    <row r="3888" spans="1:7" x14ac:dyDescent="0.2">
      <c r="A3888" s="6">
        <f ca="1">Model!$F$13+RAND()*(Model!$G$13-Model!$F$13)</f>
        <v>1628.2116911564749</v>
      </c>
      <c r="B3888" s="31">
        <f ca="1">Model!$F$14+RAND()*(Model!$G$14-Model!$F$14)</f>
        <v>0.21209532701361369</v>
      </c>
      <c r="C3888" s="32">
        <f ca="1">Model!$F$15+RAND()*(Model!$G$15-Model!$F$15)</f>
        <v>2.6327703120255619E-2</v>
      </c>
      <c r="D3888" s="33">
        <f ca="1">Model!$F$16+RAND()*(Model!$G$16-Model!$F$16)</f>
        <v>52.282342625363654</v>
      </c>
      <c r="E3888" s="33">
        <f>Model!$D$17</f>
        <v>800</v>
      </c>
      <c r="G3888" s="36">
        <f t="shared" ca="1" si="63"/>
        <v>1095.8549602659664</v>
      </c>
    </row>
    <row r="3889" spans="1:7" x14ac:dyDescent="0.2">
      <c r="A3889" s="6">
        <f ca="1">Model!$F$13+RAND()*(Model!$G$13-Model!$F$13)</f>
        <v>1277.2146981420854</v>
      </c>
      <c r="B3889" s="31">
        <f ca="1">Model!$F$14+RAND()*(Model!$G$14-Model!$F$14)</f>
        <v>0.21326732135803039</v>
      </c>
      <c r="C3889" s="32">
        <f ca="1">Model!$F$15+RAND()*(Model!$G$15-Model!$F$15)</f>
        <v>3.6970802099293078E-2</v>
      </c>
      <c r="D3889" s="33">
        <f ca="1">Model!$F$16+RAND()*(Model!$G$16-Model!$F$16)</f>
        <v>52.114299706412424</v>
      </c>
      <c r="E3889" s="33">
        <f>Model!$D$17</f>
        <v>800</v>
      </c>
      <c r="G3889" s="36">
        <f t="shared" ca="1" si="63"/>
        <v>1388.4309307233284</v>
      </c>
    </row>
    <row r="3890" spans="1:7" x14ac:dyDescent="0.2">
      <c r="A3890" s="6">
        <f ca="1">Model!$F$13+RAND()*(Model!$G$13-Model!$F$13)</f>
        <v>1728.1264428147929</v>
      </c>
      <c r="B3890" s="31">
        <f ca="1">Model!$F$14+RAND()*(Model!$G$14-Model!$F$14)</f>
        <v>0.43237318312473882</v>
      </c>
      <c r="C3890" s="32">
        <f ca="1">Model!$F$15+RAND()*(Model!$G$15-Model!$F$15)</f>
        <v>4.3202253558786367E-2</v>
      </c>
      <c r="D3890" s="33">
        <f ca="1">Model!$F$16+RAND()*(Model!$G$16-Model!$F$16)</f>
        <v>52.049416834806436</v>
      </c>
      <c r="E3890" s="33">
        <f>Model!$D$17</f>
        <v>800</v>
      </c>
      <c r="G3890" s="36">
        <f t="shared" ca="1" si="63"/>
        <v>2338.7596301460367</v>
      </c>
    </row>
    <row r="3891" spans="1:7" x14ac:dyDescent="0.2">
      <c r="A3891" s="6">
        <f ca="1">Model!$F$13+RAND()*(Model!$G$13-Model!$F$13)</f>
        <v>1664.6806551072016</v>
      </c>
      <c r="B3891" s="31">
        <f ca="1">Model!$F$14+RAND()*(Model!$G$14-Model!$F$14)</f>
        <v>0.79397593234992603</v>
      </c>
      <c r="C3891" s="32">
        <f ca="1">Model!$F$15+RAND()*(Model!$G$15-Model!$F$15)</f>
        <v>3.411598653660277E-2</v>
      </c>
      <c r="D3891" s="33">
        <f ca="1">Model!$F$16+RAND()*(Model!$G$16-Model!$F$16)</f>
        <v>48.550725489066188</v>
      </c>
      <c r="E3891" s="33">
        <f>Model!$D$17</f>
        <v>800</v>
      </c>
      <c r="G3891" s="36">
        <f t="shared" ca="1" si="63"/>
        <v>635.58724471688947</v>
      </c>
    </row>
    <row r="3892" spans="1:7" x14ac:dyDescent="0.2">
      <c r="A3892" s="6">
        <f ca="1">Model!$F$13+RAND()*(Model!$G$13-Model!$F$13)</f>
        <v>1485.1136228621924</v>
      </c>
      <c r="B3892" s="31">
        <f ca="1">Model!$F$14+RAND()*(Model!$G$14-Model!$F$14)</f>
        <v>0.61211667077297371</v>
      </c>
      <c r="C3892" s="32">
        <f ca="1">Model!$F$15+RAND()*(Model!$G$15-Model!$F$15)</f>
        <v>1.3980453197083166E-2</v>
      </c>
      <c r="D3892" s="33">
        <f ca="1">Model!$F$16+RAND()*(Model!$G$16-Model!$F$16)</f>
        <v>50.579337114448158</v>
      </c>
      <c r="E3892" s="33">
        <f>Model!$D$17</f>
        <v>800</v>
      </c>
      <c r="G3892" s="36">
        <f t="shared" ca="1" si="63"/>
        <v>-658.90620924112568</v>
      </c>
    </row>
    <row r="3893" spans="1:7" x14ac:dyDescent="0.2">
      <c r="A3893" s="6">
        <f ca="1">Model!$F$13+RAND()*(Model!$G$13-Model!$F$13)</f>
        <v>1745.3668989018238</v>
      </c>
      <c r="B3893" s="31">
        <f ca="1">Model!$F$14+RAND()*(Model!$G$14-Model!$F$14)</f>
        <v>0.27715575326934833</v>
      </c>
      <c r="C3893" s="32">
        <f ca="1">Model!$F$15+RAND()*(Model!$G$15-Model!$F$15)</f>
        <v>1.4550085401514826E-2</v>
      </c>
      <c r="D3893" s="33">
        <f ca="1">Model!$F$16+RAND()*(Model!$G$16-Model!$F$16)</f>
        <v>52.38114734710166</v>
      </c>
      <c r="E3893" s="33">
        <f>Model!$D$17</f>
        <v>800</v>
      </c>
      <c r="G3893" s="36">
        <f t="shared" ca="1" si="63"/>
        <v>46.493196453154724</v>
      </c>
    </row>
    <row r="3894" spans="1:7" x14ac:dyDescent="0.2">
      <c r="A3894" s="6">
        <f ca="1">Model!$F$13+RAND()*(Model!$G$13-Model!$F$13)</f>
        <v>1613.1934525462623</v>
      </c>
      <c r="B3894" s="31">
        <f ca="1">Model!$F$14+RAND()*(Model!$G$14-Model!$F$14)</f>
        <v>0.25106228913273276</v>
      </c>
      <c r="C3894" s="32">
        <f ca="1">Model!$F$15+RAND()*(Model!$G$15-Model!$F$15)</f>
        <v>3.1012384321206551E-2</v>
      </c>
      <c r="D3894" s="33">
        <f ca="1">Model!$F$16+RAND()*(Model!$G$16-Model!$F$16)</f>
        <v>50.64632061598769</v>
      </c>
      <c r="E3894" s="33">
        <f>Model!$D$17</f>
        <v>800</v>
      </c>
      <c r="G3894" s="36">
        <f t="shared" ca="1" si="63"/>
        <v>1328.7714838863701</v>
      </c>
    </row>
    <row r="3895" spans="1:7" x14ac:dyDescent="0.2">
      <c r="A3895" s="6">
        <f ca="1">Model!$F$13+RAND()*(Model!$G$13-Model!$F$13)</f>
        <v>1645.1572453683345</v>
      </c>
      <c r="B3895" s="31">
        <f ca="1">Model!$F$14+RAND()*(Model!$G$14-Model!$F$14)</f>
        <v>0.25646973921625327</v>
      </c>
      <c r="C3895" s="32">
        <f ca="1">Model!$F$15+RAND()*(Model!$G$15-Model!$F$15)</f>
        <v>1.4288915339575329E-2</v>
      </c>
      <c r="D3895" s="33">
        <f ca="1">Model!$F$16+RAND()*(Model!$G$16-Model!$F$16)</f>
        <v>50.168943362008491</v>
      </c>
      <c r="E3895" s="33">
        <f>Model!$D$17</f>
        <v>800</v>
      </c>
      <c r="G3895" s="36">
        <f t="shared" ca="1" si="63"/>
        <v>-42.58598151049955</v>
      </c>
    </row>
    <row r="3896" spans="1:7" x14ac:dyDescent="0.2">
      <c r="A3896" s="6">
        <f ca="1">Model!$F$13+RAND()*(Model!$G$13-Model!$F$13)</f>
        <v>1567.8190963369614</v>
      </c>
      <c r="B3896" s="31">
        <f ca="1">Model!$F$14+RAND()*(Model!$G$14-Model!$F$14)</f>
        <v>0.28068995456044232</v>
      </c>
      <c r="C3896" s="32">
        <f ca="1">Model!$F$15+RAND()*(Model!$G$15-Model!$F$15)</f>
        <v>3.42556985659766E-2</v>
      </c>
      <c r="D3896" s="33">
        <f ca="1">Model!$F$16+RAND()*(Model!$G$16-Model!$F$16)</f>
        <v>49.114578165418649</v>
      </c>
      <c r="E3896" s="33">
        <f>Model!$D$17</f>
        <v>800</v>
      </c>
      <c r="G3896" s="36">
        <f t="shared" ca="1" si="63"/>
        <v>1397.7127287781884</v>
      </c>
    </row>
    <row r="3897" spans="1:7" x14ac:dyDescent="0.2">
      <c r="A3897" s="6">
        <f ca="1">Model!$F$13+RAND()*(Model!$G$13-Model!$F$13)</f>
        <v>1390.6451977498054</v>
      </c>
      <c r="B3897" s="31">
        <f ca="1">Model!$F$14+RAND()*(Model!$G$14-Model!$F$14)</f>
        <v>0.63486684148183681</v>
      </c>
      <c r="C3897" s="32">
        <f ca="1">Model!$F$15+RAND()*(Model!$G$15-Model!$F$15)</f>
        <v>4.7265414062820019E-2</v>
      </c>
      <c r="D3897" s="33">
        <f ca="1">Model!$F$16+RAND()*(Model!$G$16-Model!$F$16)</f>
        <v>52.18114642210751</v>
      </c>
      <c r="E3897" s="33">
        <f>Model!$D$17</f>
        <v>800</v>
      </c>
      <c r="G3897" s="36">
        <f t="shared" ca="1" si="63"/>
        <v>1746.9620216177173</v>
      </c>
    </row>
    <row r="3898" spans="1:7" x14ac:dyDescent="0.2">
      <c r="A3898" s="6">
        <f ca="1">Model!$F$13+RAND()*(Model!$G$13-Model!$F$13)</f>
        <v>1477.9793470249042</v>
      </c>
      <c r="B3898" s="31">
        <f ca="1">Model!$F$14+RAND()*(Model!$G$14-Model!$F$14)</f>
        <v>0.43032550199901803</v>
      </c>
      <c r="C3898" s="32">
        <f ca="1">Model!$F$15+RAND()*(Model!$G$15-Model!$F$15)</f>
        <v>3.6687683284292859E-2</v>
      </c>
      <c r="D3898" s="33">
        <f ca="1">Model!$F$16+RAND()*(Model!$G$16-Model!$F$16)</f>
        <v>50.108836672010831</v>
      </c>
      <c r="E3898" s="33">
        <f>Model!$D$17</f>
        <v>800</v>
      </c>
      <c r="G3898" s="36">
        <f t="shared" ca="1" si="63"/>
        <v>1281.0712250904166</v>
      </c>
    </row>
    <row r="3899" spans="1:7" x14ac:dyDescent="0.2">
      <c r="A3899" s="6">
        <f ca="1">Model!$F$13+RAND()*(Model!$G$13-Model!$F$13)</f>
        <v>1722.1082196651678</v>
      </c>
      <c r="B3899" s="31">
        <f ca="1">Model!$F$14+RAND()*(Model!$G$14-Model!$F$14)</f>
        <v>0.46519398097138842</v>
      </c>
      <c r="C3899" s="32">
        <f ca="1">Model!$F$15+RAND()*(Model!$G$15-Model!$F$15)</f>
        <v>1.1751479237206911E-2</v>
      </c>
      <c r="D3899" s="33">
        <f ca="1">Model!$F$16+RAND()*(Model!$G$16-Model!$F$16)</f>
        <v>49.92358343250303</v>
      </c>
      <c r="E3899" s="33">
        <f>Model!$D$17</f>
        <v>800</v>
      </c>
      <c r="G3899" s="36">
        <f t="shared" ca="1" si="63"/>
        <v>-590.79489544103603</v>
      </c>
    </row>
    <row r="3900" spans="1:7" x14ac:dyDescent="0.2">
      <c r="A3900" s="6">
        <f ca="1">Model!$F$13+RAND()*(Model!$G$13-Model!$F$13)</f>
        <v>1203.6312221164389</v>
      </c>
      <c r="B3900" s="31">
        <f ca="1">Model!$F$14+RAND()*(Model!$G$14-Model!$F$14)</f>
        <v>0.60161905150715334</v>
      </c>
      <c r="C3900" s="32">
        <f ca="1">Model!$F$15+RAND()*(Model!$G$15-Model!$F$15)</f>
        <v>2.0906557778022385E-2</v>
      </c>
      <c r="D3900" s="33">
        <f ca="1">Model!$F$16+RAND()*(Model!$G$16-Model!$F$16)</f>
        <v>52.307893449444578</v>
      </c>
      <c r="E3900" s="33">
        <f>Model!$D$17</f>
        <v>800</v>
      </c>
      <c r="G3900" s="36">
        <f t="shared" ca="1" si="63"/>
        <v>-207.86285362966851</v>
      </c>
    </row>
    <row r="3901" spans="1:7" x14ac:dyDescent="0.2">
      <c r="A3901" s="6">
        <f ca="1">Model!$F$13+RAND()*(Model!$G$13-Model!$F$13)</f>
        <v>1236.1850497432795</v>
      </c>
      <c r="B3901" s="31">
        <f ca="1">Model!$F$14+RAND()*(Model!$G$14-Model!$F$14)</f>
        <v>0.51411926052341594</v>
      </c>
      <c r="C3901" s="32">
        <f ca="1">Model!$F$15+RAND()*(Model!$G$15-Model!$F$15)</f>
        <v>2.8272655837802564E-2</v>
      </c>
      <c r="D3901" s="33">
        <f ca="1">Model!$F$16+RAND()*(Model!$G$16-Model!$F$16)</f>
        <v>49.351722341167644</v>
      </c>
      <c r="E3901" s="33">
        <f>Model!$D$17</f>
        <v>800</v>
      </c>
      <c r="G3901" s="36">
        <f t="shared" ca="1" si="63"/>
        <v>289.30772334384824</v>
      </c>
    </row>
    <row r="3902" spans="1:7" x14ac:dyDescent="0.2">
      <c r="A3902" s="6">
        <f ca="1">Model!$F$13+RAND()*(Model!$G$13-Model!$F$13)</f>
        <v>1567.0280899538297</v>
      </c>
      <c r="B3902" s="31">
        <f ca="1">Model!$F$14+RAND()*(Model!$G$14-Model!$F$14)</f>
        <v>0.7446053995862727</v>
      </c>
      <c r="C3902" s="32">
        <f ca="1">Model!$F$15+RAND()*(Model!$G$15-Model!$F$15)</f>
        <v>1.0834594381976443E-2</v>
      </c>
      <c r="D3902" s="33">
        <f ca="1">Model!$F$16+RAND()*(Model!$G$16-Model!$F$16)</f>
        <v>51.972548650845063</v>
      </c>
      <c r="E3902" s="33">
        <f>Model!$D$17</f>
        <v>800</v>
      </c>
      <c r="G3902" s="36">
        <f t="shared" ca="1" si="63"/>
        <v>-1084.4217347409708</v>
      </c>
    </row>
    <row r="3903" spans="1:7" x14ac:dyDescent="0.2">
      <c r="A3903" s="6">
        <f ca="1">Model!$F$13+RAND()*(Model!$G$13-Model!$F$13)</f>
        <v>1664.119182397832</v>
      </c>
      <c r="B3903" s="31">
        <f ca="1">Model!$F$14+RAND()*(Model!$G$14-Model!$F$14)</f>
        <v>0.55423741031230256</v>
      </c>
      <c r="C3903" s="32">
        <f ca="1">Model!$F$15+RAND()*(Model!$G$15-Model!$F$15)</f>
        <v>4.8031791647090635E-2</v>
      </c>
      <c r="D3903" s="33">
        <f ca="1">Model!$F$16+RAND()*(Model!$G$16-Model!$F$16)</f>
        <v>49.816079215323967</v>
      </c>
      <c r="E3903" s="33">
        <f>Model!$D$17</f>
        <v>800</v>
      </c>
      <c r="G3903" s="36">
        <f t="shared" ca="1" si="63"/>
        <v>2259.5132827147399</v>
      </c>
    </row>
    <row r="3904" spans="1:7" x14ac:dyDescent="0.2">
      <c r="A3904" s="6">
        <f ca="1">Model!$F$13+RAND()*(Model!$G$13-Model!$F$13)</f>
        <v>1525.6783035628032</v>
      </c>
      <c r="B3904" s="31">
        <f ca="1">Model!$F$14+RAND()*(Model!$G$14-Model!$F$14)</f>
        <v>0.75200567039992716</v>
      </c>
      <c r="C3904" s="32">
        <f ca="1">Model!$F$15+RAND()*(Model!$G$15-Model!$F$15)</f>
        <v>4.9193005139532314E-2</v>
      </c>
      <c r="D3904" s="33">
        <f ca="1">Model!$F$16+RAND()*(Model!$G$16-Model!$F$16)</f>
        <v>47.740280058976808</v>
      </c>
      <c r="E3904" s="33">
        <f>Model!$D$17</f>
        <v>800</v>
      </c>
      <c r="G3904" s="36">
        <f t="shared" ca="1" si="63"/>
        <v>1635.7182116988015</v>
      </c>
    </row>
    <row r="3905" spans="1:7" x14ac:dyDescent="0.2">
      <c r="A3905" s="6">
        <f ca="1">Model!$F$13+RAND()*(Model!$G$13-Model!$F$13)</f>
        <v>1636.9540119943608</v>
      </c>
      <c r="B3905" s="31">
        <f ca="1">Model!$F$14+RAND()*(Model!$G$14-Model!$F$14)</f>
        <v>0.30681006925699006</v>
      </c>
      <c r="C3905" s="32">
        <f ca="1">Model!$F$15+RAND()*(Model!$G$15-Model!$F$15)</f>
        <v>4.5415560320315164E-2</v>
      </c>
      <c r="D3905" s="33">
        <f ca="1">Model!$F$16+RAND()*(Model!$G$16-Model!$F$16)</f>
        <v>51.773500425202464</v>
      </c>
      <c r="E3905" s="33">
        <f>Model!$D$17</f>
        <v>800</v>
      </c>
      <c r="G3905" s="36">
        <f t="shared" ca="1" si="63"/>
        <v>2546.7728777306165</v>
      </c>
    </row>
    <row r="3906" spans="1:7" x14ac:dyDescent="0.2">
      <c r="A3906" s="6">
        <f ca="1">Model!$F$13+RAND()*(Model!$G$13-Model!$F$13)</f>
        <v>1385.3772501561466</v>
      </c>
      <c r="B3906" s="31">
        <f ca="1">Model!$F$14+RAND()*(Model!$G$14-Model!$F$14)</f>
        <v>0.58907821568928687</v>
      </c>
      <c r="C3906" s="32">
        <f ca="1">Model!$F$15+RAND()*(Model!$G$15-Model!$F$15)</f>
        <v>4.1106198893511213E-2</v>
      </c>
      <c r="D3906" s="33">
        <f ca="1">Model!$F$16+RAND()*(Model!$G$16-Model!$F$16)</f>
        <v>47.328671666957128</v>
      </c>
      <c r="E3906" s="33">
        <f>Model!$D$17</f>
        <v>800</v>
      </c>
      <c r="G3906" s="36">
        <f t="shared" ca="1" si="63"/>
        <v>1079.1583626829556</v>
      </c>
    </row>
    <row r="3907" spans="1:7" x14ac:dyDescent="0.2">
      <c r="A3907" s="6">
        <f ca="1">Model!$F$13+RAND()*(Model!$G$13-Model!$F$13)</f>
        <v>1564.1570994640315</v>
      </c>
      <c r="B3907" s="31">
        <f ca="1">Model!$F$14+RAND()*(Model!$G$14-Model!$F$14)</f>
        <v>0.483571076947371</v>
      </c>
      <c r="C3907" s="32">
        <f ca="1">Model!$F$15+RAND()*(Model!$G$15-Model!$F$15)</f>
        <v>4.4510490935421004E-2</v>
      </c>
      <c r="D3907" s="33">
        <f ca="1">Model!$F$16+RAND()*(Model!$G$16-Model!$F$16)</f>
        <v>51.099247846028177</v>
      </c>
      <c r="E3907" s="33">
        <f>Model!$D$17</f>
        <v>800</v>
      </c>
      <c r="G3907" s="36">
        <f t="shared" ca="1" si="63"/>
        <v>2001.2200611848739</v>
      </c>
    </row>
    <row r="3908" spans="1:7" x14ac:dyDescent="0.2">
      <c r="A3908" s="6">
        <f ca="1">Model!$F$13+RAND()*(Model!$G$13-Model!$F$13)</f>
        <v>1337.8138916191765</v>
      </c>
      <c r="B3908" s="31">
        <f ca="1">Model!$F$14+RAND()*(Model!$G$14-Model!$F$14)</f>
        <v>0.55144908324398578</v>
      </c>
      <c r="C3908" s="32">
        <f ca="1">Model!$F$15+RAND()*(Model!$G$15-Model!$F$15)</f>
        <v>3.626479735964571E-2</v>
      </c>
      <c r="D3908" s="33">
        <f ca="1">Model!$F$16+RAND()*(Model!$G$16-Model!$F$16)</f>
        <v>48.612865883146107</v>
      </c>
      <c r="E3908" s="33">
        <f>Model!$D$17</f>
        <v>800</v>
      </c>
      <c r="G3908" s="36">
        <f t="shared" ca="1" si="63"/>
        <v>820.7436659746852</v>
      </c>
    </row>
    <row r="3909" spans="1:7" x14ac:dyDescent="0.2">
      <c r="A3909" s="6">
        <f ca="1">Model!$F$13+RAND()*(Model!$G$13-Model!$F$13)</f>
        <v>1315.3471779551735</v>
      </c>
      <c r="B3909" s="31">
        <f ca="1">Model!$F$14+RAND()*(Model!$G$14-Model!$F$14)</f>
        <v>0.42501964157311056</v>
      </c>
      <c r="C3909" s="32">
        <f ca="1">Model!$F$15+RAND()*(Model!$G$15-Model!$F$15)</f>
        <v>1.0648841432413594E-2</v>
      </c>
      <c r="D3909" s="33">
        <f ca="1">Model!$F$16+RAND()*(Model!$G$16-Model!$F$16)</f>
        <v>50.941081851732207</v>
      </c>
      <c r="E3909" s="33">
        <f>Model!$D$17</f>
        <v>800</v>
      </c>
      <c r="G3909" s="36">
        <f t="shared" ca="1" si="63"/>
        <v>-645.5205482583425</v>
      </c>
    </row>
    <row r="3910" spans="1:7" x14ac:dyDescent="0.2">
      <c r="A3910" s="6">
        <f ca="1">Model!$F$13+RAND()*(Model!$G$13-Model!$F$13)</f>
        <v>1419.2634548710043</v>
      </c>
      <c r="B3910" s="31">
        <f ca="1">Model!$F$14+RAND()*(Model!$G$14-Model!$F$14)</f>
        <v>0.377534406255087</v>
      </c>
      <c r="C3910" s="32">
        <f ca="1">Model!$F$15+RAND()*(Model!$G$15-Model!$F$15)</f>
        <v>4.7113666519151776E-2</v>
      </c>
      <c r="D3910" s="33">
        <f ca="1">Model!$F$16+RAND()*(Model!$G$16-Model!$F$16)</f>
        <v>51.245594343452559</v>
      </c>
      <c r="E3910" s="33">
        <f>Model!$D$17</f>
        <v>800</v>
      </c>
      <c r="G3910" s="36">
        <f t="shared" ca="1" si="63"/>
        <v>2090.8032596836338</v>
      </c>
    </row>
    <row r="3911" spans="1:7" x14ac:dyDescent="0.2">
      <c r="A3911" s="6">
        <f ca="1">Model!$F$13+RAND()*(Model!$G$13-Model!$F$13)</f>
        <v>1594.0567749561112</v>
      </c>
      <c r="B3911" s="31">
        <f ca="1">Model!$F$14+RAND()*(Model!$G$14-Model!$F$14)</f>
        <v>0.39650228258001219</v>
      </c>
      <c r="C3911" s="32">
        <f ca="1">Model!$F$15+RAND()*(Model!$G$15-Model!$F$15)</f>
        <v>2.5055232448036258E-2</v>
      </c>
      <c r="D3911" s="33">
        <f ca="1">Model!$F$16+RAND()*(Model!$G$16-Model!$F$16)</f>
        <v>51.652177637791439</v>
      </c>
      <c r="E3911" s="33">
        <f>Model!$D$17</f>
        <v>800</v>
      </c>
      <c r="G3911" s="36">
        <f t="shared" ca="1" si="63"/>
        <v>630.91308944907905</v>
      </c>
    </row>
    <row r="3912" spans="1:7" x14ac:dyDescent="0.2">
      <c r="A3912" s="6">
        <f ca="1">Model!$F$13+RAND()*(Model!$G$13-Model!$F$13)</f>
        <v>1587.8081105060555</v>
      </c>
      <c r="B3912" s="31">
        <f ca="1">Model!$F$14+RAND()*(Model!$G$14-Model!$F$14)</f>
        <v>0.3255707756121019</v>
      </c>
      <c r="C3912" s="32">
        <f ca="1">Model!$F$15+RAND()*(Model!$G$15-Model!$F$15)</f>
        <v>4.8607414409803415E-2</v>
      </c>
      <c r="D3912" s="33">
        <f ca="1">Model!$F$16+RAND()*(Model!$G$16-Model!$F$16)</f>
        <v>49.030755618301619</v>
      </c>
      <c r="E3912" s="33">
        <f>Model!$D$17</f>
        <v>800</v>
      </c>
      <c r="G3912" s="36">
        <f t="shared" ca="1" si="63"/>
        <v>2467.2128720958099</v>
      </c>
    </row>
    <row r="3913" spans="1:7" x14ac:dyDescent="0.2">
      <c r="A3913" s="6">
        <f ca="1">Model!$F$13+RAND()*(Model!$G$13-Model!$F$13)</f>
        <v>1202.9926201532055</v>
      </c>
      <c r="B3913" s="31">
        <f ca="1">Model!$F$14+RAND()*(Model!$G$14-Model!$F$14)</f>
        <v>0.56582802241377284</v>
      </c>
      <c r="C3913" s="32">
        <f ca="1">Model!$F$15+RAND()*(Model!$G$15-Model!$F$15)</f>
        <v>2.2621988746410089E-2</v>
      </c>
      <c r="D3913" s="33">
        <f ca="1">Model!$F$16+RAND()*(Model!$G$16-Model!$F$16)</f>
        <v>49.350004428708665</v>
      </c>
      <c r="E3913" s="33">
        <f>Model!$D$17</f>
        <v>800</v>
      </c>
      <c r="G3913" s="36">
        <f t="shared" ca="1" si="63"/>
        <v>-137.67169454521286</v>
      </c>
    </row>
    <row r="3914" spans="1:7" x14ac:dyDescent="0.2">
      <c r="A3914" s="6">
        <f ca="1">Model!$F$13+RAND()*(Model!$G$13-Model!$F$13)</f>
        <v>1485.0851517751466</v>
      </c>
      <c r="B3914" s="31">
        <f ca="1">Model!$F$14+RAND()*(Model!$G$14-Model!$F$14)</f>
        <v>0.79446198510610144</v>
      </c>
      <c r="C3914" s="32">
        <f ca="1">Model!$F$15+RAND()*(Model!$G$15-Model!$F$15)</f>
        <v>4.8520745346529559E-2</v>
      </c>
      <c r="D3914" s="33">
        <f ca="1">Model!$F$16+RAND()*(Model!$G$16-Model!$F$16)</f>
        <v>50.850760769753862</v>
      </c>
      <c r="E3914" s="33">
        <f>Model!$D$17</f>
        <v>800</v>
      </c>
      <c r="G3914" s="36">
        <f t="shared" ca="1" si="63"/>
        <v>1684.3318674456671</v>
      </c>
    </row>
    <row r="3915" spans="1:7" x14ac:dyDescent="0.2">
      <c r="A3915" s="6">
        <f ca="1">Model!$F$13+RAND()*(Model!$G$13-Model!$F$13)</f>
        <v>1500.3847779800831</v>
      </c>
      <c r="B3915" s="31">
        <f ca="1">Model!$F$14+RAND()*(Model!$G$14-Model!$F$14)</f>
        <v>0.65392633867724392</v>
      </c>
      <c r="C3915" s="32">
        <f ca="1">Model!$F$15+RAND()*(Model!$G$15-Model!$F$15)</f>
        <v>2.1857321252883144E-2</v>
      </c>
      <c r="D3915" s="33">
        <f ca="1">Model!$F$16+RAND()*(Model!$G$16-Model!$F$16)</f>
        <v>51.793916652344329</v>
      </c>
      <c r="E3915" s="33">
        <f>Model!$D$17</f>
        <v>800</v>
      </c>
      <c r="G3915" s="36">
        <f t="shared" ca="1" si="63"/>
        <v>-82.59111362609201</v>
      </c>
    </row>
    <row r="3916" spans="1:7" x14ac:dyDescent="0.2">
      <c r="A3916" s="6">
        <f ca="1">Model!$F$13+RAND()*(Model!$G$13-Model!$F$13)</f>
        <v>1345.2984084508137</v>
      </c>
      <c r="B3916" s="31">
        <f ca="1">Model!$F$14+RAND()*(Model!$G$14-Model!$F$14)</f>
        <v>0.24449496843023494</v>
      </c>
      <c r="C3916" s="32">
        <f ca="1">Model!$F$15+RAND()*(Model!$G$15-Model!$F$15)</f>
        <v>4.0540014550998114E-2</v>
      </c>
      <c r="D3916" s="33">
        <f ca="1">Model!$F$16+RAND()*(Model!$G$16-Model!$F$16)</f>
        <v>50.928154138035396</v>
      </c>
      <c r="E3916" s="33">
        <f>Model!$D$17</f>
        <v>800</v>
      </c>
      <c r="G3916" s="36">
        <f t="shared" ca="1" si="63"/>
        <v>1648.6222182687011</v>
      </c>
    </row>
    <row r="3917" spans="1:7" x14ac:dyDescent="0.2">
      <c r="A3917" s="6">
        <f ca="1">Model!$F$13+RAND()*(Model!$G$13-Model!$F$13)</f>
        <v>1737.8114908074106</v>
      </c>
      <c r="B3917" s="31">
        <f ca="1">Model!$F$14+RAND()*(Model!$G$14-Model!$F$14)</f>
        <v>0.52256944635528702</v>
      </c>
      <c r="C3917" s="32">
        <f ca="1">Model!$F$15+RAND()*(Model!$G$15-Model!$F$15)</f>
        <v>2.6884534056523232E-2</v>
      </c>
      <c r="D3917" s="33">
        <f ca="1">Model!$F$16+RAND()*(Model!$G$16-Model!$F$16)</f>
        <v>50.418867401189537</v>
      </c>
      <c r="E3917" s="33">
        <f>Model!$D$17</f>
        <v>800</v>
      </c>
      <c r="G3917" s="36">
        <f t="shared" ca="1" si="63"/>
        <v>647.45501242584191</v>
      </c>
    </row>
    <row r="3918" spans="1:7" x14ac:dyDescent="0.2">
      <c r="A3918" s="6">
        <f ca="1">Model!$F$13+RAND()*(Model!$G$13-Model!$F$13)</f>
        <v>1798.1219177241337</v>
      </c>
      <c r="B3918" s="31">
        <f ca="1">Model!$F$14+RAND()*(Model!$G$14-Model!$F$14)</f>
        <v>0.42890751797738302</v>
      </c>
      <c r="C3918" s="32">
        <f ca="1">Model!$F$15+RAND()*(Model!$G$15-Model!$F$15)</f>
        <v>4.5640714871315761E-2</v>
      </c>
      <c r="D3918" s="33">
        <f ca="1">Model!$F$16+RAND()*(Model!$G$16-Model!$F$16)</f>
        <v>48.561744703226125</v>
      </c>
      <c r="E3918" s="33">
        <f>Model!$D$17</f>
        <v>800</v>
      </c>
      <c r="G3918" s="36">
        <f t="shared" ca="1" si="63"/>
        <v>2414.1163618964251</v>
      </c>
    </row>
    <row r="3919" spans="1:7" x14ac:dyDescent="0.2">
      <c r="A3919" s="6">
        <f ca="1">Model!$F$13+RAND()*(Model!$G$13-Model!$F$13)</f>
        <v>1272.0936927110511</v>
      </c>
      <c r="B3919" s="31">
        <f ca="1">Model!$F$14+RAND()*(Model!$G$14-Model!$F$14)</f>
        <v>0.43702380468450025</v>
      </c>
      <c r="C3919" s="32">
        <f ca="1">Model!$F$15+RAND()*(Model!$G$15-Model!$F$15)</f>
        <v>3.8713106696693013E-2</v>
      </c>
      <c r="D3919" s="33">
        <f ca="1">Model!$F$16+RAND()*(Model!$G$16-Model!$F$16)</f>
        <v>50.318179339952309</v>
      </c>
      <c r="E3919" s="33">
        <f>Model!$D$17</f>
        <v>800</v>
      </c>
      <c r="G3919" s="36">
        <f t="shared" ca="1" si="63"/>
        <v>1122.0689993381495</v>
      </c>
    </row>
    <row r="3920" spans="1:7" x14ac:dyDescent="0.2">
      <c r="A3920" s="6">
        <f ca="1">Model!$F$13+RAND()*(Model!$G$13-Model!$F$13)</f>
        <v>1534.3486259120234</v>
      </c>
      <c r="B3920" s="31">
        <f ca="1">Model!$F$14+RAND()*(Model!$G$14-Model!$F$14)</f>
        <v>0.67838741894984378</v>
      </c>
      <c r="C3920" s="32">
        <f ca="1">Model!$F$15+RAND()*(Model!$G$15-Model!$F$15)</f>
        <v>1.6845563565516246E-2</v>
      </c>
      <c r="D3920" s="33">
        <f ca="1">Model!$F$16+RAND()*(Model!$G$16-Model!$F$16)</f>
        <v>48.847889536963486</v>
      </c>
      <c r="E3920" s="33">
        <f>Model!$D$17</f>
        <v>800</v>
      </c>
      <c r="G3920" s="36">
        <f t="shared" ca="1" si="63"/>
        <v>-578.31300010351788</v>
      </c>
    </row>
    <row r="3921" spans="1:7" x14ac:dyDescent="0.2">
      <c r="A3921" s="6">
        <f ca="1">Model!$F$13+RAND()*(Model!$G$13-Model!$F$13)</f>
        <v>1787.2200421875095</v>
      </c>
      <c r="B3921" s="31">
        <f ca="1">Model!$F$14+RAND()*(Model!$G$14-Model!$F$14)</f>
        <v>0.22092960121260227</v>
      </c>
      <c r="C3921" s="32">
        <f ca="1">Model!$F$15+RAND()*(Model!$G$15-Model!$F$15)</f>
        <v>4.47513672396294E-2</v>
      </c>
      <c r="D3921" s="33">
        <f ca="1">Model!$F$16+RAND()*(Model!$G$16-Model!$F$16)</f>
        <v>48.536866354522225</v>
      </c>
      <c r="E3921" s="33">
        <f>Model!$D$17</f>
        <v>800</v>
      </c>
      <c r="G3921" s="36">
        <f t="shared" ca="1" si="63"/>
        <v>2687.1549913883237</v>
      </c>
    </row>
    <row r="3922" spans="1:7" x14ac:dyDescent="0.2">
      <c r="A3922" s="6">
        <f ca="1">Model!$F$13+RAND()*(Model!$G$13-Model!$F$13)</f>
        <v>1566.1145159609114</v>
      </c>
      <c r="B3922" s="31">
        <f ca="1">Model!$F$14+RAND()*(Model!$G$14-Model!$F$14)</f>
        <v>0.28286610983160043</v>
      </c>
      <c r="C3922" s="32">
        <f ca="1">Model!$F$15+RAND()*(Model!$G$15-Model!$F$15)</f>
        <v>3.1149564159055773E-2</v>
      </c>
      <c r="D3922" s="33">
        <f ca="1">Model!$F$16+RAND()*(Model!$G$16-Model!$F$16)</f>
        <v>50.973909200054827</v>
      </c>
      <c r="E3922" s="33">
        <f>Model!$D$17</f>
        <v>800</v>
      </c>
      <c r="G3922" s="36">
        <f t="shared" ca="1" si="63"/>
        <v>1243.6994857178936</v>
      </c>
    </row>
    <row r="3923" spans="1:7" x14ac:dyDescent="0.2">
      <c r="A3923" s="6">
        <f ca="1">Model!$F$13+RAND()*(Model!$G$13-Model!$F$13)</f>
        <v>1382.8269909256053</v>
      </c>
      <c r="B3923" s="31">
        <f ca="1">Model!$F$14+RAND()*(Model!$G$14-Model!$F$14)</f>
        <v>0.78688378807527348</v>
      </c>
      <c r="C3923" s="32">
        <f ca="1">Model!$F$15+RAND()*(Model!$G$15-Model!$F$15)</f>
        <v>4.3826042185791093E-2</v>
      </c>
      <c r="D3923" s="33">
        <f ca="1">Model!$F$16+RAND()*(Model!$G$16-Model!$F$16)</f>
        <v>50.3951391397988</v>
      </c>
      <c r="E3923" s="33">
        <f>Model!$D$17</f>
        <v>800</v>
      </c>
      <c r="G3923" s="36">
        <f t="shared" ca="1" si="63"/>
        <v>1166.0145079765921</v>
      </c>
    </row>
    <row r="3924" spans="1:7" x14ac:dyDescent="0.2">
      <c r="A3924" s="6">
        <f ca="1">Model!$F$13+RAND()*(Model!$G$13-Model!$F$13)</f>
        <v>1605.3998036560947</v>
      </c>
      <c r="B3924" s="31">
        <f ca="1">Model!$F$14+RAND()*(Model!$G$14-Model!$F$14)</f>
        <v>0.55105690479688918</v>
      </c>
      <c r="C3924" s="32">
        <f ca="1">Model!$F$15+RAND()*(Model!$G$15-Model!$F$15)</f>
        <v>4.636772706494157E-2</v>
      </c>
      <c r="D3924" s="33">
        <f ca="1">Model!$F$16+RAND()*(Model!$G$16-Model!$F$16)</f>
        <v>52.731191170622154</v>
      </c>
      <c r="E3924" s="33">
        <f>Model!$D$17</f>
        <v>800</v>
      </c>
      <c r="G3924" s="36">
        <f t="shared" ca="1" si="63"/>
        <v>2240.5767787757982</v>
      </c>
    </row>
    <row r="3925" spans="1:7" x14ac:dyDescent="0.2">
      <c r="A3925" s="6">
        <f ca="1">Model!$F$13+RAND()*(Model!$G$13-Model!$F$13)</f>
        <v>1592.9106181379798</v>
      </c>
      <c r="B3925" s="31">
        <f ca="1">Model!$F$14+RAND()*(Model!$G$14-Model!$F$14)</f>
        <v>0.30840320042152325</v>
      </c>
      <c r="C3925" s="32">
        <f ca="1">Model!$F$15+RAND()*(Model!$G$15-Model!$F$15)</f>
        <v>1.4438228992367059E-2</v>
      </c>
      <c r="D3925" s="33">
        <f ca="1">Model!$F$16+RAND()*(Model!$G$16-Model!$F$16)</f>
        <v>48.673856926296999</v>
      </c>
      <c r="E3925" s="33">
        <f>Model!$D$17</f>
        <v>800</v>
      </c>
      <c r="G3925" s="36">
        <f t="shared" ca="1" si="63"/>
        <v>-171.81802945614709</v>
      </c>
    </row>
    <row r="3926" spans="1:7" x14ac:dyDescent="0.2">
      <c r="A3926" s="6">
        <f ca="1">Model!$F$13+RAND()*(Model!$G$13-Model!$F$13)</f>
        <v>1340.7845893643039</v>
      </c>
      <c r="B3926" s="31">
        <f ca="1">Model!$F$14+RAND()*(Model!$G$14-Model!$F$14)</f>
        <v>0.76322220161203047</v>
      </c>
      <c r="C3926" s="32">
        <f ca="1">Model!$F$15+RAND()*(Model!$G$15-Model!$F$15)</f>
        <v>3.7038704930835345E-2</v>
      </c>
      <c r="D3926" s="33">
        <f ca="1">Model!$F$16+RAND()*(Model!$G$16-Model!$F$16)</f>
        <v>49.241582566130084</v>
      </c>
      <c r="E3926" s="33">
        <f>Model!$D$17</f>
        <v>800</v>
      </c>
      <c r="G3926" s="36">
        <f t="shared" ca="1" si="63"/>
        <v>622.06596174545575</v>
      </c>
    </row>
    <row r="3927" spans="1:7" x14ac:dyDescent="0.2">
      <c r="A3927" s="6">
        <f ca="1">Model!$F$13+RAND()*(Model!$G$13-Model!$F$13)</f>
        <v>1698.4529753955881</v>
      </c>
      <c r="B3927" s="31">
        <f ca="1">Model!$F$14+RAND()*(Model!$G$14-Model!$F$14)</f>
        <v>0.24965415385992504</v>
      </c>
      <c r="C3927" s="32">
        <f ca="1">Model!$F$15+RAND()*(Model!$G$15-Model!$F$15)</f>
        <v>1.9682651234080924E-2</v>
      </c>
      <c r="D3927" s="33">
        <f ca="1">Model!$F$16+RAND()*(Model!$G$16-Model!$F$16)</f>
        <v>47.148759346876048</v>
      </c>
      <c r="E3927" s="33">
        <f>Model!$D$17</f>
        <v>800</v>
      </c>
      <c r="G3927" s="36">
        <f t="shared" ca="1" si="63"/>
        <v>352.1598980375602</v>
      </c>
    </row>
    <row r="3928" spans="1:7" x14ac:dyDescent="0.2">
      <c r="A3928" s="6">
        <f ca="1">Model!$F$13+RAND()*(Model!$G$13-Model!$F$13)</f>
        <v>1542.3651932836683</v>
      </c>
      <c r="B3928" s="31">
        <f ca="1">Model!$F$14+RAND()*(Model!$G$14-Model!$F$14)</f>
        <v>0.46393276543415518</v>
      </c>
      <c r="C3928" s="32">
        <f ca="1">Model!$F$15+RAND()*(Model!$G$15-Model!$F$15)</f>
        <v>1.7666587125742345E-2</v>
      </c>
      <c r="D3928" s="33">
        <f ca="1">Model!$F$16+RAND()*(Model!$G$16-Model!$F$16)</f>
        <v>52.44315789940643</v>
      </c>
      <c r="E3928" s="33">
        <f>Model!$D$17</f>
        <v>800</v>
      </c>
      <c r="G3928" s="36">
        <f t="shared" ca="1" si="63"/>
        <v>-86.565325681239074</v>
      </c>
    </row>
    <row r="3929" spans="1:7" x14ac:dyDescent="0.2">
      <c r="A3929" s="6">
        <f ca="1">Model!$F$13+RAND()*(Model!$G$13-Model!$F$13)</f>
        <v>1335.3573004325237</v>
      </c>
      <c r="B3929" s="31">
        <f ca="1">Model!$F$14+RAND()*(Model!$G$14-Model!$F$14)</f>
        <v>0.77064588153524638</v>
      </c>
      <c r="C3929" s="32">
        <f ca="1">Model!$F$15+RAND()*(Model!$G$15-Model!$F$15)</f>
        <v>1.508474328529217E-2</v>
      </c>
      <c r="D3929" s="33">
        <f ca="1">Model!$F$16+RAND()*(Model!$G$16-Model!$F$16)</f>
        <v>51.785792131391617</v>
      </c>
      <c r="E3929" s="33">
        <f>Model!$D$17</f>
        <v>800</v>
      </c>
      <c r="G3929" s="36">
        <f t="shared" ca="1" si="63"/>
        <v>-785.9393571848791</v>
      </c>
    </row>
    <row r="3930" spans="1:7" x14ac:dyDescent="0.2">
      <c r="A3930" s="6">
        <f ca="1">Model!$F$13+RAND()*(Model!$G$13-Model!$F$13)</f>
        <v>1678.9217293067927</v>
      </c>
      <c r="B3930" s="31">
        <f ca="1">Model!$F$14+RAND()*(Model!$G$14-Model!$F$14)</f>
        <v>0.25064135663413939</v>
      </c>
      <c r="C3930" s="32">
        <f ca="1">Model!$F$15+RAND()*(Model!$G$15-Model!$F$15)</f>
        <v>2.3608824741225616E-2</v>
      </c>
      <c r="D3930" s="33">
        <f ca="1">Model!$F$16+RAND()*(Model!$G$16-Model!$F$16)</f>
        <v>49.884111265706387</v>
      </c>
      <c r="E3930" s="33">
        <f>Model!$D$17</f>
        <v>800</v>
      </c>
      <c r="G3930" s="36">
        <f t="shared" ca="1" si="63"/>
        <v>756.46769864790417</v>
      </c>
    </row>
    <row r="3931" spans="1:7" x14ac:dyDescent="0.2">
      <c r="A3931" s="6">
        <f ca="1">Model!$F$13+RAND()*(Model!$G$13-Model!$F$13)</f>
        <v>1561.041332827233</v>
      </c>
      <c r="B3931" s="31">
        <f ca="1">Model!$F$14+RAND()*(Model!$G$14-Model!$F$14)</f>
        <v>0.5754908400826344</v>
      </c>
      <c r="C3931" s="32">
        <f ca="1">Model!$F$15+RAND()*(Model!$G$15-Model!$F$15)</f>
        <v>1.273860726297397E-2</v>
      </c>
      <c r="D3931" s="33">
        <f ca="1">Model!$F$16+RAND()*(Model!$G$16-Model!$F$16)</f>
        <v>50.821033029189635</v>
      </c>
      <c r="E3931" s="33">
        <f>Model!$D$17</f>
        <v>800</v>
      </c>
      <c r="G3931" s="36">
        <f t="shared" ca="1" si="63"/>
        <v>-687.76371891319263</v>
      </c>
    </row>
    <row r="3932" spans="1:7" x14ac:dyDescent="0.2">
      <c r="A3932" s="6">
        <f ca="1">Model!$F$13+RAND()*(Model!$G$13-Model!$F$13)</f>
        <v>1671.3600593743922</v>
      </c>
      <c r="B3932" s="31">
        <f ca="1">Model!$F$14+RAND()*(Model!$G$14-Model!$F$14)</f>
        <v>0.20143334409837746</v>
      </c>
      <c r="C3932" s="32">
        <f ca="1">Model!$F$15+RAND()*(Model!$G$15-Model!$F$15)</f>
        <v>2.6337811810393776E-2</v>
      </c>
      <c r="D3932" s="33">
        <f ca="1">Model!$F$16+RAND()*(Model!$G$16-Model!$F$16)</f>
        <v>52.422627363258165</v>
      </c>
      <c r="E3932" s="33">
        <f>Model!$D$17</f>
        <v>800</v>
      </c>
      <c r="G3932" s="36">
        <f t="shared" ca="1" si="63"/>
        <v>1170.974665492613</v>
      </c>
    </row>
    <row r="3933" spans="1:7" x14ac:dyDescent="0.2">
      <c r="A3933" s="6">
        <f ca="1">Model!$F$13+RAND()*(Model!$G$13-Model!$F$13)</f>
        <v>1570.5752623986041</v>
      </c>
      <c r="B3933" s="31">
        <f ca="1">Model!$F$14+RAND()*(Model!$G$14-Model!$F$14)</f>
        <v>0.23407208829217879</v>
      </c>
      <c r="C3933" s="32">
        <f ca="1">Model!$F$15+RAND()*(Model!$G$15-Model!$F$15)</f>
        <v>2.3586591380938125E-2</v>
      </c>
      <c r="D3933" s="33">
        <f ca="1">Model!$F$16+RAND()*(Model!$G$16-Model!$F$16)</f>
        <v>51.548841532171963</v>
      </c>
      <c r="E3933" s="33">
        <f>Model!$D$17</f>
        <v>800</v>
      </c>
      <c r="G3933" s="36">
        <f t="shared" ca="1" si="63"/>
        <v>741.97410225767976</v>
      </c>
    </row>
    <row r="3934" spans="1:7" x14ac:dyDescent="0.2">
      <c r="A3934" s="6">
        <f ca="1">Model!$F$13+RAND()*(Model!$G$13-Model!$F$13)</f>
        <v>1663.6138786456959</v>
      </c>
      <c r="B3934" s="31">
        <f ca="1">Model!$F$14+RAND()*(Model!$G$14-Model!$F$14)</f>
        <v>0.63853540094927874</v>
      </c>
      <c r="C3934" s="32">
        <f ca="1">Model!$F$15+RAND()*(Model!$G$15-Model!$F$15)</f>
        <v>1.9866626689917857E-2</v>
      </c>
      <c r="D3934" s="33">
        <f ca="1">Model!$F$16+RAND()*(Model!$G$16-Model!$F$16)</f>
        <v>50.970681607128903</v>
      </c>
      <c r="E3934" s="33">
        <f>Model!$D$17</f>
        <v>800</v>
      </c>
      <c r="G3934" s="36">
        <f t="shared" ca="1" si="63"/>
        <v>-177.67514947262612</v>
      </c>
    </row>
    <row r="3935" spans="1:7" x14ac:dyDescent="0.2">
      <c r="A3935" s="6">
        <f ca="1">Model!$F$13+RAND()*(Model!$G$13-Model!$F$13)</f>
        <v>1281.2016147110839</v>
      </c>
      <c r="B3935" s="31">
        <f ca="1">Model!$F$14+RAND()*(Model!$G$14-Model!$F$14)</f>
        <v>0.77291154834323117</v>
      </c>
      <c r="C3935" s="32">
        <f ca="1">Model!$F$15+RAND()*(Model!$G$15-Model!$F$15)</f>
        <v>4.6432781967341318E-2</v>
      </c>
      <c r="D3935" s="33">
        <f ca="1">Model!$F$16+RAND()*(Model!$G$16-Model!$F$16)</f>
        <v>50.487040618653353</v>
      </c>
      <c r="E3935" s="33">
        <f>Model!$D$17</f>
        <v>800</v>
      </c>
      <c r="G3935" s="36">
        <f t="shared" ca="1" si="63"/>
        <v>1213.2061650298497</v>
      </c>
    </row>
    <row r="3936" spans="1:7" x14ac:dyDescent="0.2">
      <c r="A3936" s="6">
        <f ca="1">Model!$F$13+RAND()*(Model!$G$13-Model!$F$13)</f>
        <v>1341.6314518612548</v>
      </c>
      <c r="B3936" s="31">
        <f ca="1">Model!$F$14+RAND()*(Model!$G$14-Model!$F$14)</f>
        <v>0.21941231565129812</v>
      </c>
      <c r="C3936" s="32">
        <f ca="1">Model!$F$15+RAND()*(Model!$G$15-Model!$F$15)</f>
        <v>4.4756228302003175E-2</v>
      </c>
      <c r="D3936" s="33">
        <f ca="1">Model!$F$16+RAND()*(Model!$G$16-Model!$F$16)</f>
        <v>52.17223838665273</v>
      </c>
      <c r="E3936" s="33">
        <f>Model!$D$17</f>
        <v>800</v>
      </c>
      <c r="G3936" s="36">
        <f t="shared" ca="1" si="63"/>
        <v>2038.3827301256854</v>
      </c>
    </row>
    <row r="3937" spans="1:7" x14ac:dyDescent="0.2">
      <c r="A3937" s="6">
        <f ca="1">Model!$F$13+RAND()*(Model!$G$13-Model!$F$13)</f>
        <v>1533.6567761352544</v>
      </c>
      <c r="B3937" s="31">
        <f ca="1">Model!$F$14+RAND()*(Model!$G$14-Model!$F$14)</f>
        <v>0.77240284351184241</v>
      </c>
      <c r="C3937" s="32">
        <f ca="1">Model!$F$15+RAND()*(Model!$G$15-Model!$F$15)</f>
        <v>4.2887369842653206E-2</v>
      </c>
      <c r="D3937" s="33">
        <f ca="1">Model!$F$16+RAND()*(Model!$G$16-Model!$F$16)</f>
        <v>50.740289720441204</v>
      </c>
      <c r="E3937" s="33">
        <f>Model!$D$17</f>
        <v>800</v>
      </c>
      <c r="G3937" s="36">
        <f t="shared" ca="1" si="63"/>
        <v>1352.8166038244874</v>
      </c>
    </row>
    <row r="3938" spans="1:7" x14ac:dyDescent="0.2">
      <c r="A3938" s="6">
        <f ca="1">Model!$F$13+RAND()*(Model!$G$13-Model!$F$13)</f>
        <v>1356.8454391706462</v>
      </c>
      <c r="B3938" s="31">
        <f ca="1">Model!$F$14+RAND()*(Model!$G$14-Model!$F$14)</f>
        <v>0.6848742964419503</v>
      </c>
      <c r="C3938" s="32">
        <f ca="1">Model!$F$15+RAND()*(Model!$G$15-Model!$F$15)</f>
        <v>1.8801623096723764E-2</v>
      </c>
      <c r="D3938" s="33">
        <f ca="1">Model!$F$16+RAND()*(Model!$G$16-Model!$F$16)</f>
        <v>50.47774011052968</v>
      </c>
      <c r="E3938" s="33">
        <f>Model!$D$17</f>
        <v>800</v>
      </c>
      <c r="G3938" s="36">
        <f t="shared" ca="1" si="63"/>
        <v>-441.53615960625439</v>
      </c>
    </row>
    <row r="3939" spans="1:7" x14ac:dyDescent="0.2">
      <c r="A3939" s="6">
        <f ca="1">Model!$F$13+RAND()*(Model!$G$13-Model!$F$13)</f>
        <v>1628.5984505882266</v>
      </c>
      <c r="B3939" s="31">
        <f ca="1">Model!$F$14+RAND()*(Model!$G$14-Model!$F$14)</f>
        <v>0.47954906088272237</v>
      </c>
      <c r="C3939" s="32">
        <f ca="1">Model!$F$15+RAND()*(Model!$G$15-Model!$F$15)</f>
        <v>3.8657689071730471E-2</v>
      </c>
      <c r="D3939" s="33">
        <f ca="1">Model!$F$16+RAND()*(Model!$G$16-Model!$F$16)</f>
        <v>50.955764304949525</v>
      </c>
      <c r="E3939" s="33">
        <f>Model!$D$17</f>
        <v>800</v>
      </c>
      <c r="G3939" s="36">
        <f t="shared" ca="1" si="63"/>
        <v>1627.0726369026315</v>
      </c>
    </row>
    <row r="3940" spans="1:7" x14ac:dyDescent="0.2">
      <c r="A3940" s="6">
        <f ca="1">Model!$F$13+RAND()*(Model!$G$13-Model!$F$13)</f>
        <v>1336.3576758915785</v>
      </c>
      <c r="B3940" s="31">
        <f ca="1">Model!$F$14+RAND()*(Model!$G$14-Model!$F$14)</f>
        <v>0.67438289049980771</v>
      </c>
      <c r="C3940" s="32">
        <f ca="1">Model!$F$15+RAND()*(Model!$G$15-Model!$F$15)</f>
        <v>4.5875779022672397E-2</v>
      </c>
      <c r="D3940" s="33">
        <f ca="1">Model!$F$16+RAND()*(Model!$G$16-Model!$F$16)</f>
        <v>47.953527246483539</v>
      </c>
      <c r="E3940" s="33">
        <f>Model!$D$17</f>
        <v>800</v>
      </c>
      <c r="G3940" s="36">
        <f t="shared" ca="1" si="63"/>
        <v>1238.643741130893</v>
      </c>
    </row>
    <row r="3941" spans="1:7" x14ac:dyDescent="0.2">
      <c r="A3941" s="6">
        <f ca="1">Model!$F$13+RAND()*(Model!$G$13-Model!$F$13)</f>
        <v>1453.6646411571121</v>
      </c>
      <c r="B3941" s="31">
        <f ca="1">Model!$F$14+RAND()*(Model!$G$14-Model!$F$14)</f>
        <v>0.70869181382705859</v>
      </c>
      <c r="C3941" s="32">
        <f ca="1">Model!$F$15+RAND()*(Model!$G$15-Model!$F$15)</f>
        <v>2.2961665979408068E-2</v>
      </c>
      <c r="D3941" s="33">
        <f ca="1">Model!$F$16+RAND()*(Model!$G$16-Model!$F$16)</f>
        <v>50.289964408636784</v>
      </c>
      <c r="E3941" s="33">
        <f>Model!$D$17</f>
        <v>800</v>
      </c>
      <c r="G3941" s="36">
        <f t="shared" ca="1" si="63"/>
        <v>-151.5935394485964</v>
      </c>
    </row>
    <row r="3942" spans="1:7" x14ac:dyDescent="0.2">
      <c r="A3942" s="6">
        <f ca="1">Model!$F$13+RAND()*(Model!$G$13-Model!$F$13)</f>
        <v>1217.4566527397383</v>
      </c>
      <c r="B3942" s="31">
        <f ca="1">Model!$F$14+RAND()*(Model!$G$14-Model!$F$14)</f>
        <v>0.47183073023274835</v>
      </c>
      <c r="C3942" s="32">
        <f ca="1">Model!$F$15+RAND()*(Model!$G$15-Model!$F$15)</f>
        <v>4.3759596630986636E-2</v>
      </c>
      <c r="D3942" s="33">
        <f ca="1">Model!$F$16+RAND()*(Model!$G$16-Model!$F$16)</f>
        <v>50.719046296376078</v>
      </c>
      <c r="E3942" s="33">
        <f>Model!$D$17</f>
        <v>800</v>
      </c>
      <c r="G3942" s="36">
        <f t="shared" ca="1" si="63"/>
        <v>1327.6446282061831</v>
      </c>
    </row>
    <row r="3943" spans="1:7" x14ac:dyDescent="0.2">
      <c r="A3943" s="6">
        <f ca="1">Model!$F$13+RAND()*(Model!$G$13-Model!$F$13)</f>
        <v>1664.6775163314596</v>
      </c>
      <c r="B3943" s="31">
        <f ca="1">Model!$F$14+RAND()*(Model!$G$14-Model!$F$14)</f>
        <v>0.25676831544503709</v>
      </c>
      <c r="C3943" s="32">
        <f ca="1">Model!$F$15+RAND()*(Model!$G$15-Model!$F$15)</f>
        <v>3.6987455188243173E-2</v>
      </c>
      <c r="D3943" s="33">
        <f ca="1">Model!$F$16+RAND()*(Model!$G$16-Model!$F$16)</f>
        <v>50.249213152646284</v>
      </c>
      <c r="E3943" s="33">
        <f>Model!$D$17</f>
        <v>800</v>
      </c>
      <c r="G3943" s="36">
        <f t="shared" ca="1" si="63"/>
        <v>1866.51740863032</v>
      </c>
    </row>
    <row r="3944" spans="1:7" x14ac:dyDescent="0.2">
      <c r="A3944" s="6">
        <f ca="1">Model!$F$13+RAND()*(Model!$G$13-Model!$F$13)</f>
        <v>1662.8867448608462</v>
      </c>
      <c r="B3944" s="31">
        <f ca="1">Model!$F$14+RAND()*(Model!$G$14-Model!$F$14)</f>
        <v>0.74726840063981448</v>
      </c>
      <c r="C3944" s="32">
        <f ca="1">Model!$F$15+RAND()*(Model!$G$15-Model!$F$15)</f>
        <v>4.2151568362802525E-2</v>
      </c>
      <c r="D3944" s="33">
        <f ca="1">Model!$F$16+RAND()*(Model!$G$16-Model!$F$16)</f>
        <v>49.771281872622787</v>
      </c>
      <c r="E3944" s="33">
        <f>Model!$D$17</f>
        <v>800</v>
      </c>
      <c r="G3944" s="36">
        <f t="shared" ca="1" si="63"/>
        <v>1446.0098922745988</v>
      </c>
    </row>
    <row r="3945" spans="1:7" x14ac:dyDescent="0.2">
      <c r="A3945" s="6">
        <f ca="1">Model!$F$13+RAND()*(Model!$G$13-Model!$F$13)</f>
        <v>1753.4657920599425</v>
      </c>
      <c r="B3945" s="31">
        <f ca="1">Model!$F$14+RAND()*(Model!$G$14-Model!$F$14)</f>
        <v>0.77047101475512014</v>
      </c>
      <c r="C3945" s="32">
        <f ca="1">Model!$F$15+RAND()*(Model!$G$15-Model!$F$15)</f>
        <v>4.6096899785568787E-2</v>
      </c>
      <c r="D3945" s="33">
        <f ca="1">Model!$F$16+RAND()*(Model!$G$16-Model!$F$16)</f>
        <v>47.792740513014635</v>
      </c>
      <c r="E3945" s="33">
        <f>Model!$D$17</f>
        <v>800</v>
      </c>
      <c r="G3945" s="36">
        <f t="shared" ref="G3945:G4008" ca="1" si="64">A3945*C3945*D3945-(E3945+A3945*B3945)</f>
        <v>1712.0609558676538</v>
      </c>
    </row>
    <row r="3946" spans="1:7" x14ac:dyDescent="0.2">
      <c r="A3946" s="6">
        <f ca="1">Model!$F$13+RAND()*(Model!$G$13-Model!$F$13)</f>
        <v>1540.1352434201931</v>
      </c>
      <c r="B3946" s="31">
        <f ca="1">Model!$F$14+RAND()*(Model!$G$14-Model!$F$14)</f>
        <v>0.40101820476226974</v>
      </c>
      <c r="C3946" s="32">
        <f ca="1">Model!$F$15+RAND()*(Model!$G$15-Model!$F$15)</f>
        <v>1.2057163289821782E-2</v>
      </c>
      <c r="D3946" s="33">
        <f ca="1">Model!$F$16+RAND()*(Model!$G$16-Model!$F$16)</f>
        <v>48.560420246320724</v>
      </c>
      <c r="E3946" s="33">
        <f>Model!$D$17</f>
        <v>800</v>
      </c>
      <c r="G3946" s="36">
        <f t="shared" ca="1" si="64"/>
        <v>-515.87167410934092</v>
      </c>
    </row>
    <row r="3947" spans="1:7" x14ac:dyDescent="0.2">
      <c r="A3947" s="6">
        <f ca="1">Model!$F$13+RAND()*(Model!$G$13-Model!$F$13)</f>
        <v>1381.4338930527124</v>
      </c>
      <c r="B3947" s="31">
        <f ca="1">Model!$F$14+RAND()*(Model!$G$14-Model!$F$14)</f>
        <v>0.50611543768587808</v>
      </c>
      <c r="C3947" s="32">
        <f ca="1">Model!$F$15+RAND()*(Model!$G$15-Model!$F$15)</f>
        <v>2.0998685005352312E-2</v>
      </c>
      <c r="D3947" s="33">
        <f ca="1">Model!$F$16+RAND()*(Model!$G$16-Model!$F$16)</f>
        <v>51.837821691006852</v>
      </c>
      <c r="E3947" s="33">
        <f>Model!$D$17</f>
        <v>800</v>
      </c>
      <c r="G3947" s="36">
        <f t="shared" ca="1" si="64"/>
        <v>4.5618134735493641</v>
      </c>
    </row>
    <row r="3948" spans="1:7" x14ac:dyDescent="0.2">
      <c r="A3948" s="6">
        <f ca="1">Model!$F$13+RAND()*(Model!$G$13-Model!$F$13)</f>
        <v>1438.3468390232529</v>
      </c>
      <c r="B3948" s="31">
        <f ca="1">Model!$F$14+RAND()*(Model!$G$14-Model!$F$14)</f>
        <v>0.23519532220665168</v>
      </c>
      <c r="C3948" s="32">
        <f ca="1">Model!$F$15+RAND()*(Model!$G$15-Model!$F$15)</f>
        <v>2.6121942457526075E-2</v>
      </c>
      <c r="D3948" s="33">
        <f ca="1">Model!$F$16+RAND()*(Model!$G$16-Model!$F$16)</f>
        <v>47.037794285388713</v>
      </c>
      <c r="E3948" s="33">
        <f>Model!$D$17</f>
        <v>800</v>
      </c>
      <c r="G3948" s="36">
        <f t="shared" ca="1" si="64"/>
        <v>629.03100232209499</v>
      </c>
    </row>
    <row r="3949" spans="1:7" x14ac:dyDescent="0.2">
      <c r="A3949" s="6">
        <f ca="1">Model!$F$13+RAND()*(Model!$G$13-Model!$F$13)</f>
        <v>1538.5263150571352</v>
      </c>
      <c r="B3949" s="31">
        <f ca="1">Model!$F$14+RAND()*(Model!$G$14-Model!$F$14)</f>
        <v>0.79796769850779681</v>
      </c>
      <c r="C3949" s="32">
        <f ca="1">Model!$F$15+RAND()*(Model!$G$15-Model!$F$15)</f>
        <v>2.8263528255000663E-2</v>
      </c>
      <c r="D3949" s="33">
        <f ca="1">Model!$F$16+RAND()*(Model!$G$16-Model!$F$16)</f>
        <v>48.508910367372678</v>
      </c>
      <c r="E3949" s="33">
        <f>Model!$D$17</f>
        <v>800</v>
      </c>
      <c r="G3949" s="36">
        <f t="shared" ca="1" si="64"/>
        <v>81.675983185439463</v>
      </c>
    </row>
    <row r="3950" spans="1:7" x14ac:dyDescent="0.2">
      <c r="A3950" s="6">
        <f ca="1">Model!$F$13+RAND()*(Model!$G$13-Model!$F$13)</f>
        <v>1313.818452477577</v>
      </c>
      <c r="B3950" s="31">
        <f ca="1">Model!$F$14+RAND()*(Model!$G$14-Model!$F$14)</f>
        <v>0.31692465725445451</v>
      </c>
      <c r="C3950" s="32">
        <f ca="1">Model!$F$15+RAND()*(Model!$G$15-Model!$F$15)</f>
        <v>2.484070161451897E-2</v>
      </c>
      <c r="D3950" s="33">
        <f ca="1">Model!$F$16+RAND()*(Model!$G$16-Model!$F$16)</f>
        <v>49.408717087472013</v>
      </c>
      <c r="E3950" s="33">
        <f>Model!$D$17</f>
        <v>800</v>
      </c>
      <c r="G3950" s="36">
        <f t="shared" ca="1" si="64"/>
        <v>396.12993401142262</v>
      </c>
    </row>
    <row r="3951" spans="1:7" x14ac:dyDescent="0.2">
      <c r="A3951" s="6">
        <f ca="1">Model!$F$13+RAND()*(Model!$G$13-Model!$F$13)</f>
        <v>1602.3638047244199</v>
      </c>
      <c r="B3951" s="31">
        <f ca="1">Model!$F$14+RAND()*(Model!$G$14-Model!$F$14)</f>
        <v>0.58348870264236963</v>
      </c>
      <c r="C3951" s="32">
        <f ca="1">Model!$F$15+RAND()*(Model!$G$15-Model!$F$15)</f>
        <v>2.3793953488825959E-2</v>
      </c>
      <c r="D3951" s="33">
        <f ca="1">Model!$F$16+RAND()*(Model!$G$16-Model!$F$16)</f>
        <v>51.807707099518865</v>
      </c>
      <c r="E3951" s="33">
        <f>Model!$D$17</f>
        <v>800</v>
      </c>
      <c r="G3951" s="36">
        <f t="shared" ca="1" si="64"/>
        <v>240.2889854931168</v>
      </c>
    </row>
    <row r="3952" spans="1:7" x14ac:dyDescent="0.2">
      <c r="A3952" s="6">
        <f ca="1">Model!$F$13+RAND()*(Model!$G$13-Model!$F$13)</f>
        <v>1324.9084672044053</v>
      </c>
      <c r="B3952" s="31">
        <f ca="1">Model!$F$14+RAND()*(Model!$G$14-Model!$F$14)</f>
        <v>0.22440628299025644</v>
      </c>
      <c r="C3952" s="32">
        <f ca="1">Model!$F$15+RAND()*(Model!$G$15-Model!$F$15)</f>
        <v>1.3229789979667349E-2</v>
      </c>
      <c r="D3952" s="33">
        <f ca="1">Model!$F$16+RAND()*(Model!$G$16-Model!$F$16)</f>
        <v>51.378751136082641</v>
      </c>
      <c r="E3952" s="33">
        <f>Model!$D$17</f>
        <v>800</v>
      </c>
      <c r="G3952" s="36">
        <f t="shared" ca="1" si="64"/>
        <v>-196.73763681670869</v>
      </c>
    </row>
    <row r="3953" spans="1:7" x14ac:dyDescent="0.2">
      <c r="A3953" s="6">
        <f ca="1">Model!$F$13+RAND()*(Model!$G$13-Model!$F$13)</f>
        <v>1381.6941935261923</v>
      </c>
      <c r="B3953" s="31">
        <f ca="1">Model!$F$14+RAND()*(Model!$G$14-Model!$F$14)</f>
        <v>0.673175056622211</v>
      </c>
      <c r="C3953" s="32">
        <f ca="1">Model!$F$15+RAND()*(Model!$G$15-Model!$F$15)</f>
        <v>2.5850698086489328E-2</v>
      </c>
      <c r="D3953" s="33">
        <f ca="1">Model!$F$16+RAND()*(Model!$G$16-Model!$F$16)</f>
        <v>47.341860000035581</v>
      </c>
      <c r="E3953" s="33">
        <f>Model!$D$17</f>
        <v>800</v>
      </c>
      <c r="G3953" s="36">
        <f t="shared" ca="1" si="64"/>
        <v>-39.176899815593515</v>
      </c>
    </row>
    <row r="3954" spans="1:7" x14ac:dyDescent="0.2">
      <c r="A3954" s="6">
        <f ca="1">Model!$F$13+RAND()*(Model!$G$13-Model!$F$13)</f>
        <v>1539.7711900002319</v>
      </c>
      <c r="B3954" s="31">
        <f ca="1">Model!$F$14+RAND()*(Model!$G$14-Model!$F$14)</f>
        <v>0.3389768047241179</v>
      </c>
      <c r="C3954" s="32">
        <f ca="1">Model!$F$15+RAND()*(Model!$G$15-Model!$F$15)</f>
        <v>3.9327844778701666E-2</v>
      </c>
      <c r="D3954" s="33">
        <f ca="1">Model!$F$16+RAND()*(Model!$G$16-Model!$F$16)</f>
        <v>51.372628822946915</v>
      </c>
      <c r="E3954" s="33">
        <f>Model!$D$17</f>
        <v>800</v>
      </c>
      <c r="G3954" s="36">
        <f t="shared" ca="1" si="64"/>
        <v>1788.9681492792806</v>
      </c>
    </row>
    <row r="3955" spans="1:7" x14ac:dyDescent="0.2">
      <c r="A3955" s="6">
        <f ca="1">Model!$F$13+RAND()*(Model!$G$13-Model!$F$13)</f>
        <v>1504.3659830570239</v>
      </c>
      <c r="B3955" s="31">
        <f ca="1">Model!$F$14+RAND()*(Model!$G$14-Model!$F$14)</f>
        <v>0.58347975426327892</v>
      </c>
      <c r="C3955" s="32">
        <f ca="1">Model!$F$15+RAND()*(Model!$G$15-Model!$F$15)</f>
        <v>4.7590733815208175E-2</v>
      </c>
      <c r="D3955" s="33">
        <f ca="1">Model!$F$16+RAND()*(Model!$G$16-Model!$F$16)</f>
        <v>50.357279992260843</v>
      </c>
      <c r="E3955" s="33">
        <f>Model!$D$17</f>
        <v>800</v>
      </c>
      <c r="G3955" s="36">
        <f t="shared" ca="1" si="64"/>
        <v>1927.5060201710467</v>
      </c>
    </row>
    <row r="3956" spans="1:7" x14ac:dyDescent="0.2">
      <c r="A3956" s="6">
        <f ca="1">Model!$F$13+RAND()*(Model!$G$13-Model!$F$13)</f>
        <v>1678.4911041017947</v>
      </c>
      <c r="B3956" s="31">
        <f ca="1">Model!$F$14+RAND()*(Model!$G$14-Model!$F$14)</f>
        <v>0.38884160730376272</v>
      </c>
      <c r="C3956" s="32">
        <f ca="1">Model!$F$15+RAND()*(Model!$G$15-Model!$F$15)</f>
        <v>2.5984539498829673E-2</v>
      </c>
      <c r="D3956" s="33">
        <f ca="1">Model!$F$16+RAND()*(Model!$G$16-Model!$F$16)</f>
        <v>49.950713421866418</v>
      </c>
      <c r="E3956" s="33">
        <f>Model!$D$17</f>
        <v>800</v>
      </c>
      <c r="G3956" s="36">
        <f t="shared" ca="1" si="64"/>
        <v>725.92411572984952</v>
      </c>
    </row>
    <row r="3957" spans="1:7" x14ac:dyDescent="0.2">
      <c r="A3957" s="6">
        <f ca="1">Model!$F$13+RAND()*(Model!$G$13-Model!$F$13)</f>
        <v>1646.3888147553123</v>
      </c>
      <c r="B3957" s="31">
        <f ca="1">Model!$F$14+RAND()*(Model!$G$14-Model!$F$14)</f>
        <v>0.34696491401623386</v>
      </c>
      <c r="C3957" s="32">
        <f ca="1">Model!$F$15+RAND()*(Model!$G$15-Model!$F$15)</f>
        <v>4.6957538324044396E-2</v>
      </c>
      <c r="D3957" s="33">
        <f ca="1">Model!$F$16+RAND()*(Model!$G$16-Model!$F$16)</f>
        <v>52.732168066751036</v>
      </c>
      <c r="E3957" s="33">
        <f>Model!$D$17</f>
        <v>800</v>
      </c>
      <c r="G3957" s="36">
        <f t="shared" ca="1" si="64"/>
        <v>2705.5040525542681</v>
      </c>
    </row>
    <row r="3958" spans="1:7" x14ac:dyDescent="0.2">
      <c r="A3958" s="6">
        <f ca="1">Model!$F$13+RAND()*(Model!$G$13-Model!$F$13)</f>
        <v>1724.1542500252845</v>
      </c>
      <c r="B3958" s="31">
        <f ca="1">Model!$F$14+RAND()*(Model!$G$14-Model!$F$14)</f>
        <v>0.2642744551959163</v>
      </c>
      <c r="C3958" s="32">
        <f ca="1">Model!$F$15+RAND()*(Model!$G$15-Model!$F$15)</f>
        <v>1.4025653142286343E-2</v>
      </c>
      <c r="D3958" s="33">
        <f ca="1">Model!$F$16+RAND()*(Model!$G$16-Model!$F$16)</f>
        <v>47.603641093279137</v>
      </c>
      <c r="E3958" s="33">
        <f>Model!$D$17</f>
        <v>800</v>
      </c>
      <c r="G3958" s="36">
        <f t="shared" ca="1" si="64"/>
        <v>-104.48013576986045</v>
      </c>
    </row>
    <row r="3959" spans="1:7" x14ac:dyDescent="0.2">
      <c r="A3959" s="6">
        <f ca="1">Model!$F$13+RAND()*(Model!$G$13-Model!$F$13)</f>
        <v>1361.6967453224966</v>
      </c>
      <c r="B3959" s="31">
        <f ca="1">Model!$F$14+RAND()*(Model!$G$14-Model!$F$14)</f>
        <v>0.55800301413222986</v>
      </c>
      <c r="C3959" s="32">
        <f ca="1">Model!$F$15+RAND()*(Model!$G$15-Model!$F$15)</f>
        <v>1.5539695697093046E-2</v>
      </c>
      <c r="D3959" s="33">
        <f ca="1">Model!$F$16+RAND()*(Model!$G$16-Model!$F$16)</f>
        <v>49.680300515133943</v>
      </c>
      <c r="E3959" s="33">
        <f>Model!$D$17</f>
        <v>800</v>
      </c>
      <c r="G3959" s="36">
        <f t="shared" ca="1" si="64"/>
        <v>-508.57818949327861</v>
      </c>
    </row>
    <row r="3960" spans="1:7" x14ac:dyDescent="0.2">
      <c r="A3960" s="6">
        <f ca="1">Model!$F$13+RAND()*(Model!$G$13-Model!$F$13)</f>
        <v>1207.0231080011122</v>
      </c>
      <c r="B3960" s="31">
        <f ca="1">Model!$F$14+RAND()*(Model!$G$14-Model!$F$14)</f>
        <v>0.41528947178899234</v>
      </c>
      <c r="C3960" s="32">
        <f ca="1">Model!$F$15+RAND()*(Model!$G$15-Model!$F$15)</f>
        <v>1.2359324259013591E-2</v>
      </c>
      <c r="D3960" s="33">
        <f ca="1">Model!$F$16+RAND()*(Model!$G$16-Model!$F$16)</f>
        <v>49.083196632248807</v>
      </c>
      <c r="E3960" s="33">
        <f>Model!$D$17</f>
        <v>800</v>
      </c>
      <c r="G3960" s="36">
        <f t="shared" ca="1" si="64"/>
        <v>-569.04135341714164</v>
      </c>
    </row>
    <row r="3961" spans="1:7" x14ac:dyDescent="0.2">
      <c r="A3961" s="6">
        <f ca="1">Model!$F$13+RAND()*(Model!$G$13-Model!$F$13)</f>
        <v>1790.0522050314198</v>
      </c>
      <c r="B3961" s="31">
        <f ca="1">Model!$F$14+RAND()*(Model!$G$14-Model!$F$14)</f>
        <v>0.44890678264302591</v>
      </c>
      <c r="C3961" s="32">
        <f ca="1">Model!$F$15+RAND()*(Model!$G$15-Model!$F$15)</f>
        <v>2.1055545407545478E-2</v>
      </c>
      <c r="D3961" s="33">
        <f ca="1">Model!$F$16+RAND()*(Model!$G$16-Model!$F$16)</f>
        <v>50.627908620546279</v>
      </c>
      <c r="E3961" s="33">
        <f>Model!$D$17</f>
        <v>800</v>
      </c>
      <c r="G3961" s="36">
        <f t="shared" ca="1" si="64"/>
        <v>304.62590398698762</v>
      </c>
    </row>
    <row r="3962" spans="1:7" x14ac:dyDescent="0.2">
      <c r="A3962" s="6">
        <f ca="1">Model!$F$13+RAND()*(Model!$G$13-Model!$F$13)</f>
        <v>1277.3180911257657</v>
      </c>
      <c r="B3962" s="31">
        <f ca="1">Model!$F$14+RAND()*(Model!$G$14-Model!$F$14)</f>
        <v>0.33014868083959414</v>
      </c>
      <c r="C3962" s="32">
        <f ca="1">Model!$F$15+RAND()*(Model!$G$15-Model!$F$15)</f>
        <v>2.7943581250223698E-2</v>
      </c>
      <c r="D3962" s="33">
        <f ca="1">Model!$F$16+RAND()*(Model!$G$16-Model!$F$16)</f>
        <v>51.744858146799828</v>
      </c>
      <c r="E3962" s="33">
        <f>Model!$D$17</f>
        <v>800</v>
      </c>
      <c r="G3962" s="36">
        <f t="shared" ca="1" si="64"/>
        <v>625.21615619487193</v>
      </c>
    </row>
    <row r="3963" spans="1:7" x14ac:dyDescent="0.2">
      <c r="A3963" s="6">
        <f ca="1">Model!$F$13+RAND()*(Model!$G$13-Model!$F$13)</f>
        <v>1495.8261907577514</v>
      </c>
      <c r="B3963" s="31">
        <f ca="1">Model!$F$14+RAND()*(Model!$G$14-Model!$F$14)</f>
        <v>0.22556154816857207</v>
      </c>
      <c r="C3963" s="32">
        <f ca="1">Model!$F$15+RAND()*(Model!$G$15-Model!$F$15)</f>
        <v>1.8176118439815418E-2</v>
      </c>
      <c r="D3963" s="33">
        <f ca="1">Model!$F$16+RAND()*(Model!$G$16-Model!$F$16)</f>
        <v>49.655847871624637</v>
      </c>
      <c r="E3963" s="33">
        <f>Model!$D$17</f>
        <v>800</v>
      </c>
      <c r="G3963" s="36">
        <f t="shared" ca="1" si="64"/>
        <v>212.65791291813071</v>
      </c>
    </row>
    <row r="3964" spans="1:7" x14ac:dyDescent="0.2">
      <c r="A3964" s="6">
        <f ca="1">Model!$F$13+RAND()*(Model!$G$13-Model!$F$13)</f>
        <v>1448.2401535145116</v>
      </c>
      <c r="B3964" s="31">
        <f ca="1">Model!$F$14+RAND()*(Model!$G$14-Model!$F$14)</f>
        <v>0.27131973448297997</v>
      </c>
      <c r="C3964" s="32">
        <f ca="1">Model!$F$15+RAND()*(Model!$G$15-Model!$F$15)</f>
        <v>2.4870208969921467E-2</v>
      </c>
      <c r="D3964" s="33">
        <f ca="1">Model!$F$16+RAND()*(Model!$G$16-Model!$F$16)</f>
        <v>48.942449020881703</v>
      </c>
      <c r="E3964" s="33">
        <f>Model!$D$17</f>
        <v>800</v>
      </c>
      <c r="G3964" s="36">
        <f t="shared" ca="1" si="64"/>
        <v>569.8747204562369</v>
      </c>
    </row>
    <row r="3965" spans="1:7" x14ac:dyDescent="0.2">
      <c r="A3965" s="6">
        <f ca="1">Model!$F$13+RAND()*(Model!$G$13-Model!$F$13)</f>
        <v>1262.7286604617282</v>
      </c>
      <c r="B3965" s="31">
        <f ca="1">Model!$F$14+RAND()*(Model!$G$14-Model!$F$14)</f>
        <v>0.65534281055004584</v>
      </c>
      <c r="C3965" s="32">
        <f ca="1">Model!$F$15+RAND()*(Model!$G$15-Model!$F$15)</f>
        <v>3.1959293337369278E-2</v>
      </c>
      <c r="D3965" s="33">
        <f ca="1">Model!$F$16+RAND()*(Model!$G$16-Model!$F$16)</f>
        <v>51.689431239637003</v>
      </c>
      <c r="E3965" s="33">
        <f>Model!$D$17</f>
        <v>800</v>
      </c>
      <c r="G3965" s="36">
        <f t="shared" ca="1" si="64"/>
        <v>458.4541785798483</v>
      </c>
    </row>
    <row r="3966" spans="1:7" x14ac:dyDescent="0.2">
      <c r="A3966" s="6">
        <f ca="1">Model!$F$13+RAND()*(Model!$G$13-Model!$F$13)</f>
        <v>1556.5594530930382</v>
      </c>
      <c r="B3966" s="31">
        <f ca="1">Model!$F$14+RAND()*(Model!$G$14-Model!$F$14)</f>
        <v>0.63782268879402215</v>
      </c>
      <c r="C3966" s="32">
        <f ca="1">Model!$F$15+RAND()*(Model!$G$15-Model!$F$15)</f>
        <v>2.1783166076827197E-2</v>
      </c>
      <c r="D3966" s="33">
        <f ca="1">Model!$F$16+RAND()*(Model!$G$16-Model!$F$16)</f>
        <v>47.488165534749356</v>
      </c>
      <c r="E3966" s="33">
        <f>Model!$D$17</f>
        <v>800</v>
      </c>
      <c r="G3966" s="36">
        <f t="shared" ca="1" si="64"/>
        <v>-182.63753333286741</v>
      </c>
    </row>
    <row r="3967" spans="1:7" x14ac:dyDescent="0.2">
      <c r="A3967" s="6">
        <f ca="1">Model!$F$13+RAND()*(Model!$G$13-Model!$F$13)</f>
        <v>1327.6369550626659</v>
      </c>
      <c r="B3967" s="31">
        <f ca="1">Model!$F$14+RAND()*(Model!$G$14-Model!$F$14)</f>
        <v>0.2160547910111984</v>
      </c>
      <c r="C3967" s="32">
        <f ca="1">Model!$F$15+RAND()*(Model!$G$15-Model!$F$15)</f>
        <v>1.5110077336354926E-2</v>
      </c>
      <c r="D3967" s="33">
        <f ca="1">Model!$F$16+RAND()*(Model!$G$16-Model!$F$16)</f>
        <v>50.982563148604605</v>
      </c>
      <c r="E3967" s="33">
        <f>Model!$D$17</f>
        <v>800</v>
      </c>
      <c r="G3967" s="36">
        <f t="shared" ca="1" si="64"/>
        <v>-64.096569912846917</v>
      </c>
    </row>
    <row r="3968" spans="1:7" x14ac:dyDescent="0.2">
      <c r="A3968" s="6">
        <f ca="1">Model!$F$13+RAND()*(Model!$G$13-Model!$F$13)</f>
        <v>1275.8470692370863</v>
      </c>
      <c r="B3968" s="31">
        <f ca="1">Model!$F$14+RAND()*(Model!$G$14-Model!$F$14)</f>
        <v>0.45143907193338312</v>
      </c>
      <c r="C3968" s="32">
        <f ca="1">Model!$F$15+RAND()*(Model!$G$15-Model!$F$15)</f>
        <v>3.0757733975825499E-2</v>
      </c>
      <c r="D3968" s="33">
        <f ca="1">Model!$F$16+RAND()*(Model!$G$16-Model!$F$16)</f>
        <v>47.242036525993136</v>
      </c>
      <c r="E3968" s="33">
        <f>Model!$D$17</f>
        <v>800</v>
      </c>
      <c r="G3968" s="36">
        <f t="shared" ca="1" si="64"/>
        <v>477.91256358633882</v>
      </c>
    </row>
    <row r="3969" spans="1:7" x14ac:dyDescent="0.2">
      <c r="A3969" s="6">
        <f ca="1">Model!$F$13+RAND()*(Model!$G$13-Model!$F$13)</f>
        <v>1762.811128363423</v>
      </c>
      <c r="B3969" s="31">
        <f ca="1">Model!$F$14+RAND()*(Model!$G$14-Model!$F$14)</f>
        <v>0.52897185198124297</v>
      </c>
      <c r="C3969" s="32">
        <f ca="1">Model!$F$15+RAND()*(Model!$G$15-Model!$F$15)</f>
        <v>1.1806070438814861E-2</v>
      </c>
      <c r="D3969" s="33">
        <f ca="1">Model!$F$16+RAND()*(Model!$G$16-Model!$F$16)</f>
        <v>48.948300575134837</v>
      </c>
      <c r="E3969" s="33">
        <f>Model!$D$17</f>
        <v>800</v>
      </c>
      <c r="G3969" s="36">
        <f t="shared" ca="1" si="64"/>
        <v>-713.77168385702021</v>
      </c>
    </row>
    <row r="3970" spans="1:7" x14ac:dyDescent="0.2">
      <c r="A3970" s="6">
        <f ca="1">Model!$F$13+RAND()*(Model!$G$13-Model!$F$13)</f>
        <v>1663.9963855812612</v>
      </c>
      <c r="B3970" s="31">
        <f ca="1">Model!$F$14+RAND()*(Model!$G$14-Model!$F$14)</f>
        <v>0.36500965361002136</v>
      </c>
      <c r="C3970" s="32">
        <f ca="1">Model!$F$15+RAND()*(Model!$G$15-Model!$F$15)</f>
        <v>1.1423874435344077E-2</v>
      </c>
      <c r="D3970" s="33">
        <f ca="1">Model!$F$16+RAND()*(Model!$G$16-Model!$F$16)</f>
        <v>48.926495714542725</v>
      </c>
      <c r="E3970" s="33">
        <f>Model!$D$17</f>
        <v>800</v>
      </c>
      <c r="G3970" s="36">
        <f t="shared" ca="1" si="64"/>
        <v>-477.31700555931309</v>
      </c>
    </row>
    <row r="3971" spans="1:7" x14ac:dyDescent="0.2">
      <c r="A3971" s="6">
        <f ca="1">Model!$F$13+RAND()*(Model!$G$13-Model!$F$13)</f>
        <v>1313.2852327082571</v>
      </c>
      <c r="B3971" s="31">
        <f ca="1">Model!$F$14+RAND()*(Model!$G$14-Model!$F$14)</f>
        <v>0.2567876106447784</v>
      </c>
      <c r="C3971" s="32">
        <f ca="1">Model!$F$15+RAND()*(Model!$G$15-Model!$F$15)</f>
        <v>3.7445231990887694E-2</v>
      </c>
      <c r="D3971" s="33">
        <f ca="1">Model!$F$16+RAND()*(Model!$G$16-Model!$F$16)</f>
        <v>52.307884500763116</v>
      </c>
      <c r="E3971" s="33">
        <f>Model!$D$17</f>
        <v>800</v>
      </c>
      <c r="G3971" s="36">
        <f t="shared" ca="1" si="64"/>
        <v>1435.0712852667716</v>
      </c>
    </row>
    <row r="3972" spans="1:7" x14ac:dyDescent="0.2">
      <c r="A3972" s="6">
        <f ca="1">Model!$F$13+RAND()*(Model!$G$13-Model!$F$13)</f>
        <v>1779.0442386385648</v>
      </c>
      <c r="B3972" s="31">
        <f ca="1">Model!$F$14+RAND()*(Model!$G$14-Model!$F$14)</f>
        <v>0.76239567327414104</v>
      </c>
      <c r="C3972" s="32">
        <f ca="1">Model!$F$15+RAND()*(Model!$G$15-Model!$F$15)</f>
        <v>2.3018617921141703E-2</v>
      </c>
      <c r="D3972" s="33">
        <f ca="1">Model!$F$16+RAND()*(Model!$G$16-Model!$F$16)</f>
        <v>51.007199466489332</v>
      </c>
      <c r="E3972" s="33">
        <f>Model!$D$17</f>
        <v>800</v>
      </c>
      <c r="G3972" s="36">
        <f t="shared" ca="1" si="64"/>
        <v>-67.532684448615328</v>
      </c>
    </row>
    <row r="3973" spans="1:7" x14ac:dyDescent="0.2">
      <c r="A3973" s="6">
        <f ca="1">Model!$F$13+RAND()*(Model!$G$13-Model!$F$13)</f>
        <v>1667.6972784137204</v>
      </c>
      <c r="B3973" s="31">
        <f ca="1">Model!$F$14+RAND()*(Model!$G$14-Model!$F$14)</f>
        <v>0.73330224637564645</v>
      </c>
      <c r="C3973" s="32">
        <f ca="1">Model!$F$15+RAND()*(Model!$G$15-Model!$F$15)</f>
        <v>2.093571782192815E-2</v>
      </c>
      <c r="D3973" s="33">
        <f ca="1">Model!$F$16+RAND()*(Model!$G$16-Model!$F$16)</f>
        <v>52.749417239956898</v>
      </c>
      <c r="E3973" s="33">
        <f>Model!$D$17</f>
        <v>800</v>
      </c>
      <c r="G3973" s="36">
        <f t="shared" ca="1" si="64"/>
        <v>-181.20981662083386</v>
      </c>
    </row>
    <row r="3974" spans="1:7" x14ac:dyDescent="0.2">
      <c r="A3974" s="6">
        <f ca="1">Model!$F$13+RAND()*(Model!$G$13-Model!$F$13)</f>
        <v>1657.4575724377573</v>
      </c>
      <c r="B3974" s="31">
        <f ca="1">Model!$F$14+RAND()*(Model!$G$14-Model!$F$14)</f>
        <v>0.25607781449154321</v>
      </c>
      <c r="C3974" s="32">
        <f ca="1">Model!$F$15+RAND()*(Model!$G$15-Model!$F$15)</f>
        <v>4.6183720260808629E-2</v>
      </c>
      <c r="D3974" s="33">
        <f ca="1">Model!$F$16+RAND()*(Model!$G$16-Model!$F$16)</f>
        <v>48.181881834747223</v>
      </c>
      <c r="E3974" s="33">
        <f>Model!$D$17</f>
        <v>800</v>
      </c>
      <c r="G3974" s="36">
        <f t="shared" ca="1" si="64"/>
        <v>2463.7672270685134</v>
      </c>
    </row>
    <row r="3975" spans="1:7" x14ac:dyDescent="0.2">
      <c r="A3975" s="6">
        <f ca="1">Model!$F$13+RAND()*(Model!$G$13-Model!$F$13)</f>
        <v>1529.39449383073</v>
      </c>
      <c r="B3975" s="31">
        <f ca="1">Model!$F$14+RAND()*(Model!$G$14-Model!$F$14)</f>
        <v>0.78364218800421437</v>
      </c>
      <c r="C3975" s="32">
        <f ca="1">Model!$F$15+RAND()*(Model!$G$15-Model!$F$15)</f>
        <v>1.9964115237490303E-2</v>
      </c>
      <c r="D3975" s="33">
        <f ca="1">Model!$F$16+RAND()*(Model!$G$16-Model!$F$16)</f>
        <v>51.06786359413708</v>
      </c>
      <c r="E3975" s="33">
        <f>Model!$D$17</f>
        <v>800</v>
      </c>
      <c r="G3975" s="36">
        <f t="shared" ca="1" si="64"/>
        <v>-439.24256397053909</v>
      </c>
    </row>
    <row r="3976" spans="1:7" x14ac:dyDescent="0.2">
      <c r="A3976" s="6">
        <f ca="1">Model!$F$13+RAND()*(Model!$G$13-Model!$F$13)</f>
        <v>1583.8920486097456</v>
      </c>
      <c r="B3976" s="31">
        <f ca="1">Model!$F$14+RAND()*(Model!$G$14-Model!$F$14)</f>
        <v>0.40261611047822937</v>
      </c>
      <c r="C3976" s="32">
        <f ca="1">Model!$F$15+RAND()*(Model!$G$15-Model!$F$15)</f>
        <v>3.5419830132060105E-2</v>
      </c>
      <c r="D3976" s="33">
        <f ca="1">Model!$F$16+RAND()*(Model!$G$16-Model!$F$16)</f>
        <v>50.38256715417797</v>
      </c>
      <c r="E3976" s="33">
        <f>Model!$D$17</f>
        <v>800</v>
      </c>
      <c r="G3976" s="36">
        <f t="shared" ca="1" si="64"/>
        <v>1388.8213810101588</v>
      </c>
    </row>
    <row r="3977" spans="1:7" x14ac:dyDescent="0.2">
      <c r="A3977" s="6">
        <f ca="1">Model!$F$13+RAND()*(Model!$G$13-Model!$F$13)</f>
        <v>1623.3553779687832</v>
      </c>
      <c r="B3977" s="31">
        <f ca="1">Model!$F$14+RAND()*(Model!$G$14-Model!$F$14)</f>
        <v>0.23224628032987601</v>
      </c>
      <c r="C3977" s="32">
        <f ca="1">Model!$F$15+RAND()*(Model!$G$15-Model!$F$15)</f>
        <v>1.6761186744976602E-2</v>
      </c>
      <c r="D3977" s="33">
        <f ca="1">Model!$F$16+RAND()*(Model!$G$16-Model!$F$16)</f>
        <v>48.639083099993975</v>
      </c>
      <c r="E3977" s="33">
        <f>Model!$D$17</f>
        <v>800</v>
      </c>
      <c r="G3977" s="36">
        <f t="shared" ca="1" si="64"/>
        <v>146.42020253302917</v>
      </c>
    </row>
    <row r="3978" spans="1:7" x14ac:dyDescent="0.2">
      <c r="A3978" s="6">
        <f ca="1">Model!$F$13+RAND()*(Model!$G$13-Model!$F$13)</f>
        <v>1544.7352481492921</v>
      </c>
      <c r="B3978" s="31">
        <f ca="1">Model!$F$14+RAND()*(Model!$G$14-Model!$F$14)</f>
        <v>0.74266546990231097</v>
      </c>
      <c r="C3978" s="32">
        <f ca="1">Model!$F$15+RAND()*(Model!$G$15-Model!$F$15)</f>
        <v>4.9916241295378319E-2</v>
      </c>
      <c r="D3978" s="33">
        <f ca="1">Model!$F$16+RAND()*(Model!$G$16-Model!$F$16)</f>
        <v>50.719724670906928</v>
      </c>
      <c r="E3978" s="33">
        <f>Model!$D$17</f>
        <v>800</v>
      </c>
      <c r="G3978" s="36">
        <f t="shared" ca="1" si="64"/>
        <v>1963.6434220756159</v>
      </c>
    </row>
    <row r="3979" spans="1:7" x14ac:dyDescent="0.2">
      <c r="A3979" s="6">
        <f ca="1">Model!$F$13+RAND()*(Model!$G$13-Model!$F$13)</f>
        <v>1444.8286031367825</v>
      </c>
      <c r="B3979" s="31">
        <f ca="1">Model!$F$14+RAND()*(Model!$G$14-Model!$F$14)</f>
        <v>0.36746497351615182</v>
      </c>
      <c r="C3979" s="32">
        <f ca="1">Model!$F$15+RAND()*(Model!$G$15-Model!$F$15)</f>
        <v>2.6985796519066213E-2</v>
      </c>
      <c r="D3979" s="33">
        <f ca="1">Model!$F$16+RAND()*(Model!$G$16-Model!$F$16)</f>
        <v>49.019491322616076</v>
      </c>
      <c r="E3979" s="33">
        <f>Model!$D$17</f>
        <v>800</v>
      </c>
      <c r="G3979" s="36">
        <f t="shared" ca="1" si="64"/>
        <v>580.33874314111722</v>
      </c>
    </row>
    <row r="3980" spans="1:7" x14ac:dyDescent="0.2">
      <c r="A3980" s="6">
        <f ca="1">Model!$F$13+RAND()*(Model!$G$13-Model!$F$13)</f>
        <v>1237.0835357172812</v>
      </c>
      <c r="B3980" s="31">
        <f ca="1">Model!$F$14+RAND()*(Model!$G$14-Model!$F$14)</f>
        <v>0.2948164114262255</v>
      </c>
      <c r="C3980" s="32">
        <f ca="1">Model!$F$15+RAND()*(Model!$G$15-Model!$F$15)</f>
        <v>2.6693309620033051E-2</v>
      </c>
      <c r="D3980" s="33">
        <f ca="1">Model!$F$16+RAND()*(Model!$G$16-Model!$F$16)</f>
        <v>48.190413813046867</v>
      </c>
      <c r="E3980" s="33">
        <f>Model!$D$17</f>
        <v>800</v>
      </c>
      <c r="G3980" s="36">
        <f t="shared" ca="1" si="64"/>
        <v>426.6242730176557</v>
      </c>
    </row>
    <row r="3981" spans="1:7" x14ac:dyDescent="0.2">
      <c r="A3981" s="6">
        <f ca="1">Model!$F$13+RAND()*(Model!$G$13-Model!$F$13)</f>
        <v>1643.0338614588113</v>
      </c>
      <c r="B3981" s="31">
        <f ca="1">Model!$F$14+RAND()*(Model!$G$14-Model!$F$14)</f>
        <v>0.78625550267459099</v>
      </c>
      <c r="C3981" s="32">
        <f ca="1">Model!$F$15+RAND()*(Model!$G$15-Model!$F$15)</f>
        <v>3.4755541539672134E-2</v>
      </c>
      <c r="D3981" s="33">
        <f ca="1">Model!$F$16+RAND()*(Model!$G$16-Model!$F$16)</f>
        <v>49.630207710732279</v>
      </c>
      <c r="E3981" s="33">
        <f>Model!$D$17</f>
        <v>800</v>
      </c>
      <c r="G3981" s="36">
        <f t="shared" ca="1" si="64"/>
        <v>742.26535102187199</v>
      </c>
    </row>
    <row r="3982" spans="1:7" x14ac:dyDescent="0.2">
      <c r="A3982" s="6">
        <f ca="1">Model!$F$13+RAND()*(Model!$G$13-Model!$F$13)</f>
        <v>1736.6310589412797</v>
      </c>
      <c r="B3982" s="31">
        <f ca="1">Model!$F$14+RAND()*(Model!$G$14-Model!$F$14)</f>
        <v>0.71497956313521627</v>
      </c>
      <c r="C3982" s="32">
        <f ca="1">Model!$F$15+RAND()*(Model!$G$15-Model!$F$15)</f>
        <v>2.8270507026257684E-2</v>
      </c>
      <c r="D3982" s="33">
        <f ca="1">Model!$F$16+RAND()*(Model!$G$16-Model!$F$16)</f>
        <v>50.410398643870494</v>
      </c>
      <c r="E3982" s="33">
        <f>Model!$D$17</f>
        <v>800</v>
      </c>
      <c r="G3982" s="36">
        <f t="shared" ca="1" si="64"/>
        <v>433.26501406546527</v>
      </c>
    </row>
    <row r="3983" spans="1:7" x14ac:dyDescent="0.2">
      <c r="A3983" s="6">
        <f ca="1">Model!$F$13+RAND()*(Model!$G$13-Model!$F$13)</f>
        <v>1387.844315729667</v>
      </c>
      <c r="B3983" s="31">
        <f ca="1">Model!$F$14+RAND()*(Model!$G$14-Model!$F$14)</f>
        <v>0.28966461722125758</v>
      </c>
      <c r="C3983" s="32">
        <f ca="1">Model!$F$15+RAND()*(Model!$G$15-Model!$F$15)</f>
        <v>4.4843251973005635E-2</v>
      </c>
      <c r="D3983" s="33">
        <f ca="1">Model!$F$16+RAND()*(Model!$G$16-Model!$F$16)</f>
        <v>48.281929038517688</v>
      </c>
      <c r="E3983" s="33">
        <f>Model!$D$17</f>
        <v>800</v>
      </c>
      <c r="G3983" s="36">
        <f t="shared" ca="1" si="64"/>
        <v>1802.8383015434094</v>
      </c>
    </row>
    <row r="3984" spans="1:7" x14ac:dyDescent="0.2">
      <c r="A3984" s="6">
        <f ca="1">Model!$F$13+RAND()*(Model!$G$13-Model!$F$13)</f>
        <v>1486.235955655957</v>
      </c>
      <c r="B3984" s="31">
        <f ca="1">Model!$F$14+RAND()*(Model!$G$14-Model!$F$14)</f>
        <v>0.68147623260800516</v>
      </c>
      <c r="C3984" s="32">
        <f ca="1">Model!$F$15+RAND()*(Model!$G$15-Model!$F$15)</f>
        <v>2.5657399521367266E-2</v>
      </c>
      <c r="D3984" s="33">
        <f ca="1">Model!$F$16+RAND()*(Model!$G$16-Model!$F$16)</f>
        <v>52.2570708884029</v>
      </c>
      <c r="E3984" s="33">
        <f>Model!$D$17</f>
        <v>800</v>
      </c>
      <c r="G3984" s="36">
        <f t="shared" ca="1" si="64"/>
        <v>179.88177568799529</v>
      </c>
    </row>
    <row r="3985" spans="1:7" x14ac:dyDescent="0.2">
      <c r="A3985" s="6">
        <f ca="1">Model!$F$13+RAND()*(Model!$G$13-Model!$F$13)</f>
        <v>1590.7882280793683</v>
      </c>
      <c r="B3985" s="31">
        <f ca="1">Model!$F$14+RAND()*(Model!$G$14-Model!$F$14)</f>
        <v>0.62244210661300903</v>
      </c>
      <c r="C3985" s="32">
        <f ca="1">Model!$F$15+RAND()*(Model!$G$15-Model!$F$15)</f>
        <v>4.2876911567491877E-2</v>
      </c>
      <c r="D3985" s="33">
        <f ca="1">Model!$F$16+RAND()*(Model!$G$16-Model!$F$16)</f>
        <v>47.130883169547857</v>
      </c>
      <c r="E3985" s="33">
        <f>Model!$D$17</f>
        <v>800</v>
      </c>
      <c r="G3985" s="36">
        <f t="shared" ca="1" si="64"/>
        <v>1424.5337650112774</v>
      </c>
    </row>
    <row r="3986" spans="1:7" x14ac:dyDescent="0.2">
      <c r="A3986" s="6">
        <f ca="1">Model!$F$13+RAND()*(Model!$G$13-Model!$F$13)</f>
        <v>1240.2026755632528</v>
      </c>
      <c r="B3986" s="31">
        <f ca="1">Model!$F$14+RAND()*(Model!$G$14-Model!$F$14)</f>
        <v>0.64207278056125272</v>
      </c>
      <c r="C3986" s="32">
        <f ca="1">Model!$F$15+RAND()*(Model!$G$15-Model!$F$15)</f>
        <v>1.5491814095376992E-2</v>
      </c>
      <c r="D3986" s="33">
        <f ca="1">Model!$F$16+RAND()*(Model!$G$16-Model!$F$16)</f>
        <v>51.512965646090237</v>
      </c>
      <c r="E3986" s="33">
        <f>Model!$D$17</f>
        <v>800</v>
      </c>
      <c r="G3986" s="36">
        <f t="shared" ca="1" si="64"/>
        <v>-606.58232308255231</v>
      </c>
    </row>
    <row r="3987" spans="1:7" x14ac:dyDescent="0.2">
      <c r="A3987" s="6">
        <f ca="1">Model!$F$13+RAND()*(Model!$G$13-Model!$F$13)</f>
        <v>1631.8488820079697</v>
      </c>
      <c r="B3987" s="31">
        <f ca="1">Model!$F$14+RAND()*(Model!$G$14-Model!$F$14)</f>
        <v>0.42579747709855909</v>
      </c>
      <c r="C3987" s="32">
        <f ca="1">Model!$F$15+RAND()*(Model!$G$15-Model!$F$15)</f>
        <v>1.1684544503505428E-2</v>
      </c>
      <c r="D3987" s="33">
        <f ca="1">Model!$F$16+RAND()*(Model!$G$16-Model!$F$16)</f>
        <v>47.936459897614952</v>
      </c>
      <c r="E3987" s="33">
        <f>Model!$D$17</f>
        <v>800</v>
      </c>
      <c r="G3987" s="36">
        <f t="shared" ca="1" si="64"/>
        <v>-580.81295973368708</v>
      </c>
    </row>
    <row r="3988" spans="1:7" x14ac:dyDescent="0.2">
      <c r="A3988" s="6">
        <f ca="1">Model!$F$13+RAND()*(Model!$G$13-Model!$F$13)</f>
        <v>1220.9766485916521</v>
      </c>
      <c r="B3988" s="31">
        <f ca="1">Model!$F$14+RAND()*(Model!$G$14-Model!$F$14)</f>
        <v>0.49110008191893689</v>
      </c>
      <c r="C3988" s="32">
        <f ca="1">Model!$F$15+RAND()*(Model!$G$15-Model!$F$15)</f>
        <v>2.0451306815825361E-2</v>
      </c>
      <c r="D3988" s="33">
        <f ca="1">Model!$F$16+RAND()*(Model!$G$16-Model!$F$16)</f>
        <v>47.856691831163026</v>
      </c>
      <c r="E3988" s="33">
        <f>Model!$D$17</f>
        <v>800</v>
      </c>
      <c r="G3988" s="36">
        <f t="shared" ca="1" si="64"/>
        <v>-204.61295187260316</v>
      </c>
    </row>
    <row r="3989" spans="1:7" x14ac:dyDescent="0.2">
      <c r="A3989" s="6">
        <f ca="1">Model!$F$13+RAND()*(Model!$G$13-Model!$F$13)</f>
        <v>1530.2258291081466</v>
      </c>
      <c r="B3989" s="31">
        <f ca="1">Model!$F$14+RAND()*(Model!$G$14-Model!$F$14)</f>
        <v>0.51687712319187407</v>
      </c>
      <c r="C3989" s="32">
        <f ca="1">Model!$F$15+RAND()*(Model!$G$15-Model!$F$15)</f>
        <v>1.8269766207058009E-2</v>
      </c>
      <c r="D3989" s="33">
        <f ca="1">Model!$F$16+RAND()*(Model!$G$16-Model!$F$16)</f>
        <v>48.731915413595125</v>
      </c>
      <c r="E3989" s="33">
        <f>Model!$D$17</f>
        <v>800</v>
      </c>
      <c r="G3989" s="36">
        <f t="shared" ca="1" si="64"/>
        <v>-228.54699086773144</v>
      </c>
    </row>
    <row r="3990" spans="1:7" x14ac:dyDescent="0.2">
      <c r="A3990" s="6">
        <f ca="1">Model!$F$13+RAND()*(Model!$G$13-Model!$F$13)</f>
        <v>1501.0329241596282</v>
      </c>
      <c r="B3990" s="31">
        <f ca="1">Model!$F$14+RAND()*(Model!$G$14-Model!$F$14)</f>
        <v>0.63073221180626526</v>
      </c>
      <c r="C3990" s="32">
        <f ca="1">Model!$F$15+RAND()*(Model!$G$15-Model!$F$15)</f>
        <v>1.6947044505060446E-2</v>
      </c>
      <c r="D3990" s="33">
        <f ca="1">Model!$F$16+RAND()*(Model!$G$16-Model!$F$16)</f>
        <v>47.456131719826999</v>
      </c>
      <c r="E3990" s="33">
        <f>Model!$D$17</f>
        <v>800</v>
      </c>
      <c r="G3990" s="36">
        <f t="shared" ca="1" si="64"/>
        <v>-539.55733166718824</v>
      </c>
    </row>
    <row r="3991" spans="1:7" x14ac:dyDescent="0.2">
      <c r="A3991" s="6">
        <f ca="1">Model!$F$13+RAND()*(Model!$G$13-Model!$F$13)</f>
        <v>1795.0899997997217</v>
      </c>
      <c r="B3991" s="31">
        <f ca="1">Model!$F$14+RAND()*(Model!$G$14-Model!$F$14)</f>
        <v>0.63400986342799481</v>
      </c>
      <c r="C3991" s="32">
        <f ca="1">Model!$F$15+RAND()*(Model!$G$15-Model!$F$15)</f>
        <v>2.5927017829219613E-2</v>
      </c>
      <c r="D3991" s="33">
        <f ca="1">Model!$F$16+RAND()*(Model!$G$16-Model!$F$16)</f>
        <v>50.329173995959223</v>
      </c>
      <c r="E3991" s="33">
        <f>Model!$D$17</f>
        <v>800</v>
      </c>
      <c r="G3991" s="36">
        <f t="shared" ca="1" si="64"/>
        <v>404.28195159393636</v>
      </c>
    </row>
    <row r="3992" spans="1:7" x14ac:dyDescent="0.2">
      <c r="A3992" s="6">
        <f ca="1">Model!$F$13+RAND()*(Model!$G$13-Model!$F$13)</f>
        <v>1316.8789262010005</v>
      </c>
      <c r="B3992" s="31">
        <f ca="1">Model!$F$14+RAND()*(Model!$G$14-Model!$F$14)</f>
        <v>0.35403798457091296</v>
      </c>
      <c r="C3992" s="32">
        <f ca="1">Model!$F$15+RAND()*(Model!$G$15-Model!$F$15)</f>
        <v>2.3853927199888703E-2</v>
      </c>
      <c r="D3992" s="33">
        <f ca="1">Model!$F$16+RAND()*(Model!$G$16-Model!$F$16)</f>
        <v>50.86904839671638</v>
      </c>
      <c r="E3992" s="33">
        <f>Model!$D$17</f>
        <v>800</v>
      </c>
      <c r="G3992" s="36">
        <f t="shared" ca="1" si="64"/>
        <v>331.71072702824608</v>
      </c>
    </row>
    <row r="3993" spans="1:7" x14ac:dyDescent="0.2">
      <c r="A3993" s="6">
        <f ca="1">Model!$F$13+RAND()*(Model!$G$13-Model!$F$13)</f>
        <v>1757.1450957682323</v>
      </c>
      <c r="B3993" s="31">
        <f ca="1">Model!$F$14+RAND()*(Model!$G$14-Model!$F$14)</f>
        <v>0.79707429650957318</v>
      </c>
      <c r="C3993" s="32">
        <f ca="1">Model!$F$15+RAND()*(Model!$G$15-Model!$F$15)</f>
        <v>4.4144026206151481E-2</v>
      </c>
      <c r="D3993" s="33">
        <f ca="1">Model!$F$16+RAND()*(Model!$G$16-Model!$F$16)</f>
        <v>50.145704934439181</v>
      </c>
      <c r="E3993" s="33">
        <f>Model!$D$17</f>
        <v>800</v>
      </c>
      <c r="G3993" s="36">
        <f t="shared" ca="1" si="64"/>
        <v>1689.0997282563408</v>
      </c>
    </row>
    <row r="3994" spans="1:7" x14ac:dyDescent="0.2">
      <c r="A3994" s="6">
        <f ca="1">Model!$F$13+RAND()*(Model!$G$13-Model!$F$13)</f>
        <v>1786.7298688136261</v>
      </c>
      <c r="B3994" s="31">
        <f ca="1">Model!$F$14+RAND()*(Model!$G$14-Model!$F$14)</f>
        <v>0.70868632932057007</v>
      </c>
      <c r="C3994" s="32">
        <f ca="1">Model!$F$15+RAND()*(Model!$G$15-Model!$F$15)</f>
        <v>3.5985039711570292E-2</v>
      </c>
      <c r="D3994" s="33">
        <f ca="1">Model!$F$16+RAND()*(Model!$G$16-Model!$F$16)</f>
        <v>51.511381109940302</v>
      </c>
      <c r="E3994" s="33">
        <f>Model!$D$17</f>
        <v>800</v>
      </c>
      <c r="G3994" s="36">
        <f t="shared" ca="1" si="64"/>
        <v>1245.721304532603</v>
      </c>
    </row>
    <row r="3995" spans="1:7" x14ac:dyDescent="0.2">
      <c r="A3995" s="6">
        <f ca="1">Model!$F$13+RAND()*(Model!$G$13-Model!$F$13)</f>
        <v>1599.5212633722854</v>
      </c>
      <c r="B3995" s="31">
        <f ca="1">Model!$F$14+RAND()*(Model!$G$14-Model!$F$14)</f>
        <v>0.32696995817578434</v>
      </c>
      <c r="C3995" s="32">
        <f ca="1">Model!$F$15+RAND()*(Model!$G$15-Model!$F$15)</f>
        <v>1.8454535806781858E-2</v>
      </c>
      <c r="D3995" s="33">
        <f ca="1">Model!$F$16+RAND()*(Model!$G$16-Model!$F$16)</f>
        <v>51.158295718312374</v>
      </c>
      <c r="E3995" s="33">
        <f>Model!$D$17</f>
        <v>800</v>
      </c>
      <c r="G3995" s="36">
        <f t="shared" ca="1" si="64"/>
        <v>187.11678315492395</v>
      </c>
    </row>
    <row r="3996" spans="1:7" x14ac:dyDescent="0.2">
      <c r="A3996" s="6">
        <f ca="1">Model!$F$13+RAND()*(Model!$G$13-Model!$F$13)</f>
        <v>1670.3526140762351</v>
      </c>
      <c r="B3996" s="31">
        <f ca="1">Model!$F$14+RAND()*(Model!$G$14-Model!$F$14)</f>
        <v>0.40891458849256435</v>
      </c>
      <c r="C3996" s="32">
        <f ca="1">Model!$F$15+RAND()*(Model!$G$15-Model!$F$15)</f>
        <v>3.0532543818101297E-2</v>
      </c>
      <c r="D3996" s="33">
        <f ca="1">Model!$F$16+RAND()*(Model!$G$16-Model!$F$16)</f>
        <v>49.402622498489272</v>
      </c>
      <c r="E3996" s="33">
        <f>Model!$D$17</f>
        <v>800</v>
      </c>
      <c r="G3996" s="36">
        <f t="shared" ca="1" si="64"/>
        <v>1036.5078463200107</v>
      </c>
    </row>
    <row r="3997" spans="1:7" x14ac:dyDescent="0.2">
      <c r="A3997" s="6">
        <f ca="1">Model!$F$13+RAND()*(Model!$G$13-Model!$F$13)</f>
        <v>1716.5706515419672</v>
      </c>
      <c r="B3997" s="31">
        <f ca="1">Model!$F$14+RAND()*(Model!$G$14-Model!$F$14)</f>
        <v>0.63067636520071946</v>
      </c>
      <c r="C3997" s="32">
        <f ca="1">Model!$F$15+RAND()*(Model!$G$15-Model!$F$15)</f>
        <v>1.3015936170712603E-2</v>
      </c>
      <c r="D3997" s="33">
        <f ca="1">Model!$F$16+RAND()*(Model!$G$16-Model!$F$16)</f>
        <v>47.52256251907113</v>
      </c>
      <c r="E3997" s="33">
        <f>Model!$D$17</f>
        <v>800</v>
      </c>
      <c r="G3997" s="36">
        <f t="shared" ca="1" si="64"/>
        <v>-820.81466329252976</v>
      </c>
    </row>
    <row r="3998" spans="1:7" x14ac:dyDescent="0.2">
      <c r="A3998" s="6">
        <f ca="1">Model!$F$13+RAND()*(Model!$G$13-Model!$F$13)</f>
        <v>1530.2584053852001</v>
      </c>
      <c r="B3998" s="31">
        <f ca="1">Model!$F$14+RAND()*(Model!$G$14-Model!$F$14)</f>
        <v>0.68731661097961116</v>
      </c>
      <c r="C3998" s="32">
        <f ca="1">Model!$F$15+RAND()*(Model!$G$15-Model!$F$15)</f>
        <v>3.2779047212408909E-2</v>
      </c>
      <c r="D3998" s="33">
        <f ca="1">Model!$F$16+RAND()*(Model!$G$16-Model!$F$16)</f>
        <v>52.672735924214486</v>
      </c>
      <c r="E3998" s="33">
        <f>Model!$D$17</f>
        <v>800</v>
      </c>
      <c r="G3998" s="36">
        <f t="shared" ca="1" si="64"/>
        <v>790.31414126135724</v>
      </c>
    </row>
    <row r="3999" spans="1:7" x14ac:dyDescent="0.2">
      <c r="A3999" s="6">
        <f ca="1">Model!$F$13+RAND()*(Model!$G$13-Model!$F$13)</f>
        <v>1601.9981792050787</v>
      </c>
      <c r="B3999" s="31">
        <f ca="1">Model!$F$14+RAND()*(Model!$G$14-Model!$F$14)</f>
        <v>0.29830872239200018</v>
      </c>
      <c r="C3999" s="32">
        <f ca="1">Model!$F$15+RAND()*(Model!$G$15-Model!$F$15)</f>
        <v>1.9389442683018801E-2</v>
      </c>
      <c r="D3999" s="33">
        <f ca="1">Model!$F$16+RAND()*(Model!$G$16-Model!$F$16)</f>
        <v>52.482653875932627</v>
      </c>
      <c r="E3999" s="33">
        <f>Model!$D$17</f>
        <v>800</v>
      </c>
      <c r="G3999" s="36">
        <f t="shared" ca="1" si="64"/>
        <v>352.31839053551494</v>
      </c>
    </row>
    <row r="4000" spans="1:7" x14ac:dyDescent="0.2">
      <c r="A4000" s="6">
        <f ca="1">Model!$F$13+RAND()*(Model!$G$13-Model!$F$13)</f>
        <v>1650.4623948671695</v>
      </c>
      <c r="B4000" s="31">
        <f ca="1">Model!$F$14+RAND()*(Model!$G$14-Model!$F$14)</f>
        <v>0.42304135411314525</v>
      </c>
      <c r="C4000" s="32">
        <f ca="1">Model!$F$15+RAND()*(Model!$G$15-Model!$F$15)</f>
        <v>1.626723484093559E-2</v>
      </c>
      <c r="D4000" s="33">
        <f ca="1">Model!$F$16+RAND()*(Model!$G$16-Model!$F$16)</f>
        <v>52.531966236555427</v>
      </c>
      <c r="E4000" s="33">
        <f>Model!$D$17</f>
        <v>800</v>
      </c>
      <c r="G4000" s="36">
        <f t="shared" ca="1" si="64"/>
        <v>-87.811485128498362</v>
      </c>
    </row>
    <row r="4001" spans="1:7" x14ac:dyDescent="0.2">
      <c r="A4001" s="6">
        <f ca="1">Model!$F$13+RAND()*(Model!$G$13-Model!$F$13)</f>
        <v>1358.3501001091722</v>
      </c>
      <c r="B4001" s="31">
        <f ca="1">Model!$F$14+RAND()*(Model!$G$14-Model!$F$14)</f>
        <v>0.58308037948573688</v>
      </c>
      <c r="C4001" s="32">
        <f ca="1">Model!$F$15+RAND()*(Model!$G$15-Model!$F$15)</f>
        <v>4.49582121508324E-2</v>
      </c>
      <c r="D4001" s="33">
        <f ca="1">Model!$F$16+RAND()*(Model!$G$16-Model!$F$16)</f>
        <v>50.904151601166156</v>
      </c>
      <c r="E4001" s="33">
        <f>Model!$D$17</f>
        <v>800</v>
      </c>
      <c r="G4001" s="36">
        <f t="shared" ca="1" si="64"/>
        <v>1516.6379338210188</v>
      </c>
    </row>
    <row r="4002" spans="1:7" x14ac:dyDescent="0.2">
      <c r="A4002" s="6">
        <f ca="1">Model!$F$13+RAND()*(Model!$G$13-Model!$F$13)</f>
        <v>1673.4152807666514</v>
      </c>
      <c r="B4002" s="31">
        <f ca="1">Model!$F$14+RAND()*(Model!$G$14-Model!$F$14)</f>
        <v>0.27822790888257493</v>
      </c>
      <c r="C4002" s="32">
        <f ca="1">Model!$F$15+RAND()*(Model!$G$15-Model!$F$15)</f>
        <v>4.2419564699123363E-2</v>
      </c>
      <c r="D4002" s="33">
        <f ca="1">Model!$F$16+RAND()*(Model!$G$16-Model!$F$16)</f>
        <v>47.563455054162894</v>
      </c>
      <c r="E4002" s="33">
        <f>Model!$D$17</f>
        <v>800</v>
      </c>
      <c r="G4002" s="36">
        <f t="shared" ca="1" si="64"/>
        <v>2110.7270766404145</v>
      </c>
    </row>
    <row r="4003" spans="1:7" x14ac:dyDescent="0.2">
      <c r="A4003" s="6">
        <f ca="1">Model!$F$13+RAND()*(Model!$G$13-Model!$F$13)</f>
        <v>1688.3853344927138</v>
      </c>
      <c r="B4003" s="31">
        <f ca="1">Model!$F$14+RAND()*(Model!$G$14-Model!$F$14)</f>
        <v>0.26211371463700889</v>
      </c>
      <c r="C4003" s="32">
        <f ca="1">Model!$F$15+RAND()*(Model!$G$15-Model!$F$15)</f>
        <v>2.6076922441517388E-2</v>
      </c>
      <c r="D4003" s="33">
        <f ca="1">Model!$F$16+RAND()*(Model!$G$16-Model!$F$16)</f>
        <v>48.621136446867311</v>
      </c>
      <c r="E4003" s="33">
        <f>Model!$D$17</f>
        <v>800</v>
      </c>
      <c r="G4003" s="36">
        <f t="shared" ca="1" si="64"/>
        <v>898.13726162894341</v>
      </c>
    </row>
    <row r="4004" spans="1:7" x14ac:dyDescent="0.2">
      <c r="A4004" s="6">
        <f ca="1">Model!$F$13+RAND()*(Model!$G$13-Model!$F$13)</f>
        <v>1795.3069122588345</v>
      </c>
      <c r="B4004" s="31">
        <f ca="1">Model!$F$14+RAND()*(Model!$G$14-Model!$F$14)</f>
        <v>0.25822452301874765</v>
      </c>
      <c r="C4004" s="32">
        <f ca="1">Model!$F$15+RAND()*(Model!$G$15-Model!$F$15)</f>
        <v>2.1494959293943031E-2</v>
      </c>
      <c r="D4004" s="33">
        <f ca="1">Model!$F$16+RAND()*(Model!$G$16-Model!$F$16)</f>
        <v>47.904613167919763</v>
      </c>
      <c r="E4004" s="33">
        <f>Model!$D$17</f>
        <v>800</v>
      </c>
      <c r="G4004" s="36">
        <f t="shared" ca="1" si="64"/>
        <v>585.04909834448631</v>
      </c>
    </row>
    <row r="4005" spans="1:7" x14ac:dyDescent="0.2">
      <c r="A4005" s="6">
        <f ca="1">Model!$F$13+RAND()*(Model!$G$13-Model!$F$13)</f>
        <v>1567.7191079925708</v>
      </c>
      <c r="B4005" s="31">
        <f ca="1">Model!$F$14+RAND()*(Model!$G$14-Model!$F$14)</f>
        <v>0.34172790473480114</v>
      </c>
      <c r="C4005" s="32">
        <f ca="1">Model!$F$15+RAND()*(Model!$G$15-Model!$F$15)</f>
        <v>2.7399576352370419E-2</v>
      </c>
      <c r="D4005" s="33">
        <f ca="1">Model!$F$16+RAND()*(Model!$G$16-Model!$F$16)</f>
        <v>47.891167444512824</v>
      </c>
      <c r="E4005" s="33">
        <f>Model!$D$17</f>
        <v>800</v>
      </c>
      <c r="G4005" s="36">
        <f t="shared" ca="1" si="64"/>
        <v>721.42404019930518</v>
      </c>
    </row>
    <row r="4006" spans="1:7" x14ac:dyDescent="0.2">
      <c r="A4006" s="6">
        <f ca="1">Model!$F$13+RAND()*(Model!$G$13-Model!$F$13)</f>
        <v>1789.5709854715735</v>
      </c>
      <c r="B4006" s="31">
        <f ca="1">Model!$F$14+RAND()*(Model!$G$14-Model!$F$14)</f>
        <v>0.30956063107687809</v>
      </c>
      <c r="C4006" s="32">
        <f ca="1">Model!$F$15+RAND()*(Model!$G$15-Model!$F$15)</f>
        <v>2.3221314885555587E-2</v>
      </c>
      <c r="D4006" s="33">
        <f ca="1">Model!$F$16+RAND()*(Model!$G$16-Model!$F$16)</f>
        <v>52.628741628929944</v>
      </c>
      <c r="E4006" s="33">
        <f>Model!$D$17</f>
        <v>800</v>
      </c>
      <c r="G4006" s="36">
        <f t="shared" ca="1" si="64"/>
        <v>833.06933474252992</v>
      </c>
    </row>
    <row r="4007" spans="1:7" x14ac:dyDescent="0.2">
      <c r="A4007" s="6">
        <f ca="1">Model!$F$13+RAND()*(Model!$G$13-Model!$F$13)</f>
        <v>1564.5694329272515</v>
      </c>
      <c r="B4007" s="31">
        <f ca="1">Model!$F$14+RAND()*(Model!$G$14-Model!$F$14)</f>
        <v>0.45463021354188921</v>
      </c>
      <c r="C4007" s="32">
        <f ca="1">Model!$F$15+RAND()*(Model!$G$15-Model!$F$15)</f>
        <v>3.094558205254986E-2</v>
      </c>
      <c r="D4007" s="33">
        <f ca="1">Model!$F$16+RAND()*(Model!$G$16-Model!$F$16)</f>
        <v>51.437302903569361</v>
      </c>
      <c r="E4007" s="33">
        <f>Model!$D$17</f>
        <v>800</v>
      </c>
      <c r="G4007" s="36">
        <f t="shared" ca="1" si="64"/>
        <v>979.11424572372152</v>
      </c>
    </row>
    <row r="4008" spans="1:7" x14ac:dyDescent="0.2">
      <c r="A4008" s="6">
        <f ca="1">Model!$F$13+RAND()*(Model!$G$13-Model!$F$13)</f>
        <v>1675.4596206968486</v>
      </c>
      <c r="B4008" s="31">
        <f ca="1">Model!$F$14+RAND()*(Model!$G$14-Model!$F$14)</f>
        <v>0.2596949988559269</v>
      </c>
      <c r="C4008" s="32">
        <f ca="1">Model!$F$15+RAND()*(Model!$G$15-Model!$F$15)</f>
        <v>2.7966127833324125E-2</v>
      </c>
      <c r="D4008" s="33">
        <f ca="1">Model!$F$16+RAND()*(Model!$G$16-Model!$F$16)</f>
        <v>52.525856325488022</v>
      </c>
      <c r="E4008" s="33">
        <f>Model!$D$17</f>
        <v>800</v>
      </c>
      <c r="G4008" s="36">
        <f t="shared" ca="1" si="64"/>
        <v>1226.0492341853276</v>
      </c>
    </row>
    <row r="4009" spans="1:7" x14ac:dyDescent="0.2">
      <c r="A4009" s="6">
        <f ca="1">Model!$F$13+RAND()*(Model!$G$13-Model!$F$13)</f>
        <v>1505.0034310167105</v>
      </c>
      <c r="B4009" s="31">
        <f ca="1">Model!$F$14+RAND()*(Model!$G$14-Model!$F$14)</f>
        <v>0.79495833407734318</v>
      </c>
      <c r="C4009" s="32">
        <f ca="1">Model!$F$15+RAND()*(Model!$G$15-Model!$F$15)</f>
        <v>3.3307958965638658E-2</v>
      </c>
      <c r="D4009" s="33">
        <f ca="1">Model!$F$16+RAND()*(Model!$G$16-Model!$F$16)</f>
        <v>49.442082541658323</v>
      </c>
      <c r="E4009" s="33">
        <f>Model!$D$17</f>
        <v>800</v>
      </c>
      <c r="G4009" s="36">
        <f t="shared" ref="G4009:G4072" ca="1" si="65">A4009*C4009*D4009-(E4009+A4009*B4009)</f>
        <v>482.0469889398405</v>
      </c>
    </row>
    <row r="4010" spans="1:7" x14ac:dyDescent="0.2">
      <c r="A4010" s="6">
        <f ca="1">Model!$F$13+RAND()*(Model!$G$13-Model!$F$13)</f>
        <v>1427.2031992493826</v>
      </c>
      <c r="B4010" s="31">
        <f ca="1">Model!$F$14+RAND()*(Model!$G$14-Model!$F$14)</f>
        <v>0.21032729627154748</v>
      </c>
      <c r="C4010" s="32">
        <f ca="1">Model!$F$15+RAND()*(Model!$G$15-Model!$F$15)</f>
        <v>4.8530714105155429E-2</v>
      </c>
      <c r="D4010" s="33">
        <f ca="1">Model!$F$16+RAND()*(Model!$G$16-Model!$F$16)</f>
        <v>49.788861608220884</v>
      </c>
      <c r="E4010" s="33">
        <f>Model!$D$17</f>
        <v>800</v>
      </c>
      <c r="G4010" s="36">
        <f t="shared" ca="1" si="65"/>
        <v>2348.3556128710643</v>
      </c>
    </row>
    <row r="4011" spans="1:7" x14ac:dyDescent="0.2">
      <c r="A4011" s="6">
        <f ca="1">Model!$F$13+RAND()*(Model!$G$13-Model!$F$13)</f>
        <v>1546.2407936733825</v>
      </c>
      <c r="B4011" s="31">
        <f ca="1">Model!$F$14+RAND()*(Model!$G$14-Model!$F$14)</f>
        <v>0.55850929813771932</v>
      </c>
      <c r="C4011" s="32">
        <f ca="1">Model!$F$15+RAND()*(Model!$G$15-Model!$F$15)</f>
        <v>2.9682157799687449E-2</v>
      </c>
      <c r="D4011" s="33">
        <f ca="1">Model!$F$16+RAND()*(Model!$G$16-Model!$F$16)</f>
        <v>47.672279765062022</v>
      </c>
      <c r="E4011" s="33">
        <f>Model!$D$17</f>
        <v>800</v>
      </c>
      <c r="G4011" s="36">
        <f t="shared" ca="1" si="65"/>
        <v>524.36580450193355</v>
      </c>
    </row>
    <row r="4012" spans="1:7" x14ac:dyDescent="0.2">
      <c r="A4012" s="6">
        <f ca="1">Model!$F$13+RAND()*(Model!$G$13-Model!$F$13)</f>
        <v>1377.4094633142811</v>
      </c>
      <c r="B4012" s="31">
        <f ca="1">Model!$F$14+RAND()*(Model!$G$14-Model!$F$14)</f>
        <v>0.52329142293612196</v>
      </c>
      <c r="C4012" s="32">
        <f ca="1">Model!$F$15+RAND()*(Model!$G$15-Model!$F$15)</f>
        <v>1.9270810833144754E-2</v>
      </c>
      <c r="D4012" s="33">
        <f ca="1">Model!$F$16+RAND()*(Model!$G$16-Model!$F$16)</f>
        <v>50.583341522797916</v>
      </c>
      <c r="E4012" s="33">
        <f>Model!$D$17</f>
        <v>800</v>
      </c>
      <c r="G4012" s="36">
        <f t="shared" ca="1" si="65"/>
        <v>-178.11259857400978</v>
      </c>
    </row>
    <row r="4013" spans="1:7" x14ac:dyDescent="0.2">
      <c r="A4013" s="6">
        <f ca="1">Model!$F$13+RAND()*(Model!$G$13-Model!$F$13)</f>
        <v>1261.7998316167291</v>
      </c>
      <c r="B4013" s="31">
        <f ca="1">Model!$F$14+RAND()*(Model!$G$14-Model!$F$14)</f>
        <v>0.29591285900925057</v>
      </c>
      <c r="C4013" s="32">
        <f ca="1">Model!$F$15+RAND()*(Model!$G$15-Model!$F$15)</f>
        <v>2.9162464136214705E-2</v>
      </c>
      <c r="D4013" s="33">
        <f ca="1">Model!$F$16+RAND()*(Model!$G$16-Model!$F$16)</f>
        <v>49.34887835767389</v>
      </c>
      <c r="E4013" s="33">
        <f>Model!$D$17</f>
        <v>800</v>
      </c>
      <c r="G4013" s="36">
        <f t="shared" ca="1" si="65"/>
        <v>642.51737285193394</v>
      </c>
    </row>
    <row r="4014" spans="1:7" x14ac:dyDescent="0.2">
      <c r="A4014" s="6">
        <f ca="1">Model!$F$13+RAND()*(Model!$G$13-Model!$F$13)</f>
        <v>1237.7884538023736</v>
      </c>
      <c r="B4014" s="31">
        <f ca="1">Model!$F$14+RAND()*(Model!$G$14-Model!$F$14)</f>
        <v>0.32993926864167011</v>
      </c>
      <c r="C4014" s="32">
        <f ca="1">Model!$F$15+RAND()*(Model!$G$15-Model!$F$15)</f>
        <v>3.0385259409502575E-2</v>
      </c>
      <c r="D4014" s="33">
        <f ca="1">Model!$F$16+RAND()*(Model!$G$16-Model!$F$16)</f>
        <v>50.037003690881797</v>
      </c>
      <c r="E4014" s="33">
        <f>Model!$D$17</f>
        <v>800</v>
      </c>
      <c r="G4014" s="36">
        <f t="shared" ca="1" si="65"/>
        <v>673.52287413967406</v>
      </c>
    </row>
    <row r="4015" spans="1:7" x14ac:dyDescent="0.2">
      <c r="A4015" s="6">
        <f ca="1">Model!$F$13+RAND()*(Model!$G$13-Model!$F$13)</f>
        <v>1279.1585465973499</v>
      </c>
      <c r="B4015" s="31">
        <f ca="1">Model!$F$14+RAND()*(Model!$G$14-Model!$F$14)</f>
        <v>0.77804384027621154</v>
      </c>
      <c r="C4015" s="32">
        <f ca="1">Model!$F$15+RAND()*(Model!$G$15-Model!$F$15)</f>
        <v>1.5834649575637953E-2</v>
      </c>
      <c r="D4015" s="33">
        <f ca="1">Model!$F$16+RAND()*(Model!$G$16-Model!$F$16)</f>
        <v>48.823213508188957</v>
      </c>
      <c r="E4015" s="33">
        <f>Model!$D$17</f>
        <v>800</v>
      </c>
      <c r="G4015" s="36">
        <f t="shared" ca="1" si="65"/>
        <v>-806.32590362567532</v>
      </c>
    </row>
    <row r="4016" spans="1:7" x14ac:dyDescent="0.2">
      <c r="A4016" s="6">
        <f ca="1">Model!$F$13+RAND()*(Model!$G$13-Model!$F$13)</f>
        <v>1789.8878141060732</v>
      </c>
      <c r="B4016" s="31">
        <f ca="1">Model!$F$14+RAND()*(Model!$G$14-Model!$F$14)</f>
        <v>0.74332954531740603</v>
      </c>
      <c r="C4016" s="32">
        <f ca="1">Model!$F$15+RAND()*(Model!$G$15-Model!$F$15)</f>
        <v>2.1894317294947632E-2</v>
      </c>
      <c r="D4016" s="33">
        <f ca="1">Model!$F$16+RAND()*(Model!$G$16-Model!$F$16)</f>
        <v>48.683192399517338</v>
      </c>
      <c r="E4016" s="33">
        <f>Model!$D$17</f>
        <v>800</v>
      </c>
      <c r="G4016" s="36">
        <f t="shared" ca="1" si="65"/>
        <v>-222.66145454593061</v>
      </c>
    </row>
    <row r="4017" spans="1:7" x14ac:dyDescent="0.2">
      <c r="A4017" s="6">
        <f ca="1">Model!$F$13+RAND()*(Model!$G$13-Model!$F$13)</f>
        <v>1260.7924503707643</v>
      </c>
      <c r="B4017" s="31">
        <f ca="1">Model!$F$14+RAND()*(Model!$G$14-Model!$F$14)</f>
        <v>0.3826002695421582</v>
      </c>
      <c r="C4017" s="32">
        <f ca="1">Model!$F$15+RAND()*(Model!$G$15-Model!$F$15)</f>
        <v>3.7640082899826469E-2</v>
      </c>
      <c r="D4017" s="33">
        <f ca="1">Model!$F$16+RAND()*(Model!$G$16-Model!$F$16)</f>
        <v>47.997511639429923</v>
      </c>
      <c r="E4017" s="33">
        <f>Model!$D$17</f>
        <v>800</v>
      </c>
      <c r="G4017" s="36">
        <f t="shared" ca="1" si="65"/>
        <v>995.40633305388792</v>
      </c>
    </row>
    <row r="4018" spans="1:7" x14ac:dyDescent="0.2">
      <c r="A4018" s="6">
        <f ca="1">Model!$F$13+RAND()*(Model!$G$13-Model!$F$13)</f>
        <v>1412.8631679248474</v>
      </c>
      <c r="B4018" s="31">
        <f ca="1">Model!$F$14+RAND()*(Model!$G$14-Model!$F$14)</f>
        <v>0.44164675046678536</v>
      </c>
      <c r="C4018" s="32">
        <f ca="1">Model!$F$15+RAND()*(Model!$G$15-Model!$F$15)</f>
        <v>2.467358943400447E-2</v>
      </c>
      <c r="D4018" s="33">
        <f ca="1">Model!$F$16+RAND()*(Model!$G$16-Model!$F$16)</f>
        <v>52.473241917381792</v>
      </c>
      <c r="E4018" s="33">
        <f>Model!$D$17</f>
        <v>800</v>
      </c>
      <c r="G4018" s="36">
        <f t="shared" ca="1" si="65"/>
        <v>405.25207633484843</v>
      </c>
    </row>
    <row r="4019" spans="1:7" x14ac:dyDescent="0.2">
      <c r="A4019" s="6">
        <f ca="1">Model!$F$13+RAND()*(Model!$G$13-Model!$F$13)</f>
        <v>1494.2030657417206</v>
      </c>
      <c r="B4019" s="31">
        <f ca="1">Model!$F$14+RAND()*(Model!$G$14-Model!$F$14)</f>
        <v>0.67734129451949587</v>
      </c>
      <c r="C4019" s="32">
        <f ca="1">Model!$F$15+RAND()*(Model!$G$15-Model!$F$15)</f>
        <v>2.9107388077579843E-2</v>
      </c>
      <c r="D4019" s="33">
        <f ca="1">Model!$F$16+RAND()*(Model!$G$16-Model!$F$16)</f>
        <v>47.99711112251368</v>
      </c>
      <c r="E4019" s="33">
        <f>Model!$D$17</f>
        <v>800</v>
      </c>
      <c r="G4019" s="36">
        <f t="shared" ca="1" si="65"/>
        <v>275.42164516927369</v>
      </c>
    </row>
    <row r="4020" spans="1:7" x14ac:dyDescent="0.2">
      <c r="A4020" s="6">
        <f ca="1">Model!$F$13+RAND()*(Model!$G$13-Model!$F$13)</f>
        <v>1724.6592134980704</v>
      </c>
      <c r="B4020" s="31">
        <f ca="1">Model!$F$14+RAND()*(Model!$G$14-Model!$F$14)</f>
        <v>0.75499804536730974</v>
      </c>
      <c r="C4020" s="32">
        <f ca="1">Model!$F$15+RAND()*(Model!$G$15-Model!$F$15)</f>
        <v>4.5808882940643662E-2</v>
      </c>
      <c r="D4020" s="33">
        <f ca="1">Model!$F$16+RAND()*(Model!$G$16-Model!$F$16)</f>
        <v>50.923926761262877</v>
      </c>
      <c r="E4020" s="33">
        <f>Model!$D$17</f>
        <v>800</v>
      </c>
      <c r="G4020" s="36">
        <f t="shared" ca="1" si="65"/>
        <v>1921.1158337705228</v>
      </c>
    </row>
    <row r="4021" spans="1:7" x14ac:dyDescent="0.2">
      <c r="A4021" s="6">
        <f ca="1">Model!$F$13+RAND()*(Model!$G$13-Model!$F$13)</f>
        <v>1219.3798724231608</v>
      </c>
      <c r="B4021" s="31">
        <f ca="1">Model!$F$14+RAND()*(Model!$G$14-Model!$F$14)</f>
        <v>0.27157849425244929</v>
      </c>
      <c r="C4021" s="32">
        <f ca="1">Model!$F$15+RAND()*(Model!$G$15-Model!$F$15)</f>
        <v>3.5868196660429182E-2</v>
      </c>
      <c r="D4021" s="33">
        <f ca="1">Model!$F$16+RAND()*(Model!$G$16-Model!$F$16)</f>
        <v>51.038021495010845</v>
      </c>
      <c r="E4021" s="33">
        <f>Model!$D$17</f>
        <v>800</v>
      </c>
      <c r="G4021" s="36">
        <f t="shared" ca="1" si="65"/>
        <v>1101.0904052805108</v>
      </c>
    </row>
    <row r="4022" spans="1:7" x14ac:dyDescent="0.2">
      <c r="A4022" s="6">
        <f ca="1">Model!$F$13+RAND()*(Model!$G$13-Model!$F$13)</f>
        <v>1506.2481221615462</v>
      </c>
      <c r="B4022" s="31">
        <f ca="1">Model!$F$14+RAND()*(Model!$G$14-Model!$F$14)</f>
        <v>0.35771464506579564</v>
      </c>
      <c r="C4022" s="32">
        <f ca="1">Model!$F$15+RAND()*(Model!$G$15-Model!$F$15)</f>
        <v>3.6489028941277667E-2</v>
      </c>
      <c r="D4022" s="33">
        <f ca="1">Model!$F$16+RAND()*(Model!$G$16-Model!$F$16)</f>
        <v>52.888860421860606</v>
      </c>
      <c r="E4022" s="33">
        <f>Model!$D$17</f>
        <v>800</v>
      </c>
      <c r="G4022" s="36">
        <f t="shared" ca="1" si="65"/>
        <v>1568.0457462766894</v>
      </c>
    </row>
    <row r="4023" spans="1:7" x14ac:dyDescent="0.2">
      <c r="A4023" s="6">
        <f ca="1">Model!$F$13+RAND()*(Model!$G$13-Model!$F$13)</f>
        <v>1348.1124944581738</v>
      </c>
      <c r="B4023" s="31">
        <f ca="1">Model!$F$14+RAND()*(Model!$G$14-Model!$F$14)</f>
        <v>0.74430078876476991</v>
      </c>
      <c r="C4023" s="32">
        <f ca="1">Model!$F$15+RAND()*(Model!$G$15-Model!$F$15)</f>
        <v>1.6561748470194176E-2</v>
      </c>
      <c r="D4023" s="33">
        <f ca="1">Model!$F$16+RAND()*(Model!$G$16-Model!$F$16)</f>
        <v>51.346563888940501</v>
      </c>
      <c r="E4023" s="33">
        <f>Model!$D$17</f>
        <v>800</v>
      </c>
      <c r="G4023" s="36">
        <f t="shared" ca="1" si="65"/>
        <v>-656.98132416942599</v>
      </c>
    </row>
    <row r="4024" spans="1:7" x14ac:dyDescent="0.2">
      <c r="A4024" s="6">
        <f ca="1">Model!$F$13+RAND()*(Model!$G$13-Model!$F$13)</f>
        <v>1566.9782272014122</v>
      </c>
      <c r="B4024" s="31">
        <f ca="1">Model!$F$14+RAND()*(Model!$G$14-Model!$F$14)</f>
        <v>0.28373390316791575</v>
      </c>
      <c r="C4024" s="32">
        <f ca="1">Model!$F$15+RAND()*(Model!$G$15-Model!$F$15)</f>
        <v>2.1458602026151755E-2</v>
      </c>
      <c r="D4024" s="33">
        <f ca="1">Model!$F$16+RAND()*(Model!$G$16-Model!$F$16)</f>
        <v>52.696405329053214</v>
      </c>
      <c r="E4024" s="33">
        <f>Model!$D$17</f>
        <v>800</v>
      </c>
      <c r="G4024" s="36">
        <f t="shared" ca="1" si="65"/>
        <v>527.32032591662755</v>
      </c>
    </row>
    <row r="4025" spans="1:7" x14ac:dyDescent="0.2">
      <c r="A4025" s="6">
        <f ca="1">Model!$F$13+RAND()*(Model!$G$13-Model!$F$13)</f>
        <v>1684.8612213291999</v>
      </c>
      <c r="B4025" s="31">
        <f ca="1">Model!$F$14+RAND()*(Model!$G$14-Model!$F$14)</f>
        <v>0.58277011291715075</v>
      </c>
      <c r="C4025" s="32">
        <f ca="1">Model!$F$15+RAND()*(Model!$G$15-Model!$F$15)</f>
        <v>2.0543676389605421E-2</v>
      </c>
      <c r="D4025" s="33">
        <f ca="1">Model!$F$16+RAND()*(Model!$G$16-Model!$F$16)</f>
        <v>51.448705487946455</v>
      </c>
      <c r="E4025" s="33">
        <f>Model!$D$17</f>
        <v>800</v>
      </c>
      <c r="G4025" s="36">
        <f t="shared" ca="1" si="65"/>
        <v>-1.0801834918418081</v>
      </c>
    </row>
    <row r="4026" spans="1:7" x14ac:dyDescent="0.2">
      <c r="A4026" s="6">
        <f ca="1">Model!$F$13+RAND()*(Model!$G$13-Model!$F$13)</f>
        <v>1546.366543001935</v>
      </c>
      <c r="B4026" s="31">
        <f ca="1">Model!$F$14+RAND()*(Model!$G$14-Model!$F$14)</f>
        <v>0.65408558520398075</v>
      </c>
      <c r="C4026" s="32">
        <f ca="1">Model!$F$15+RAND()*(Model!$G$15-Model!$F$15)</f>
        <v>3.3478096262515508E-2</v>
      </c>
      <c r="D4026" s="33">
        <f ca="1">Model!$F$16+RAND()*(Model!$G$16-Model!$F$16)</f>
        <v>48.603535466203937</v>
      </c>
      <c r="E4026" s="33">
        <f>Model!$D$17</f>
        <v>800</v>
      </c>
      <c r="G4026" s="36">
        <f t="shared" ca="1" si="65"/>
        <v>704.72019178339951</v>
      </c>
    </row>
    <row r="4027" spans="1:7" x14ac:dyDescent="0.2">
      <c r="A4027" s="6">
        <f ca="1">Model!$F$13+RAND()*(Model!$G$13-Model!$F$13)</f>
        <v>1305.8610455127789</v>
      </c>
      <c r="B4027" s="31">
        <f ca="1">Model!$F$14+RAND()*(Model!$G$14-Model!$F$14)</f>
        <v>0.62927059462524992</v>
      </c>
      <c r="C4027" s="32">
        <f ca="1">Model!$F$15+RAND()*(Model!$G$15-Model!$F$15)</f>
        <v>3.1495838549060608E-2</v>
      </c>
      <c r="D4027" s="33">
        <f ca="1">Model!$F$16+RAND()*(Model!$G$16-Model!$F$16)</f>
        <v>48.545059227695255</v>
      </c>
      <c r="E4027" s="33">
        <f>Model!$D$17</f>
        <v>800</v>
      </c>
      <c r="G4027" s="36">
        <f t="shared" ca="1" si="65"/>
        <v>374.87894273227062</v>
      </c>
    </row>
    <row r="4028" spans="1:7" x14ac:dyDescent="0.2">
      <c r="A4028" s="6">
        <f ca="1">Model!$F$13+RAND()*(Model!$G$13-Model!$F$13)</f>
        <v>1258.9277809941209</v>
      </c>
      <c r="B4028" s="31">
        <f ca="1">Model!$F$14+RAND()*(Model!$G$14-Model!$F$14)</f>
        <v>0.33994277454597721</v>
      </c>
      <c r="C4028" s="32">
        <f ca="1">Model!$F$15+RAND()*(Model!$G$15-Model!$F$15)</f>
        <v>3.9556059923088686E-2</v>
      </c>
      <c r="D4028" s="33">
        <f ca="1">Model!$F$16+RAND()*(Model!$G$16-Model!$F$16)</f>
        <v>51.338610082280184</v>
      </c>
      <c r="E4028" s="33">
        <f>Model!$D$17</f>
        <v>800</v>
      </c>
      <c r="G4028" s="36">
        <f t="shared" ca="1" si="65"/>
        <v>1328.6081374126188</v>
      </c>
    </row>
    <row r="4029" spans="1:7" x14ac:dyDescent="0.2">
      <c r="A4029" s="6">
        <f ca="1">Model!$F$13+RAND()*(Model!$G$13-Model!$F$13)</f>
        <v>1536.4964881656338</v>
      </c>
      <c r="B4029" s="31">
        <f ca="1">Model!$F$14+RAND()*(Model!$G$14-Model!$F$14)</f>
        <v>0.66147487480059508</v>
      </c>
      <c r="C4029" s="32">
        <f ca="1">Model!$F$15+RAND()*(Model!$G$15-Model!$F$15)</f>
        <v>3.9290375436323861E-2</v>
      </c>
      <c r="D4029" s="33">
        <f ca="1">Model!$F$16+RAND()*(Model!$G$16-Model!$F$16)</f>
        <v>49.44742942531483</v>
      </c>
      <c r="E4029" s="33">
        <f>Model!$D$17</f>
        <v>800</v>
      </c>
      <c r="G4029" s="36">
        <f t="shared" ca="1" si="65"/>
        <v>1168.7639491881537</v>
      </c>
    </row>
    <row r="4030" spans="1:7" x14ac:dyDescent="0.2">
      <c r="A4030" s="6">
        <f ca="1">Model!$F$13+RAND()*(Model!$G$13-Model!$F$13)</f>
        <v>1558.7993560724935</v>
      </c>
      <c r="B4030" s="31">
        <f ca="1">Model!$F$14+RAND()*(Model!$G$14-Model!$F$14)</f>
        <v>0.53165726977166439</v>
      </c>
      <c r="C4030" s="32">
        <f ca="1">Model!$F$15+RAND()*(Model!$G$15-Model!$F$15)</f>
        <v>4.754536348804856E-2</v>
      </c>
      <c r="D4030" s="33">
        <f ca="1">Model!$F$16+RAND()*(Model!$G$16-Model!$F$16)</f>
        <v>51.027081035073856</v>
      </c>
      <c r="E4030" s="33">
        <f>Model!$D$17</f>
        <v>800</v>
      </c>
      <c r="G4030" s="36">
        <f t="shared" ca="1" si="65"/>
        <v>2153.0578469096167</v>
      </c>
    </row>
    <row r="4031" spans="1:7" x14ac:dyDescent="0.2">
      <c r="A4031" s="6">
        <f ca="1">Model!$F$13+RAND()*(Model!$G$13-Model!$F$13)</f>
        <v>1456.6442842656143</v>
      </c>
      <c r="B4031" s="31">
        <f ca="1">Model!$F$14+RAND()*(Model!$G$14-Model!$F$14)</f>
        <v>0.29902636736136712</v>
      </c>
      <c r="C4031" s="32">
        <f ca="1">Model!$F$15+RAND()*(Model!$G$15-Model!$F$15)</f>
        <v>2.5415329086964596E-2</v>
      </c>
      <c r="D4031" s="33">
        <f ca="1">Model!$F$16+RAND()*(Model!$G$16-Model!$F$16)</f>
        <v>52.299793793302115</v>
      </c>
      <c r="E4031" s="33">
        <f>Model!$D$17</f>
        <v>800</v>
      </c>
      <c r="G4031" s="36">
        <f t="shared" ca="1" si="65"/>
        <v>700.62052535236035</v>
      </c>
    </row>
    <row r="4032" spans="1:7" x14ac:dyDescent="0.2">
      <c r="A4032" s="6">
        <f ca="1">Model!$F$13+RAND()*(Model!$G$13-Model!$F$13)</f>
        <v>1345.4858996201747</v>
      </c>
      <c r="B4032" s="31">
        <f ca="1">Model!$F$14+RAND()*(Model!$G$14-Model!$F$14)</f>
        <v>0.52960520347748585</v>
      </c>
      <c r="C4032" s="32">
        <f ca="1">Model!$F$15+RAND()*(Model!$G$15-Model!$F$15)</f>
        <v>1.0591914803527943E-2</v>
      </c>
      <c r="D4032" s="33">
        <f ca="1">Model!$F$16+RAND()*(Model!$G$16-Model!$F$16)</f>
        <v>52.720737035931677</v>
      </c>
      <c r="E4032" s="33">
        <f>Model!$D$17</f>
        <v>800</v>
      </c>
      <c r="G4032" s="36">
        <f t="shared" ca="1" si="65"/>
        <v>-761.23876914932907</v>
      </c>
    </row>
    <row r="4033" spans="1:7" x14ac:dyDescent="0.2">
      <c r="A4033" s="6">
        <f ca="1">Model!$F$13+RAND()*(Model!$G$13-Model!$F$13)</f>
        <v>1607.3045582352381</v>
      </c>
      <c r="B4033" s="31">
        <f ca="1">Model!$F$14+RAND()*(Model!$G$14-Model!$F$14)</f>
        <v>0.43149237768629145</v>
      </c>
      <c r="C4033" s="32">
        <f ca="1">Model!$F$15+RAND()*(Model!$G$15-Model!$F$15)</f>
        <v>2.0192902440360226E-2</v>
      </c>
      <c r="D4033" s="33">
        <f ca="1">Model!$F$16+RAND()*(Model!$G$16-Model!$F$16)</f>
        <v>52.572942000934844</v>
      </c>
      <c r="E4033" s="33">
        <f>Model!$D$17</f>
        <v>800</v>
      </c>
      <c r="G4033" s="36">
        <f t="shared" ca="1" si="65"/>
        <v>212.77531775749981</v>
      </c>
    </row>
    <row r="4034" spans="1:7" x14ac:dyDescent="0.2">
      <c r="A4034" s="6">
        <f ca="1">Model!$F$13+RAND()*(Model!$G$13-Model!$F$13)</f>
        <v>1409.8472523594305</v>
      </c>
      <c r="B4034" s="31">
        <f ca="1">Model!$F$14+RAND()*(Model!$G$14-Model!$F$14)</f>
        <v>0.38334651301794831</v>
      </c>
      <c r="C4034" s="32">
        <f ca="1">Model!$F$15+RAND()*(Model!$G$15-Model!$F$15)</f>
        <v>2.7134886059592231E-2</v>
      </c>
      <c r="D4034" s="33">
        <f ca="1">Model!$F$16+RAND()*(Model!$G$16-Model!$F$16)</f>
        <v>52.979930715177183</v>
      </c>
      <c r="E4034" s="33">
        <f>Model!$D$17</f>
        <v>800</v>
      </c>
      <c r="G4034" s="36">
        <f t="shared" ca="1" si="65"/>
        <v>686.34256183844695</v>
      </c>
    </row>
    <row r="4035" spans="1:7" x14ac:dyDescent="0.2">
      <c r="A4035" s="6">
        <f ca="1">Model!$F$13+RAND()*(Model!$G$13-Model!$F$13)</f>
        <v>1499.8347313301756</v>
      </c>
      <c r="B4035" s="31">
        <f ca="1">Model!$F$14+RAND()*(Model!$G$14-Model!$F$14)</f>
        <v>0.79739023477883375</v>
      </c>
      <c r="C4035" s="32">
        <f ca="1">Model!$F$15+RAND()*(Model!$G$15-Model!$F$15)</f>
        <v>2.1574362279290247E-2</v>
      </c>
      <c r="D4035" s="33">
        <f ca="1">Model!$F$16+RAND()*(Model!$G$16-Model!$F$16)</f>
        <v>49.034528739298061</v>
      </c>
      <c r="E4035" s="33">
        <f>Model!$D$17</f>
        <v>800</v>
      </c>
      <c r="G4035" s="36">
        <f t="shared" ca="1" si="65"/>
        <v>-409.29537357714753</v>
      </c>
    </row>
    <row r="4036" spans="1:7" x14ac:dyDescent="0.2">
      <c r="A4036" s="6">
        <f ca="1">Model!$F$13+RAND()*(Model!$G$13-Model!$F$13)</f>
        <v>1410.2291148399986</v>
      </c>
      <c r="B4036" s="31">
        <f ca="1">Model!$F$14+RAND()*(Model!$G$14-Model!$F$14)</f>
        <v>0.29564499964139757</v>
      </c>
      <c r="C4036" s="32">
        <f ca="1">Model!$F$15+RAND()*(Model!$G$15-Model!$F$15)</f>
        <v>2.7784750000825656E-2</v>
      </c>
      <c r="D4036" s="33">
        <f ca="1">Model!$F$16+RAND()*(Model!$G$16-Model!$F$16)</f>
        <v>50.877586122049976</v>
      </c>
      <c r="E4036" s="33">
        <f>Model!$D$17</f>
        <v>800</v>
      </c>
      <c r="G4036" s="36">
        <f t="shared" ca="1" si="65"/>
        <v>776.60232097636094</v>
      </c>
    </row>
    <row r="4037" spans="1:7" x14ac:dyDescent="0.2">
      <c r="A4037" s="6">
        <f ca="1">Model!$F$13+RAND()*(Model!$G$13-Model!$F$13)</f>
        <v>1460.4800272247071</v>
      </c>
      <c r="B4037" s="31">
        <f ca="1">Model!$F$14+RAND()*(Model!$G$14-Model!$F$14)</f>
        <v>0.20816245005250686</v>
      </c>
      <c r="C4037" s="32">
        <f ca="1">Model!$F$15+RAND()*(Model!$G$15-Model!$F$15)</f>
        <v>2.857079262056484E-2</v>
      </c>
      <c r="D4037" s="33">
        <f ca="1">Model!$F$16+RAND()*(Model!$G$16-Model!$F$16)</f>
        <v>52.018005865180903</v>
      </c>
      <c r="E4037" s="33">
        <f>Model!$D$17</f>
        <v>800</v>
      </c>
      <c r="G4037" s="36">
        <f t="shared" ca="1" si="65"/>
        <v>1066.5419744970245</v>
      </c>
    </row>
    <row r="4038" spans="1:7" x14ac:dyDescent="0.2">
      <c r="A4038" s="6">
        <f ca="1">Model!$F$13+RAND()*(Model!$G$13-Model!$F$13)</f>
        <v>1311.0713192046508</v>
      </c>
      <c r="B4038" s="31">
        <f ca="1">Model!$F$14+RAND()*(Model!$G$14-Model!$F$14)</f>
        <v>0.41813233389747234</v>
      </c>
      <c r="C4038" s="32">
        <f ca="1">Model!$F$15+RAND()*(Model!$G$15-Model!$F$15)</f>
        <v>4.5720705120043177E-2</v>
      </c>
      <c r="D4038" s="33">
        <f ca="1">Model!$F$16+RAND()*(Model!$G$16-Model!$F$16)</f>
        <v>51.954595734543403</v>
      </c>
      <c r="E4038" s="33">
        <f>Model!$D$17</f>
        <v>800</v>
      </c>
      <c r="G4038" s="36">
        <f t="shared" ca="1" si="65"/>
        <v>1766.1184859236814</v>
      </c>
    </row>
    <row r="4039" spans="1:7" x14ac:dyDescent="0.2">
      <c r="A4039" s="6">
        <f ca="1">Model!$F$13+RAND()*(Model!$G$13-Model!$F$13)</f>
        <v>1758.3997340235833</v>
      </c>
      <c r="B4039" s="31">
        <f ca="1">Model!$F$14+RAND()*(Model!$G$14-Model!$F$14)</f>
        <v>0.69706642856653978</v>
      </c>
      <c r="C4039" s="32">
        <f ca="1">Model!$F$15+RAND()*(Model!$G$15-Model!$F$15)</f>
        <v>4.911143937206932E-2</v>
      </c>
      <c r="D4039" s="33">
        <f ca="1">Model!$F$16+RAND()*(Model!$G$16-Model!$F$16)</f>
        <v>51.216240851801366</v>
      </c>
      <c r="E4039" s="33">
        <f>Model!$D$17</f>
        <v>800</v>
      </c>
      <c r="G4039" s="36">
        <f t="shared" ca="1" si="65"/>
        <v>2397.187244235568</v>
      </c>
    </row>
    <row r="4040" spans="1:7" x14ac:dyDescent="0.2">
      <c r="A4040" s="6">
        <f ca="1">Model!$F$13+RAND()*(Model!$G$13-Model!$F$13)</f>
        <v>1618.1919435070677</v>
      </c>
      <c r="B4040" s="31">
        <f ca="1">Model!$F$14+RAND()*(Model!$G$14-Model!$F$14)</f>
        <v>0.35059137653228067</v>
      </c>
      <c r="C4040" s="32">
        <f ca="1">Model!$F$15+RAND()*(Model!$G$15-Model!$F$15)</f>
        <v>3.1334004974893734E-2</v>
      </c>
      <c r="D4040" s="33">
        <f ca="1">Model!$F$16+RAND()*(Model!$G$16-Model!$F$16)</f>
        <v>49.341277848691171</v>
      </c>
      <c r="E4040" s="33">
        <f>Model!$D$17</f>
        <v>800</v>
      </c>
      <c r="G4040" s="36">
        <f t="shared" ca="1" si="65"/>
        <v>1134.4974453273257</v>
      </c>
    </row>
    <row r="4041" spans="1:7" x14ac:dyDescent="0.2">
      <c r="A4041" s="6">
        <f ca="1">Model!$F$13+RAND()*(Model!$G$13-Model!$F$13)</f>
        <v>1422.8428476748034</v>
      </c>
      <c r="B4041" s="31">
        <f ca="1">Model!$F$14+RAND()*(Model!$G$14-Model!$F$14)</f>
        <v>0.29110346513489382</v>
      </c>
      <c r="C4041" s="32">
        <f ca="1">Model!$F$15+RAND()*(Model!$G$15-Model!$F$15)</f>
        <v>3.9444179637528616E-2</v>
      </c>
      <c r="D4041" s="33">
        <f ca="1">Model!$F$16+RAND()*(Model!$G$16-Model!$F$16)</f>
        <v>49.082411302628536</v>
      </c>
      <c r="E4041" s="33">
        <f>Model!$D$17</f>
        <v>800</v>
      </c>
      <c r="G4041" s="36">
        <f t="shared" ca="1" si="65"/>
        <v>1540.4512505343157</v>
      </c>
    </row>
    <row r="4042" spans="1:7" x14ac:dyDescent="0.2">
      <c r="A4042" s="6">
        <f ca="1">Model!$F$13+RAND()*(Model!$G$13-Model!$F$13)</f>
        <v>1644.9389243955181</v>
      </c>
      <c r="B4042" s="31">
        <f ca="1">Model!$F$14+RAND()*(Model!$G$14-Model!$F$14)</f>
        <v>0.60364069759736272</v>
      </c>
      <c r="C4042" s="32">
        <f ca="1">Model!$F$15+RAND()*(Model!$G$15-Model!$F$15)</f>
        <v>4.6018882571461486E-2</v>
      </c>
      <c r="D4042" s="33">
        <f ca="1">Model!$F$16+RAND()*(Model!$G$16-Model!$F$16)</f>
        <v>52.286686354220485</v>
      </c>
      <c r="E4042" s="33">
        <f>Model!$D$17</f>
        <v>800</v>
      </c>
      <c r="G4042" s="36">
        <f t="shared" ca="1" si="65"/>
        <v>2165.05863817708</v>
      </c>
    </row>
    <row r="4043" spans="1:7" x14ac:dyDescent="0.2">
      <c r="A4043" s="6">
        <f ca="1">Model!$F$13+RAND()*(Model!$G$13-Model!$F$13)</f>
        <v>1223.3267560408913</v>
      </c>
      <c r="B4043" s="31">
        <f ca="1">Model!$F$14+RAND()*(Model!$G$14-Model!$F$14)</f>
        <v>0.60405832998437492</v>
      </c>
      <c r="C4043" s="32">
        <f ca="1">Model!$F$15+RAND()*(Model!$G$15-Model!$F$15)</f>
        <v>1.3711112650928557E-2</v>
      </c>
      <c r="D4043" s="33">
        <f ca="1">Model!$F$16+RAND()*(Model!$G$16-Model!$F$16)</f>
        <v>51.817433105844955</v>
      </c>
      <c r="E4043" s="33">
        <f>Model!$D$17</f>
        <v>800</v>
      </c>
      <c r="G4043" s="36">
        <f t="shared" ca="1" si="65"/>
        <v>-669.81805303621343</v>
      </c>
    </row>
    <row r="4044" spans="1:7" x14ac:dyDescent="0.2">
      <c r="A4044" s="6">
        <f ca="1">Model!$F$13+RAND()*(Model!$G$13-Model!$F$13)</f>
        <v>1315.3188237828558</v>
      </c>
      <c r="B4044" s="31">
        <f ca="1">Model!$F$14+RAND()*(Model!$G$14-Model!$F$14)</f>
        <v>0.25026780480006827</v>
      </c>
      <c r="C4044" s="32">
        <f ca="1">Model!$F$15+RAND()*(Model!$G$15-Model!$F$15)</f>
        <v>2.1196678340942184E-2</v>
      </c>
      <c r="D4044" s="33">
        <f ca="1">Model!$F$16+RAND()*(Model!$G$16-Model!$F$16)</f>
        <v>49.43966636354665</v>
      </c>
      <c r="E4044" s="33">
        <f>Model!$D$17</f>
        <v>800</v>
      </c>
      <c r="G4044" s="36">
        <f t="shared" ca="1" si="65"/>
        <v>249.21522620762539</v>
      </c>
    </row>
    <row r="4045" spans="1:7" x14ac:dyDescent="0.2">
      <c r="A4045" s="6">
        <f ca="1">Model!$F$13+RAND()*(Model!$G$13-Model!$F$13)</f>
        <v>1406.1659178525358</v>
      </c>
      <c r="B4045" s="31">
        <f ca="1">Model!$F$14+RAND()*(Model!$G$14-Model!$F$14)</f>
        <v>0.53890016164111487</v>
      </c>
      <c r="C4045" s="32">
        <f ca="1">Model!$F$15+RAND()*(Model!$G$15-Model!$F$15)</f>
        <v>4.2323374288605123E-2</v>
      </c>
      <c r="D4045" s="33">
        <f ca="1">Model!$F$16+RAND()*(Model!$G$16-Model!$F$16)</f>
        <v>52.595395962907595</v>
      </c>
      <c r="E4045" s="33">
        <f>Model!$D$17</f>
        <v>800</v>
      </c>
      <c r="G4045" s="36">
        <f t="shared" ca="1" si="65"/>
        <v>1572.3628637909449</v>
      </c>
    </row>
    <row r="4046" spans="1:7" x14ac:dyDescent="0.2">
      <c r="A4046" s="6">
        <f ca="1">Model!$F$13+RAND()*(Model!$G$13-Model!$F$13)</f>
        <v>1601.3790411102634</v>
      </c>
      <c r="B4046" s="31">
        <f ca="1">Model!$F$14+RAND()*(Model!$G$14-Model!$F$14)</f>
        <v>0.20519022126545353</v>
      </c>
      <c r="C4046" s="32">
        <f ca="1">Model!$F$15+RAND()*(Model!$G$15-Model!$F$15)</f>
        <v>2.3388359204053272E-2</v>
      </c>
      <c r="D4046" s="33">
        <f ca="1">Model!$F$16+RAND()*(Model!$G$16-Model!$F$16)</f>
        <v>52.49023601718936</v>
      </c>
      <c r="E4046" s="33">
        <f>Model!$D$17</f>
        <v>800</v>
      </c>
      <c r="G4046" s="36">
        <f t="shared" ca="1" si="65"/>
        <v>837.36246599722404</v>
      </c>
    </row>
    <row r="4047" spans="1:7" x14ac:dyDescent="0.2">
      <c r="A4047" s="6">
        <f ca="1">Model!$F$13+RAND()*(Model!$G$13-Model!$F$13)</f>
        <v>1345.5044703679225</v>
      </c>
      <c r="B4047" s="31">
        <f ca="1">Model!$F$14+RAND()*(Model!$G$14-Model!$F$14)</f>
        <v>0.41093488444694309</v>
      </c>
      <c r="C4047" s="32">
        <f ca="1">Model!$F$15+RAND()*(Model!$G$15-Model!$F$15)</f>
        <v>4.3381389798167032E-2</v>
      </c>
      <c r="D4047" s="33">
        <f ca="1">Model!$F$16+RAND()*(Model!$G$16-Model!$F$16)</f>
        <v>48.426509746441404</v>
      </c>
      <c r="E4047" s="33">
        <f>Model!$D$17</f>
        <v>800</v>
      </c>
      <c r="G4047" s="36">
        <f t="shared" ca="1" si="65"/>
        <v>1473.7335749369595</v>
      </c>
    </row>
    <row r="4048" spans="1:7" x14ac:dyDescent="0.2">
      <c r="A4048" s="6">
        <f ca="1">Model!$F$13+RAND()*(Model!$G$13-Model!$F$13)</f>
        <v>1576.451524015841</v>
      </c>
      <c r="B4048" s="31">
        <f ca="1">Model!$F$14+RAND()*(Model!$G$14-Model!$F$14)</f>
        <v>0.33067229703147238</v>
      </c>
      <c r="C4048" s="32">
        <f ca="1">Model!$F$15+RAND()*(Model!$G$15-Model!$F$15)</f>
        <v>1.3190368715002215E-2</v>
      </c>
      <c r="D4048" s="33">
        <f ca="1">Model!$F$16+RAND()*(Model!$G$16-Model!$F$16)</f>
        <v>47.534667975482122</v>
      </c>
      <c r="E4048" s="33">
        <f>Model!$D$17</f>
        <v>800</v>
      </c>
      <c r="G4048" s="36">
        <f t="shared" ca="1" si="65"/>
        <v>-332.85406052795258</v>
      </c>
    </row>
    <row r="4049" spans="1:7" x14ac:dyDescent="0.2">
      <c r="A4049" s="6">
        <f ca="1">Model!$F$13+RAND()*(Model!$G$13-Model!$F$13)</f>
        <v>1717.591477039414</v>
      </c>
      <c r="B4049" s="31">
        <f ca="1">Model!$F$14+RAND()*(Model!$G$14-Model!$F$14)</f>
        <v>0.77240960530795411</v>
      </c>
      <c r="C4049" s="32">
        <f ca="1">Model!$F$15+RAND()*(Model!$G$15-Model!$F$15)</f>
        <v>2.5971261780462315E-2</v>
      </c>
      <c r="D4049" s="33">
        <f ca="1">Model!$F$16+RAND()*(Model!$G$16-Model!$F$16)</f>
        <v>52.185493463211273</v>
      </c>
      <c r="E4049" s="33">
        <f>Model!$D$17</f>
        <v>800</v>
      </c>
      <c r="G4049" s="36">
        <f t="shared" ca="1" si="65"/>
        <v>201.20727073185844</v>
      </c>
    </row>
    <row r="4050" spans="1:7" x14ac:dyDescent="0.2">
      <c r="A4050" s="6">
        <f ca="1">Model!$F$13+RAND()*(Model!$G$13-Model!$F$13)</f>
        <v>1475.2979256958611</v>
      </c>
      <c r="B4050" s="31">
        <f ca="1">Model!$F$14+RAND()*(Model!$G$14-Model!$F$14)</f>
        <v>0.63058092343611993</v>
      </c>
      <c r="C4050" s="32">
        <f ca="1">Model!$F$15+RAND()*(Model!$G$15-Model!$F$15)</f>
        <v>4.1850644355964382E-2</v>
      </c>
      <c r="D4050" s="33">
        <f ca="1">Model!$F$16+RAND()*(Model!$G$16-Model!$F$16)</f>
        <v>49.720042032340643</v>
      </c>
      <c r="E4050" s="33">
        <f>Model!$D$17</f>
        <v>800</v>
      </c>
      <c r="G4050" s="36">
        <f t="shared" ca="1" si="65"/>
        <v>1339.5284999425864</v>
      </c>
    </row>
    <row r="4051" spans="1:7" x14ac:dyDescent="0.2">
      <c r="A4051" s="6">
        <f ca="1">Model!$F$13+RAND()*(Model!$G$13-Model!$F$13)</f>
        <v>1589.8903568794813</v>
      </c>
      <c r="B4051" s="31">
        <f ca="1">Model!$F$14+RAND()*(Model!$G$14-Model!$F$14)</f>
        <v>0.52139365401153936</v>
      </c>
      <c r="C4051" s="32">
        <f ca="1">Model!$F$15+RAND()*(Model!$G$15-Model!$F$15)</f>
        <v>1.1203461133230634E-2</v>
      </c>
      <c r="D4051" s="33">
        <f ca="1">Model!$F$16+RAND()*(Model!$G$16-Model!$F$16)</f>
        <v>49.706537219453118</v>
      </c>
      <c r="E4051" s="33">
        <f>Model!$D$17</f>
        <v>800</v>
      </c>
      <c r="G4051" s="36">
        <f t="shared" ca="1" si="65"/>
        <v>-743.57224137759601</v>
      </c>
    </row>
    <row r="4052" spans="1:7" x14ac:dyDescent="0.2">
      <c r="A4052" s="6">
        <f ca="1">Model!$F$13+RAND()*(Model!$G$13-Model!$F$13)</f>
        <v>1779.4774525377729</v>
      </c>
      <c r="B4052" s="31">
        <f ca="1">Model!$F$14+RAND()*(Model!$G$14-Model!$F$14)</f>
        <v>0.46743023975790171</v>
      </c>
      <c r="C4052" s="32">
        <f ca="1">Model!$F$15+RAND()*(Model!$G$15-Model!$F$15)</f>
        <v>1.8761301615971653E-2</v>
      </c>
      <c r="D4052" s="33">
        <f ca="1">Model!$F$16+RAND()*(Model!$G$16-Model!$F$16)</f>
        <v>50.353286341894076</v>
      </c>
      <c r="E4052" s="33">
        <f>Model!$D$17</f>
        <v>800</v>
      </c>
      <c r="G4052" s="36">
        <f t="shared" ca="1" si="65"/>
        <v>49.278663186084941</v>
      </c>
    </row>
    <row r="4053" spans="1:7" x14ac:dyDescent="0.2">
      <c r="A4053" s="6">
        <f ca="1">Model!$F$13+RAND()*(Model!$G$13-Model!$F$13)</f>
        <v>1624.5412211497946</v>
      </c>
      <c r="B4053" s="31">
        <f ca="1">Model!$F$14+RAND()*(Model!$G$14-Model!$F$14)</f>
        <v>0.48848907219870674</v>
      </c>
      <c r="C4053" s="32">
        <f ca="1">Model!$F$15+RAND()*(Model!$G$15-Model!$F$15)</f>
        <v>4.191823549668823E-2</v>
      </c>
      <c r="D4053" s="33">
        <f ca="1">Model!$F$16+RAND()*(Model!$G$16-Model!$F$16)</f>
        <v>52.088015202989816</v>
      </c>
      <c r="E4053" s="33">
        <f>Model!$D$17</f>
        <v>800</v>
      </c>
      <c r="G4053" s="36">
        <f t="shared" ca="1" si="65"/>
        <v>1953.5138938303191</v>
      </c>
    </row>
    <row r="4054" spans="1:7" x14ac:dyDescent="0.2">
      <c r="A4054" s="6">
        <f ca="1">Model!$F$13+RAND()*(Model!$G$13-Model!$F$13)</f>
        <v>1281.7098428490415</v>
      </c>
      <c r="B4054" s="31">
        <f ca="1">Model!$F$14+RAND()*(Model!$G$14-Model!$F$14)</f>
        <v>0.56662943659352538</v>
      </c>
      <c r="C4054" s="32">
        <f ca="1">Model!$F$15+RAND()*(Model!$G$15-Model!$F$15)</f>
        <v>2.3099791879608034E-2</v>
      </c>
      <c r="D4054" s="33">
        <f ca="1">Model!$F$16+RAND()*(Model!$G$16-Model!$F$16)</f>
        <v>51.990159297958229</v>
      </c>
      <c r="E4054" s="33">
        <f>Model!$D$17</f>
        <v>800</v>
      </c>
      <c r="G4054" s="36">
        <f t="shared" ca="1" si="65"/>
        <v>13.030110167874454</v>
      </c>
    </row>
    <row r="4055" spans="1:7" x14ac:dyDescent="0.2">
      <c r="A4055" s="6">
        <f ca="1">Model!$F$13+RAND()*(Model!$G$13-Model!$F$13)</f>
        <v>1733.9540288662461</v>
      </c>
      <c r="B4055" s="31">
        <f ca="1">Model!$F$14+RAND()*(Model!$G$14-Model!$F$14)</f>
        <v>0.2776197474650014</v>
      </c>
      <c r="C4055" s="32">
        <f ca="1">Model!$F$15+RAND()*(Model!$G$15-Model!$F$15)</f>
        <v>4.1767450498385081E-2</v>
      </c>
      <c r="D4055" s="33">
        <f ca="1">Model!$F$16+RAND()*(Model!$G$16-Model!$F$16)</f>
        <v>48.206755379783594</v>
      </c>
      <c r="E4055" s="33">
        <f>Model!$D$17</f>
        <v>800</v>
      </c>
      <c r="G4055" s="36">
        <f t="shared" ca="1" si="65"/>
        <v>2209.890207209588</v>
      </c>
    </row>
    <row r="4056" spans="1:7" x14ac:dyDescent="0.2">
      <c r="A4056" s="6">
        <f ca="1">Model!$F$13+RAND()*(Model!$G$13-Model!$F$13)</f>
        <v>1512.3427140033853</v>
      </c>
      <c r="B4056" s="31">
        <f ca="1">Model!$F$14+RAND()*(Model!$G$14-Model!$F$14)</f>
        <v>0.35750387453023524</v>
      </c>
      <c r="C4056" s="32">
        <f ca="1">Model!$F$15+RAND()*(Model!$G$15-Model!$F$15)</f>
        <v>1.3044642000484261E-2</v>
      </c>
      <c r="D4056" s="33">
        <f ca="1">Model!$F$16+RAND()*(Model!$G$16-Model!$F$16)</f>
        <v>49.459660085556735</v>
      </c>
      <c r="E4056" s="33">
        <f>Model!$D$17</f>
        <v>800</v>
      </c>
      <c r="G4056" s="36">
        <f t="shared" ca="1" si="65"/>
        <v>-364.92972479928881</v>
      </c>
    </row>
    <row r="4057" spans="1:7" x14ac:dyDescent="0.2">
      <c r="A4057" s="6">
        <f ca="1">Model!$F$13+RAND()*(Model!$G$13-Model!$F$13)</f>
        <v>1566.1798046689553</v>
      </c>
      <c r="B4057" s="31">
        <f ca="1">Model!$F$14+RAND()*(Model!$G$14-Model!$F$14)</f>
        <v>0.36457399097251098</v>
      </c>
      <c r="C4057" s="32">
        <f ca="1">Model!$F$15+RAND()*(Model!$G$15-Model!$F$15)</f>
        <v>4.8971091382436015E-2</v>
      </c>
      <c r="D4057" s="33">
        <f ca="1">Model!$F$16+RAND()*(Model!$G$16-Model!$F$16)</f>
        <v>51.111920111056492</v>
      </c>
      <c r="E4057" s="33">
        <f>Model!$D$17</f>
        <v>800</v>
      </c>
      <c r="G4057" s="36">
        <f t="shared" ca="1" si="65"/>
        <v>2549.1698257161383</v>
      </c>
    </row>
    <row r="4058" spans="1:7" x14ac:dyDescent="0.2">
      <c r="A4058" s="6">
        <f ca="1">Model!$F$13+RAND()*(Model!$G$13-Model!$F$13)</f>
        <v>1754.6450953844471</v>
      </c>
      <c r="B4058" s="31">
        <f ca="1">Model!$F$14+RAND()*(Model!$G$14-Model!$F$14)</f>
        <v>0.61043571033191979</v>
      </c>
      <c r="C4058" s="32">
        <f ca="1">Model!$F$15+RAND()*(Model!$G$15-Model!$F$15)</f>
        <v>3.7491128893799311E-2</v>
      </c>
      <c r="D4058" s="33">
        <f ca="1">Model!$F$16+RAND()*(Model!$G$16-Model!$F$16)</f>
        <v>52.701332244617099</v>
      </c>
      <c r="E4058" s="33">
        <f>Model!$D$17</f>
        <v>800</v>
      </c>
      <c r="G4058" s="36">
        <f t="shared" ca="1" si="65"/>
        <v>1595.7866750676219</v>
      </c>
    </row>
    <row r="4059" spans="1:7" x14ac:dyDescent="0.2">
      <c r="A4059" s="6">
        <f ca="1">Model!$F$13+RAND()*(Model!$G$13-Model!$F$13)</f>
        <v>1260.0743400731972</v>
      </c>
      <c r="B4059" s="31">
        <f ca="1">Model!$F$14+RAND()*(Model!$G$14-Model!$F$14)</f>
        <v>0.50044294159098568</v>
      </c>
      <c r="C4059" s="32">
        <f ca="1">Model!$F$15+RAND()*(Model!$G$15-Model!$F$15)</f>
        <v>2.4920445351457057E-2</v>
      </c>
      <c r="D4059" s="33">
        <f ca="1">Model!$F$16+RAND()*(Model!$G$16-Model!$F$16)</f>
        <v>50.715859414668301</v>
      </c>
      <c r="E4059" s="33">
        <f>Model!$D$17</f>
        <v>800</v>
      </c>
      <c r="G4059" s="36">
        <f t="shared" ca="1" si="65"/>
        <v>161.96451798362477</v>
      </c>
    </row>
    <row r="4060" spans="1:7" x14ac:dyDescent="0.2">
      <c r="A4060" s="6">
        <f ca="1">Model!$F$13+RAND()*(Model!$G$13-Model!$F$13)</f>
        <v>1676.4614339791769</v>
      </c>
      <c r="B4060" s="31">
        <f ca="1">Model!$F$14+RAND()*(Model!$G$14-Model!$F$14)</f>
        <v>0.43900212453269727</v>
      </c>
      <c r="C4060" s="32">
        <f ca="1">Model!$F$15+RAND()*(Model!$G$15-Model!$F$15)</f>
        <v>2.2990970263811805E-2</v>
      </c>
      <c r="D4060" s="33">
        <f ca="1">Model!$F$16+RAND()*(Model!$G$16-Model!$F$16)</f>
        <v>51.271116500808127</v>
      </c>
      <c r="E4060" s="33">
        <f>Model!$D$17</f>
        <v>800</v>
      </c>
      <c r="G4060" s="36">
        <f t="shared" ca="1" si="65"/>
        <v>440.19686467994075</v>
      </c>
    </row>
    <row r="4061" spans="1:7" x14ac:dyDescent="0.2">
      <c r="A4061" s="6">
        <f ca="1">Model!$F$13+RAND()*(Model!$G$13-Model!$F$13)</f>
        <v>1377.8540176924505</v>
      </c>
      <c r="B4061" s="31">
        <f ca="1">Model!$F$14+RAND()*(Model!$G$14-Model!$F$14)</f>
        <v>0.44429709475992163</v>
      </c>
      <c r="C4061" s="32">
        <f ca="1">Model!$F$15+RAND()*(Model!$G$15-Model!$F$15)</f>
        <v>1.1122920541501435E-2</v>
      </c>
      <c r="D4061" s="33">
        <f ca="1">Model!$F$16+RAND()*(Model!$G$16-Model!$F$16)</f>
        <v>50.824659813251301</v>
      </c>
      <c r="E4061" s="33">
        <f>Model!$D$17</f>
        <v>800</v>
      </c>
      <c r="G4061" s="36">
        <f t="shared" ca="1" si="65"/>
        <v>-633.24996023150277</v>
      </c>
    </row>
    <row r="4062" spans="1:7" x14ac:dyDescent="0.2">
      <c r="A4062" s="6">
        <f ca="1">Model!$F$13+RAND()*(Model!$G$13-Model!$F$13)</f>
        <v>1404.7429836435176</v>
      </c>
      <c r="B4062" s="31">
        <f ca="1">Model!$F$14+RAND()*(Model!$G$14-Model!$F$14)</f>
        <v>0.37351698971432318</v>
      </c>
      <c r="C4062" s="32">
        <f ca="1">Model!$F$15+RAND()*(Model!$G$15-Model!$F$15)</f>
        <v>1.0407875616725119E-2</v>
      </c>
      <c r="D4062" s="33">
        <f ca="1">Model!$F$16+RAND()*(Model!$G$16-Model!$F$16)</f>
        <v>48.702545066579113</v>
      </c>
      <c r="E4062" s="33">
        <f>Model!$D$17</f>
        <v>800</v>
      </c>
      <c r="G4062" s="36">
        <f t="shared" ca="1" si="65"/>
        <v>-612.64515566619627</v>
      </c>
    </row>
    <row r="4063" spans="1:7" x14ac:dyDescent="0.2">
      <c r="A4063" s="6">
        <f ca="1">Model!$F$13+RAND()*(Model!$G$13-Model!$F$13)</f>
        <v>1570.8359767911998</v>
      </c>
      <c r="B4063" s="31">
        <f ca="1">Model!$F$14+RAND()*(Model!$G$14-Model!$F$14)</f>
        <v>0.78396094561483443</v>
      </c>
      <c r="C4063" s="32">
        <f ca="1">Model!$F$15+RAND()*(Model!$G$15-Model!$F$15)</f>
        <v>4.6570098949909725E-2</v>
      </c>
      <c r="D4063" s="33">
        <f ca="1">Model!$F$16+RAND()*(Model!$G$16-Model!$F$16)</f>
        <v>50.754552916017161</v>
      </c>
      <c r="E4063" s="33">
        <f>Model!$D$17</f>
        <v>800</v>
      </c>
      <c r="G4063" s="36">
        <f t="shared" ca="1" si="65"/>
        <v>1681.4238400046695</v>
      </c>
    </row>
    <row r="4064" spans="1:7" x14ac:dyDescent="0.2">
      <c r="A4064" s="6">
        <f ca="1">Model!$F$13+RAND()*(Model!$G$13-Model!$F$13)</f>
        <v>1792.460309559593</v>
      </c>
      <c r="B4064" s="31">
        <f ca="1">Model!$F$14+RAND()*(Model!$G$14-Model!$F$14)</f>
        <v>0.76345511162603552</v>
      </c>
      <c r="C4064" s="32">
        <f ca="1">Model!$F$15+RAND()*(Model!$G$15-Model!$F$15)</f>
        <v>3.0529378240519808E-2</v>
      </c>
      <c r="D4064" s="33">
        <f ca="1">Model!$F$16+RAND()*(Model!$G$16-Model!$F$16)</f>
        <v>51.872500990107874</v>
      </c>
      <c r="E4064" s="33">
        <f>Model!$D$17</f>
        <v>800</v>
      </c>
      <c r="G4064" s="36">
        <f t="shared" ca="1" si="65"/>
        <v>670.14026049446102</v>
      </c>
    </row>
    <row r="4065" spans="1:7" x14ac:dyDescent="0.2">
      <c r="A4065" s="6">
        <f ca="1">Model!$F$13+RAND()*(Model!$G$13-Model!$F$13)</f>
        <v>1436.1598952754218</v>
      </c>
      <c r="B4065" s="31">
        <f ca="1">Model!$F$14+RAND()*(Model!$G$14-Model!$F$14)</f>
        <v>0.28919715515843786</v>
      </c>
      <c r="C4065" s="32">
        <f ca="1">Model!$F$15+RAND()*(Model!$G$15-Model!$F$15)</f>
        <v>3.5250050172378609E-2</v>
      </c>
      <c r="D4065" s="33">
        <f ca="1">Model!$F$16+RAND()*(Model!$G$16-Model!$F$16)</f>
        <v>49.786871332899736</v>
      </c>
      <c r="E4065" s="33">
        <f>Model!$D$17</f>
        <v>800</v>
      </c>
      <c r="G4065" s="36">
        <f t="shared" ca="1" si="65"/>
        <v>1305.1124855185769</v>
      </c>
    </row>
    <row r="4066" spans="1:7" x14ac:dyDescent="0.2">
      <c r="A4066" s="6">
        <f ca="1">Model!$F$13+RAND()*(Model!$G$13-Model!$F$13)</f>
        <v>1561.5880822976426</v>
      </c>
      <c r="B4066" s="31">
        <f ca="1">Model!$F$14+RAND()*(Model!$G$14-Model!$F$14)</f>
        <v>0.34717158705175455</v>
      </c>
      <c r="C4066" s="32">
        <f ca="1">Model!$F$15+RAND()*(Model!$G$15-Model!$F$15)</f>
        <v>2.7392231055328994E-2</v>
      </c>
      <c r="D4066" s="33">
        <f ca="1">Model!$F$16+RAND()*(Model!$G$16-Model!$F$16)</f>
        <v>48.368294373350935</v>
      </c>
      <c r="E4066" s="33">
        <f>Model!$D$17</f>
        <v>800</v>
      </c>
      <c r="G4066" s="36">
        <f t="shared" ca="1" si="65"/>
        <v>726.83323454558058</v>
      </c>
    </row>
    <row r="4067" spans="1:7" x14ac:dyDescent="0.2">
      <c r="A4067" s="6">
        <f ca="1">Model!$F$13+RAND()*(Model!$G$13-Model!$F$13)</f>
        <v>1720.2417083916769</v>
      </c>
      <c r="B4067" s="31">
        <f ca="1">Model!$F$14+RAND()*(Model!$G$14-Model!$F$14)</f>
        <v>0.47188862935039527</v>
      </c>
      <c r="C4067" s="32">
        <f ca="1">Model!$F$15+RAND()*(Model!$G$15-Model!$F$15)</f>
        <v>2.0298545923729268E-2</v>
      </c>
      <c r="D4067" s="33">
        <f ca="1">Model!$F$16+RAND()*(Model!$G$16-Model!$F$16)</f>
        <v>52.235117268342421</v>
      </c>
      <c r="E4067" s="33">
        <f>Model!$D$17</f>
        <v>800</v>
      </c>
      <c r="G4067" s="36">
        <f t="shared" ca="1" si="65"/>
        <v>212.20449466939385</v>
      </c>
    </row>
    <row r="4068" spans="1:7" x14ac:dyDescent="0.2">
      <c r="A4068" s="6">
        <f ca="1">Model!$F$13+RAND()*(Model!$G$13-Model!$F$13)</f>
        <v>1380.7162685940975</v>
      </c>
      <c r="B4068" s="31">
        <f ca="1">Model!$F$14+RAND()*(Model!$G$14-Model!$F$14)</f>
        <v>0.69041809604729765</v>
      </c>
      <c r="C4068" s="32">
        <f ca="1">Model!$F$15+RAND()*(Model!$G$15-Model!$F$15)</f>
        <v>3.3714885864081515E-2</v>
      </c>
      <c r="D4068" s="33">
        <f ca="1">Model!$F$16+RAND()*(Model!$G$16-Model!$F$16)</f>
        <v>47.742776830350635</v>
      </c>
      <c r="E4068" s="33">
        <f>Model!$D$17</f>
        <v>800</v>
      </c>
      <c r="G4068" s="36">
        <f t="shared" ca="1" si="65"/>
        <v>469.18777376669277</v>
      </c>
    </row>
    <row r="4069" spans="1:7" x14ac:dyDescent="0.2">
      <c r="A4069" s="6">
        <f ca="1">Model!$F$13+RAND()*(Model!$G$13-Model!$F$13)</f>
        <v>1507.4579888833414</v>
      </c>
      <c r="B4069" s="31">
        <f ca="1">Model!$F$14+RAND()*(Model!$G$14-Model!$F$14)</f>
        <v>0.34183797985834619</v>
      </c>
      <c r="C4069" s="32">
        <f ca="1">Model!$F$15+RAND()*(Model!$G$15-Model!$F$15)</f>
        <v>1.5289733959547788E-2</v>
      </c>
      <c r="D4069" s="33">
        <f ca="1">Model!$F$16+RAND()*(Model!$G$16-Model!$F$16)</f>
        <v>49.437843383602967</v>
      </c>
      <c r="E4069" s="33">
        <f>Model!$D$17</f>
        <v>800</v>
      </c>
      <c r="G4069" s="36">
        <f t="shared" ca="1" si="65"/>
        <v>-175.83175413591766</v>
      </c>
    </row>
    <row r="4070" spans="1:7" x14ac:dyDescent="0.2">
      <c r="A4070" s="6">
        <f ca="1">Model!$F$13+RAND()*(Model!$G$13-Model!$F$13)</f>
        <v>1706.8197763895987</v>
      </c>
      <c r="B4070" s="31">
        <f ca="1">Model!$F$14+RAND()*(Model!$G$14-Model!$F$14)</f>
        <v>0.28217133879889206</v>
      </c>
      <c r="C4070" s="32">
        <f ca="1">Model!$F$15+RAND()*(Model!$G$15-Model!$F$15)</f>
        <v>2.3353753677194569E-2</v>
      </c>
      <c r="D4070" s="33">
        <f ca="1">Model!$F$16+RAND()*(Model!$G$16-Model!$F$16)</f>
        <v>51.67687158058596</v>
      </c>
      <c r="E4070" s="33">
        <f>Model!$D$17</f>
        <v>800</v>
      </c>
      <c r="G4070" s="36">
        <f t="shared" ca="1" si="65"/>
        <v>778.25799893604426</v>
      </c>
    </row>
    <row r="4071" spans="1:7" x14ac:dyDescent="0.2">
      <c r="A4071" s="6">
        <f ca="1">Model!$F$13+RAND()*(Model!$G$13-Model!$F$13)</f>
        <v>1231.5486957714356</v>
      </c>
      <c r="B4071" s="31">
        <f ca="1">Model!$F$14+RAND()*(Model!$G$14-Model!$F$14)</f>
        <v>0.70255834260132621</v>
      </c>
      <c r="C4071" s="32">
        <f ca="1">Model!$F$15+RAND()*(Model!$G$15-Model!$F$15)</f>
        <v>4.6367699092502122E-2</v>
      </c>
      <c r="D4071" s="33">
        <f ca="1">Model!$F$16+RAND()*(Model!$G$16-Model!$F$16)</f>
        <v>51.940013620147397</v>
      </c>
      <c r="E4071" s="33">
        <f>Model!$D$17</f>
        <v>800</v>
      </c>
      <c r="G4071" s="36">
        <f t="shared" ca="1" si="65"/>
        <v>1300.7518483226304</v>
      </c>
    </row>
    <row r="4072" spans="1:7" x14ac:dyDescent="0.2">
      <c r="A4072" s="6">
        <f ca="1">Model!$F$13+RAND()*(Model!$G$13-Model!$F$13)</f>
        <v>1668.8474317261625</v>
      </c>
      <c r="B4072" s="31">
        <f ca="1">Model!$F$14+RAND()*(Model!$G$14-Model!$F$14)</f>
        <v>0.56798928954941585</v>
      </c>
      <c r="C4072" s="32">
        <f ca="1">Model!$F$15+RAND()*(Model!$G$15-Model!$F$15)</f>
        <v>4.0910850339733594E-2</v>
      </c>
      <c r="D4072" s="33">
        <f ca="1">Model!$F$16+RAND()*(Model!$G$16-Model!$F$16)</f>
        <v>48.767217781882636</v>
      </c>
      <c r="E4072" s="33">
        <f>Model!$D$17</f>
        <v>800</v>
      </c>
      <c r="G4072" s="36">
        <f t="shared" ca="1" si="65"/>
        <v>1581.6439757293906</v>
      </c>
    </row>
    <row r="4073" spans="1:7" x14ac:dyDescent="0.2">
      <c r="A4073" s="6">
        <f ca="1">Model!$F$13+RAND()*(Model!$G$13-Model!$F$13)</f>
        <v>1370.8797374203225</v>
      </c>
      <c r="B4073" s="31">
        <f ca="1">Model!$F$14+RAND()*(Model!$G$14-Model!$F$14)</f>
        <v>0.45303652488626389</v>
      </c>
      <c r="C4073" s="32">
        <f ca="1">Model!$F$15+RAND()*(Model!$G$15-Model!$F$15)</f>
        <v>2.9363804085134011E-2</v>
      </c>
      <c r="D4073" s="33">
        <f ca="1">Model!$F$16+RAND()*(Model!$G$16-Model!$F$16)</f>
        <v>49.472997592469085</v>
      </c>
      <c r="E4073" s="33">
        <f>Model!$D$17</f>
        <v>800</v>
      </c>
      <c r="G4073" s="36">
        <f t="shared" ref="G4073:G4136" ca="1" si="66">A4073*C4073*D4073-(E4073+A4073*B4073)</f>
        <v>570.43952589742139</v>
      </c>
    </row>
    <row r="4074" spans="1:7" x14ac:dyDescent="0.2">
      <c r="A4074" s="6">
        <f ca="1">Model!$F$13+RAND()*(Model!$G$13-Model!$F$13)</f>
        <v>1626.2985267113327</v>
      </c>
      <c r="B4074" s="31">
        <f ca="1">Model!$F$14+RAND()*(Model!$G$14-Model!$F$14)</f>
        <v>0.6540514513497504</v>
      </c>
      <c r="C4074" s="32">
        <f ca="1">Model!$F$15+RAND()*(Model!$G$15-Model!$F$15)</f>
        <v>2.3789016215429167E-2</v>
      </c>
      <c r="D4074" s="33">
        <f ca="1">Model!$F$16+RAND()*(Model!$G$16-Model!$F$16)</f>
        <v>52.101525157826629</v>
      </c>
      <c r="E4074" s="33">
        <f>Model!$D$17</f>
        <v>800</v>
      </c>
      <c r="G4074" s="36">
        <f t="shared" ca="1" si="66"/>
        <v>152.0230830482385</v>
      </c>
    </row>
    <row r="4075" spans="1:7" x14ac:dyDescent="0.2">
      <c r="A4075" s="6">
        <f ca="1">Model!$F$13+RAND()*(Model!$G$13-Model!$F$13)</f>
        <v>1354.5191455653012</v>
      </c>
      <c r="B4075" s="31">
        <f ca="1">Model!$F$14+RAND()*(Model!$G$14-Model!$F$14)</f>
        <v>0.77412428955171753</v>
      </c>
      <c r="C4075" s="32">
        <f ca="1">Model!$F$15+RAND()*(Model!$G$15-Model!$F$15)</f>
        <v>4.2397262056973979E-2</v>
      </c>
      <c r="D4075" s="33">
        <f ca="1">Model!$F$16+RAND()*(Model!$G$16-Model!$F$16)</f>
        <v>51.361281310344964</v>
      </c>
      <c r="E4075" s="33">
        <f>Model!$D$17</f>
        <v>800</v>
      </c>
      <c r="G4075" s="36">
        <f t="shared" ca="1" si="66"/>
        <v>1101.0045188264985</v>
      </c>
    </row>
    <row r="4076" spans="1:7" x14ac:dyDescent="0.2">
      <c r="A4076" s="6">
        <f ca="1">Model!$F$13+RAND()*(Model!$G$13-Model!$F$13)</f>
        <v>1299.6593283381903</v>
      </c>
      <c r="B4076" s="31">
        <f ca="1">Model!$F$14+RAND()*(Model!$G$14-Model!$F$14)</f>
        <v>0.76476980334059896</v>
      </c>
      <c r="C4076" s="32">
        <f ca="1">Model!$F$15+RAND()*(Model!$G$15-Model!$F$15)</f>
        <v>4.2331807429414191E-2</v>
      </c>
      <c r="D4076" s="33">
        <f ca="1">Model!$F$16+RAND()*(Model!$G$16-Model!$F$16)</f>
        <v>48.524073725264941</v>
      </c>
      <c r="E4076" s="33">
        <f>Model!$D$17</f>
        <v>800</v>
      </c>
      <c r="G4076" s="36">
        <f t="shared" ca="1" si="66"/>
        <v>875.70528141263776</v>
      </c>
    </row>
    <row r="4077" spans="1:7" x14ac:dyDescent="0.2">
      <c r="A4077" s="6">
        <f ca="1">Model!$F$13+RAND()*(Model!$G$13-Model!$F$13)</f>
        <v>1569.7434035034637</v>
      </c>
      <c r="B4077" s="31">
        <f ca="1">Model!$F$14+RAND()*(Model!$G$14-Model!$F$14)</f>
        <v>0.49126675424265281</v>
      </c>
      <c r="C4077" s="32">
        <f ca="1">Model!$F$15+RAND()*(Model!$G$15-Model!$F$15)</f>
        <v>2.2868767356917053E-2</v>
      </c>
      <c r="D4077" s="33">
        <f ca="1">Model!$F$16+RAND()*(Model!$G$16-Model!$F$16)</f>
        <v>51.653034279440433</v>
      </c>
      <c r="E4077" s="33">
        <f>Model!$D$17</f>
        <v>800</v>
      </c>
      <c r="G4077" s="36">
        <f t="shared" ca="1" si="66"/>
        <v>283.08287282549509</v>
      </c>
    </row>
    <row r="4078" spans="1:7" x14ac:dyDescent="0.2">
      <c r="A4078" s="6">
        <f ca="1">Model!$F$13+RAND()*(Model!$G$13-Model!$F$13)</f>
        <v>1200.103791875553</v>
      </c>
      <c r="B4078" s="31">
        <f ca="1">Model!$F$14+RAND()*(Model!$G$14-Model!$F$14)</f>
        <v>0.26377797947565768</v>
      </c>
      <c r="C4078" s="32">
        <f ca="1">Model!$F$15+RAND()*(Model!$G$15-Model!$F$15)</f>
        <v>1.7701148281267516E-2</v>
      </c>
      <c r="D4078" s="33">
        <f ca="1">Model!$F$16+RAND()*(Model!$G$16-Model!$F$16)</f>
        <v>52.00947867055006</v>
      </c>
      <c r="E4078" s="33">
        <f>Model!$D$17</f>
        <v>800</v>
      </c>
      <c r="G4078" s="36">
        <f t="shared" ca="1" si="66"/>
        <v>-11.712406953130767</v>
      </c>
    </row>
    <row r="4079" spans="1:7" x14ac:dyDescent="0.2">
      <c r="A4079" s="6">
        <f ca="1">Model!$F$13+RAND()*(Model!$G$13-Model!$F$13)</f>
        <v>1503.4907631328529</v>
      </c>
      <c r="B4079" s="31">
        <f ca="1">Model!$F$14+RAND()*(Model!$G$14-Model!$F$14)</f>
        <v>0.54627752970736732</v>
      </c>
      <c r="C4079" s="32">
        <f ca="1">Model!$F$15+RAND()*(Model!$G$15-Model!$F$15)</f>
        <v>4.6621207501517416E-2</v>
      </c>
      <c r="D4079" s="33">
        <f ca="1">Model!$F$16+RAND()*(Model!$G$16-Model!$F$16)</f>
        <v>51.202695505926869</v>
      </c>
      <c r="E4079" s="33">
        <f>Model!$D$17</f>
        <v>800</v>
      </c>
      <c r="G4079" s="36">
        <f t="shared" ca="1" si="66"/>
        <v>1967.7069283110984</v>
      </c>
    </row>
    <row r="4080" spans="1:7" x14ac:dyDescent="0.2">
      <c r="A4080" s="6">
        <f ca="1">Model!$F$13+RAND()*(Model!$G$13-Model!$F$13)</f>
        <v>1676.1679087948739</v>
      </c>
      <c r="B4080" s="31">
        <f ca="1">Model!$F$14+RAND()*(Model!$G$14-Model!$F$14)</f>
        <v>0.42927428525596767</v>
      </c>
      <c r="C4080" s="32">
        <f ca="1">Model!$F$15+RAND()*(Model!$G$15-Model!$F$15)</f>
        <v>3.557058421850854E-2</v>
      </c>
      <c r="D4080" s="33">
        <f ca="1">Model!$F$16+RAND()*(Model!$G$16-Model!$F$16)</f>
        <v>50.140497240440489</v>
      </c>
      <c r="E4080" s="33">
        <f>Model!$D$17</f>
        <v>800</v>
      </c>
      <c r="G4080" s="36">
        <f t="shared" ca="1" si="66"/>
        <v>1469.9545718422164</v>
      </c>
    </row>
    <row r="4081" spans="1:7" x14ac:dyDescent="0.2">
      <c r="A4081" s="6">
        <f ca="1">Model!$F$13+RAND()*(Model!$G$13-Model!$F$13)</f>
        <v>1532.0407947659066</v>
      </c>
      <c r="B4081" s="31">
        <f ca="1">Model!$F$14+RAND()*(Model!$G$14-Model!$F$14)</f>
        <v>0.28010388121919388</v>
      </c>
      <c r="C4081" s="32">
        <f ca="1">Model!$F$15+RAND()*(Model!$G$15-Model!$F$15)</f>
        <v>1.5750258352601486E-2</v>
      </c>
      <c r="D4081" s="33">
        <f ca="1">Model!$F$16+RAND()*(Model!$G$16-Model!$F$16)</f>
        <v>50.516978132160787</v>
      </c>
      <c r="E4081" s="33">
        <f>Model!$D$17</f>
        <v>800</v>
      </c>
      <c r="G4081" s="36">
        <f t="shared" ca="1" si="66"/>
        <v>-10.153954443813291</v>
      </c>
    </row>
    <row r="4082" spans="1:7" x14ac:dyDescent="0.2">
      <c r="A4082" s="6">
        <f ca="1">Model!$F$13+RAND()*(Model!$G$13-Model!$F$13)</f>
        <v>1380.0068356392885</v>
      </c>
      <c r="B4082" s="31">
        <f ca="1">Model!$F$14+RAND()*(Model!$G$14-Model!$F$14)</f>
        <v>0.31363785059526317</v>
      </c>
      <c r="C4082" s="32">
        <f ca="1">Model!$F$15+RAND()*(Model!$G$15-Model!$F$15)</f>
        <v>1.4270198396660848E-2</v>
      </c>
      <c r="D4082" s="33">
        <f ca="1">Model!$F$16+RAND()*(Model!$G$16-Model!$F$16)</f>
        <v>52.738516732485436</v>
      </c>
      <c r="E4082" s="33">
        <f>Model!$D$17</f>
        <v>800</v>
      </c>
      <c r="G4082" s="36">
        <f t="shared" ca="1" si="66"/>
        <v>-194.24427956198269</v>
      </c>
    </row>
    <row r="4083" spans="1:7" x14ac:dyDescent="0.2">
      <c r="A4083" s="6">
        <f ca="1">Model!$F$13+RAND()*(Model!$G$13-Model!$F$13)</f>
        <v>1587.5429438084627</v>
      </c>
      <c r="B4083" s="31">
        <f ca="1">Model!$F$14+RAND()*(Model!$G$14-Model!$F$14)</f>
        <v>0.43071023141467435</v>
      </c>
      <c r="C4083" s="32">
        <f ca="1">Model!$F$15+RAND()*(Model!$G$15-Model!$F$15)</f>
        <v>2.4519626848931022E-2</v>
      </c>
      <c r="D4083" s="33">
        <f ca="1">Model!$F$16+RAND()*(Model!$G$16-Model!$F$16)</f>
        <v>51.083849560113038</v>
      </c>
      <c r="E4083" s="33">
        <f>Model!$D$17</f>
        <v>800</v>
      </c>
      <c r="G4083" s="36">
        <f t="shared" ca="1" si="66"/>
        <v>504.7169259945606</v>
      </c>
    </row>
    <row r="4084" spans="1:7" x14ac:dyDescent="0.2">
      <c r="A4084" s="6">
        <f ca="1">Model!$F$13+RAND()*(Model!$G$13-Model!$F$13)</f>
        <v>1439.5159384723684</v>
      </c>
      <c r="B4084" s="31">
        <f ca="1">Model!$F$14+RAND()*(Model!$G$14-Model!$F$14)</f>
        <v>0.55303597792863157</v>
      </c>
      <c r="C4084" s="32">
        <f ca="1">Model!$F$15+RAND()*(Model!$G$15-Model!$F$15)</f>
        <v>3.4620778476069008E-2</v>
      </c>
      <c r="D4084" s="33">
        <f ca="1">Model!$F$16+RAND()*(Model!$G$16-Model!$F$16)</f>
        <v>50.629244468493916</v>
      </c>
      <c r="E4084" s="33">
        <f>Model!$D$17</f>
        <v>800</v>
      </c>
      <c r="G4084" s="36">
        <f t="shared" ca="1" si="66"/>
        <v>927.11377493155533</v>
      </c>
    </row>
    <row r="4085" spans="1:7" x14ac:dyDescent="0.2">
      <c r="A4085" s="6">
        <f ca="1">Model!$F$13+RAND()*(Model!$G$13-Model!$F$13)</f>
        <v>1475.8993745462403</v>
      </c>
      <c r="B4085" s="31">
        <f ca="1">Model!$F$14+RAND()*(Model!$G$14-Model!$F$14)</f>
        <v>0.24081308465140894</v>
      </c>
      <c r="C4085" s="32">
        <f ca="1">Model!$F$15+RAND()*(Model!$G$15-Model!$F$15)</f>
        <v>2.5186807903310765E-2</v>
      </c>
      <c r="D4085" s="33">
        <f ca="1">Model!$F$16+RAND()*(Model!$G$16-Model!$F$16)</f>
        <v>51.536736691932525</v>
      </c>
      <c r="E4085" s="33">
        <f>Model!$D$17</f>
        <v>800</v>
      </c>
      <c r="G4085" s="36">
        <f t="shared" ca="1" si="66"/>
        <v>760.36923177031304</v>
      </c>
    </row>
    <row r="4086" spans="1:7" x14ac:dyDescent="0.2">
      <c r="A4086" s="6">
        <f ca="1">Model!$F$13+RAND()*(Model!$G$13-Model!$F$13)</f>
        <v>1657.6579286151753</v>
      </c>
      <c r="B4086" s="31">
        <f ca="1">Model!$F$14+RAND()*(Model!$G$14-Model!$F$14)</f>
        <v>0.61341963765415386</v>
      </c>
      <c r="C4086" s="32">
        <f ca="1">Model!$F$15+RAND()*(Model!$G$15-Model!$F$15)</f>
        <v>3.0038639570084465E-2</v>
      </c>
      <c r="D4086" s="33">
        <f ca="1">Model!$F$16+RAND()*(Model!$G$16-Model!$F$16)</f>
        <v>48.839255219664835</v>
      </c>
      <c r="E4086" s="33">
        <f>Model!$D$17</f>
        <v>800</v>
      </c>
      <c r="G4086" s="36">
        <f t="shared" ca="1" si="66"/>
        <v>615.05164575177969</v>
      </c>
    </row>
    <row r="4087" spans="1:7" x14ac:dyDescent="0.2">
      <c r="A4087" s="6">
        <f ca="1">Model!$F$13+RAND()*(Model!$G$13-Model!$F$13)</f>
        <v>1454.6307863280683</v>
      </c>
      <c r="B4087" s="31">
        <f ca="1">Model!$F$14+RAND()*(Model!$G$14-Model!$F$14)</f>
        <v>0.42211382216529103</v>
      </c>
      <c r="C4087" s="32">
        <f ca="1">Model!$F$15+RAND()*(Model!$G$15-Model!$F$15)</f>
        <v>3.8332088138652902E-2</v>
      </c>
      <c r="D4087" s="33">
        <f ca="1">Model!$F$16+RAND()*(Model!$G$16-Model!$F$16)</f>
        <v>47.519629844751861</v>
      </c>
      <c r="E4087" s="33">
        <f>Model!$D$17</f>
        <v>800</v>
      </c>
      <c r="G4087" s="36">
        <f t="shared" ca="1" si="66"/>
        <v>1235.6289669138064</v>
      </c>
    </row>
    <row r="4088" spans="1:7" x14ac:dyDescent="0.2">
      <c r="A4088" s="6">
        <f ca="1">Model!$F$13+RAND()*(Model!$G$13-Model!$F$13)</f>
        <v>1672.827317969005</v>
      </c>
      <c r="B4088" s="31">
        <f ca="1">Model!$F$14+RAND()*(Model!$G$14-Model!$F$14)</f>
        <v>0.63299556500084009</v>
      </c>
      <c r="C4088" s="32">
        <f ca="1">Model!$F$15+RAND()*(Model!$G$15-Model!$F$15)</f>
        <v>4.6251261072157712E-2</v>
      </c>
      <c r="D4088" s="33">
        <f ca="1">Model!$F$16+RAND()*(Model!$G$16-Model!$F$16)</f>
        <v>50.234594153768143</v>
      </c>
      <c r="E4088" s="33">
        <f>Model!$D$17</f>
        <v>800</v>
      </c>
      <c r="G4088" s="36">
        <f t="shared" ca="1" si="66"/>
        <v>2027.7770144979418</v>
      </c>
    </row>
    <row r="4089" spans="1:7" x14ac:dyDescent="0.2">
      <c r="A4089" s="6">
        <f ca="1">Model!$F$13+RAND()*(Model!$G$13-Model!$F$13)</f>
        <v>1276.3828943986105</v>
      </c>
      <c r="B4089" s="31">
        <f ca="1">Model!$F$14+RAND()*(Model!$G$14-Model!$F$14)</f>
        <v>0.44191157689267779</v>
      </c>
      <c r="C4089" s="32">
        <f ca="1">Model!$F$15+RAND()*(Model!$G$15-Model!$F$15)</f>
        <v>4.3864195189442623E-2</v>
      </c>
      <c r="D4089" s="33">
        <f ca="1">Model!$F$16+RAND()*(Model!$G$16-Model!$F$16)</f>
        <v>48.272385416626456</v>
      </c>
      <c r="E4089" s="33">
        <f>Model!$D$17</f>
        <v>800</v>
      </c>
      <c r="G4089" s="36">
        <f t="shared" ca="1" si="66"/>
        <v>1338.6022072089254</v>
      </c>
    </row>
    <row r="4090" spans="1:7" x14ac:dyDescent="0.2">
      <c r="A4090" s="6">
        <f ca="1">Model!$F$13+RAND()*(Model!$G$13-Model!$F$13)</f>
        <v>1559.4777538840046</v>
      </c>
      <c r="B4090" s="31">
        <f ca="1">Model!$F$14+RAND()*(Model!$G$14-Model!$F$14)</f>
        <v>0.30316835267366526</v>
      </c>
      <c r="C4090" s="32">
        <f ca="1">Model!$F$15+RAND()*(Model!$G$15-Model!$F$15)</f>
        <v>3.6113128794798839E-2</v>
      </c>
      <c r="D4090" s="33">
        <f ca="1">Model!$F$16+RAND()*(Model!$G$16-Model!$F$16)</f>
        <v>49.099135648705925</v>
      </c>
      <c r="E4090" s="33">
        <f>Model!$D$17</f>
        <v>800</v>
      </c>
      <c r="G4090" s="36">
        <f t="shared" ca="1" si="66"/>
        <v>1492.3622101662472</v>
      </c>
    </row>
    <row r="4091" spans="1:7" x14ac:dyDescent="0.2">
      <c r="A4091" s="6">
        <f ca="1">Model!$F$13+RAND()*(Model!$G$13-Model!$F$13)</f>
        <v>1530.7982878241219</v>
      </c>
      <c r="B4091" s="31">
        <f ca="1">Model!$F$14+RAND()*(Model!$G$14-Model!$F$14)</f>
        <v>0.62771169594844922</v>
      </c>
      <c r="C4091" s="32">
        <f ca="1">Model!$F$15+RAND()*(Model!$G$15-Model!$F$15)</f>
        <v>4.8198069244787305E-2</v>
      </c>
      <c r="D4091" s="33">
        <f ca="1">Model!$F$16+RAND()*(Model!$G$16-Model!$F$16)</f>
        <v>50.215897370607323</v>
      </c>
      <c r="E4091" s="33">
        <f>Model!$D$17</f>
        <v>800</v>
      </c>
      <c r="G4091" s="36">
        <f t="shared" ca="1" si="66"/>
        <v>1944.1053409848921</v>
      </c>
    </row>
    <row r="4092" spans="1:7" x14ac:dyDescent="0.2">
      <c r="A4092" s="6">
        <f ca="1">Model!$F$13+RAND()*(Model!$G$13-Model!$F$13)</f>
        <v>1495.8404344447104</v>
      </c>
      <c r="B4092" s="31">
        <f ca="1">Model!$F$14+RAND()*(Model!$G$14-Model!$F$14)</f>
        <v>0.48361989936577038</v>
      </c>
      <c r="C4092" s="32">
        <f ca="1">Model!$F$15+RAND()*(Model!$G$15-Model!$F$15)</f>
        <v>2.4789717632732848E-2</v>
      </c>
      <c r="D4092" s="33">
        <f ca="1">Model!$F$16+RAND()*(Model!$G$16-Model!$F$16)</f>
        <v>47.504204643983563</v>
      </c>
      <c r="E4092" s="33">
        <f>Model!$D$17</f>
        <v>800</v>
      </c>
      <c r="G4092" s="36">
        <f t="shared" ca="1" si="66"/>
        <v>238.10715866433975</v>
      </c>
    </row>
    <row r="4093" spans="1:7" x14ac:dyDescent="0.2">
      <c r="A4093" s="6">
        <f ca="1">Model!$F$13+RAND()*(Model!$G$13-Model!$F$13)</f>
        <v>1279.5990251418532</v>
      </c>
      <c r="B4093" s="31">
        <f ca="1">Model!$F$14+RAND()*(Model!$G$14-Model!$F$14)</f>
        <v>0.68353963267980833</v>
      </c>
      <c r="C4093" s="32">
        <f ca="1">Model!$F$15+RAND()*(Model!$G$15-Model!$F$15)</f>
        <v>2.1982414577383352E-2</v>
      </c>
      <c r="D4093" s="33">
        <f ca="1">Model!$F$16+RAND()*(Model!$G$16-Model!$F$16)</f>
        <v>50.772354492450624</v>
      </c>
      <c r="E4093" s="33">
        <f>Model!$D$17</f>
        <v>800</v>
      </c>
      <c r="G4093" s="36">
        <f t="shared" ca="1" si="66"/>
        <v>-246.4975249699221</v>
      </c>
    </row>
    <row r="4094" spans="1:7" x14ac:dyDescent="0.2">
      <c r="A4094" s="6">
        <f ca="1">Model!$F$13+RAND()*(Model!$G$13-Model!$F$13)</f>
        <v>1735.3266436214699</v>
      </c>
      <c r="B4094" s="31">
        <f ca="1">Model!$F$14+RAND()*(Model!$G$14-Model!$F$14)</f>
        <v>0.42548596388581778</v>
      </c>
      <c r="C4094" s="32">
        <f ca="1">Model!$F$15+RAND()*(Model!$G$15-Model!$F$15)</f>
        <v>3.6749523139014875E-2</v>
      </c>
      <c r="D4094" s="33">
        <f ca="1">Model!$F$16+RAND()*(Model!$G$16-Model!$F$16)</f>
        <v>47.49379999250408</v>
      </c>
      <c r="E4094" s="33">
        <f>Model!$D$17</f>
        <v>800</v>
      </c>
      <c r="G4094" s="36">
        <f t="shared" ca="1" si="66"/>
        <v>1490.4377464257759</v>
      </c>
    </row>
    <row r="4095" spans="1:7" x14ac:dyDescent="0.2">
      <c r="A4095" s="6">
        <f ca="1">Model!$F$13+RAND()*(Model!$G$13-Model!$F$13)</f>
        <v>1758.2572660205196</v>
      </c>
      <c r="B4095" s="31">
        <f ca="1">Model!$F$14+RAND()*(Model!$G$14-Model!$F$14)</f>
        <v>0.5779826647853773</v>
      </c>
      <c r="C4095" s="32">
        <f ca="1">Model!$F$15+RAND()*(Model!$G$15-Model!$F$15)</f>
        <v>3.2872720822999198E-2</v>
      </c>
      <c r="D4095" s="33">
        <f ca="1">Model!$F$16+RAND()*(Model!$G$16-Model!$F$16)</f>
        <v>52.218285202009817</v>
      </c>
      <c r="E4095" s="33">
        <f>Model!$D$17</f>
        <v>800</v>
      </c>
      <c r="G4095" s="36">
        <f t="shared" ca="1" si="66"/>
        <v>1201.9067934921218</v>
      </c>
    </row>
    <row r="4096" spans="1:7" x14ac:dyDescent="0.2">
      <c r="A4096" s="6">
        <f ca="1">Model!$F$13+RAND()*(Model!$G$13-Model!$F$13)</f>
        <v>1544.0334170105696</v>
      </c>
      <c r="B4096" s="31">
        <f ca="1">Model!$F$14+RAND()*(Model!$G$14-Model!$F$14)</f>
        <v>0.23383617985273025</v>
      </c>
      <c r="C4096" s="32">
        <f ca="1">Model!$F$15+RAND()*(Model!$G$15-Model!$F$15)</f>
        <v>4.3957281924943831E-2</v>
      </c>
      <c r="D4096" s="33">
        <f ca="1">Model!$F$16+RAND()*(Model!$G$16-Model!$F$16)</f>
        <v>50.832881016639782</v>
      </c>
      <c r="E4096" s="33">
        <f>Model!$D$17</f>
        <v>800</v>
      </c>
      <c r="G4096" s="36">
        <f t="shared" ca="1" si="66"/>
        <v>2289.053628947589</v>
      </c>
    </row>
    <row r="4097" spans="1:7" x14ac:dyDescent="0.2">
      <c r="A4097" s="6">
        <f ca="1">Model!$F$13+RAND()*(Model!$G$13-Model!$F$13)</f>
        <v>1617.69653498564</v>
      </c>
      <c r="B4097" s="31">
        <f ca="1">Model!$F$14+RAND()*(Model!$G$14-Model!$F$14)</f>
        <v>0.44045666615774548</v>
      </c>
      <c r="C4097" s="32">
        <f ca="1">Model!$F$15+RAND()*(Model!$G$15-Model!$F$15)</f>
        <v>4.0860552914588781E-2</v>
      </c>
      <c r="D4097" s="33">
        <f ca="1">Model!$F$16+RAND()*(Model!$G$16-Model!$F$16)</f>
        <v>48.432427252882306</v>
      </c>
      <c r="E4097" s="33">
        <f>Model!$D$17</f>
        <v>800</v>
      </c>
      <c r="G4097" s="36">
        <f t="shared" ca="1" si="66"/>
        <v>1688.8570015341706</v>
      </c>
    </row>
    <row r="4098" spans="1:7" x14ac:dyDescent="0.2">
      <c r="A4098" s="6">
        <f ca="1">Model!$F$13+RAND()*(Model!$G$13-Model!$F$13)</f>
        <v>1521.2923492986813</v>
      </c>
      <c r="B4098" s="31">
        <f ca="1">Model!$F$14+RAND()*(Model!$G$14-Model!$F$14)</f>
        <v>0.55661903876946517</v>
      </c>
      <c r="C4098" s="32">
        <f ca="1">Model!$F$15+RAND()*(Model!$G$15-Model!$F$15)</f>
        <v>1.3672857780207917E-2</v>
      </c>
      <c r="D4098" s="33">
        <f ca="1">Model!$F$16+RAND()*(Model!$G$16-Model!$F$16)</f>
        <v>47.47445944329818</v>
      </c>
      <c r="E4098" s="33">
        <f>Model!$D$17</f>
        <v>800</v>
      </c>
      <c r="G4098" s="36">
        <f t="shared" ca="1" si="66"/>
        <v>-659.29187743671343</v>
      </c>
    </row>
    <row r="4099" spans="1:7" x14ac:dyDescent="0.2">
      <c r="A4099" s="6">
        <f ca="1">Model!$F$13+RAND()*(Model!$G$13-Model!$F$13)</f>
        <v>1543.3315714531277</v>
      </c>
      <c r="B4099" s="31">
        <f ca="1">Model!$F$14+RAND()*(Model!$G$14-Model!$F$14)</f>
        <v>0.41784285629095286</v>
      </c>
      <c r="C4099" s="32">
        <f ca="1">Model!$F$15+RAND()*(Model!$G$15-Model!$F$15)</f>
        <v>1.9418892512788138E-2</v>
      </c>
      <c r="D4099" s="33">
        <f ca="1">Model!$F$16+RAND()*(Model!$G$16-Model!$F$16)</f>
        <v>52.75470759351888</v>
      </c>
      <c r="E4099" s="33">
        <f>Model!$D$17</f>
        <v>800</v>
      </c>
      <c r="G4099" s="36">
        <f t="shared" ca="1" si="66"/>
        <v>136.17743066925118</v>
      </c>
    </row>
    <row r="4100" spans="1:7" x14ac:dyDescent="0.2">
      <c r="A4100" s="6">
        <f ca="1">Model!$F$13+RAND()*(Model!$G$13-Model!$F$13)</f>
        <v>1295.4623813195285</v>
      </c>
      <c r="B4100" s="31">
        <f ca="1">Model!$F$14+RAND()*(Model!$G$14-Model!$F$14)</f>
        <v>0.42505338551960992</v>
      </c>
      <c r="C4100" s="32">
        <f ca="1">Model!$F$15+RAND()*(Model!$G$15-Model!$F$15)</f>
        <v>3.8568066855758719E-2</v>
      </c>
      <c r="D4100" s="33">
        <f ca="1">Model!$F$16+RAND()*(Model!$G$16-Model!$F$16)</f>
        <v>50.660030272728633</v>
      </c>
      <c r="E4100" s="33">
        <f>Model!$D$17</f>
        <v>800</v>
      </c>
      <c r="G4100" s="36">
        <f t="shared" ca="1" si="66"/>
        <v>1180.5107247533224</v>
      </c>
    </row>
    <row r="4101" spans="1:7" x14ac:dyDescent="0.2">
      <c r="A4101" s="6">
        <f ca="1">Model!$F$13+RAND()*(Model!$G$13-Model!$F$13)</f>
        <v>1766.6456916605391</v>
      </c>
      <c r="B4101" s="31">
        <f ca="1">Model!$F$14+RAND()*(Model!$G$14-Model!$F$14)</f>
        <v>0.64727229811364451</v>
      </c>
      <c r="C4101" s="32">
        <f ca="1">Model!$F$15+RAND()*(Model!$G$15-Model!$F$15)</f>
        <v>1.940881489776445E-2</v>
      </c>
      <c r="D4101" s="33">
        <f ca="1">Model!$F$16+RAND()*(Model!$G$16-Model!$F$16)</f>
        <v>51.262201780345301</v>
      </c>
      <c r="E4101" s="33">
        <f>Model!$D$17</f>
        <v>800</v>
      </c>
      <c r="G4101" s="36">
        <f t="shared" ca="1" si="66"/>
        <v>-185.79685106500324</v>
      </c>
    </row>
    <row r="4102" spans="1:7" x14ac:dyDescent="0.2">
      <c r="A4102" s="6">
        <f ca="1">Model!$F$13+RAND()*(Model!$G$13-Model!$F$13)</f>
        <v>1223.0928507476772</v>
      </c>
      <c r="B4102" s="31">
        <f ca="1">Model!$F$14+RAND()*(Model!$G$14-Model!$F$14)</f>
        <v>0.6914067418483103</v>
      </c>
      <c r="C4102" s="32">
        <f ca="1">Model!$F$15+RAND()*(Model!$G$15-Model!$F$15)</f>
        <v>3.2946655192801572E-2</v>
      </c>
      <c r="D4102" s="33">
        <f ca="1">Model!$F$16+RAND()*(Model!$G$16-Model!$F$16)</f>
        <v>47.690426907731286</v>
      </c>
      <c r="E4102" s="33">
        <f>Model!$D$17</f>
        <v>800</v>
      </c>
      <c r="G4102" s="36">
        <f t="shared" ca="1" si="66"/>
        <v>276.11783067247757</v>
      </c>
    </row>
    <row r="4103" spans="1:7" x14ac:dyDescent="0.2">
      <c r="A4103" s="6">
        <f ca="1">Model!$F$13+RAND()*(Model!$G$13-Model!$F$13)</f>
        <v>1523.9756579182449</v>
      </c>
      <c r="B4103" s="31">
        <f ca="1">Model!$F$14+RAND()*(Model!$G$14-Model!$F$14)</f>
        <v>0.5222423756244704</v>
      </c>
      <c r="C4103" s="32">
        <f ca="1">Model!$F$15+RAND()*(Model!$G$15-Model!$F$15)</f>
        <v>4.9274113532535899E-2</v>
      </c>
      <c r="D4103" s="33">
        <f ca="1">Model!$F$16+RAND()*(Model!$G$16-Model!$F$16)</f>
        <v>52.640280010360328</v>
      </c>
      <c r="E4103" s="33">
        <f>Model!$D$17</f>
        <v>800</v>
      </c>
      <c r="G4103" s="36">
        <f t="shared" ca="1" si="66"/>
        <v>2357.0081690761976</v>
      </c>
    </row>
    <row r="4104" spans="1:7" x14ac:dyDescent="0.2">
      <c r="A4104" s="6">
        <f ca="1">Model!$F$13+RAND()*(Model!$G$13-Model!$F$13)</f>
        <v>1718.1025946177488</v>
      </c>
      <c r="B4104" s="31">
        <f ca="1">Model!$F$14+RAND()*(Model!$G$14-Model!$F$14)</f>
        <v>0.78765202527271105</v>
      </c>
      <c r="C4104" s="32">
        <f ca="1">Model!$F$15+RAND()*(Model!$G$15-Model!$F$15)</f>
        <v>4.8576390865445518E-2</v>
      </c>
      <c r="D4104" s="33">
        <f ca="1">Model!$F$16+RAND()*(Model!$G$16-Model!$F$16)</f>
        <v>51.18190449283631</v>
      </c>
      <c r="E4104" s="33">
        <f>Model!$D$17</f>
        <v>800</v>
      </c>
      <c r="G4104" s="36">
        <f t="shared" ca="1" si="66"/>
        <v>2118.3350017261428</v>
      </c>
    </row>
    <row r="4105" spans="1:7" x14ac:dyDescent="0.2">
      <c r="A4105" s="6">
        <f ca="1">Model!$F$13+RAND()*(Model!$G$13-Model!$F$13)</f>
        <v>1208.9549750015356</v>
      </c>
      <c r="B4105" s="31">
        <f ca="1">Model!$F$14+RAND()*(Model!$G$14-Model!$F$14)</f>
        <v>0.29238854856688579</v>
      </c>
      <c r="C4105" s="32">
        <f ca="1">Model!$F$15+RAND()*(Model!$G$15-Model!$F$15)</f>
        <v>1.0664703354214655E-2</v>
      </c>
      <c r="D4105" s="33">
        <f ca="1">Model!$F$16+RAND()*(Model!$G$16-Model!$F$16)</f>
        <v>48.552081482197138</v>
      </c>
      <c r="E4105" s="33">
        <f>Model!$D$17</f>
        <v>800</v>
      </c>
      <c r="G4105" s="36">
        <f t="shared" ca="1" si="66"/>
        <v>-527.49550667615392</v>
      </c>
    </row>
    <row r="4106" spans="1:7" x14ac:dyDescent="0.2">
      <c r="A4106" s="6">
        <f ca="1">Model!$F$13+RAND()*(Model!$G$13-Model!$F$13)</f>
        <v>1654.037987867802</v>
      </c>
      <c r="B4106" s="31">
        <f ca="1">Model!$F$14+RAND()*(Model!$G$14-Model!$F$14)</f>
        <v>0.21671422045688188</v>
      </c>
      <c r="C4106" s="32">
        <f ca="1">Model!$F$15+RAND()*(Model!$G$15-Model!$F$15)</f>
        <v>3.2086641169084787E-2</v>
      </c>
      <c r="D4106" s="33">
        <f ca="1">Model!$F$16+RAND()*(Model!$G$16-Model!$F$16)</f>
        <v>50.23586023321387</v>
      </c>
      <c r="E4106" s="33">
        <f>Model!$D$17</f>
        <v>800</v>
      </c>
      <c r="G4106" s="36">
        <f t="shared" ca="1" si="66"/>
        <v>1507.690314436225</v>
      </c>
    </row>
    <row r="4107" spans="1:7" x14ac:dyDescent="0.2">
      <c r="A4107" s="6">
        <f ca="1">Model!$F$13+RAND()*(Model!$G$13-Model!$F$13)</f>
        <v>1656.9222924327714</v>
      </c>
      <c r="B4107" s="31">
        <f ca="1">Model!$F$14+RAND()*(Model!$G$14-Model!$F$14)</f>
        <v>0.62310731016583099</v>
      </c>
      <c r="C4107" s="32">
        <f ca="1">Model!$F$15+RAND()*(Model!$G$15-Model!$F$15)</f>
        <v>1.249899790529398E-2</v>
      </c>
      <c r="D4107" s="33">
        <f ca="1">Model!$F$16+RAND()*(Model!$G$16-Model!$F$16)</f>
        <v>50.38673253366332</v>
      </c>
      <c r="E4107" s="33">
        <f>Model!$D$17</f>
        <v>800</v>
      </c>
      <c r="G4107" s="36">
        <f t="shared" ca="1" si="66"/>
        <v>-788.93779984904813</v>
      </c>
    </row>
    <row r="4108" spans="1:7" x14ac:dyDescent="0.2">
      <c r="A4108" s="6">
        <f ca="1">Model!$F$13+RAND()*(Model!$G$13-Model!$F$13)</f>
        <v>1235.8073379551925</v>
      </c>
      <c r="B4108" s="31">
        <f ca="1">Model!$F$14+RAND()*(Model!$G$14-Model!$F$14)</f>
        <v>0.26918060978978775</v>
      </c>
      <c r="C4108" s="32">
        <f ca="1">Model!$F$15+RAND()*(Model!$G$15-Model!$F$15)</f>
        <v>4.1789987356566798E-2</v>
      </c>
      <c r="D4108" s="33">
        <f ca="1">Model!$F$16+RAND()*(Model!$G$16-Model!$F$16)</f>
        <v>50.64684282045193</v>
      </c>
      <c r="E4108" s="33">
        <f>Model!$D$17</f>
        <v>800</v>
      </c>
      <c r="G4108" s="36">
        <f t="shared" ca="1" si="66"/>
        <v>1482.9690705116222</v>
      </c>
    </row>
    <row r="4109" spans="1:7" x14ac:dyDescent="0.2">
      <c r="A4109" s="6">
        <f ca="1">Model!$F$13+RAND()*(Model!$G$13-Model!$F$13)</f>
        <v>1202.9742743250251</v>
      </c>
      <c r="B4109" s="31">
        <f ca="1">Model!$F$14+RAND()*(Model!$G$14-Model!$F$14)</f>
        <v>0.76016548398077433</v>
      </c>
      <c r="C4109" s="32">
        <f ca="1">Model!$F$15+RAND()*(Model!$G$15-Model!$F$15)</f>
        <v>3.603064519985831E-2</v>
      </c>
      <c r="D4109" s="33">
        <f ca="1">Model!$F$16+RAND()*(Model!$G$16-Model!$F$16)</f>
        <v>47.582762707362704</v>
      </c>
      <c r="E4109" s="33">
        <f>Model!$D$17</f>
        <v>800</v>
      </c>
      <c r="G4109" s="36">
        <f t="shared" ca="1" si="66"/>
        <v>347.96485528364246</v>
      </c>
    </row>
    <row r="4110" spans="1:7" x14ac:dyDescent="0.2">
      <c r="A4110" s="6">
        <f ca="1">Model!$F$13+RAND()*(Model!$G$13-Model!$F$13)</f>
        <v>1642.6663132155072</v>
      </c>
      <c r="B4110" s="31">
        <f ca="1">Model!$F$14+RAND()*(Model!$G$14-Model!$F$14)</f>
        <v>0.70475658907340732</v>
      </c>
      <c r="C4110" s="32">
        <f ca="1">Model!$F$15+RAND()*(Model!$G$15-Model!$F$15)</f>
        <v>2.2981071181718049E-2</v>
      </c>
      <c r="D4110" s="33">
        <f ca="1">Model!$F$16+RAND()*(Model!$G$16-Model!$F$16)</f>
        <v>48.37771835913604</v>
      </c>
      <c r="E4110" s="33">
        <f>Model!$D$17</f>
        <v>800</v>
      </c>
      <c r="G4110" s="36">
        <f t="shared" ca="1" si="66"/>
        <v>-131.40984175184553</v>
      </c>
    </row>
    <row r="4111" spans="1:7" x14ac:dyDescent="0.2">
      <c r="A4111" s="6">
        <f ca="1">Model!$F$13+RAND()*(Model!$G$13-Model!$F$13)</f>
        <v>1671.493663233075</v>
      </c>
      <c r="B4111" s="31">
        <f ca="1">Model!$F$14+RAND()*(Model!$G$14-Model!$F$14)</f>
        <v>0.73630819598495467</v>
      </c>
      <c r="C4111" s="32">
        <f ca="1">Model!$F$15+RAND()*(Model!$G$15-Model!$F$15)</f>
        <v>2.5115842685845047E-2</v>
      </c>
      <c r="D4111" s="33">
        <f ca="1">Model!$F$16+RAND()*(Model!$G$16-Model!$F$16)</f>
        <v>50.348884016991136</v>
      </c>
      <c r="E4111" s="33">
        <f>Model!$D$17</f>
        <v>800</v>
      </c>
      <c r="G4111" s="36">
        <f t="shared" ca="1" si="66"/>
        <v>82.96060114433044</v>
      </c>
    </row>
    <row r="4112" spans="1:7" x14ac:dyDescent="0.2">
      <c r="A4112" s="6">
        <f ca="1">Model!$F$13+RAND()*(Model!$G$13-Model!$F$13)</f>
        <v>1358.440833108863</v>
      </c>
      <c r="B4112" s="31">
        <f ca="1">Model!$F$14+RAND()*(Model!$G$14-Model!$F$14)</f>
        <v>0.47974273874696544</v>
      </c>
      <c r="C4112" s="32">
        <f ca="1">Model!$F$15+RAND()*(Model!$G$15-Model!$F$15)</f>
        <v>2.7635125175773254E-2</v>
      </c>
      <c r="D4112" s="33">
        <f ca="1">Model!$F$16+RAND()*(Model!$G$16-Model!$F$16)</f>
        <v>51.948843720274311</v>
      </c>
      <c r="E4112" s="33">
        <f>Model!$D$17</f>
        <v>800</v>
      </c>
      <c r="G4112" s="36">
        <f t="shared" ca="1" si="66"/>
        <v>498.4929209212246</v>
      </c>
    </row>
    <row r="4113" spans="1:7" x14ac:dyDescent="0.2">
      <c r="A4113" s="6">
        <f ca="1">Model!$F$13+RAND()*(Model!$G$13-Model!$F$13)</f>
        <v>1708.0823725808546</v>
      </c>
      <c r="B4113" s="31">
        <f ca="1">Model!$F$14+RAND()*(Model!$G$14-Model!$F$14)</f>
        <v>0.42956105478803885</v>
      </c>
      <c r="C4113" s="32">
        <f ca="1">Model!$F$15+RAND()*(Model!$G$15-Model!$F$15)</f>
        <v>2.727633545137851E-2</v>
      </c>
      <c r="D4113" s="33">
        <f ca="1">Model!$F$16+RAND()*(Model!$G$16-Model!$F$16)</f>
        <v>48.187503868900684</v>
      </c>
      <c r="E4113" s="33">
        <f>Model!$D$17</f>
        <v>800</v>
      </c>
      <c r="G4113" s="36">
        <f t="shared" ca="1" si="66"/>
        <v>711.34111543862286</v>
      </c>
    </row>
    <row r="4114" spans="1:7" x14ac:dyDescent="0.2">
      <c r="A4114" s="6">
        <f ca="1">Model!$F$13+RAND()*(Model!$G$13-Model!$F$13)</f>
        <v>1487.070983081795</v>
      </c>
      <c r="B4114" s="31">
        <f ca="1">Model!$F$14+RAND()*(Model!$G$14-Model!$F$14)</f>
        <v>0.46967602293360194</v>
      </c>
      <c r="C4114" s="32">
        <f ca="1">Model!$F$15+RAND()*(Model!$G$15-Model!$F$15)</f>
        <v>4.0074169925624313E-2</v>
      </c>
      <c r="D4114" s="33">
        <f ca="1">Model!$F$16+RAND()*(Model!$G$16-Model!$F$16)</f>
        <v>50.738988883275006</v>
      </c>
      <c r="E4114" s="33">
        <f>Model!$D$17</f>
        <v>800</v>
      </c>
      <c r="G4114" s="36">
        <f t="shared" ca="1" si="66"/>
        <v>1525.2538427026084</v>
      </c>
    </row>
    <row r="4115" spans="1:7" x14ac:dyDescent="0.2">
      <c r="A4115" s="6">
        <f ca="1">Model!$F$13+RAND()*(Model!$G$13-Model!$F$13)</f>
        <v>1409.2512606226364</v>
      </c>
      <c r="B4115" s="31">
        <f ca="1">Model!$F$14+RAND()*(Model!$G$14-Model!$F$14)</f>
        <v>0.48764136241625627</v>
      </c>
      <c r="C4115" s="32">
        <f ca="1">Model!$F$15+RAND()*(Model!$G$15-Model!$F$15)</f>
        <v>2.5073752651728429E-2</v>
      </c>
      <c r="D4115" s="33">
        <f ca="1">Model!$F$16+RAND()*(Model!$G$16-Model!$F$16)</f>
        <v>49.134827681046318</v>
      </c>
      <c r="E4115" s="33">
        <f>Model!$D$17</f>
        <v>800</v>
      </c>
      <c r="G4115" s="36">
        <f t="shared" ca="1" si="66"/>
        <v>248.98061983882553</v>
      </c>
    </row>
    <row r="4116" spans="1:7" x14ac:dyDescent="0.2">
      <c r="A4116" s="6">
        <f ca="1">Model!$F$13+RAND()*(Model!$G$13-Model!$F$13)</f>
        <v>1555.1074379039565</v>
      </c>
      <c r="B4116" s="31">
        <f ca="1">Model!$F$14+RAND()*(Model!$G$14-Model!$F$14)</f>
        <v>0.42800822164520425</v>
      </c>
      <c r="C4116" s="32">
        <f ca="1">Model!$F$15+RAND()*(Model!$G$15-Model!$F$15)</f>
        <v>4.8397415797837115E-2</v>
      </c>
      <c r="D4116" s="33">
        <f ca="1">Model!$F$16+RAND()*(Model!$G$16-Model!$F$16)</f>
        <v>47.378360588994383</v>
      </c>
      <c r="E4116" s="33">
        <f>Model!$D$17</f>
        <v>800</v>
      </c>
      <c r="G4116" s="36">
        <f t="shared" ca="1" si="66"/>
        <v>2100.2473729148596</v>
      </c>
    </row>
    <row r="4117" spans="1:7" x14ac:dyDescent="0.2">
      <c r="A4117" s="6">
        <f ca="1">Model!$F$13+RAND()*(Model!$G$13-Model!$F$13)</f>
        <v>1762.7524901347815</v>
      </c>
      <c r="B4117" s="31">
        <f ca="1">Model!$F$14+RAND()*(Model!$G$14-Model!$F$14)</f>
        <v>0.31200535319771311</v>
      </c>
      <c r="C4117" s="32">
        <f ca="1">Model!$F$15+RAND()*(Model!$G$15-Model!$F$15)</f>
        <v>3.085699818237754E-2</v>
      </c>
      <c r="D4117" s="33">
        <f ca="1">Model!$F$16+RAND()*(Model!$G$16-Model!$F$16)</f>
        <v>48.236213806181276</v>
      </c>
      <c r="E4117" s="33">
        <f>Model!$D$17</f>
        <v>800</v>
      </c>
      <c r="G4117" s="36">
        <f t="shared" ca="1" si="66"/>
        <v>1273.7362418545224</v>
      </c>
    </row>
    <row r="4118" spans="1:7" x14ac:dyDescent="0.2">
      <c r="A4118" s="6">
        <f ca="1">Model!$F$13+RAND()*(Model!$G$13-Model!$F$13)</f>
        <v>1344.2597396378651</v>
      </c>
      <c r="B4118" s="31">
        <f ca="1">Model!$F$14+RAND()*(Model!$G$14-Model!$F$14)</f>
        <v>0.33950652343809695</v>
      </c>
      <c r="C4118" s="32">
        <f ca="1">Model!$F$15+RAND()*(Model!$G$15-Model!$F$15)</f>
        <v>4.543038957352015E-2</v>
      </c>
      <c r="D4118" s="33">
        <f ca="1">Model!$F$16+RAND()*(Model!$G$16-Model!$F$16)</f>
        <v>52.759819129687187</v>
      </c>
      <c r="E4118" s="33">
        <f>Model!$D$17</f>
        <v>800</v>
      </c>
      <c r="G4118" s="36">
        <f t="shared" ca="1" si="66"/>
        <v>1965.6700588919232</v>
      </c>
    </row>
    <row r="4119" spans="1:7" x14ac:dyDescent="0.2">
      <c r="A4119" s="6">
        <f ca="1">Model!$F$13+RAND()*(Model!$G$13-Model!$F$13)</f>
        <v>1445.3081874622949</v>
      </c>
      <c r="B4119" s="31">
        <f ca="1">Model!$F$14+RAND()*(Model!$G$14-Model!$F$14)</f>
        <v>0.29995306070660138</v>
      </c>
      <c r="C4119" s="32">
        <f ca="1">Model!$F$15+RAND()*(Model!$G$15-Model!$F$15)</f>
        <v>4.8079036639908264E-2</v>
      </c>
      <c r="D4119" s="33">
        <f ca="1">Model!$F$16+RAND()*(Model!$G$16-Model!$F$16)</f>
        <v>49.55696024180822</v>
      </c>
      <c r="E4119" s="33">
        <f>Model!$D$17</f>
        <v>800</v>
      </c>
      <c r="G4119" s="36">
        <f t="shared" ca="1" si="66"/>
        <v>2210.1402495880084</v>
      </c>
    </row>
    <row r="4120" spans="1:7" x14ac:dyDescent="0.2">
      <c r="A4120" s="6">
        <f ca="1">Model!$F$13+RAND()*(Model!$G$13-Model!$F$13)</f>
        <v>1518.1604427583929</v>
      </c>
      <c r="B4120" s="31">
        <f ca="1">Model!$F$14+RAND()*(Model!$G$14-Model!$F$14)</f>
        <v>0.43216210057773802</v>
      </c>
      <c r="C4120" s="32">
        <f ca="1">Model!$F$15+RAND()*(Model!$G$15-Model!$F$15)</f>
        <v>3.3220678783803123E-2</v>
      </c>
      <c r="D4120" s="33">
        <f ca="1">Model!$F$16+RAND()*(Model!$G$16-Model!$F$16)</f>
        <v>47.49512871063267</v>
      </c>
      <c r="E4120" s="33">
        <f>Model!$D$17</f>
        <v>800</v>
      </c>
      <c r="G4120" s="36">
        <f t="shared" ca="1" si="66"/>
        <v>939.29313340449949</v>
      </c>
    </row>
    <row r="4121" spans="1:7" x14ac:dyDescent="0.2">
      <c r="A4121" s="6">
        <f ca="1">Model!$F$13+RAND()*(Model!$G$13-Model!$F$13)</f>
        <v>1332.9245372682617</v>
      </c>
      <c r="B4121" s="31">
        <f ca="1">Model!$F$14+RAND()*(Model!$G$14-Model!$F$14)</f>
        <v>0.46341753147753745</v>
      </c>
      <c r="C4121" s="32">
        <f ca="1">Model!$F$15+RAND()*(Model!$G$15-Model!$F$15)</f>
        <v>2.9895614441157438E-2</v>
      </c>
      <c r="D4121" s="33">
        <f ca="1">Model!$F$16+RAND()*(Model!$G$16-Model!$F$16)</f>
        <v>47.051886780675609</v>
      </c>
      <c r="E4121" s="33">
        <f>Model!$D$17</f>
        <v>800</v>
      </c>
      <c r="G4121" s="36">
        <f t="shared" ca="1" si="66"/>
        <v>457.25112489082835</v>
      </c>
    </row>
    <row r="4122" spans="1:7" x14ac:dyDescent="0.2">
      <c r="A4122" s="6">
        <f ca="1">Model!$F$13+RAND()*(Model!$G$13-Model!$F$13)</f>
        <v>1781.6916311482473</v>
      </c>
      <c r="B4122" s="31">
        <f ca="1">Model!$F$14+RAND()*(Model!$G$14-Model!$F$14)</f>
        <v>0.48671006753888441</v>
      </c>
      <c r="C4122" s="32">
        <f ca="1">Model!$F$15+RAND()*(Model!$G$15-Model!$F$15)</f>
        <v>4.4507973811227751E-2</v>
      </c>
      <c r="D4122" s="33">
        <f ca="1">Model!$F$16+RAND()*(Model!$G$16-Model!$F$16)</f>
        <v>47.756173030740108</v>
      </c>
      <c r="E4122" s="33">
        <f>Model!$D$17</f>
        <v>800</v>
      </c>
      <c r="G4122" s="36">
        <f t="shared" ca="1" si="66"/>
        <v>2119.8726469347362</v>
      </c>
    </row>
    <row r="4123" spans="1:7" x14ac:dyDescent="0.2">
      <c r="A4123" s="6">
        <f ca="1">Model!$F$13+RAND()*(Model!$G$13-Model!$F$13)</f>
        <v>1404.5401332281854</v>
      </c>
      <c r="B4123" s="31">
        <f ca="1">Model!$F$14+RAND()*(Model!$G$14-Model!$F$14)</f>
        <v>0.77714700295600769</v>
      </c>
      <c r="C4123" s="32">
        <f ca="1">Model!$F$15+RAND()*(Model!$G$15-Model!$F$15)</f>
        <v>4.8813462205384829E-2</v>
      </c>
      <c r="D4123" s="33">
        <f ca="1">Model!$F$16+RAND()*(Model!$G$16-Model!$F$16)</f>
        <v>47.572910914057843</v>
      </c>
      <c r="E4123" s="33">
        <f>Model!$D$17</f>
        <v>800</v>
      </c>
      <c r="G4123" s="36">
        <f t="shared" ca="1" si="66"/>
        <v>1370.0868199170998</v>
      </c>
    </row>
    <row r="4124" spans="1:7" x14ac:dyDescent="0.2">
      <c r="A4124" s="6">
        <f ca="1">Model!$F$13+RAND()*(Model!$G$13-Model!$F$13)</f>
        <v>1406.4864736620289</v>
      </c>
      <c r="B4124" s="31">
        <f ca="1">Model!$F$14+RAND()*(Model!$G$14-Model!$F$14)</f>
        <v>0.73486636347328105</v>
      </c>
      <c r="C4124" s="32">
        <f ca="1">Model!$F$15+RAND()*(Model!$G$15-Model!$F$15)</f>
        <v>2.4656163116659177E-2</v>
      </c>
      <c r="D4124" s="33">
        <f ca="1">Model!$F$16+RAND()*(Model!$G$16-Model!$F$16)</f>
        <v>47.826493887390619</v>
      </c>
      <c r="E4124" s="33">
        <f>Model!$D$17</f>
        <v>800</v>
      </c>
      <c r="G4124" s="36">
        <f t="shared" ca="1" si="66"/>
        <v>-175.02566632897219</v>
      </c>
    </row>
    <row r="4125" spans="1:7" x14ac:dyDescent="0.2">
      <c r="A4125" s="6">
        <f ca="1">Model!$F$13+RAND()*(Model!$G$13-Model!$F$13)</f>
        <v>1380.9999208568324</v>
      </c>
      <c r="B4125" s="31">
        <f ca="1">Model!$F$14+RAND()*(Model!$G$14-Model!$F$14)</f>
        <v>0.40648807196228243</v>
      </c>
      <c r="C4125" s="32">
        <f ca="1">Model!$F$15+RAND()*(Model!$G$15-Model!$F$15)</f>
        <v>4.9377926711439653E-2</v>
      </c>
      <c r="D4125" s="33">
        <f ca="1">Model!$F$16+RAND()*(Model!$G$16-Model!$F$16)</f>
        <v>47.890540642439674</v>
      </c>
      <c r="E4125" s="33">
        <f>Model!$D$17</f>
        <v>800</v>
      </c>
      <c r="G4125" s="36">
        <f t="shared" ca="1" si="66"/>
        <v>1904.3396895429687</v>
      </c>
    </row>
    <row r="4126" spans="1:7" x14ac:dyDescent="0.2">
      <c r="A4126" s="6">
        <f ca="1">Model!$F$13+RAND()*(Model!$G$13-Model!$F$13)</f>
        <v>1283.8657888956445</v>
      </c>
      <c r="B4126" s="31">
        <f ca="1">Model!$F$14+RAND()*(Model!$G$14-Model!$F$14)</f>
        <v>0.43411096747368833</v>
      </c>
      <c r="C4126" s="32">
        <f ca="1">Model!$F$15+RAND()*(Model!$G$15-Model!$F$15)</f>
        <v>3.4639442942012454E-2</v>
      </c>
      <c r="D4126" s="33">
        <f ca="1">Model!$F$16+RAND()*(Model!$G$16-Model!$F$16)</f>
        <v>50.275715855613576</v>
      </c>
      <c r="E4126" s="33">
        <f>Model!$D$17</f>
        <v>800</v>
      </c>
      <c r="G4126" s="36">
        <f t="shared" ca="1" si="66"/>
        <v>878.54131190130965</v>
      </c>
    </row>
    <row r="4127" spans="1:7" x14ac:dyDescent="0.2">
      <c r="A4127" s="6">
        <f ca="1">Model!$F$13+RAND()*(Model!$G$13-Model!$F$13)</f>
        <v>1693.4417630150206</v>
      </c>
      <c r="B4127" s="31">
        <f ca="1">Model!$F$14+RAND()*(Model!$G$14-Model!$F$14)</f>
        <v>0.62187799986394499</v>
      </c>
      <c r="C4127" s="32">
        <f ca="1">Model!$F$15+RAND()*(Model!$G$15-Model!$F$15)</f>
        <v>1.7632022038637958E-2</v>
      </c>
      <c r="D4127" s="33">
        <f ca="1">Model!$F$16+RAND()*(Model!$G$16-Model!$F$16)</f>
        <v>52.249096381007483</v>
      </c>
      <c r="E4127" s="33">
        <f>Model!$D$17</f>
        <v>800</v>
      </c>
      <c r="G4127" s="36">
        <f t="shared" ca="1" si="66"/>
        <v>-293.01872752441705</v>
      </c>
    </row>
    <row r="4128" spans="1:7" x14ac:dyDescent="0.2">
      <c r="A4128" s="6">
        <f ca="1">Model!$F$13+RAND()*(Model!$G$13-Model!$F$13)</f>
        <v>1317.9614121283591</v>
      </c>
      <c r="B4128" s="31">
        <f ca="1">Model!$F$14+RAND()*(Model!$G$14-Model!$F$14)</f>
        <v>0.62883397960233567</v>
      </c>
      <c r="C4128" s="32">
        <f ca="1">Model!$F$15+RAND()*(Model!$G$15-Model!$F$15)</f>
        <v>1.2920537357335397E-2</v>
      </c>
      <c r="D4128" s="33">
        <f ca="1">Model!$F$16+RAND()*(Model!$G$16-Model!$F$16)</f>
        <v>49.437034610085838</v>
      </c>
      <c r="E4128" s="33">
        <f>Model!$D$17</f>
        <v>800</v>
      </c>
      <c r="G4128" s="36">
        <f t="shared" ca="1" si="66"/>
        <v>-786.92704465636575</v>
      </c>
    </row>
    <row r="4129" spans="1:7" x14ac:dyDescent="0.2">
      <c r="A4129" s="6">
        <f ca="1">Model!$F$13+RAND()*(Model!$G$13-Model!$F$13)</f>
        <v>1531.9749772611303</v>
      </c>
      <c r="B4129" s="31">
        <f ca="1">Model!$F$14+RAND()*(Model!$G$14-Model!$F$14)</f>
        <v>0.22867039580255524</v>
      </c>
      <c r="C4129" s="32">
        <f ca="1">Model!$F$15+RAND()*(Model!$G$15-Model!$F$15)</f>
        <v>2.8132186554525873E-2</v>
      </c>
      <c r="D4129" s="33">
        <f ca="1">Model!$F$16+RAND()*(Model!$G$16-Model!$F$16)</f>
        <v>51.118901457881762</v>
      </c>
      <c r="E4129" s="33">
        <f>Model!$D$17</f>
        <v>800</v>
      </c>
      <c r="G4129" s="36">
        <f t="shared" ca="1" si="66"/>
        <v>1052.7951662539683</v>
      </c>
    </row>
    <row r="4130" spans="1:7" x14ac:dyDescent="0.2">
      <c r="A4130" s="6">
        <f ca="1">Model!$F$13+RAND()*(Model!$G$13-Model!$F$13)</f>
        <v>1581.8769551038849</v>
      </c>
      <c r="B4130" s="31">
        <f ca="1">Model!$F$14+RAND()*(Model!$G$14-Model!$F$14)</f>
        <v>0.7623625310186295</v>
      </c>
      <c r="C4130" s="32">
        <f ca="1">Model!$F$15+RAND()*(Model!$G$15-Model!$F$15)</f>
        <v>3.822912896208272E-2</v>
      </c>
      <c r="D4130" s="33">
        <f ca="1">Model!$F$16+RAND()*(Model!$G$16-Model!$F$16)</f>
        <v>52.28412785531836</v>
      </c>
      <c r="E4130" s="33">
        <f>Model!$D$17</f>
        <v>800</v>
      </c>
      <c r="G4130" s="36">
        <f t="shared" ca="1" si="66"/>
        <v>1155.8550278051405</v>
      </c>
    </row>
    <row r="4131" spans="1:7" x14ac:dyDescent="0.2">
      <c r="A4131" s="6">
        <f ca="1">Model!$F$13+RAND()*(Model!$G$13-Model!$F$13)</f>
        <v>1313.971424648169</v>
      </c>
      <c r="B4131" s="31">
        <f ca="1">Model!$F$14+RAND()*(Model!$G$14-Model!$F$14)</f>
        <v>0.77547507573820651</v>
      </c>
      <c r="C4131" s="32">
        <f ca="1">Model!$F$15+RAND()*(Model!$G$15-Model!$F$15)</f>
        <v>3.3554711275448658E-2</v>
      </c>
      <c r="D4131" s="33">
        <f ca="1">Model!$F$16+RAND()*(Model!$G$16-Model!$F$16)</f>
        <v>49.600193072922679</v>
      </c>
      <c r="E4131" s="33">
        <f>Model!$D$17</f>
        <v>800</v>
      </c>
      <c r="G4131" s="36">
        <f t="shared" ca="1" si="66"/>
        <v>367.91703872676999</v>
      </c>
    </row>
    <row r="4132" spans="1:7" x14ac:dyDescent="0.2">
      <c r="A4132" s="6">
        <f ca="1">Model!$F$13+RAND()*(Model!$G$13-Model!$F$13)</f>
        <v>1537.9661652786335</v>
      </c>
      <c r="B4132" s="31">
        <f ca="1">Model!$F$14+RAND()*(Model!$G$14-Model!$F$14)</f>
        <v>0.75625919414602683</v>
      </c>
      <c r="C4132" s="32">
        <f ca="1">Model!$F$15+RAND()*(Model!$G$15-Model!$F$15)</f>
        <v>3.2140015391753589E-2</v>
      </c>
      <c r="D4132" s="33">
        <f ca="1">Model!$F$16+RAND()*(Model!$G$16-Model!$F$16)</f>
        <v>49.014126368876738</v>
      </c>
      <c r="E4132" s="33">
        <f>Model!$D$17</f>
        <v>800</v>
      </c>
      <c r="G4132" s="36">
        <f t="shared" ca="1" si="66"/>
        <v>459.67977223414277</v>
      </c>
    </row>
    <row r="4133" spans="1:7" x14ac:dyDescent="0.2">
      <c r="A4133" s="6">
        <f ca="1">Model!$F$13+RAND()*(Model!$G$13-Model!$F$13)</f>
        <v>1322.4899837751957</v>
      </c>
      <c r="B4133" s="31">
        <f ca="1">Model!$F$14+RAND()*(Model!$G$14-Model!$F$14)</f>
        <v>0.49162801868235961</v>
      </c>
      <c r="C4133" s="32">
        <f ca="1">Model!$F$15+RAND()*(Model!$G$15-Model!$F$15)</f>
        <v>2.2665993527287744E-2</v>
      </c>
      <c r="D4133" s="33">
        <f ca="1">Model!$F$16+RAND()*(Model!$G$16-Model!$F$16)</f>
        <v>50.073625214097703</v>
      </c>
      <c r="E4133" s="33">
        <f>Model!$D$17</f>
        <v>800</v>
      </c>
      <c r="G4133" s="36">
        <f t="shared" ca="1" si="66"/>
        <v>50.811296400073616</v>
      </c>
    </row>
    <row r="4134" spans="1:7" x14ac:dyDescent="0.2">
      <c r="A4134" s="6">
        <f ca="1">Model!$F$13+RAND()*(Model!$G$13-Model!$F$13)</f>
        <v>1222.763790800376</v>
      </c>
      <c r="B4134" s="31">
        <f ca="1">Model!$F$14+RAND()*(Model!$G$14-Model!$F$14)</f>
        <v>0.53041934075020958</v>
      </c>
      <c r="C4134" s="32">
        <f ca="1">Model!$F$15+RAND()*(Model!$G$15-Model!$F$15)</f>
        <v>4.0916158928579978E-2</v>
      </c>
      <c r="D4134" s="33">
        <f ca="1">Model!$F$16+RAND()*(Model!$G$16-Model!$F$16)</f>
        <v>49.21334674098722</v>
      </c>
      <c r="E4134" s="33">
        <f>Model!$D$17</f>
        <v>800</v>
      </c>
      <c r="G4134" s="36">
        <f t="shared" ca="1" si="66"/>
        <v>1013.6054260351959</v>
      </c>
    </row>
    <row r="4135" spans="1:7" x14ac:dyDescent="0.2">
      <c r="A4135" s="6">
        <f ca="1">Model!$F$13+RAND()*(Model!$G$13-Model!$F$13)</f>
        <v>1588.6159285452823</v>
      </c>
      <c r="B4135" s="31">
        <f ca="1">Model!$F$14+RAND()*(Model!$G$14-Model!$F$14)</f>
        <v>0.7932435004724625</v>
      </c>
      <c r="C4135" s="32">
        <f ca="1">Model!$F$15+RAND()*(Model!$G$15-Model!$F$15)</f>
        <v>2.3437162984072078E-2</v>
      </c>
      <c r="D4135" s="33">
        <f ca="1">Model!$F$16+RAND()*(Model!$G$16-Model!$F$16)</f>
        <v>48.410428384539372</v>
      </c>
      <c r="E4135" s="33">
        <f>Model!$D$17</f>
        <v>800</v>
      </c>
      <c r="G4135" s="36">
        <f t="shared" ca="1" si="66"/>
        <v>-257.71070254721531</v>
      </c>
    </row>
    <row r="4136" spans="1:7" x14ac:dyDescent="0.2">
      <c r="A4136" s="6">
        <f ca="1">Model!$F$13+RAND()*(Model!$G$13-Model!$F$13)</f>
        <v>1240.7947756246933</v>
      </c>
      <c r="B4136" s="31">
        <f ca="1">Model!$F$14+RAND()*(Model!$G$14-Model!$F$14)</f>
        <v>0.53256078871338652</v>
      </c>
      <c r="C4136" s="32">
        <f ca="1">Model!$F$15+RAND()*(Model!$G$15-Model!$F$15)</f>
        <v>4.9273480401531566E-2</v>
      </c>
      <c r="D4136" s="33">
        <f ca="1">Model!$F$16+RAND()*(Model!$G$16-Model!$F$16)</f>
        <v>52.580095250644185</v>
      </c>
      <c r="E4136" s="33">
        <f>Model!$D$17</f>
        <v>800</v>
      </c>
      <c r="G4136" s="36">
        <f t="shared" ca="1" si="66"/>
        <v>1753.8577868878328</v>
      </c>
    </row>
    <row r="4137" spans="1:7" x14ac:dyDescent="0.2">
      <c r="A4137" s="6">
        <f ca="1">Model!$F$13+RAND()*(Model!$G$13-Model!$F$13)</f>
        <v>1286.5007083663681</v>
      </c>
      <c r="B4137" s="31">
        <f ca="1">Model!$F$14+RAND()*(Model!$G$14-Model!$F$14)</f>
        <v>0.2044064556239891</v>
      </c>
      <c r="C4137" s="32">
        <f ca="1">Model!$F$15+RAND()*(Model!$G$15-Model!$F$15)</f>
        <v>1.2976101601597382E-2</v>
      </c>
      <c r="D4137" s="33">
        <f ca="1">Model!$F$16+RAND()*(Model!$G$16-Model!$F$16)</f>
        <v>47.187623915461252</v>
      </c>
      <c r="E4137" s="33">
        <f>Model!$D$17</f>
        <v>800</v>
      </c>
      <c r="G4137" s="36">
        <f t="shared" ref="G4137:G4200" ca="1" si="67">A4137*C4137*D4137-(E4137+A4137*B4137)</f>
        <v>-275.22999720020459</v>
      </c>
    </row>
    <row r="4138" spans="1:7" x14ac:dyDescent="0.2">
      <c r="A4138" s="6">
        <f ca="1">Model!$F$13+RAND()*(Model!$G$13-Model!$F$13)</f>
        <v>1450.2957544699457</v>
      </c>
      <c r="B4138" s="31">
        <f ca="1">Model!$F$14+RAND()*(Model!$G$14-Model!$F$14)</f>
        <v>0.20849907939284376</v>
      </c>
      <c r="C4138" s="32">
        <f ca="1">Model!$F$15+RAND()*(Model!$G$15-Model!$F$15)</f>
        <v>4.171258085410217E-2</v>
      </c>
      <c r="D4138" s="33">
        <f ca="1">Model!$F$16+RAND()*(Model!$G$16-Model!$F$16)</f>
        <v>48.658037238215158</v>
      </c>
      <c r="E4138" s="33">
        <f>Model!$D$17</f>
        <v>800</v>
      </c>
      <c r="G4138" s="36">
        <f t="shared" ca="1" si="67"/>
        <v>1841.2108022159218</v>
      </c>
    </row>
    <row r="4139" spans="1:7" x14ac:dyDescent="0.2">
      <c r="A4139" s="6">
        <f ca="1">Model!$F$13+RAND()*(Model!$G$13-Model!$F$13)</f>
        <v>1712.0552245467163</v>
      </c>
      <c r="B4139" s="31">
        <f ca="1">Model!$F$14+RAND()*(Model!$G$14-Model!$F$14)</f>
        <v>0.46530255578871021</v>
      </c>
      <c r="C4139" s="32">
        <f ca="1">Model!$F$15+RAND()*(Model!$G$15-Model!$F$15)</f>
        <v>2.891363319959734E-2</v>
      </c>
      <c r="D4139" s="33">
        <f ca="1">Model!$F$16+RAND()*(Model!$G$16-Model!$F$16)</f>
        <v>49.530663325353267</v>
      </c>
      <c r="E4139" s="33">
        <f>Model!$D$17</f>
        <v>800</v>
      </c>
      <c r="G4139" s="36">
        <f t="shared" ca="1" si="67"/>
        <v>855.23018683733699</v>
      </c>
    </row>
    <row r="4140" spans="1:7" x14ac:dyDescent="0.2">
      <c r="A4140" s="6">
        <f ca="1">Model!$F$13+RAND()*(Model!$G$13-Model!$F$13)</f>
        <v>1387.6226917888007</v>
      </c>
      <c r="B4140" s="31">
        <f ca="1">Model!$F$14+RAND()*(Model!$G$14-Model!$F$14)</f>
        <v>0.4479839204752451</v>
      </c>
      <c r="C4140" s="32">
        <f ca="1">Model!$F$15+RAND()*(Model!$G$15-Model!$F$15)</f>
        <v>3.5101538837528541E-2</v>
      </c>
      <c r="D4140" s="33">
        <f ca="1">Model!$F$16+RAND()*(Model!$G$16-Model!$F$16)</f>
        <v>52.339984218126524</v>
      </c>
      <c r="E4140" s="33">
        <f>Model!$D$17</f>
        <v>800</v>
      </c>
      <c r="G4140" s="36">
        <f t="shared" ca="1" si="67"/>
        <v>1127.7271669063607</v>
      </c>
    </row>
    <row r="4141" spans="1:7" x14ac:dyDescent="0.2">
      <c r="A4141" s="6">
        <f ca="1">Model!$F$13+RAND()*(Model!$G$13-Model!$F$13)</f>
        <v>1505.4802911286124</v>
      </c>
      <c r="B4141" s="31">
        <f ca="1">Model!$F$14+RAND()*(Model!$G$14-Model!$F$14)</f>
        <v>0.49479089999380216</v>
      </c>
      <c r="C4141" s="32">
        <f ca="1">Model!$F$15+RAND()*(Model!$G$15-Model!$F$15)</f>
        <v>3.6911693568835703E-2</v>
      </c>
      <c r="D4141" s="33">
        <f ca="1">Model!$F$16+RAND()*(Model!$G$16-Model!$F$16)</f>
        <v>48.30851878723935</v>
      </c>
      <c r="E4141" s="33">
        <f>Model!$D$17</f>
        <v>800</v>
      </c>
      <c r="G4141" s="36">
        <f t="shared" ca="1" si="67"/>
        <v>1139.598092161159</v>
      </c>
    </row>
    <row r="4142" spans="1:7" x14ac:dyDescent="0.2">
      <c r="A4142" s="6">
        <f ca="1">Model!$F$13+RAND()*(Model!$G$13-Model!$F$13)</f>
        <v>1629.5903073114591</v>
      </c>
      <c r="B4142" s="31">
        <f ca="1">Model!$F$14+RAND()*(Model!$G$14-Model!$F$14)</f>
        <v>0.71429896245142155</v>
      </c>
      <c r="C4142" s="32">
        <f ca="1">Model!$F$15+RAND()*(Model!$G$15-Model!$F$15)</f>
        <v>4.7673677377074203E-2</v>
      </c>
      <c r="D4142" s="33">
        <f ca="1">Model!$F$16+RAND()*(Model!$G$16-Model!$F$16)</f>
        <v>52.439662671045781</v>
      </c>
      <c r="E4142" s="33">
        <f>Model!$D$17</f>
        <v>800</v>
      </c>
      <c r="G4142" s="36">
        <f t="shared" ca="1" si="67"/>
        <v>2109.9473487085311</v>
      </c>
    </row>
    <row r="4143" spans="1:7" x14ac:dyDescent="0.2">
      <c r="A4143" s="6">
        <f ca="1">Model!$F$13+RAND()*(Model!$G$13-Model!$F$13)</f>
        <v>1786.5696845260222</v>
      </c>
      <c r="B4143" s="31">
        <f ca="1">Model!$F$14+RAND()*(Model!$G$14-Model!$F$14)</f>
        <v>0.56216297704494123</v>
      </c>
      <c r="C4143" s="32">
        <f ca="1">Model!$F$15+RAND()*(Model!$G$15-Model!$F$15)</f>
        <v>2.4179571631999901E-2</v>
      </c>
      <c r="D4143" s="33">
        <f ca="1">Model!$F$16+RAND()*(Model!$G$16-Model!$F$16)</f>
        <v>52.133349159243643</v>
      </c>
      <c r="E4143" s="33">
        <f>Model!$D$17</f>
        <v>800</v>
      </c>
      <c r="G4143" s="36">
        <f t="shared" ca="1" si="67"/>
        <v>447.73861217864078</v>
      </c>
    </row>
    <row r="4144" spans="1:7" x14ac:dyDescent="0.2">
      <c r="A4144" s="6">
        <f ca="1">Model!$F$13+RAND()*(Model!$G$13-Model!$F$13)</f>
        <v>1296.2806446815662</v>
      </c>
      <c r="B4144" s="31">
        <f ca="1">Model!$F$14+RAND()*(Model!$G$14-Model!$F$14)</f>
        <v>0.59024155179993021</v>
      </c>
      <c r="C4144" s="32">
        <f ca="1">Model!$F$15+RAND()*(Model!$G$15-Model!$F$15)</f>
        <v>3.91257655616686E-2</v>
      </c>
      <c r="D4144" s="33">
        <f ca="1">Model!$F$16+RAND()*(Model!$G$16-Model!$F$16)</f>
        <v>49.123074184869814</v>
      </c>
      <c r="E4144" s="33">
        <f>Model!$D$17</f>
        <v>800</v>
      </c>
      <c r="G4144" s="36">
        <f t="shared" ca="1" si="67"/>
        <v>926.3040315427038</v>
      </c>
    </row>
    <row r="4145" spans="1:7" x14ac:dyDescent="0.2">
      <c r="A4145" s="6">
        <f ca="1">Model!$F$13+RAND()*(Model!$G$13-Model!$F$13)</f>
        <v>1369.2286662208373</v>
      </c>
      <c r="B4145" s="31">
        <f ca="1">Model!$F$14+RAND()*(Model!$G$14-Model!$F$14)</f>
        <v>0.79206736153162649</v>
      </c>
      <c r="C4145" s="32">
        <f ca="1">Model!$F$15+RAND()*(Model!$G$15-Model!$F$15)</f>
        <v>3.2627408325316701E-2</v>
      </c>
      <c r="D4145" s="33">
        <f ca="1">Model!$F$16+RAND()*(Model!$G$16-Model!$F$16)</f>
        <v>51.097505732542473</v>
      </c>
      <c r="E4145" s="33">
        <f>Model!$D$17</f>
        <v>800</v>
      </c>
      <c r="G4145" s="36">
        <f t="shared" ca="1" si="67"/>
        <v>398.22819339150055</v>
      </c>
    </row>
    <row r="4146" spans="1:7" x14ac:dyDescent="0.2">
      <c r="A4146" s="6">
        <f ca="1">Model!$F$13+RAND()*(Model!$G$13-Model!$F$13)</f>
        <v>1495.4500495535274</v>
      </c>
      <c r="B4146" s="31">
        <f ca="1">Model!$F$14+RAND()*(Model!$G$14-Model!$F$14)</f>
        <v>0.74524719256503547</v>
      </c>
      <c r="C4146" s="32">
        <f ca="1">Model!$F$15+RAND()*(Model!$G$15-Model!$F$15)</f>
        <v>4.7225525227076723E-2</v>
      </c>
      <c r="D4146" s="33">
        <f ca="1">Model!$F$16+RAND()*(Model!$G$16-Model!$F$16)</f>
        <v>51.092296654610919</v>
      </c>
      <c r="E4146" s="33">
        <f>Model!$D$17</f>
        <v>800</v>
      </c>
      <c r="G4146" s="36">
        <f t="shared" ca="1" si="67"/>
        <v>1693.8324698943641</v>
      </c>
    </row>
    <row r="4147" spans="1:7" x14ac:dyDescent="0.2">
      <c r="A4147" s="6">
        <f ca="1">Model!$F$13+RAND()*(Model!$G$13-Model!$F$13)</f>
        <v>1689.1936847582149</v>
      </c>
      <c r="B4147" s="31">
        <f ca="1">Model!$F$14+RAND()*(Model!$G$14-Model!$F$14)</f>
        <v>0.75721662753092001</v>
      </c>
      <c r="C4147" s="32">
        <f ca="1">Model!$F$15+RAND()*(Model!$G$15-Model!$F$15)</f>
        <v>2.8950756154317046E-2</v>
      </c>
      <c r="D4147" s="33">
        <f ca="1">Model!$F$16+RAND()*(Model!$G$16-Model!$F$16)</f>
        <v>50.669374406215709</v>
      </c>
      <c r="E4147" s="33">
        <f>Model!$D$17</f>
        <v>800</v>
      </c>
      <c r="G4147" s="36">
        <f t="shared" ca="1" si="67"/>
        <v>398.82088543004147</v>
      </c>
    </row>
    <row r="4148" spans="1:7" x14ac:dyDescent="0.2">
      <c r="A4148" s="6">
        <f ca="1">Model!$F$13+RAND()*(Model!$G$13-Model!$F$13)</f>
        <v>1324.4755202118702</v>
      </c>
      <c r="B4148" s="31">
        <f ca="1">Model!$F$14+RAND()*(Model!$G$14-Model!$F$14)</f>
        <v>0.49460516207563648</v>
      </c>
      <c r="C4148" s="32">
        <f ca="1">Model!$F$15+RAND()*(Model!$G$15-Model!$F$15)</f>
        <v>4.4605535794698989E-2</v>
      </c>
      <c r="D4148" s="33">
        <f ca="1">Model!$F$16+RAND()*(Model!$G$16-Model!$F$16)</f>
        <v>52.037106254252834</v>
      </c>
      <c r="E4148" s="33">
        <f>Model!$D$17</f>
        <v>800</v>
      </c>
      <c r="G4148" s="36">
        <f t="shared" ca="1" si="67"/>
        <v>1619.2046605900923</v>
      </c>
    </row>
    <row r="4149" spans="1:7" x14ac:dyDescent="0.2">
      <c r="A4149" s="6">
        <f ca="1">Model!$F$13+RAND()*(Model!$G$13-Model!$F$13)</f>
        <v>1430.0749940647293</v>
      </c>
      <c r="B4149" s="31">
        <f ca="1">Model!$F$14+RAND()*(Model!$G$14-Model!$F$14)</f>
        <v>0.62179449752499782</v>
      </c>
      <c r="C4149" s="32">
        <f ca="1">Model!$F$15+RAND()*(Model!$G$15-Model!$F$15)</f>
        <v>4.1129188578598423E-2</v>
      </c>
      <c r="D4149" s="33">
        <f ca="1">Model!$F$16+RAND()*(Model!$G$16-Model!$F$16)</f>
        <v>48.667445814333313</v>
      </c>
      <c r="E4149" s="33">
        <f>Model!$D$17</f>
        <v>800</v>
      </c>
      <c r="G4149" s="36">
        <f t="shared" ca="1" si="67"/>
        <v>1173.3005055509507</v>
      </c>
    </row>
    <row r="4150" spans="1:7" x14ac:dyDescent="0.2">
      <c r="A4150" s="6">
        <f ca="1">Model!$F$13+RAND()*(Model!$G$13-Model!$F$13)</f>
        <v>1748.8329706169125</v>
      </c>
      <c r="B4150" s="31">
        <f ca="1">Model!$F$14+RAND()*(Model!$G$14-Model!$F$14)</f>
        <v>0.59558591177608733</v>
      </c>
      <c r="C4150" s="32">
        <f ca="1">Model!$F$15+RAND()*(Model!$G$15-Model!$F$15)</f>
        <v>3.2286606520155824E-2</v>
      </c>
      <c r="D4150" s="33">
        <f ca="1">Model!$F$16+RAND()*(Model!$G$16-Model!$F$16)</f>
        <v>50.426598235601539</v>
      </c>
      <c r="E4150" s="33">
        <f>Model!$D$17</f>
        <v>800</v>
      </c>
      <c r="G4150" s="36">
        <f t="shared" ca="1" si="67"/>
        <v>1005.7012126731249</v>
      </c>
    </row>
    <row r="4151" spans="1:7" x14ac:dyDescent="0.2">
      <c r="A4151" s="6">
        <f ca="1">Model!$F$13+RAND()*(Model!$G$13-Model!$F$13)</f>
        <v>1662.7908162051581</v>
      </c>
      <c r="B4151" s="31">
        <f ca="1">Model!$F$14+RAND()*(Model!$G$14-Model!$F$14)</f>
        <v>0.24363543796589446</v>
      </c>
      <c r="C4151" s="32">
        <f ca="1">Model!$F$15+RAND()*(Model!$G$15-Model!$F$15)</f>
        <v>1.4194067831599967E-2</v>
      </c>
      <c r="D4151" s="33">
        <f ca="1">Model!$F$16+RAND()*(Model!$G$16-Model!$F$16)</f>
        <v>48.763234446433671</v>
      </c>
      <c r="E4151" s="33">
        <f>Model!$D$17</f>
        <v>800</v>
      </c>
      <c r="G4151" s="36">
        <f t="shared" ca="1" si="67"/>
        <v>-54.216337743622034</v>
      </c>
    </row>
    <row r="4152" spans="1:7" x14ac:dyDescent="0.2">
      <c r="A4152" s="6">
        <f ca="1">Model!$F$13+RAND()*(Model!$G$13-Model!$F$13)</f>
        <v>1670.3797936336807</v>
      </c>
      <c r="B4152" s="31">
        <f ca="1">Model!$F$14+RAND()*(Model!$G$14-Model!$F$14)</f>
        <v>0.35577440039882413</v>
      </c>
      <c r="C4152" s="32">
        <f ca="1">Model!$F$15+RAND()*(Model!$G$15-Model!$F$15)</f>
        <v>2.6346494601612321E-2</v>
      </c>
      <c r="D4152" s="33">
        <f ca="1">Model!$F$16+RAND()*(Model!$G$16-Model!$F$16)</f>
        <v>52.344460208071816</v>
      </c>
      <c r="E4152" s="33">
        <f>Model!$D$17</f>
        <v>800</v>
      </c>
      <c r="G4152" s="36">
        <f t="shared" ca="1" si="67"/>
        <v>909.33077519264361</v>
      </c>
    </row>
    <row r="4153" spans="1:7" x14ac:dyDescent="0.2">
      <c r="A4153" s="6">
        <f ca="1">Model!$F$13+RAND()*(Model!$G$13-Model!$F$13)</f>
        <v>1727.5478323449406</v>
      </c>
      <c r="B4153" s="31">
        <f ca="1">Model!$F$14+RAND()*(Model!$G$14-Model!$F$14)</f>
        <v>0.27356235515869592</v>
      </c>
      <c r="C4153" s="32">
        <f ca="1">Model!$F$15+RAND()*(Model!$G$15-Model!$F$15)</f>
        <v>3.6283581714059862E-2</v>
      </c>
      <c r="D4153" s="33">
        <f ca="1">Model!$F$16+RAND()*(Model!$G$16-Model!$F$16)</f>
        <v>49.931441985055145</v>
      </c>
      <c r="E4153" s="33">
        <f>Model!$D$17</f>
        <v>800</v>
      </c>
      <c r="G4153" s="36">
        <f t="shared" ca="1" si="67"/>
        <v>1857.191765683873</v>
      </c>
    </row>
    <row r="4154" spans="1:7" x14ac:dyDescent="0.2">
      <c r="A4154" s="6">
        <f ca="1">Model!$F$13+RAND()*(Model!$G$13-Model!$F$13)</f>
        <v>1752.4449914655731</v>
      </c>
      <c r="B4154" s="31">
        <f ca="1">Model!$F$14+RAND()*(Model!$G$14-Model!$F$14)</f>
        <v>0.23992966028758589</v>
      </c>
      <c r="C4154" s="32">
        <f ca="1">Model!$F$15+RAND()*(Model!$G$15-Model!$F$15)</f>
        <v>3.7639853647126444E-2</v>
      </c>
      <c r="D4154" s="33">
        <f ca="1">Model!$F$16+RAND()*(Model!$G$16-Model!$F$16)</f>
        <v>48.779053604847228</v>
      </c>
      <c r="E4154" s="33">
        <f>Model!$D$17</f>
        <v>800</v>
      </c>
      <c r="G4154" s="36">
        <f t="shared" ca="1" si="67"/>
        <v>1997.0893297287885</v>
      </c>
    </row>
    <row r="4155" spans="1:7" x14ac:dyDescent="0.2">
      <c r="A4155" s="6">
        <f ca="1">Model!$F$13+RAND()*(Model!$G$13-Model!$F$13)</f>
        <v>1380.2702304185491</v>
      </c>
      <c r="B4155" s="31">
        <f ca="1">Model!$F$14+RAND()*(Model!$G$14-Model!$F$14)</f>
        <v>0.24322709809129178</v>
      </c>
      <c r="C4155" s="32">
        <f ca="1">Model!$F$15+RAND()*(Model!$G$15-Model!$F$15)</f>
        <v>1.3451619045712508E-2</v>
      </c>
      <c r="D4155" s="33">
        <f ca="1">Model!$F$16+RAND()*(Model!$G$16-Model!$F$16)</f>
        <v>52.872564138050237</v>
      </c>
      <c r="E4155" s="33">
        <f>Model!$D$17</f>
        <v>800</v>
      </c>
      <c r="G4155" s="36">
        <f t="shared" ca="1" si="67"/>
        <v>-154.04113377637862</v>
      </c>
    </row>
    <row r="4156" spans="1:7" x14ac:dyDescent="0.2">
      <c r="A4156" s="6">
        <f ca="1">Model!$F$13+RAND()*(Model!$G$13-Model!$F$13)</f>
        <v>1556.4472712035933</v>
      </c>
      <c r="B4156" s="31">
        <f ca="1">Model!$F$14+RAND()*(Model!$G$14-Model!$F$14)</f>
        <v>0.28444553103298642</v>
      </c>
      <c r="C4156" s="32">
        <f ca="1">Model!$F$15+RAND()*(Model!$G$15-Model!$F$15)</f>
        <v>2.4472458441000322E-2</v>
      </c>
      <c r="D4156" s="33">
        <f ca="1">Model!$F$16+RAND()*(Model!$G$16-Model!$F$16)</f>
        <v>52.302260508063895</v>
      </c>
      <c r="E4156" s="33">
        <f>Model!$D$17</f>
        <v>800</v>
      </c>
      <c r="G4156" s="36">
        <f t="shared" ca="1" si="67"/>
        <v>749.47340005110595</v>
      </c>
    </row>
    <row r="4157" spans="1:7" x14ac:dyDescent="0.2">
      <c r="A4157" s="6">
        <f ca="1">Model!$F$13+RAND()*(Model!$G$13-Model!$F$13)</f>
        <v>1471.3149306464418</v>
      </c>
      <c r="B4157" s="31">
        <f ca="1">Model!$F$14+RAND()*(Model!$G$14-Model!$F$14)</f>
        <v>0.5677695839102006</v>
      </c>
      <c r="C4157" s="32">
        <f ca="1">Model!$F$15+RAND()*(Model!$G$15-Model!$F$15)</f>
        <v>2.1147753260877394E-2</v>
      </c>
      <c r="D4157" s="33">
        <f ca="1">Model!$F$16+RAND()*(Model!$G$16-Model!$F$16)</f>
        <v>51.451437027104049</v>
      </c>
      <c r="E4157" s="33">
        <f>Model!$D$17</f>
        <v>800</v>
      </c>
      <c r="G4157" s="36">
        <f t="shared" ca="1" si="67"/>
        <v>-34.45613932308197</v>
      </c>
    </row>
    <row r="4158" spans="1:7" x14ac:dyDescent="0.2">
      <c r="A4158" s="6">
        <f ca="1">Model!$F$13+RAND()*(Model!$G$13-Model!$F$13)</f>
        <v>1401.7282003573619</v>
      </c>
      <c r="B4158" s="31">
        <f ca="1">Model!$F$14+RAND()*(Model!$G$14-Model!$F$14)</f>
        <v>0.52790167469999694</v>
      </c>
      <c r="C4158" s="32">
        <f ca="1">Model!$F$15+RAND()*(Model!$G$15-Model!$F$15)</f>
        <v>4.9689776388609518E-2</v>
      </c>
      <c r="D4158" s="33">
        <f ca="1">Model!$F$16+RAND()*(Model!$G$16-Model!$F$16)</f>
        <v>52.265776350101511</v>
      </c>
      <c r="E4158" s="33">
        <f>Model!$D$17</f>
        <v>800</v>
      </c>
      <c r="G4158" s="36">
        <f t="shared" ca="1" si="67"/>
        <v>2100.4182365092993</v>
      </c>
    </row>
    <row r="4159" spans="1:7" x14ac:dyDescent="0.2">
      <c r="A4159" s="6">
        <f ca="1">Model!$F$13+RAND()*(Model!$G$13-Model!$F$13)</f>
        <v>1740.5091240820307</v>
      </c>
      <c r="B4159" s="31">
        <f ca="1">Model!$F$14+RAND()*(Model!$G$14-Model!$F$14)</f>
        <v>0.35568537183093135</v>
      </c>
      <c r="C4159" s="32">
        <f ca="1">Model!$F$15+RAND()*(Model!$G$15-Model!$F$15)</f>
        <v>2.5991652134480452E-2</v>
      </c>
      <c r="D4159" s="33">
        <f ca="1">Model!$F$16+RAND()*(Model!$G$16-Model!$F$16)</f>
        <v>52.142778916003586</v>
      </c>
      <c r="E4159" s="33">
        <f>Model!$D$17</f>
        <v>800</v>
      </c>
      <c r="G4159" s="36">
        <f t="shared" ca="1" si="67"/>
        <v>939.79829855266962</v>
      </c>
    </row>
    <row r="4160" spans="1:7" x14ac:dyDescent="0.2">
      <c r="A4160" s="6">
        <f ca="1">Model!$F$13+RAND()*(Model!$G$13-Model!$F$13)</f>
        <v>1427.8900425104816</v>
      </c>
      <c r="B4160" s="31">
        <f ca="1">Model!$F$14+RAND()*(Model!$G$14-Model!$F$14)</f>
        <v>0.43274075769619619</v>
      </c>
      <c r="C4160" s="32">
        <f ca="1">Model!$F$15+RAND()*(Model!$G$15-Model!$F$15)</f>
        <v>3.5168712236473818E-2</v>
      </c>
      <c r="D4160" s="33">
        <f ca="1">Model!$F$16+RAND()*(Model!$G$16-Model!$F$16)</f>
        <v>47.858439565404517</v>
      </c>
      <c r="E4160" s="33">
        <f>Model!$D$17</f>
        <v>800</v>
      </c>
      <c r="G4160" s="36">
        <f t="shared" ca="1" si="67"/>
        <v>985.40362560546646</v>
      </c>
    </row>
    <row r="4161" spans="1:7" x14ac:dyDescent="0.2">
      <c r="A4161" s="6">
        <f ca="1">Model!$F$13+RAND()*(Model!$G$13-Model!$F$13)</f>
        <v>1632.728288612745</v>
      </c>
      <c r="B4161" s="31">
        <f ca="1">Model!$F$14+RAND()*(Model!$G$14-Model!$F$14)</f>
        <v>0.31709505847452918</v>
      </c>
      <c r="C4161" s="32">
        <f ca="1">Model!$F$15+RAND()*(Model!$G$15-Model!$F$15)</f>
        <v>3.2903919141792352E-2</v>
      </c>
      <c r="D4161" s="33">
        <f ca="1">Model!$F$16+RAND()*(Model!$G$16-Model!$F$16)</f>
        <v>50.644132551984093</v>
      </c>
      <c r="E4161" s="33">
        <f>Model!$D$17</f>
        <v>800</v>
      </c>
      <c r="G4161" s="36">
        <f t="shared" ca="1" si="67"/>
        <v>1403.0327431875935</v>
      </c>
    </row>
    <row r="4162" spans="1:7" x14ac:dyDescent="0.2">
      <c r="A4162" s="6">
        <f ca="1">Model!$F$13+RAND()*(Model!$G$13-Model!$F$13)</f>
        <v>1481.6950754450338</v>
      </c>
      <c r="B4162" s="31">
        <f ca="1">Model!$F$14+RAND()*(Model!$G$14-Model!$F$14)</f>
        <v>0.33179116972197642</v>
      </c>
      <c r="C4162" s="32">
        <f ca="1">Model!$F$15+RAND()*(Model!$G$15-Model!$F$15)</f>
        <v>1.919231147540339E-2</v>
      </c>
      <c r="D4162" s="33">
        <f ca="1">Model!$F$16+RAND()*(Model!$G$16-Model!$F$16)</f>
        <v>52.167897881435238</v>
      </c>
      <c r="E4162" s="33">
        <f>Model!$D$17</f>
        <v>800</v>
      </c>
      <c r="G4162" s="36">
        <f t="shared" ca="1" si="67"/>
        <v>191.89317233127281</v>
      </c>
    </row>
    <row r="4163" spans="1:7" x14ac:dyDescent="0.2">
      <c r="A4163" s="6">
        <f ca="1">Model!$F$13+RAND()*(Model!$G$13-Model!$F$13)</f>
        <v>1256.8809721144862</v>
      </c>
      <c r="B4163" s="31">
        <f ca="1">Model!$F$14+RAND()*(Model!$G$14-Model!$F$14)</f>
        <v>0.21578683458442954</v>
      </c>
      <c r="C4163" s="32">
        <f ca="1">Model!$F$15+RAND()*(Model!$G$15-Model!$F$15)</f>
        <v>4.3114834264190119E-2</v>
      </c>
      <c r="D4163" s="33">
        <f ca="1">Model!$F$16+RAND()*(Model!$G$16-Model!$F$16)</f>
        <v>52.445733300234792</v>
      </c>
      <c r="E4163" s="33">
        <f>Model!$D$17</f>
        <v>800</v>
      </c>
      <c r="G4163" s="36">
        <f t="shared" ca="1" si="67"/>
        <v>1770.827186593951</v>
      </c>
    </row>
    <row r="4164" spans="1:7" x14ac:dyDescent="0.2">
      <c r="A4164" s="6">
        <f ca="1">Model!$F$13+RAND()*(Model!$G$13-Model!$F$13)</f>
        <v>1441.5301973710184</v>
      </c>
      <c r="B4164" s="31">
        <f ca="1">Model!$F$14+RAND()*(Model!$G$14-Model!$F$14)</f>
        <v>0.65778731435129378</v>
      </c>
      <c r="C4164" s="32">
        <f ca="1">Model!$F$15+RAND()*(Model!$G$15-Model!$F$15)</f>
        <v>4.0069333352438598E-2</v>
      </c>
      <c r="D4164" s="33">
        <f ca="1">Model!$F$16+RAND()*(Model!$G$16-Model!$F$16)</f>
        <v>50.182434885827895</v>
      </c>
      <c r="E4164" s="33">
        <f>Model!$D$17</f>
        <v>800</v>
      </c>
      <c r="G4164" s="36">
        <f t="shared" ca="1" si="67"/>
        <v>1150.3750732565331</v>
      </c>
    </row>
    <row r="4165" spans="1:7" x14ac:dyDescent="0.2">
      <c r="A4165" s="6">
        <f ca="1">Model!$F$13+RAND()*(Model!$G$13-Model!$F$13)</f>
        <v>1610.9293931169589</v>
      </c>
      <c r="B4165" s="31">
        <f ca="1">Model!$F$14+RAND()*(Model!$G$14-Model!$F$14)</f>
        <v>0.48298869707412678</v>
      </c>
      <c r="C4165" s="32">
        <f ca="1">Model!$F$15+RAND()*(Model!$G$15-Model!$F$15)</f>
        <v>4.1757764598584789E-2</v>
      </c>
      <c r="D4165" s="33">
        <f ca="1">Model!$F$16+RAND()*(Model!$G$16-Model!$F$16)</f>
        <v>50.738824452454978</v>
      </c>
      <c r="E4165" s="33">
        <f>Model!$D$17</f>
        <v>800</v>
      </c>
      <c r="G4165" s="36">
        <f t="shared" ca="1" si="67"/>
        <v>1835.0796724742875</v>
      </c>
    </row>
    <row r="4166" spans="1:7" x14ac:dyDescent="0.2">
      <c r="A4166" s="6">
        <f ca="1">Model!$F$13+RAND()*(Model!$G$13-Model!$F$13)</f>
        <v>1408.9978305985135</v>
      </c>
      <c r="B4166" s="31">
        <f ca="1">Model!$F$14+RAND()*(Model!$G$14-Model!$F$14)</f>
        <v>0.57958080943972701</v>
      </c>
      <c r="C4166" s="32">
        <f ca="1">Model!$F$15+RAND()*(Model!$G$15-Model!$F$15)</f>
        <v>2.5435366507452418E-2</v>
      </c>
      <c r="D4166" s="33">
        <f ca="1">Model!$F$16+RAND()*(Model!$G$16-Model!$F$16)</f>
        <v>50.902019068647519</v>
      </c>
      <c r="E4166" s="33">
        <f>Model!$D$17</f>
        <v>800</v>
      </c>
      <c r="G4166" s="36">
        <f t="shared" ca="1" si="67"/>
        <v>207.61760706517543</v>
      </c>
    </row>
    <row r="4167" spans="1:7" x14ac:dyDescent="0.2">
      <c r="A4167" s="6">
        <f ca="1">Model!$F$13+RAND()*(Model!$G$13-Model!$F$13)</f>
        <v>1682.2702950647088</v>
      </c>
      <c r="B4167" s="31">
        <f ca="1">Model!$F$14+RAND()*(Model!$G$14-Model!$F$14)</f>
        <v>0.42521322327453326</v>
      </c>
      <c r="C4167" s="32">
        <f ca="1">Model!$F$15+RAND()*(Model!$G$15-Model!$F$15)</f>
        <v>3.8071128870918514E-2</v>
      </c>
      <c r="D4167" s="33">
        <f ca="1">Model!$F$16+RAND()*(Model!$G$16-Model!$F$16)</f>
        <v>50.608442652839997</v>
      </c>
      <c r="E4167" s="33">
        <f>Model!$D$17</f>
        <v>800</v>
      </c>
      <c r="G4167" s="36">
        <f t="shared" ca="1" si="67"/>
        <v>1725.9411604383868</v>
      </c>
    </row>
    <row r="4168" spans="1:7" x14ac:dyDescent="0.2">
      <c r="A4168" s="6">
        <f ca="1">Model!$F$13+RAND()*(Model!$G$13-Model!$F$13)</f>
        <v>1409.0032548914478</v>
      </c>
      <c r="B4168" s="31">
        <f ca="1">Model!$F$14+RAND()*(Model!$G$14-Model!$F$14)</f>
        <v>0.46893518180247257</v>
      </c>
      <c r="C4168" s="32">
        <f ca="1">Model!$F$15+RAND()*(Model!$G$15-Model!$F$15)</f>
        <v>4.9035218424037449E-2</v>
      </c>
      <c r="D4168" s="33">
        <f ca="1">Model!$F$16+RAND()*(Model!$G$16-Model!$F$16)</f>
        <v>47.914868986275863</v>
      </c>
      <c r="E4168" s="33">
        <f>Model!$D$17</f>
        <v>800</v>
      </c>
      <c r="G4168" s="36">
        <f t="shared" ca="1" si="67"/>
        <v>1849.7445876271099</v>
      </c>
    </row>
    <row r="4169" spans="1:7" x14ac:dyDescent="0.2">
      <c r="A4169" s="6">
        <f ca="1">Model!$F$13+RAND()*(Model!$G$13-Model!$F$13)</f>
        <v>1319.6156382830675</v>
      </c>
      <c r="B4169" s="31">
        <f ca="1">Model!$F$14+RAND()*(Model!$G$14-Model!$F$14)</f>
        <v>0.32808180147231797</v>
      </c>
      <c r="C4169" s="32">
        <f ca="1">Model!$F$15+RAND()*(Model!$G$15-Model!$F$15)</f>
        <v>1.1362194185646119E-2</v>
      </c>
      <c r="D4169" s="33">
        <f ca="1">Model!$F$16+RAND()*(Model!$G$16-Model!$F$16)</f>
        <v>48.871012095954953</v>
      </c>
      <c r="E4169" s="33">
        <f>Model!$D$17</f>
        <v>800</v>
      </c>
      <c r="G4169" s="36">
        <f t="shared" ca="1" si="67"/>
        <v>-500.18315805679265</v>
      </c>
    </row>
    <row r="4170" spans="1:7" x14ac:dyDescent="0.2">
      <c r="A4170" s="6">
        <f ca="1">Model!$F$13+RAND()*(Model!$G$13-Model!$F$13)</f>
        <v>1298.1745086110445</v>
      </c>
      <c r="B4170" s="31">
        <f ca="1">Model!$F$14+RAND()*(Model!$G$14-Model!$F$14)</f>
        <v>0.39076182411485072</v>
      </c>
      <c r="C4170" s="32">
        <f ca="1">Model!$F$15+RAND()*(Model!$G$15-Model!$F$15)</f>
        <v>1.6294117252357562E-2</v>
      </c>
      <c r="D4170" s="33">
        <f ca="1">Model!$F$16+RAND()*(Model!$G$16-Model!$F$16)</f>
        <v>51.477176811814601</v>
      </c>
      <c r="E4170" s="33">
        <f>Model!$D$17</f>
        <v>800</v>
      </c>
      <c r="G4170" s="36">
        <f t="shared" ca="1" si="67"/>
        <v>-218.40051459693063</v>
      </c>
    </row>
    <row r="4171" spans="1:7" x14ac:dyDescent="0.2">
      <c r="A4171" s="6">
        <f ca="1">Model!$F$13+RAND()*(Model!$G$13-Model!$F$13)</f>
        <v>1224.566465807819</v>
      </c>
      <c r="B4171" s="31">
        <f ca="1">Model!$F$14+RAND()*(Model!$G$14-Model!$F$14)</f>
        <v>0.44450252791889155</v>
      </c>
      <c r="C4171" s="32">
        <f ca="1">Model!$F$15+RAND()*(Model!$G$15-Model!$F$15)</f>
        <v>1.577150042293881E-2</v>
      </c>
      <c r="D4171" s="33">
        <f ca="1">Model!$F$16+RAND()*(Model!$G$16-Model!$F$16)</f>
        <v>49.708817297342158</v>
      </c>
      <c r="E4171" s="33">
        <f>Model!$D$17</f>
        <v>800</v>
      </c>
      <c r="G4171" s="36">
        <f t="shared" ca="1" si="67"/>
        <v>-384.28404747346815</v>
      </c>
    </row>
    <row r="4172" spans="1:7" x14ac:dyDescent="0.2">
      <c r="A4172" s="6">
        <f ca="1">Model!$F$13+RAND()*(Model!$G$13-Model!$F$13)</f>
        <v>1677.1744618066309</v>
      </c>
      <c r="B4172" s="31">
        <f ca="1">Model!$F$14+RAND()*(Model!$G$14-Model!$F$14)</f>
        <v>0.49554605382173084</v>
      </c>
      <c r="C4172" s="32">
        <f ca="1">Model!$F$15+RAND()*(Model!$G$15-Model!$F$15)</f>
        <v>3.7285218258759176E-2</v>
      </c>
      <c r="D4172" s="33">
        <f ca="1">Model!$F$16+RAND()*(Model!$G$16-Model!$F$16)</f>
        <v>50.218590270266716</v>
      </c>
      <c r="E4172" s="33">
        <f>Model!$D$17</f>
        <v>800</v>
      </c>
      <c r="G4172" s="36">
        <f t="shared" ca="1" si="67"/>
        <v>1509.2428909160606</v>
      </c>
    </row>
    <row r="4173" spans="1:7" x14ac:dyDescent="0.2">
      <c r="A4173" s="6">
        <f ca="1">Model!$F$13+RAND()*(Model!$G$13-Model!$F$13)</f>
        <v>1485.7028011237112</v>
      </c>
      <c r="B4173" s="31">
        <f ca="1">Model!$F$14+RAND()*(Model!$G$14-Model!$F$14)</f>
        <v>0.52864372260802273</v>
      </c>
      <c r="C4173" s="32">
        <f ca="1">Model!$F$15+RAND()*(Model!$G$15-Model!$F$15)</f>
        <v>3.2632916723919284E-2</v>
      </c>
      <c r="D4173" s="33">
        <f ca="1">Model!$F$16+RAND()*(Model!$G$16-Model!$F$16)</f>
        <v>52.656770535506702</v>
      </c>
      <c r="E4173" s="33">
        <f>Model!$D$17</f>
        <v>800</v>
      </c>
      <c r="G4173" s="36">
        <f t="shared" ca="1" si="67"/>
        <v>967.54104626046319</v>
      </c>
    </row>
    <row r="4174" spans="1:7" x14ac:dyDescent="0.2">
      <c r="A4174" s="6">
        <f ca="1">Model!$F$13+RAND()*(Model!$G$13-Model!$F$13)</f>
        <v>1311.3784257735983</v>
      </c>
      <c r="B4174" s="31">
        <f ca="1">Model!$F$14+RAND()*(Model!$G$14-Model!$F$14)</f>
        <v>0.46734096534684572</v>
      </c>
      <c r="C4174" s="32">
        <f ca="1">Model!$F$15+RAND()*(Model!$G$15-Model!$F$15)</f>
        <v>3.6286010063387601E-2</v>
      </c>
      <c r="D4174" s="33">
        <f ca="1">Model!$F$16+RAND()*(Model!$G$16-Model!$F$16)</f>
        <v>52.933871404673177</v>
      </c>
      <c r="E4174" s="33">
        <f>Model!$D$17</f>
        <v>800</v>
      </c>
      <c r="G4174" s="36">
        <f t="shared" ca="1" si="67"/>
        <v>1105.9810417953809</v>
      </c>
    </row>
    <row r="4175" spans="1:7" x14ac:dyDescent="0.2">
      <c r="A4175" s="6">
        <f ca="1">Model!$F$13+RAND()*(Model!$G$13-Model!$F$13)</f>
        <v>1328.7506297503264</v>
      </c>
      <c r="B4175" s="31">
        <f ca="1">Model!$F$14+RAND()*(Model!$G$14-Model!$F$14)</f>
        <v>0.55955491818823244</v>
      </c>
      <c r="C4175" s="32">
        <f ca="1">Model!$F$15+RAND()*(Model!$G$15-Model!$F$15)</f>
        <v>4.0923236614478824E-2</v>
      </c>
      <c r="D4175" s="33">
        <f ca="1">Model!$F$16+RAND()*(Model!$G$16-Model!$F$16)</f>
        <v>50.74646651382065</v>
      </c>
      <c r="E4175" s="33">
        <f>Model!$D$17</f>
        <v>800</v>
      </c>
      <c r="G4175" s="36">
        <f t="shared" ca="1" si="67"/>
        <v>1215.9203139522263</v>
      </c>
    </row>
    <row r="4176" spans="1:7" x14ac:dyDescent="0.2">
      <c r="A4176" s="6">
        <f ca="1">Model!$F$13+RAND()*(Model!$G$13-Model!$F$13)</f>
        <v>1419.3325787945116</v>
      </c>
      <c r="B4176" s="31">
        <f ca="1">Model!$F$14+RAND()*(Model!$G$14-Model!$F$14)</f>
        <v>0.30060350660653373</v>
      </c>
      <c r="C4176" s="32">
        <f ca="1">Model!$F$15+RAND()*(Model!$G$15-Model!$F$15)</f>
        <v>2.6244490461417282E-2</v>
      </c>
      <c r="D4176" s="33">
        <f ca="1">Model!$F$16+RAND()*(Model!$G$16-Model!$F$16)</f>
        <v>48.237508158918729</v>
      </c>
      <c r="E4176" s="33">
        <f>Model!$D$17</f>
        <v>800</v>
      </c>
      <c r="G4176" s="36">
        <f t="shared" ca="1" si="67"/>
        <v>570.17444365385768</v>
      </c>
    </row>
    <row r="4177" spans="1:7" x14ac:dyDescent="0.2">
      <c r="A4177" s="6">
        <f ca="1">Model!$F$13+RAND()*(Model!$G$13-Model!$F$13)</f>
        <v>1356.0011570252934</v>
      </c>
      <c r="B4177" s="31">
        <f ca="1">Model!$F$14+RAND()*(Model!$G$14-Model!$F$14)</f>
        <v>0.54091464264921985</v>
      </c>
      <c r="C4177" s="32">
        <f ca="1">Model!$F$15+RAND()*(Model!$G$15-Model!$F$15)</f>
        <v>2.3750261902650643E-2</v>
      </c>
      <c r="D4177" s="33">
        <f ca="1">Model!$F$16+RAND()*(Model!$G$16-Model!$F$16)</f>
        <v>50.853203920823397</v>
      </c>
      <c r="E4177" s="33">
        <f>Model!$D$17</f>
        <v>800</v>
      </c>
      <c r="G4177" s="36">
        <f t="shared" ca="1" si="67"/>
        <v>104.26600842083712</v>
      </c>
    </row>
    <row r="4178" spans="1:7" x14ac:dyDescent="0.2">
      <c r="A4178" s="6">
        <f ca="1">Model!$F$13+RAND()*(Model!$G$13-Model!$F$13)</f>
        <v>1377.0799319146154</v>
      </c>
      <c r="B4178" s="31">
        <f ca="1">Model!$F$14+RAND()*(Model!$G$14-Model!$F$14)</f>
        <v>0.63583405034467932</v>
      </c>
      <c r="C4178" s="32">
        <f ca="1">Model!$F$15+RAND()*(Model!$G$15-Model!$F$15)</f>
        <v>1.3920820402331429E-2</v>
      </c>
      <c r="D4178" s="33">
        <f ca="1">Model!$F$16+RAND()*(Model!$G$16-Model!$F$16)</f>
        <v>49.652669404987819</v>
      </c>
      <c r="E4178" s="33">
        <f>Model!$D$17</f>
        <v>800</v>
      </c>
      <c r="G4178" s="36">
        <f t="shared" ca="1" si="67"/>
        <v>-723.74854629627362</v>
      </c>
    </row>
    <row r="4179" spans="1:7" x14ac:dyDescent="0.2">
      <c r="A4179" s="6">
        <f ca="1">Model!$F$13+RAND()*(Model!$G$13-Model!$F$13)</f>
        <v>1390.610885995776</v>
      </c>
      <c r="B4179" s="31">
        <f ca="1">Model!$F$14+RAND()*(Model!$G$14-Model!$F$14)</f>
        <v>0.51003143998571709</v>
      </c>
      <c r="C4179" s="32">
        <f ca="1">Model!$F$15+RAND()*(Model!$G$15-Model!$F$15)</f>
        <v>3.6005481540467822E-2</v>
      </c>
      <c r="D4179" s="33">
        <f ca="1">Model!$F$16+RAND()*(Model!$G$16-Model!$F$16)</f>
        <v>52.889386992391394</v>
      </c>
      <c r="E4179" s="33">
        <f>Model!$D$17</f>
        <v>800</v>
      </c>
      <c r="G4179" s="36">
        <f t="shared" ca="1" si="67"/>
        <v>1138.8959497384426</v>
      </c>
    </row>
    <row r="4180" spans="1:7" x14ac:dyDescent="0.2">
      <c r="A4180" s="6">
        <f ca="1">Model!$F$13+RAND()*(Model!$G$13-Model!$F$13)</f>
        <v>1719.3640257829013</v>
      </c>
      <c r="B4180" s="31">
        <f ca="1">Model!$F$14+RAND()*(Model!$G$14-Model!$F$14)</f>
        <v>0.54798217715924347</v>
      </c>
      <c r="C4180" s="32">
        <f ca="1">Model!$F$15+RAND()*(Model!$G$15-Model!$F$15)</f>
        <v>4.7149649142732696E-2</v>
      </c>
      <c r="D4180" s="33">
        <f ca="1">Model!$F$16+RAND()*(Model!$G$16-Model!$F$16)</f>
        <v>49.949566212573536</v>
      </c>
      <c r="E4180" s="33">
        <f>Model!$D$17</f>
        <v>800</v>
      </c>
      <c r="G4180" s="36">
        <f t="shared" ca="1" si="67"/>
        <v>2307.1011494856007</v>
      </c>
    </row>
    <row r="4181" spans="1:7" x14ac:dyDescent="0.2">
      <c r="A4181" s="6">
        <f ca="1">Model!$F$13+RAND()*(Model!$G$13-Model!$F$13)</f>
        <v>1668.5270995968046</v>
      </c>
      <c r="B4181" s="31">
        <f ca="1">Model!$F$14+RAND()*(Model!$G$14-Model!$F$14)</f>
        <v>0.60713998577836592</v>
      </c>
      <c r="C4181" s="32">
        <f ca="1">Model!$F$15+RAND()*(Model!$G$15-Model!$F$15)</f>
        <v>3.6298267278560198E-2</v>
      </c>
      <c r="D4181" s="33">
        <f ca="1">Model!$F$16+RAND()*(Model!$G$16-Model!$F$16)</f>
        <v>52.273567505379432</v>
      </c>
      <c r="E4181" s="33">
        <f>Model!$D$17</f>
        <v>800</v>
      </c>
      <c r="G4181" s="36">
        <f t="shared" ca="1" si="67"/>
        <v>1352.9004150561168</v>
      </c>
    </row>
    <row r="4182" spans="1:7" x14ac:dyDescent="0.2">
      <c r="A4182" s="6">
        <f ca="1">Model!$F$13+RAND()*(Model!$G$13-Model!$F$13)</f>
        <v>1757.0152335215034</v>
      </c>
      <c r="B4182" s="31">
        <f ca="1">Model!$F$14+RAND()*(Model!$G$14-Model!$F$14)</f>
        <v>0.61406354535336993</v>
      </c>
      <c r="C4182" s="32">
        <f ca="1">Model!$F$15+RAND()*(Model!$G$15-Model!$F$15)</f>
        <v>1.0007300319679694E-2</v>
      </c>
      <c r="D4182" s="33">
        <f ca="1">Model!$F$16+RAND()*(Model!$G$16-Model!$F$16)</f>
        <v>49.431340188650637</v>
      </c>
      <c r="E4182" s="33">
        <f>Model!$D$17</f>
        <v>800</v>
      </c>
      <c r="G4182" s="36">
        <f t="shared" ca="1" si="67"/>
        <v>-1009.7687817135749</v>
      </c>
    </row>
    <row r="4183" spans="1:7" x14ac:dyDescent="0.2">
      <c r="A4183" s="6">
        <f ca="1">Model!$F$13+RAND()*(Model!$G$13-Model!$F$13)</f>
        <v>1224.1550460108965</v>
      </c>
      <c r="B4183" s="31">
        <f ca="1">Model!$F$14+RAND()*(Model!$G$14-Model!$F$14)</f>
        <v>0.78403182685202411</v>
      </c>
      <c r="C4183" s="32">
        <f ca="1">Model!$F$15+RAND()*(Model!$G$15-Model!$F$15)</f>
        <v>2.2630854308002851E-2</v>
      </c>
      <c r="D4183" s="33">
        <f ca="1">Model!$F$16+RAND()*(Model!$G$16-Model!$F$16)</f>
        <v>48.566880424712132</v>
      </c>
      <c r="E4183" s="33">
        <f>Model!$D$17</f>
        <v>800</v>
      </c>
      <c r="G4183" s="36">
        <f t="shared" ca="1" si="67"/>
        <v>-414.29547046868447</v>
      </c>
    </row>
    <row r="4184" spans="1:7" x14ac:dyDescent="0.2">
      <c r="A4184" s="6">
        <f ca="1">Model!$F$13+RAND()*(Model!$G$13-Model!$F$13)</f>
        <v>1725.5651060206983</v>
      </c>
      <c r="B4184" s="31">
        <f ca="1">Model!$F$14+RAND()*(Model!$G$14-Model!$F$14)</f>
        <v>0.69284807530675985</v>
      </c>
      <c r="C4184" s="32">
        <f ca="1">Model!$F$15+RAND()*(Model!$G$15-Model!$F$15)</f>
        <v>4.3779334092190057E-2</v>
      </c>
      <c r="D4184" s="33">
        <f ca="1">Model!$F$16+RAND()*(Model!$G$16-Model!$F$16)</f>
        <v>51.346429279380402</v>
      </c>
      <c r="E4184" s="33">
        <f>Model!$D$17</f>
        <v>800</v>
      </c>
      <c r="G4184" s="36">
        <f t="shared" ca="1" si="67"/>
        <v>1883.3648775682395</v>
      </c>
    </row>
    <row r="4185" spans="1:7" x14ac:dyDescent="0.2">
      <c r="A4185" s="6">
        <f ca="1">Model!$F$13+RAND()*(Model!$G$13-Model!$F$13)</f>
        <v>1472.8249929822446</v>
      </c>
      <c r="B4185" s="31">
        <f ca="1">Model!$F$14+RAND()*(Model!$G$14-Model!$F$14)</f>
        <v>0.53159284728170264</v>
      </c>
      <c r="C4185" s="32">
        <f ca="1">Model!$F$15+RAND()*(Model!$G$15-Model!$F$15)</f>
        <v>4.1111842798116055E-2</v>
      </c>
      <c r="D4185" s="33">
        <f ca="1">Model!$F$16+RAND()*(Model!$G$16-Model!$F$16)</f>
        <v>48.352080839397125</v>
      </c>
      <c r="E4185" s="33">
        <f>Model!$D$17</f>
        <v>800</v>
      </c>
      <c r="G4185" s="36">
        <f t="shared" ca="1" si="67"/>
        <v>1344.801836625094</v>
      </c>
    </row>
    <row r="4186" spans="1:7" x14ac:dyDescent="0.2">
      <c r="A4186" s="6">
        <f ca="1">Model!$F$13+RAND()*(Model!$G$13-Model!$F$13)</f>
        <v>1607.2613192799681</v>
      </c>
      <c r="B4186" s="31">
        <f ca="1">Model!$F$14+RAND()*(Model!$G$14-Model!$F$14)</f>
        <v>0.4000514889914244</v>
      </c>
      <c r="C4186" s="32">
        <f ca="1">Model!$F$15+RAND()*(Model!$G$15-Model!$F$15)</f>
        <v>3.9600025004457161E-2</v>
      </c>
      <c r="D4186" s="33">
        <f ca="1">Model!$F$16+RAND()*(Model!$G$16-Model!$F$16)</f>
        <v>48.001325138137091</v>
      </c>
      <c r="E4186" s="33">
        <f>Model!$D$17</f>
        <v>800</v>
      </c>
      <c r="G4186" s="36">
        <f t="shared" ca="1" si="67"/>
        <v>1612.1813026153027</v>
      </c>
    </row>
    <row r="4187" spans="1:7" x14ac:dyDescent="0.2">
      <c r="A4187" s="6">
        <f ca="1">Model!$F$13+RAND()*(Model!$G$13-Model!$F$13)</f>
        <v>1203.7934781602205</v>
      </c>
      <c r="B4187" s="31">
        <f ca="1">Model!$F$14+RAND()*(Model!$G$14-Model!$F$14)</f>
        <v>0.32469228912915837</v>
      </c>
      <c r="C4187" s="32">
        <f ca="1">Model!$F$15+RAND()*(Model!$G$15-Model!$F$15)</f>
        <v>2.8962780891588644E-2</v>
      </c>
      <c r="D4187" s="33">
        <f ca="1">Model!$F$16+RAND()*(Model!$G$16-Model!$F$16)</f>
        <v>50.353210240655898</v>
      </c>
      <c r="E4187" s="33">
        <f>Model!$D$17</f>
        <v>800</v>
      </c>
      <c r="G4187" s="36">
        <f t="shared" ca="1" si="67"/>
        <v>564.71262533681124</v>
      </c>
    </row>
    <row r="4188" spans="1:7" x14ac:dyDescent="0.2">
      <c r="A4188" s="6">
        <f ca="1">Model!$F$13+RAND()*(Model!$G$13-Model!$F$13)</f>
        <v>1458.6030271698144</v>
      </c>
      <c r="B4188" s="31">
        <f ca="1">Model!$F$14+RAND()*(Model!$G$14-Model!$F$14)</f>
        <v>0.57452574197034045</v>
      </c>
      <c r="C4188" s="32">
        <f ca="1">Model!$F$15+RAND()*(Model!$G$15-Model!$F$15)</f>
        <v>4.0925528762120758E-2</v>
      </c>
      <c r="D4188" s="33">
        <f ca="1">Model!$F$16+RAND()*(Model!$G$16-Model!$F$16)</f>
        <v>47.334399143369843</v>
      </c>
      <c r="E4188" s="33">
        <f>Model!$D$17</f>
        <v>800</v>
      </c>
      <c r="G4188" s="36">
        <f t="shared" ca="1" si="67"/>
        <v>1187.579376151315</v>
      </c>
    </row>
    <row r="4189" spans="1:7" x14ac:dyDescent="0.2">
      <c r="A4189" s="6">
        <f ca="1">Model!$F$13+RAND()*(Model!$G$13-Model!$F$13)</f>
        <v>1230.286049474287</v>
      </c>
      <c r="B4189" s="31">
        <f ca="1">Model!$F$14+RAND()*(Model!$G$14-Model!$F$14)</f>
        <v>0.77611062895492178</v>
      </c>
      <c r="C4189" s="32">
        <f ca="1">Model!$F$15+RAND()*(Model!$G$15-Model!$F$15)</f>
        <v>4.0675766640095895E-2</v>
      </c>
      <c r="D4189" s="33">
        <f ca="1">Model!$F$16+RAND()*(Model!$G$16-Model!$F$16)</f>
        <v>52.290015973753377</v>
      </c>
      <c r="E4189" s="33">
        <f>Model!$D$17</f>
        <v>800</v>
      </c>
      <c r="G4189" s="36">
        <f t="shared" ca="1" si="67"/>
        <v>861.9022088590882</v>
      </c>
    </row>
    <row r="4190" spans="1:7" x14ac:dyDescent="0.2">
      <c r="A4190" s="6">
        <f ca="1">Model!$F$13+RAND()*(Model!$G$13-Model!$F$13)</f>
        <v>1464.0196736596135</v>
      </c>
      <c r="B4190" s="31">
        <f ca="1">Model!$F$14+RAND()*(Model!$G$14-Model!$F$14)</f>
        <v>0.73164458696215928</v>
      </c>
      <c r="C4190" s="32">
        <f ca="1">Model!$F$15+RAND()*(Model!$G$15-Model!$F$15)</f>
        <v>3.2632054926838065E-2</v>
      </c>
      <c r="D4190" s="33">
        <f ca="1">Model!$F$16+RAND()*(Model!$G$16-Model!$F$16)</f>
        <v>52.422991058057136</v>
      </c>
      <c r="E4190" s="33">
        <f>Model!$D$17</f>
        <v>800</v>
      </c>
      <c r="G4190" s="36">
        <f t="shared" ca="1" si="67"/>
        <v>633.31235390123356</v>
      </c>
    </row>
    <row r="4191" spans="1:7" x14ac:dyDescent="0.2">
      <c r="A4191" s="6">
        <f ca="1">Model!$F$13+RAND()*(Model!$G$13-Model!$F$13)</f>
        <v>1254.8441200270406</v>
      </c>
      <c r="B4191" s="31">
        <f ca="1">Model!$F$14+RAND()*(Model!$G$14-Model!$F$14)</f>
        <v>0.76159561419492205</v>
      </c>
      <c r="C4191" s="32">
        <f ca="1">Model!$F$15+RAND()*(Model!$G$15-Model!$F$15)</f>
        <v>3.2095310466813902E-2</v>
      </c>
      <c r="D4191" s="33">
        <f ca="1">Model!$F$16+RAND()*(Model!$G$16-Model!$F$16)</f>
        <v>51.868120086489192</v>
      </c>
      <c r="E4191" s="33">
        <f>Model!$D$17</f>
        <v>800</v>
      </c>
      <c r="G4191" s="36">
        <f t="shared" ca="1" si="67"/>
        <v>333.28461361766449</v>
      </c>
    </row>
    <row r="4192" spans="1:7" x14ac:dyDescent="0.2">
      <c r="A4192" s="6">
        <f ca="1">Model!$F$13+RAND()*(Model!$G$13-Model!$F$13)</f>
        <v>1250.8485758152392</v>
      </c>
      <c r="B4192" s="31">
        <f ca="1">Model!$F$14+RAND()*(Model!$G$14-Model!$F$14)</f>
        <v>0.54962503691327969</v>
      </c>
      <c r="C4192" s="32">
        <f ca="1">Model!$F$15+RAND()*(Model!$G$15-Model!$F$15)</f>
        <v>3.6234818711816726E-2</v>
      </c>
      <c r="D4192" s="33">
        <f ca="1">Model!$F$16+RAND()*(Model!$G$16-Model!$F$16)</f>
        <v>48.026342765004031</v>
      </c>
      <c r="E4192" s="33">
        <f>Model!$D$17</f>
        <v>800</v>
      </c>
      <c r="G4192" s="36">
        <f t="shared" ca="1" si="67"/>
        <v>689.26129824335203</v>
      </c>
    </row>
    <row r="4193" spans="1:7" x14ac:dyDescent="0.2">
      <c r="A4193" s="6">
        <f ca="1">Model!$F$13+RAND()*(Model!$G$13-Model!$F$13)</f>
        <v>1470.6470331787386</v>
      </c>
      <c r="B4193" s="31">
        <f ca="1">Model!$F$14+RAND()*(Model!$G$14-Model!$F$14)</f>
        <v>0.45780576779259424</v>
      </c>
      <c r="C4193" s="32">
        <f ca="1">Model!$F$15+RAND()*(Model!$G$15-Model!$F$15)</f>
        <v>4.0221735931038352E-2</v>
      </c>
      <c r="D4193" s="33">
        <f ca="1">Model!$F$16+RAND()*(Model!$G$16-Model!$F$16)</f>
        <v>48.558640196528678</v>
      </c>
      <c r="E4193" s="33">
        <f>Model!$D$17</f>
        <v>800</v>
      </c>
      <c r="G4193" s="36">
        <f t="shared" ca="1" si="67"/>
        <v>1399.0688552471358</v>
      </c>
    </row>
    <row r="4194" spans="1:7" x14ac:dyDescent="0.2">
      <c r="A4194" s="6">
        <f ca="1">Model!$F$13+RAND()*(Model!$G$13-Model!$F$13)</f>
        <v>1565.8675192660205</v>
      </c>
      <c r="B4194" s="31">
        <f ca="1">Model!$F$14+RAND()*(Model!$G$14-Model!$F$14)</f>
        <v>0.49389255332579091</v>
      </c>
      <c r="C4194" s="32">
        <f ca="1">Model!$F$15+RAND()*(Model!$G$15-Model!$F$15)</f>
        <v>1.2290520328600243E-2</v>
      </c>
      <c r="D4194" s="33">
        <f ca="1">Model!$F$16+RAND()*(Model!$G$16-Model!$F$16)</f>
        <v>47.088504535950086</v>
      </c>
      <c r="E4194" s="33">
        <f>Model!$D$17</f>
        <v>800</v>
      </c>
      <c r="G4194" s="36">
        <f t="shared" ca="1" si="67"/>
        <v>-667.13665942288208</v>
      </c>
    </row>
    <row r="4195" spans="1:7" x14ac:dyDescent="0.2">
      <c r="A4195" s="6">
        <f ca="1">Model!$F$13+RAND()*(Model!$G$13-Model!$F$13)</f>
        <v>1219.0048927950293</v>
      </c>
      <c r="B4195" s="31">
        <f ca="1">Model!$F$14+RAND()*(Model!$G$14-Model!$F$14)</f>
        <v>0.51352788423002149</v>
      </c>
      <c r="C4195" s="32">
        <f ca="1">Model!$F$15+RAND()*(Model!$G$15-Model!$F$15)</f>
        <v>3.7748274104828491E-2</v>
      </c>
      <c r="D4195" s="33">
        <f ca="1">Model!$F$16+RAND()*(Model!$G$16-Model!$F$16)</f>
        <v>49.836016823426021</v>
      </c>
      <c r="E4195" s="33">
        <f>Model!$D$17</f>
        <v>800</v>
      </c>
      <c r="G4195" s="36">
        <f t="shared" ca="1" si="67"/>
        <v>867.22779783427995</v>
      </c>
    </row>
    <row r="4196" spans="1:7" x14ac:dyDescent="0.2">
      <c r="A4196" s="6">
        <f ca="1">Model!$F$13+RAND()*(Model!$G$13-Model!$F$13)</f>
        <v>1457.8596239892975</v>
      </c>
      <c r="B4196" s="31">
        <f ca="1">Model!$F$14+RAND()*(Model!$G$14-Model!$F$14)</f>
        <v>0.57576652952728802</v>
      </c>
      <c r="C4196" s="32">
        <f ca="1">Model!$F$15+RAND()*(Model!$G$15-Model!$F$15)</f>
        <v>2.2565850271494672E-2</v>
      </c>
      <c r="D4196" s="33">
        <f ca="1">Model!$F$16+RAND()*(Model!$G$16-Model!$F$16)</f>
        <v>49.549694230617312</v>
      </c>
      <c r="E4196" s="33">
        <f>Model!$D$17</f>
        <v>800</v>
      </c>
      <c r="G4196" s="36">
        <f t="shared" ca="1" si="67"/>
        <v>-9.3087647014222057</v>
      </c>
    </row>
    <row r="4197" spans="1:7" x14ac:dyDescent="0.2">
      <c r="A4197" s="6">
        <f ca="1">Model!$F$13+RAND()*(Model!$G$13-Model!$F$13)</f>
        <v>1202.1665623528156</v>
      </c>
      <c r="B4197" s="31">
        <f ca="1">Model!$F$14+RAND()*(Model!$G$14-Model!$F$14)</f>
        <v>0.76614883082479479</v>
      </c>
      <c r="C4197" s="32">
        <f ca="1">Model!$F$15+RAND()*(Model!$G$15-Model!$F$15)</f>
        <v>1.0840312020390193E-2</v>
      </c>
      <c r="D4197" s="33">
        <f ca="1">Model!$F$16+RAND()*(Model!$G$16-Model!$F$16)</f>
        <v>48.615335527499518</v>
      </c>
      <c r="E4197" s="33">
        <f>Model!$D$17</f>
        <v>800</v>
      </c>
      <c r="G4197" s="36">
        <f t="shared" ca="1" si="67"/>
        <v>-1087.4902288178323</v>
      </c>
    </row>
    <row r="4198" spans="1:7" x14ac:dyDescent="0.2">
      <c r="A4198" s="6">
        <f ca="1">Model!$F$13+RAND()*(Model!$G$13-Model!$F$13)</f>
        <v>1421.3052581535401</v>
      </c>
      <c r="B4198" s="31">
        <f ca="1">Model!$F$14+RAND()*(Model!$G$14-Model!$F$14)</f>
        <v>0.20078900835453711</v>
      </c>
      <c r="C4198" s="32">
        <f ca="1">Model!$F$15+RAND()*(Model!$G$15-Model!$F$15)</f>
        <v>3.7878053210178127E-2</v>
      </c>
      <c r="D4198" s="33">
        <f ca="1">Model!$F$16+RAND()*(Model!$G$16-Model!$F$16)</f>
        <v>51.049038438337739</v>
      </c>
      <c r="E4198" s="33">
        <f>Model!$D$17</f>
        <v>800</v>
      </c>
      <c r="G4198" s="36">
        <f t="shared" ca="1" si="67"/>
        <v>1662.9076595653776</v>
      </c>
    </row>
    <row r="4199" spans="1:7" x14ac:dyDescent="0.2">
      <c r="A4199" s="6">
        <f ca="1">Model!$F$13+RAND()*(Model!$G$13-Model!$F$13)</f>
        <v>1773.8321519325352</v>
      </c>
      <c r="B4199" s="31">
        <f ca="1">Model!$F$14+RAND()*(Model!$G$14-Model!$F$14)</f>
        <v>0.56026022174926937</v>
      </c>
      <c r="C4199" s="32">
        <f ca="1">Model!$F$15+RAND()*(Model!$G$15-Model!$F$15)</f>
        <v>1.3754239862504933E-2</v>
      </c>
      <c r="D4199" s="33">
        <f ca="1">Model!$F$16+RAND()*(Model!$G$16-Model!$F$16)</f>
        <v>50.671257451164841</v>
      </c>
      <c r="E4199" s="33">
        <f>Model!$D$17</f>
        <v>800</v>
      </c>
      <c r="G4199" s="36">
        <f t="shared" ca="1" si="67"/>
        <v>-557.54480354139196</v>
      </c>
    </row>
    <row r="4200" spans="1:7" x14ac:dyDescent="0.2">
      <c r="A4200" s="6">
        <f ca="1">Model!$F$13+RAND()*(Model!$G$13-Model!$F$13)</f>
        <v>1571.580670545821</v>
      </c>
      <c r="B4200" s="31">
        <f ca="1">Model!$F$14+RAND()*(Model!$G$14-Model!$F$14)</f>
        <v>0.21721061059262803</v>
      </c>
      <c r="C4200" s="32">
        <f ca="1">Model!$F$15+RAND()*(Model!$G$15-Model!$F$15)</f>
        <v>1.9147528813260734E-2</v>
      </c>
      <c r="D4200" s="33">
        <f ca="1">Model!$F$16+RAND()*(Model!$G$16-Model!$F$16)</f>
        <v>52.489869755001024</v>
      </c>
      <c r="E4200" s="33">
        <f>Model!$D$17</f>
        <v>800</v>
      </c>
      <c r="G4200" s="36">
        <f t="shared" ca="1" si="67"/>
        <v>438.15518878685634</v>
      </c>
    </row>
    <row r="4201" spans="1:7" x14ac:dyDescent="0.2">
      <c r="A4201" s="6">
        <f ca="1">Model!$F$13+RAND()*(Model!$G$13-Model!$F$13)</f>
        <v>1237.4194882681697</v>
      </c>
      <c r="B4201" s="31">
        <f ca="1">Model!$F$14+RAND()*(Model!$G$14-Model!$F$14)</f>
        <v>0.75582172972386275</v>
      </c>
      <c r="C4201" s="32">
        <f ca="1">Model!$F$15+RAND()*(Model!$G$15-Model!$F$15)</f>
        <v>1.2697898277165698E-2</v>
      </c>
      <c r="D4201" s="33">
        <f ca="1">Model!$F$16+RAND()*(Model!$G$16-Model!$F$16)</f>
        <v>47.254732449911657</v>
      </c>
      <c r="E4201" s="33">
        <f>Model!$D$17</f>
        <v>800</v>
      </c>
      <c r="G4201" s="36">
        <f t="shared" ref="G4201:G4264" ca="1" si="68">A4201*C4201*D4201-(E4201+A4201*B4201)</f>
        <v>-992.77256305460878</v>
      </c>
    </row>
    <row r="4202" spans="1:7" x14ac:dyDescent="0.2">
      <c r="A4202" s="6">
        <f ca="1">Model!$F$13+RAND()*(Model!$G$13-Model!$F$13)</f>
        <v>1536.2472634237167</v>
      </c>
      <c r="B4202" s="31">
        <f ca="1">Model!$F$14+RAND()*(Model!$G$14-Model!$F$14)</f>
        <v>0.79248053194737045</v>
      </c>
      <c r="C4202" s="32">
        <f ca="1">Model!$F$15+RAND()*(Model!$G$15-Model!$F$15)</f>
        <v>1.8213600184294132E-2</v>
      </c>
      <c r="D4202" s="33">
        <f ca="1">Model!$F$16+RAND()*(Model!$G$16-Model!$F$16)</f>
        <v>49.631844152904655</v>
      </c>
      <c r="E4202" s="33">
        <f>Model!$D$17</f>
        <v>800</v>
      </c>
      <c r="G4202" s="36">
        <f t="shared" ca="1" si="68"/>
        <v>-628.71759559015391</v>
      </c>
    </row>
    <row r="4203" spans="1:7" x14ac:dyDescent="0.2">
      <c r="A4203" s="6">
        <f ca="1">Model!$F$13+RAND()*(Model!$G$13-Model!$F$13)</f>
        <v>1533.6212517292656</v>
      </c>
      <c r="B4203" s="31">
        <f ca="1">Model!$F$14+RAND()*(Model!$G$14-Model!$F$14)</f>
        <v>0.22747552824273057</v>
      </c>
      <c r="C4203" s="32">
        <f ca="1">Model!$F$15+RAND()*(Model!$G$15-Model!$F$15)</f>
        <v>3.9438414765091204E-2</v>
      </c>
      <c r="D4203" s="33">
        <f ca="1">Model!$F$16+RAND()*(Model!$G$16-Model!$F$16)</f>
        <v>51.055873115260844</v>
      </c>
      <c r="E4203" s="33">
        <f>Model!$D$17</f>
        <v>800</v>
      </c>
      <c r="G4203" s="36">
        <f t="shared" ca="1" si="68"/>
        <v>1939.1812442220739</v>
      </c>
    </row>
    <row r="4204" spans="1:7" x14ac:dyDescent="0.2">
      <c r="A4204" s="6">
        <f ca="1">Model!$F$13+RAND()*(Model!$G$13-Model!$F$13)</f>
        <v>1258.7681737583405</v>
      </c>
      <c r="B4204" s="31">
        <f ca="1">Model!$F$14+RAND()*(Model!$G$14-Model!$F$14)</f>
        <v>0.31666830358616371</v>
      </c>
      <c r="C4204" s="32">
        <f ca="1">Model!$F$15+RAND()*(Model!$G$15-Model!$F$15)</f>
        <v>1.69736001479707E-2</v>
      </c>
      <c r="D4204" s="33">
        <f ca="1">Model!$F$16+RAND()*(Model!$G$16-Model!$F$16)</f>
        <v>47.472066167407853</v>
      </c>
      <c r="E4204" s="33">
        <f>Model!$D$17</f>
        <v>800</v>
      </c>
      <c r="G4204" s="36">
        <f t="shared" ca="1" si="68"/>
        <v>-184.33199777800905</v>
      </c>
    </row>
    <row r="4205" spans="1:7" x14ac:dyDescent="0.2">
      <c r="A4205" s="6">
        <f ca="1">Model!$F$13+RAND()*(Model!$G$13-Model!$F$13)</f>
        <v>1390.7681852895798</v>
      </c>
      <c r="B4205" s="31">
        <f ca="1">Model!$F$14+RAND()*(Model!$G$14-Model!$F$14)</f>
        <v>0.73539395998859569</v>
      </c>
      <c r="C4205" s="32">
        <f ca="1">Model!$F$15+RAND()*(Model!$G$15-Model!$F$15)</f>
        <v>3.8277268631648334E-2</v>
      </c>
      <c r="D4205" s="33">
        <f ca="1">Model!$F$16+RAND()*(Model!$G$16-Model!$F$16)</f>
        <v>48.125854615200517</v>
      </c>
      <c r="E4205" s="33">
        <f>Model!$D$17</f>
        <v>800</v>
      </c>
      <c r="G4205" s="36">
        <f t="shared" ca="1" si="68"/>
        <v>739.20807976706305</v>
      </c>
    </row>
    <row r="4206" spans="1:7" x14ac:dyDescent="0.2">
      <c r="A4206" s="6">
        <f ca="1">Model!$F$13+RAND()*(Model!$G$13-Model!$F$13)</f>
        <v>1696.3066394569532</v>
      </c>
      <c r="B4206" s="31">
        <f ca="1">Model!$F$14+RAND()*(Model!$G$14-Model!$F$14)</f>
        <v>0.61611079909866606</v>
      </c>
      <c r="C4206" s="32">
        <f ca="1">Model!$F$15+RAND()*(Model!$G$15-Model!$F$15)</f>
        <v>2.8765150574331391E-2</v>
      </c>
      <c r="D4206" s="33">
        <f ca="1">Model!$F$16+RAND()*(Model!$G$16-Model!$F$16)</f>
        <v>48.50517192272995</v>
      </c>
      <c r="E4206" s="33">
        <f>Model!$D$17</f>
        <v>800</v>
      </c>
      <c r="G4206" s="36">
        <f t="shared" ca="1" si="68"/>
        <v>521.67354366824588</v>
      </c>
    </row>
    <row r="4207" spans="1:7" x14ac:dyDescent="0.2">
      <c r="A4207" s="6">
        <f ca="1">Model!$F$13+RAND()*(Model!$G$13-Model!$F$13)</f>
        <v>1460.2540708394531</v>
      </c>
      <c r="B4207" s="31">
        <f ca="1">Model!$F$14+RAND()*(Model!$G$14-Model!$F$14)</f>
        <v>0.75202665940240299</v>
      </c>
      <c r="C4207" s="32">
        <f ca="1">Model!$F$15+RAND()*(Model!$G$15-Model!$F$15)</f>
        <v>2.5629196634227094E-2</v>
      </c>
      <c r="D4207" s="33">
        <f ca="1">Model!$F$16+RAND()*(Model!$G$16-Model!$F$16)</f>
        <v>50.520364816038636</v>
      </c>
      <c r="E4207" s="33">
        <f>Model!$D$17</f>
        <v>800</v>
      </c>
      <c r="G4207" s="36">
        <f t="shared" ca="1" si="68"/>
        <v>-7.4183294744684645</v>
      </c>
    </row>
    <row r="4208" spans="1:7" x14ac:dyDescent="0.2">
      <c r="A4208" s="6">
        <f ca="1">Model!$F$13+RAND()*(Model!$G$13-Model!$F$13)</f>
        <v>1790.2735301567147</v>
      </c>
      <c r="B4208" s="31">
        <f ca="1">Model!$F$14+RAND()*(Model!$G$14-Model!$F$14)</f>
        <v>0.76355067069941374</v>
      </c>
      <c r="C4208" s="32">
        <f ca="1">Model!$F$15+RAND()*(Model!$G$15-Model!$F$15)</f>
        <v>2.4984790032624927E-2</v>
      </c>
      <c r="D4208" s="33">
        <f ca="1">Model!$F$16+RAND()*(Model!$G$16-Model!$F$16)</f>
        <v>49.501586442429137</v>
      </c>
      <c r="E4208" s="33">
        <f>Model!$D$17</f>
        <v>800</v>
      </c>
      <c r="G4208" s="36">
        <f t="shared" ca="1" si="68"/>
        <v>47.222014732423304</v>
      </c>
    </row>
    <row r="4209" spans="1:7" x14ac:dyDescent="0.2">
      <c r="A4209" s="6">
        <f ca="1">Model!$F$13+RAND()*(Model!$G$13-Model!$F$13)</f>
        <v>1396.27431768108</v>
      </c>
      <c r="B4209" s="31">
        <f ca="1">Model!$F$14+RAND()*(Model!$G$14-Model!$F$14)</f>
        <v>0.20161426789472353</v>
      </c>
      <c r="C4209" s="32">
        <f ca="1">Model!$F$15+RAND()*(Model!$G$15-Model!$F$15)</f>
        <v>1.6075531634642436E-2</v>
      </c>
      <c r="D4209" s="33">
        <f ca="1">Model!$F$16+RAND()*(Model!$G$16-Model!$F$16)</f>
        <v>47.616932481014267</v>
      </c>
      <c r="E4209" s="33">
        <f>Model!$D$17</f>
        <v>800</v>
      </c>
      <c r="G4209" s="36">
        <f t="shared" ca="1" si="68"/>
        <v>-12.706206866038428</v>
      </c>
    </row>
    <row r="4210" spans="1:7" x14ac:dyDescent="0.2">
      <c r="A4210" s="6">
        <f ca="1">Model!$F$13+RAND()*(Model!$G$13-Model!$F$13)</f>
        <v>1790.4234995923211</v>
      </c>
      <c r="B4210" s="31">
        <f ca="1">Model!$F$14+RAND()*(Model!$G$14-Model!$F$14)</f>
        <v>0.20238096799904626</v>
      </c>
      <c r="C4210" s="32">
        <f ca="1">Model!$F$15+RAND()*(Model!$G$15-Model!$F$15)</f>
        <v>3.2326648462972056E-2</v>
      </c>
      <c r="D4210" s="33">
        <f ca="1">Model!$F$16+RAND()*(Model!$G$16-Model!$F$16)</f>
        <v>47.046035837516449</v>
      </c>
      <c r="E4210" s="33">
        <f>Model!$D$17</f>
        <v>800</v>
      </c>
      <c r="G4210" s="36">
        <f t="shared" ca="1" si="68"/>
        <v>1560.6012195760941</v>
      </c>
    </row>
    <row r="4211" spans="1:7" x14ac:dyDescent="0.2">
      <c r="A4211" s="6">
        <f ca="1">Model!$F$13+RAND()*(Model!$G$13-Model!$F$13)</f>
        <v>1626.9888595957846</v>
      </c>
      <c r="B4211" s="31">
        <f ca="1">Model!$F$14+RAND()*(Model!$G$14-Model!$F$14)</f>
        <v>0.64538164732378456</v>
      </c>
      <c r="C4211" s="32">
        <f ca="1">Model!$F$15+RAND()*(Model!$G$15-Model!$F$15)</f>
        <v>1.4344717482839508E-2</v>
      </c>
      <c r="D4211" s="33">
        <f ca="1">Model!$F$16+RAND()*(Model!$G$16-Model!$F$16)</f>
        <v>49.126947010773662</v>
      </c>
      <c r="E4211" s="33">
        <f>Model!$D$17</f>
        <v>800</v>
      </c>
      <c r="G4211" s="36">
        <f t="shared" ca="1" si="68"/>
        <v>-703.46989135657827</v>
      </c>
    </row>
    <row r="4212" spans="1:7" x14ac:dyDescent="0.2">
      <c r="A4212" s="6">
        <f ca="1">Model!$F$13+RAND()*(Model!$G$13-Model!$F$13)</f>
        <v>1391.0973285712921</v>
      </c>
      <c r="B4212" s="31">
        <f ca="1">Model!$F$14+RAND()*(Model!$G$14-Model!$F$14)</f>
        <v>0.33253296099667501</v>
      </c>
      <c r="C4212" s="32">
        <f ca="1">Model!$F$15+RAND()*(Model!$G$15-Model!$F$15)</f>
        <v>3.4881950244876163E-2</v>
      </c>
      <c r="D4212" s="33">
        <f ca="1">Model!$F$16+RAND()*(Model!$G$16-Model!$F$16)</f>
        <v>51.2366600104817</v>
      </c>
      <c r="E4212" s="33">
        <f>Model!$D$17</f>
        <v>800</v>
      </c>
      <c r="G4212" s="36">
        <f t="shared" ca="1" si="68"/>
        <v>1223.6315989404275</v>
      </c>
    </row>
    <row r="4213" spans="1:7" x14ac:dyDescent="0.2">
      <c r="A4213" s="6">
        <f ca="1">Model!$F$13+RAND()*(Model!$G$13-Model!$F$13)</f>
        <v>1351.3384208799328</v>
      </c>
      <c r="B4213" s="31">
        <f ca="1">Model!$F$14+RAND()*(Model!$G$14-Model!$F$14)</f>
        <v>0.52684598275587646</v>
      </c>
      <c r="C4213" s="32">
        <f ca="1">Model!$F$15+RAND()*(Model!$G$15-Model!$F$15)</f>
        <v>4.7620275501861827E-2</v>
      </c>
      <c r="D4213" s="33">
        <f ca="1">Model!$F$16+RAND()*(Model!$G$16-Model!$F$16)</f>
        <v>52.596624029002122</v>
      </c>
      <c r="E4213" s="33">
        <f>Model!$D$17</f>
        <v>800</v>
      </c>
      <c r="G4213" s="36">
        <f t="shared" ca="1" si="68"/>
        <v>1872.7038096056949</v>
      </c>
    </row>
    <row r="4214" spans="1:7" x14ac:dyDescent="0.2">
      <c r="A4214" s="6">
        <f ca="1">Model!$F$13+RAND()*(Model!$G$13-Model!$F$13)</f>
        <v>1580.6149197214902</v>
      </c>
      <c r="B4214" s="31">
        <f ca="1">Model!$F$14+RAND()*(Model!$G$14-Model!$F$14)</f>
        <v>0.39693944450055674</v>
      </c>
      <c r="C4214" s="32">
        <f ca="1">Model!$F$15+RAND()*(Model!$G$15-Model!$F$15)</f>
        <v>3.0736404314335483E-2</v>
      </c>
      <c r="D4214" s="33">
        <f ca="1">Model!$F$16+RAND()*(Model!$G$16-Model!$F$16)</f>
        <v>52.723215870036107</v>
      </c>
      <c r="E4214" s="33">
        <f>Model!$D$17</f>
        <v>800</v>
      </c>
      <c r="G4214" s="36">
        <f t="shared" ca="1" si="68"/>
        <v>1134.0129687611995</v>
      </c>
    </row>
    <row r="4215" spans="1:7" x14ac:dyDescent="0.2">
      <c r="A4215" s="6">
        <f ca="1">Model!$F$13+RAND()*(Model!$G$13-Model!$F$13)</f>
        <v>1710.5789515417719</v>
      </c>
      <c r="B4215" s="31">
        <f ca="1">Model!$F$14+RAND()*(Model!$G$14-Model!$F$14)</f>
        <v>0.61711205032093486</v>
      </c>
      <c r="C4215" s="32">
        <f ca="1">Model!$F$15+RAND()*(Model!$G$15-Model!$F$15)</f>
        <v>4.8540196083866873E-2</v>
      </c>
      <c r="D4215" s="33">
        <f ca="1">Model!$F$16+RAND()*(Model!$G$16-Model!$F$16)</f>
        <v>52.701819516037574</v>
      </c>
      <c r="E4215" s="33">
        <f>Model!$D$17</f>
        <v>800</v>
      </c>
      <c r="G4215" s="36">
        <f t="shared" ca="1" si="68"/>
        <v>2520.3100418341296</v>
      </c>
    </row>
    <row r="4216" spans="1:7" x14ac:dyDescent="0.2">
      <c r="A4216" s="6">
        <f ca="1">Model!$F$13+RAND()*(Model!$G$13-Model!$F$13)</f>
        <v>1291.9891417802355</v>
      </c>
      <c r="B4216" s="31">
        <f ca="1">Model!$F$14+RAND()*(Model!$G$14-Model!$F$14)</f>
        <v>0.54999029249251707</v>
      </c>
      <c r="C4216" s="32">
        <f ca="1">Model!$F$15+RAND()*(Model!$G$15-Model!$F$15)</f>
        <v>3.8270282738874783E-2</v>
      </c>
      <c r="D4216" s="33">
        <f ca="1">Model!$F$16+RAND()*(Model!$G$16-Model!$F$16)</f>
        <v>52.893665840030401</v>
      </c>
      <c r="E4216" s="33">
        <f>Model!$D$17</f>
        <v>800</v>
      </c>
      <c r="G4216" s="36">
        <f t="shared" ca="1" si="68"/>
        <v>1104.7347006607815</v>
      </c>
    </row>
    <row r="4217" spans="1:7" x14ac:dyDescent="0.2">
      <c r="A4217" s="6">
        <f ca="1">Model!$F$13+RAND()*(Model!$G$13-Model!$F$13)</f>
        <v>1488.6517361699773</v>
      </c>
      <c r="B4217" s="31">
        <f ca="1">Model!$F$14+RAND()*(Model!$G$14-Model!$F$14)</f>
        <v>0.56275017208385869</v>
      </c>
      <c r="C4217" s="32">
        <f ca="1">Model!$F$15+RAND()*(Model!$G$15-Model!$F$15)</f>
        <v>2.5764508354474504E-2</v>
      </c>
      <c r="D4217" s="33">
        <f ca="1">Model!$F$16+RAND()*(Model!$G$16-Model!$F$16)</f>
        <v>48.875566387675427</v>
      </c>
      <c r="E4217" s="33">
        <f>Model!$D$17</f>
        <v>800</v>
      </c>
      <c r="G4217" s="36">
        <f t="shared" ca="1" si="68"/>
        <v>236.85302981317545</v>
      </c>
    </row>
    <row r="4218" spans="1:7" x14ac:dyDescent="0.2">
      <c r="A4218" s="6">
        <f ca="1">Model!$F$13+RAND()*(Model!$G$13-Model!$F$13)</f>
        <v>1698.4138427725734</v>
      </c>
      <c r="B4218" s="31">
        <f ca="1">Model!$F$14+RAND()*(Model!$G$14-Model!$F$14)</f>
        <v>0.25239479932549835</v>
      </c>
      <c r="C4218" s="32">
        <f ca="1">Model!$F$15+RAND()*(Model!$G$15-Model!$F$15)</f>
        <v>2.0683884919637813E-2</v>
      </c>
      <c r="D4218" s="33">
        <f ca="1">Model!$F$16+RAND()*(Model!$G$16-Model!$F$16)</f>
        <v>47.419160909400837</v>
      </c>
      <c r="E4218" s="33">
        <f>Model!$D$17</f>
        <v>800</v>
      </c>
      <c r="G4218" s="36">
        <f t="shared" ca="1" si="68"/>
        <v>437.15465049903082</v>
      </c>
    </row>
    <row r="4219" spans="1:7" x14ac:dyDescent="0.2">
      <c r="A4219" s="6">
        <f ca="1">Model!$F$13+RAND()*(Model!$G$13-Model!$F$13)</f>
        <v>1377.6953862266384</v>
      </c>
      <c r="B4219" s="31">
        <f ca="1">Model!$F$14+RAND()*(Model!$G$14-Model!$F$14)</f>
        <v>0.76401260212833044</v>
      </c>
      <c r="C4219" s="32">
        <f ca="1">Model!$F$15+RAND()*(Model!$G$15-Model!$F$15)</f>
        <v>4.283085660589768E-2</v>
      </c>
      <c r="D4219" s="33">
        <f ca="1">Model!$F$16+RAND()*(Model!$G$16-Model!$F$16)</f>
        <v>52.752121849229717</v>
      </c>
      <c r="E4219" s="33">
        <f>Model!$D$17</f>
        <v>800</v>
      </c>
      <c r="G4219" s="36">
        <f t="shared" ca="1" si="68"/>
        <v>1260.2138977625145</v>
      </c>
    </row>
    <row r="4220" spans="1:7" x14ac:dyDescent="0.2">
      <c r="A4220" s="6">
        <f ca="1">Model!$F$13+RAND()*(Model!$G$13-Model!$F$13)</f>
        <v>1363.9299335014007</v>
      </c>
      <c r="B4220" s="31">
        <f ca="1">Model!$F$14+RAND()*(Model!$G$14-Model!$F$14)</f>
        <v>0.24502382773311498</v>
      </c>
      <c r="C4220" s="32">
        <f ca="1">Model!$F$15+RAND()*(Model!$G$15-Model!$F$15)</f>
        <v>2.4337772233593638E-2</v>
      </c>
      <c r="D4220" s="33">
        <f ca="1">Model!$F$16+RAND()*(Model!$G$16-Model!$F$16)</f>
        <v>50.952246422387091</v>
      </c>
      <c r="E4220" s="33">
        <f>Model!$D$17</f>
        <v>800</v>
      </c>
      <c r="G4220" s="36">
        <f t="shared" ca="1" si="68"/>
        <v>557.16530542875103</v>
      </c>
    </row>
    <row r="4221" spans="1:7" x14ac:dyDescent="0.2">
      <c r="A4221" s="6">
        <f ca="1">Model!$F$13+RAND()*(Model!$G$13-Model!$F$13)</f>
        <v>1258.0479624653826</v>
      </c>
      <c r="B4221" s="31">
        <f ca="1">Model!$F$14+RAND()*(Model!$G$14-Model!$F$14)</f>
        <v>0.5978221506707887</v>
      </c>
      <c r="C4221" s="32">
        <f ca="1">Model!$F$15+RAND()*(Model!$G$15-Model!$F$15)</f>
        <v>4.7590878588107226E-2</v>
      </c>
      <c r="D4221" s="33">
        <f ca="1">Model!$F$16+RAND()*(Model!$G$16-Model!$F$16)</f>
        <v>49.576209829490551</v>
      </c>
      <c r="E4221" s="33">
        <f>Model!$D$17</f>
        <v>800</v>
      </c>
      <c r="G4221" s="36">
        <f t="shared" ca="1" si="68"/>
        <v>1416.1184545221629</v>
      </c>
    </row>
    <row r="4222" spans="1:7" x14ac:dyDescent="0.2">
      <c r="A4222" s="6">
        <f ca="1">Model!$F$13+RAND()*(Model!$G$13-Model!$F$13)</f>
        <v>1526.1566443250672</v>
      </c>
      <c r="B4222" s="31">
        <f ca="1">Model!$F$14+RAND()*(Model!$G$14-Model!$F$14)</f>
        <v>0.60442880898448292</v>
      </c>
      <c r="C4222" s="32">
        <f ca="1">Model!$F$15+RAND()*(Model!$G$15-Model!$F$15)</f>
        <v>2.6014092463886862E-2</v>
      </c>
      <c r="D4222" s="33">
        <f ca="1">Model!$F$16+RAND()*(Model!$G$16-Model!$F$16)</f>
        <v>51.878377249895365</v>
      </c>
      <c r="E4222" s="33">
        <f>Model!$D$17</f>
        <v>800</v>
      </c>
      <c r="G4222" s="36">
        <f t="shared" ca="1" si="68"/>
        <v>337.20050490854123</v>
      </c>
    </row>
    <row r="4223" spans="1:7" x14ac:dyDescent="0.2">
      <c r="A4223" s="6">
        <f ca="1">Model!$F$13+RAND()*(Model!$G$13-Model!$F$13)</f>
        <v>1424.378416704483</v>
      </c>
      <c r="B4223" s="31">
        <f ca="1">Model!$F$14+RAND()*(Model!$G$14-Model!$F$14)</f>
        <v>0.58278037030107188</v>
      </c>
      <c r="C4223" s="32">
        <f ca="1">Model!$F$15+RAND()*(Model!$G$15-Model!$F$15)</f>
        <v>1.5976095284360791E-2</v>
      </c>
      <c r="D4223" s="33">
        <f ca="1">Model!$F$16+RAND()*(Model!$G$16-Model!$F$16)</f>
        <v>50.382790836162734</v>
      </c>
      <c r="E4223" s="33">
        <f>Model!$D$17</f>
        <v>800</v>
      </c>
      <c r="G4223" s="36">
        <f t="shared" ca="1" si="68"/>
        <v>-483.58872552409798</v>
      </c>
    </row>
    <row r="4224" spans="1:7" x14ac:dyDescent="0.2">
      <c r="A4224" s="6">
        <f ca="1">Model!$F$13+RAND()*(Model!$G$13-Model!$F$13)</f>
        <v>1282.8356139966729</v>
      </c>
      <c r="B4224" s="31">
        <f ca="1">Model!$F$14+RAND()*(Model!$G$14-Model!$F$14)</f>
        <v>0.77478232945299741</v>
      </c>
      <c r="C4224" s="32">
        <f ca="1">Model!$F$15+RAND()*(Model!$G$15-Model!$F$15)</f>
        <v>4.9136396553480892E-2</v>
      </c>
      <c r="D4224" s="33">
        <f ca="1">Model!$F$16+RAND()*(Model!$G$16-Model!$F$16)</f>
        <v>48.470313462829431</v>
      </c>
      <c r="E4224" s="33">
        <f>Model!$D$17</f>
        <v>800</v>
      </c>
      <c r="G4224" s="36">
        <f t="shared" ca="1" si="68"/>
        <v>1261.355468839892</v>
      </c>
    </row>
    <row r="4225" spans="1:7" x14ac:dyDescent="0.2">
      <c r="A4225" s="6">
        <f ca="1">Model!$F$13+RAND()*(Model!$G$13-Model!$F$13)</f>
        <v>1708.7525247259455</v>
      </c>
      <c r="B4225" s="31">
        <f ca="1">Model!$F$14+RAND()*(Model!$G$14-Model!$F$14)</f>
        <v>0.21203811286660454</v>
      </c>
      <c r="C4225" s="32">
        <f ca="1">Model!$F$15+RAND()*(Model!$G$15-Model!$F$15)</f>
        <v>2.6362403898824306E-2</v>
      </c>
      <c r="D4225" s="33">
        <f ca="1">Model!$F$16+RAND()*(Model!$G$16-Model!$F$16)</f>
        <v>50.50958609622014</v>
      </c>
      <c r="E4225" s="33">
        <f>Model!$D$17</f>
        <v>800</v>
      </c>
      <c r="G4225" s="36">
        <f t="shared" ca="1" si="68"/>
        <v>1112.9757856004862</v>
      </c>
    </row>
    <row r="4226" spans="1:7" x14ac:dyDescent="0.2">
      <c r="A4226" s="6">
        <f ca="1">Model!$F$13+RAND()*(Model!$G$13-Model!$F$13)</f>
        <v>1643.9565644518343</v>
      </c>
      <c r="B4226" s="31">
        <f ca="1">Model!$F$14+RAND()*(Model!$G$14-Model!$F$14)</f>
        <v>0.7105585622473225</v>
      </c>
      <c r="C4226" s="32">
        <f ca="1">Model!$F$15+RAND()*(Model!$G$15-Model!$F$15)</f>
        <v>1.5405005348790409E-2</v>
      </c>
      <c r="D4226" s="33">
        <f ca="1">Model!$F$16+RAND()*(Model!$G$16-Model!$F$16)</f>
        <v>47.47899713185587</v>
      </c>
      <c r="E4226" s="33">
        <f>Model!$D$17</f>
        <v>800</v>
      </c>
      <c r="G4226" s="36">
        <f t="shared" ca="1" si="68"/>
        <v>-765.71422956660945</v>
      </c>
    </row>
    <row r="4227" spans="1:7" x14ac:dyDescent="0.2">
      <c r="A4227" s="6">
        <f ca="1">Model!$F$13+RAND()*(Model!$G$13-Model!$F$13)</f>
        <v>1626.3504052072437</v>
      </c>
      <c r="B4227" s="31">
        <f ca="1">Model!$F$14+RAND()*(Model!$G$14-Model!$F$14)</f>
        <v>0.57218477291752312</v>
      </c>
      <c r="C4227" s="32">
        <f ca="1">Model!$F$15+RAND()*(Model!$G$15-Model!$F$15)</f>
        <v>4.6210612094805981E-2</v>
      </c>
      <c r="D4227" s="33">
        <f ca="1">Model!$F$16+RAND()*(Model!$G$16-Model!$F$16)</f>
        <v>51.682839514443188</v>
      </c>
      <c r="E4227" s="33">
        <f>Model!$D$17</f>
        <v>800</v>
      </c>
      <c r="G4227" s="36">
        <f t="shared" ca="1" si="68"/>
        <v>2153.632658827767</v>
      </c>
    </row>
    <row r="4228" spans="1:7" x14ac:dyDescent="0.2">
      <c r="A4228" s="6">
        <f ca="1">Model!$F$13+RAND()*(Model!$G$13-Model!$F$13)</f>
        <v>1443.5253694274352</v>
      </c>
      <c r="B4228" s="31">
        <f ca="1">Model!$F$14+RAND()*(Model!$G$14-Model!$F$14)</f>
        <v>0.67997587953602534</v>
      </c>
      <c r="C4228" s="32">
        <f ca="1">Model!$F$15+RAND()*(Model!$G$15-Model!$F$15)</f>
        <v>3.6711720324402959E-2</v>
      </c>
      <c r="D4228" s="33">
        <f ca="1">Model!$F$16+RAND()*(Model!$G$16-Model!$F$16)</f>
        <v>52.941790751260982</v>
      </c>
      <c r="E4228" s="33">
        <f>Model!$D$17</f>
        <v>800</v>
      </c>
      <c r="G4228" s="36">
        <f t="shared" ca="1" si="68"/>
        <v>1024.0506900321338</v>
      </c>
    </row>
    <row r="4229" spans="1:7" x14ac:dyDescent="0.2">
      <c r="A4229" s="6">
        <f ca="1">Model!$F$13+RAND()*(Model!$G$13-Model!$F$13)</f>
        <v>1663.9996688168123</v>
      </c>
      <c r="B4229" s="31">
        <f ca="1">Model!$F$14+RAND()*(Model!$G$14-Model!$F$14)</f>
        <v>0.64243459875199838</v>
      </c>
      <c r="C4229" s="32">
        <f ca="1">Model!$F$15+RAND()*(Model!$G$15-Model!$F$15)</f>
        <v>2.4023679413927246E-2</v>
      </c>
      <c r="D4229" s="33">
        <f ca="1">Model!$F$16+RAND()*(Model!$G$16-Model!$F$16)</f>
        <v>52.874843913022858</v>
      </c>
      <c r="E4229" s="33">
        <f>Model!$D$17</f>
        <v>800</v>
      </c>
      <c r="G4229" s="36">
        <f t="shared" ca="1" si="68"/>
        <v>244.6817896705636</v>
      </c>
    </row>
    <row r="4230" spans="1:7" x14ac:dyDescent="0.2">
      <c r="A4230" s="6">
        <f ca="1">Model!$F$13+RAND()*(Model!$G$13-Model!$F$13)</f>
        <v>1398.8588304193279</v>
      </c>
      <c r="B4230" s="31">
        <f ca="1">Model!$F$14+RAND()*(Model!$G$14-Model!$F$14)</f>
        <v>0.35382325050385888</v>
      </c>
      <c r="C4230" s="32">
        <f ca="1">Model!$F$15+RAND()*(Model!$G$15-Model!$F$15)</f>
        <v>3.7053969381390751E-2</v>
      </c>
      <c r="D4230" s="33">
        <f ca="1">Model!$F$16+RAND()*(Model!$G$16-Model!$F$16)</f>
        <v>47.385318463167238</v>
      </c>
      <c r="E4230" s="33">
        <f>Model!$D$17</f>
        <v>800</v>
      </c>
      <c r="G4230" s="36">
        <f t="shared" ca="1" si="68"/>
        <v>1161.1873351860477</v>
      </c>
    </row>
    <row r="4231" spans="1:7" x14ac:dyDescent="0.2">
      <c r="A4231" s="6">
        <f ca="1">Model!$F$13+RAND()*(Model!$G$13-Model!$F$13)</f>
        <v>1674.6319821392131</v>
      </c>
      <c r="B4231" s="31">
        <f ca="1">Model!$F$14+RAND()*(Model!$G$14-Model!$F$14)</f>
        <v>0.38345460535137654</v>
      </c>
      <c r="C4231" s="32">
        <f ca="1">Model!$F$15+RAND()*(Model!$G$15-Model!$F$15)</f>
        <v>2.8710016013392695E-2</v>
      </c>
      <c r="D4231" s="33">
        <f ca="1">Model!$F$16+RAND()*(Model!$G$16-Model!$F$16)</f>
        <v>52.610343520296041</v>
      </c>
      <c r="E4231" s="33">
        <f>Model!$D$17</f>
        <v>800</v>
      </c>
      <c r="G4231" s="36">
        <f t="shared" ca="1" si="68"/>
        <v>1087.2921571528805</v>
      </c>
    </row>
    <row r="4232" spans="1:7" x14ac:dyDescent="0.2">
      <c r="A4232" s="6">
        <f ca="1">Model!$F$13+RAND()*(Model!$G$13-Model!$F$13)</f>
        <v>1621.0104854593833</v>
      </c>
      <c r="B4232" s="31">
        <f ca="1">Model!$F$14+RAND()*(Model!$G$14-Model!$F$14)</f>
        <v>0.7599070828704888</v>
      </c>
      <c r="C4232" s="32">
        <f ca="1">Model!$F$15+RAND()*(Model!$G$15-Model!$F$15)</f>
        <v>1.1764281489319997E-2</v>
      </c>
      <c r="D4232" s="33">
        <f ca="1">Model!$F$16+RAND()*(Model!$G$16-Model!$F$16)</f>
        <v>49.203810105869344</v>
      </c>
      <c r="E4232" s="33">
        <f>Model!$D$17</f>
        <v>800</v>
      </c>
      <c r="G4232" s="36">
        <f t="shared" ca="1" si="68"/>
        <v>-1093.4995270131792</v>
      </c>
    </row>
    <row r="4233" spans="1:7" x14ac:dyDescent="0.2">
      <c r="A4233" s="6">
        <f ca="1">Model!$F$13+RAND()*(Model!$G$13-Model!$F$13)</f>
        <v>1423.3199578344529</v>
      </c>
      <c r="B4233" s="31">
        <f ca="1">Model!$F$14+RAND()*(Model!$G$14-Model!$F$14)</f>
        <v>0.74276547304994955</v>
      </c>
      <c r="C4233" s="32">
        <f ca="1">Model!$F$15+RAND()*(Model!$G$15-Model!$F$15)</f>
        <v>2.5925651216343118E-2</v>
      </c>
      <c r="D4233" s="33">
        <f ca="1">Model!$F$16+RAND()*(Model!$G$16-Model!$F$16)</f>
        <v>47.82155678338512</v>
      </c>
      <c r="E4233" s="33">
        <f>Model!$D$17</f>
        <v>800</v>
      </c>
      <c r="G4233" s="36">
        <f t="shared" ca="1" si="68"/>
        <v>-92.553718913662124</v>
      </c>
    </row>
    <row r="4234" spans="1:7" x14ac:dyDescent="0.2">
      <c r="A4234" s="6">
        <f ca="1">Model!$F$13+RAND()*(Model!$G$13-Model!$F$13)</f>
        <v>1439.7805604116093</v>
      </c>
      <c r="B4234" s="31">
        <f ca="1">Model!$F$14+RAND()*(Model!$G$14-Model!$F$14)</f>
        <v>0.51169091077794326</v>
      </c>
      <c r="C4234" s="32">
        <f ca="1">Model!$F$15+RAND()*(Model!$G$15-Model!$F$15)</f>
        <v>4.4765579502439506E-2</v>
      </c>
      <c r="D4234" s="33">
        <f ca="1">Model!$F$16+RAND()*(Model!$G$16-Model!$F$16)</f>
        <v>51.479300211069464</v>
      </c>
      <c r="E4234" s="33">
        <f>Model!$D$17</f>
        <v>800</v>
      </c>
      <c r="G4234" s="36">
        <f t="shared" ca="1" si="68"/>
        <v>1781.25269214932</v>
      </c>
    </row>
    <row r="4235" spans="1:7" x14ac:dyDescent="0.2">
      <c r="A4235" s="6">
        <f ca="1">Model!$F$13+RAND()*(Model!$G$13-Model!$F$13)</f>
        <v>1278.0801793618907</v>
      </c>
      <c r="B4235" s="31">
        <f ca="1">Model!$F$14+RAND()*(Model!$G$14-Model!$F$14)</f>
        <v>0.40811727087712296</v>
      </c>
      <c r="C4235" s="32">
        <f ca="1">Model!$F$15+RAND()*(Model!$G$15-Model!$F$15)</f>
        <v>2.896974449412025E-2</v>
      </c>
      <c r="D4235" s="33">
        <f ca="1">Model!$F$16+RAND()*(Model!$G$16-Model!$F$16)</f>
        <v>50.700508510189678</v>
      </c>
      <c r="E4235" s="33">
        <f>Model!$D$17</f>
        <v>800</v>
      </c>
      <c r="G4235" s="36">
        <f t="shared" ca="1" si="68"/>
        <v>555.61300448320526</v>
      </c>
    </row>
    <row r="4236" spans="1:7" x14ac:dyDescent="0.2">
      <c r="A4236" s="6">
        <f ca="1">Model!$F$13+RAND()*(Model!$G$13-Model!$F$13)</f>
        <v>1363.8414354471349</v>
      </c>
      <c r="B4236" s="31">
        <f ca="1">Model!$F$14+RAND()*(Model!$G$14-Model!$F$14)</f>
        <v>0.28584657381737483</v>
      </c>
      <c r="C4236" s="32">
        <f ca="1">Model!$F$15+RAND()*(Model!$G$15-Model!$F$15)</f>
        <v>3.4737564947662343E-2</v>
      </c>
      <c r="D4236" s="33">
        <f ca="1">Model!$F$16+RAND()*(Model!$G$16-Model!$F$16)</f>
        <v>50.574012860875335</v>
      </c>
      <c r="E4236" s="33">
        <f>Model!$D$17</f>
        <v>800</v>
      </c>
      <c r="G4236" s="36">
        <f t="shared" ca="1" si="68"/>
        <v>1206.171858332611</v>
      </c>
    </row>
    <row r="4237" spans="1:7" x14ac:dyDescent="0.2">
      <c r="A4237" s="6">
        <f ca="1">Model!$F$13+RAND()*(Model!$G$13-Model!$F$13)</f>
        <v>1654.4988199124391</v>
      </c>
      <c r="B4237" s="31">
        <f ca="1">Model!$F$14+RAND()*(Model!$G$14-Model!$F$14)</f>
        <v>0.47229454805598065</v>
      </c>
      <c r="C4237" s="32">
        <f ca="1">Model!$F$15+RAND()*(Model!$G$15-Model!$F$15)</f>
        <v>3.3639083975932564E-2</v>
      </c>
      <c r="D4237" s="33">
        <f ca="1">Model!$F$16+RAND()*(Model!$G$16-Model!$F$16)</f>
        <v>51.255213827764301</v>
      </c>
      <c r="E4237" s="33">
        <f>Model!$D$17</f>
        <v>800</v>
      </c>
      <c r="G4237" s="36">
        <f t="shared" ca="1" si="68"/>
        <v>1271.2404254567696</v>
      </c>
    </row>
    <row r="4238" spans="1:7" x14ac:dyDescent="0.2">
      <c r="A4238" s="6">
        <f ca="1">Model!$F$13+RAND()*(Model!$G$13-Model!$F$13)</f>
        <v>1788.6094178395012</v>
      </c>
      <c r="B4238" s="31">
        <f ca="1">Model!$F$14+RAND()*(Model!$G$14-Model!$F$14)</f>
        <v>0.52523826307022836</v>
      </c>
      <c r="C4238" s="32">
        <f ca="1">Model!$F$15+RAND()*(Model!$G$15-Model!$F$15)</f>
        <v>4.2191815970505239E-2</v>
      </c>
      <c r="D4238" s="33">
        <f ca="1">Model!$F$16+RAND()*(Model!$G$16-Model!$F$16)</f>
        <v>51.293478324051506</v>
      </c>
      <c r="E4238" s="33">
        <f>Model!$D$17</f>
        <v>800</v>
      </c>
      <c r="G4238" s="36">
        <f t="shared" ca="1" si="68"/>
        <v>2131.3997931289341</v>
      </c>
    </row>
    <row r="4239" spans="1:7" x14ac:dyDescent="0.2">
      <c r="A4239" s="6">
        <f ca="1">Model!$F$13+RAND()*(Model!$G$13-Model!$F$13)</f>
        <v>1669.96746755599</v>
      </c>
      <c r="B4239" s="31">
        <f ca="1">Model!$F$14+RAND()*(Model!$G$14-Model!$F$14)</f>
        <v>0.66961535204668821</v>
      </c>
      <c r="C4239" s="32">
        <f ca="1">Model!$F$15+RAND()*(Model!$G$15-Model!$F$15)</f>
        <v>4.5421044507577196E-2</v>
      </c>
      <c r="D4239" s="33">
        <f ca="1">Model!$F$16+RAND()*(Model!$G$16-Model!$F$16)</f>
        <v>49.081945745652455</v>
      </c>
      <c r="E4239" s="33">
        <f>Model!$D$17</f>
        <v>800</v>
      </c>
      <c r="G4239" s="36">
        <f t="shared" ca="1" si="68"/>
        <v>1804.7115345235025</v>
      </c>
    </row>
    <row r="4240" spans="1:7" x14ac:dyDescent="0.2">
      <c r="A4240" s="6">
        <f ca="1">Model!$F$13+RAND()*(Model!$G$13-Model!$F$13)</f>
        <v>1354.4251674537854</v>
      </c>
      <c r="B4240" s="31">
        <f ca="1">Model!$F$14+RAND()*(Model!$G$14-Model!$F$14)</f>
        <v>0.20119554095555492</v>
      </c>
      <c r="C4240" s="32">
        <f ca="1">Model!$F$15+RAND()*(Model!$G$15-Model!$F$15)</f>
        <v>3.3185543887901785E-2</v>
      </c>
      <c r="D4240" s="33">
        <f ca="1">Model!$F$16+RAND()*(Model!$G$16-Model!$F$16)</f>
        <v>50.02283777650667</v>
      </c>
      <c r="E4240" s="33">
        <f>Model!$D$17</f>
        <v>800</v>
      </c>
      <c r="G4240" s="36">
        <f t="shared" ca="1" si="68"/>
        <v>1175.8889848315587</v>
      </c>
    </row>
    <row r="4241" spans="1:7" x14ac:dyDescent="0.2">
      <c r="A4241" s="6">
        <f ca="1">Model!$F$13+RAND()*(Model!$G$13-Model!$F$13)</f>
        <v>1430.5580117665086</v>
      </c>
      <c r="B4241" s="31">
        <f ca="1">Model!$F$14+RAND()*(Model!$G$14-Model!$F$14)</f>
        <v>0.32266244592108506</v>
      </c>
      <c r="C4241" s="32">
        <f ca="1">Model!$F$15+RAND()*(Model!$G$15-Model!$F$15)</f>
        <v>3.4296956681874338E-2</v>
      </c>
      <c r="D4241" s="33">
        <f ca="1">Model!$F$16+RAND()*(Model!$G$16-Model!$F$16)</f>
        <v>48.276813363441974</v>
      </c>
      <c r="E4241" s="33">
        <f>Model!$D$17</f>
        <v>800</v>
      </c>
      <c r="G4241" s="36">
        <f t="shared" ca="1" si="68"/>
        <v>1107.0559002639725</v>
      </c>
    </row>
    <row r="4242" spans="1:7" x14ac:dyDescent="0.2">
      <c r="A4242" s="6">
        <f ca="1">Model!$F$13+RAND()*(Model!$G$13-Model!$F$13)</f>
        <v>1495.4526186220869</v>
      </c>
      <c r="B4242" s="31">
        <f ca="1">Model!$F$14+RAND()*(Model!$G$14-Model!$F$14)</f>
        <v>0.63863476572993727</v>
      </c>
      <c r="C4242" s="32">
        <f ca="1">Model!$F$15+RAND()*(Model!$G$15-Model!$F$15)</f>
        <v>2.0847745295840686E-2</v>
      </c>
      <c r="D4242" s="33">
        <f ca="1">Model!$F$16+RAND()*(Model!$G$16-Model!$F$16)</f>
        <v>48.873189158627156</v>
      </c>
      <c r="E4242" s="33">
        <f>Model!$D$17</f>
        <v>800</v>
      </c>
      <c r="G4242" s="36">
        <f t="shared" ca="1" si="68"/>
        <v>-231.33764147629518</v>
      </c>
    </row>
    <row r="4243" spans="1:7" x14ac:dyDescent="0.2">
      <c r="A4243" s="6">
        <f ca="1">Model!$F$13+RAND()*(Model!$G$13-Model!$F$13)</f>
        <v>1338.2698593736104</v>
      </c>
      <c r="B4243" s="31">
        <f ca="1">Model!$F$14+RAND()*(Model!$G$14-Model!$F$14)</f>
        <v>0.58369736070066536</v>
      </c>
      <c r="C4243" s="32">
        <f ca="1">Model!$F$15+RAND()*(Model!$G$15-Model!$F$15)</f>
        <v>3.7115855338766303E-2</v>
      </c>
      <c r="D4243" s="33">
        <f ca="1">Model!$F$16+RAND()*(Model!$G$16-Model!$F$16)</f>
        <v>48.854999735271662</v>
      </c>
      <c r="E4243" s="33">
        <f>Model!$D$17</f>
        <v>800</v>
      </c>
      <c r="G4243" s="36">
        <f t="shared" ca="1" si="68"/>
        <v>845.5335973382164</v>
      </c>
    </row>
    <row r="4244" spans="1:7" x14ac:dyDescent="0.2">
      <c r="A4244" s="6">
        <f ca="1">Model!$F$13+RAND()*(Model!$G$13-Model!$F$13)</f>
        <v>1488.3456253385389</v>
      </c>
      <c r="B4244" s="31">
        <f ca="1">Model!$F$14+RAND()*(Model!$G$14-Model!$F$14)</f>
        <v>0.79944649338914986</v>
      </c>
      <c r="C4244" s="32">
        <f ca="1">Model!$F$15+RAND()*(Model!$G$15-Model!$F$15)</f>
        <v>1.7421039209497797E-2</v>
      </c>
      <c r="D4244" s="33">
        <f ca="1">Model!$F$16+RAND()*(Model!$G$16-Model!$F$16)</f>
        <v>51.621173310562121</v>
      </c>
      <c r="E4244" s="33">
        <f>Model!$D$17</f>
        <v>800</v>
      </c>
      <c r="G4244" s="36">
        <f t="shared" ca="1" si="68"/>
        <v>-651.39167955342691</v>
      </c>
    </row>
    <row r="4245" spans="1:7" x14ac:dyDescent="0.2">
      <c r="A4245" s="6">
        <f ca="1">Model!$F$13+RAND()*(Model!$G$13-Model!$F$13)</f>
        <v>1689.3572876789342</v>
      </c>
      <c r="B4245" s="31">
        <f ca="1">Model!$F$14+RAND()*(Model!$G$14-Model!$F$14)</f>
        <v>0.45664050812344714</v>
      </c>
      <c r="C4245" s="32">
        <f ca="1">Model!$F$15+RAND()*(Model!$G$15-Model!$F$15)</f>
        <v>2.006469971144766E-2</v>
      </c>
      <c r="D4245" s="33">
        <f ca="1">Model!$F$16+RAND()*(Model!$G$16-Model!$F$16)</f>
        <v>50.157095765737438</v>
      </c>
      <c r="E4245" s="33">
        <f>Model!$D$17</f>
        <v>800</v>
      </c>
      <c r="G4245" s="36">
        <f t="shared" ca="1" si="68"/>
        <v>128.71835213080362</v>
      </c>
    </row>
    <row r="4246" spans="1:7" x14ac:dyDescent="0.2">
      <c r="A4246" s="6">
        <f ca="1">Model!$F$13+RAND()*(Model!$G$13-Model!$F$13)</f>
        <v>1268.5216452133755</v>
      </c>
      <c r="B4246" s="31">
        <f ca="1">Model!$F$14+RAND()*(Model!$G$14-Model!$F$14)</f>
        <v>0.44702502513545878</v>
      </c>
      <c r="C4246" s="32">
        <f ca="1">Model!$F$15+RAND()*(Model!$G$15-Model!$F$15)</f>
        <v>1.8087782427490491E-2</v>
      </c>
      <c r="D4246" s="33">
        <f ca="1">Model!$F$16+RAND()*(Model!$G$16-Model!$F$16)</f>
        <v>52.977129558726745</v>
      </c>
      <c r="E4246" s="33">
        <f>Model!$D$17</f>
        <v>800</v>
      </c>
      <c r="G4246" s="36">
        <f t="shared" ca="1" si="68"/>
        <v>-151.51427001702291</v>
      </c>
    </row>
    <row r="4247" spans="1:7" x14ac:dyDescent="0.2">
      <c r="A4247" s="6">
        <f ca="1">Model!$F$13+RAND()*(Model!$G$13-Model!$F$13)</f>
        <v>1300.2550581419516</v>
      </c>
      <c r="B4247" s="31">
        <f ca="1">Model!$F$14+RAND()*(Model!$G$14-Model!$F$14)</f>
        <v>0.20369975356102418</v>
      </c>
      <c r="C4247" s="32">
        <f ca="1">Model!$F$15+RAND()*(Model!$G$15-Model!$F$15)</f>
        <v>2.6641587033729527E-2</v>
      </c>
      <c r="D4247" s="33">
        <f ca="1">Model!$F$16+RAND()*(Model!$G$16-Model!$F$16)</f>
        <v>50.299922144080597</v>
      </c>
      <c r="E4247" s="33">
        <f>Model!$D$17</f>
        <v>800</v>
      </c>
      <c r="G4247" s="36">
        <f t="shared" ca="1" si="68"/>
        <v>677.57084046019099</v>
      </c>
    </row>
    <row r="4248" spans="1:7" x14ac:dyDescent="0.2">
      <c r="A4248" s="6">
        <f ca="1">Model!$F$13+RAND()*(Model!$G$13-Model!$F$13)</f>
        <v>1223.0804074026394</v>
      </c>
      <c r="B4248" s="31">
        <f ca="1">Model!$F$14+RAND()*(Model!$G$14-Model!$F$14)</f>
        <v>0.3651850135970941</v>
      </c>
      <c r="C4248" s="32">
        <f ca="1">Model!$F$15+RAND()*(Model!$G$15-Model!$F$15)</f>
        <v>4.5042780930511415E-2</v>
      </c>
      <c r="D4248" s="33">
        <f ca="1">Model!$F$16+RAND()*(Model!$G$16-Model!$F$16)</f>
        <v>48.141116682322888</v>
      </c>
      <c r="E4248" s="33">
        <f>Model!$D$17</f>
        <v>800</v>
      </c>
      <c r="G4248" s="36">
        <f t="shared" ca="1" si="68"/>
        <v>1405.4888727233174</v>
      </c>
    </row>
    <row r="4249" spans="1:7" x14ac:dyDescent="0.2">
      <c r="A4249" s="6">
        <f ca="1">Model!$F$13+RAND()*(Model!$G$13-Model!$F$13)</f>
        <v>1228.5031778780906</v>
      </c>
      <c r="B4249" s="31">
        <f ca="1">Model!$F$14+RAND()*(Model!$G$14-Model!$F$14)</f>
        <v>0.74621568866922439</v>
      </c>
      <c r="C4249" s="32">
        <f ca="1">Model!$F$15+RAND()*(Model!$G$15-Model!$F$15)</f>
        <v>4.466626125934068E-2</v>
      </c>
      <c r="D4249" s="33">
        <f ca="1">Model!$F$16+RAND()*(Model!$G$16-Model!$F$16)</f>
        <v>47.704451407495327</v>
      </c>
      <c r="E4249" s="33">
        <f>Model!$D$17</f>
        <v>800</v>
      </c>
      <c r="G4249" s="36">
        <f t="shared" ca="1" si="68"/>
        <v>900.9410296649969</v>
      </c>
    </row>
    <row r="4250" spans="1:7" x14ac:dyDescent="0.2">
      <c r="A4250" s="6">
        <f ca="1">Model!$F$13+RAND()*(Model!$G$13-Model!$F$13)</f>
        <v>1442.8535152882826</v>
      </c>
      <c r="B4250" s="31">
        <f ca="1">Model!$F$14+RAND()*(Model!$G$14-Model!$F$14)</f>
        <v>0.49585456126416427</v>
      </c>
      <c r="C4250" s="32">
        <f ca="1">Model!$F$15+RAND()*(Model!$G$15-Model!$F$15)</f>
        <v>3.5668107420251977E-2</v>
      </c>
      <c r="D4250" s="33">
        <f ca="1">Model!$F$16+RAND()*(Model!$G$16-Model!$F$16)</f>
        <v>50.60052850628508</v>
      </c>
      <c r="E4250" s="33">
        <f>Model!$D$17</f>
        <v>800</v>
      </c>
      <c r="G4250" s="36">
        <f t="shared" ca="1" si="68"/>
        <v>1088.6527234331834</v>
      </c>
    </row>
    <row r="4251" spans="1:7" x14ac:dyDescent="0.2">
      <c r="A4251" s="6">
        <f ca="1">Model!$F$13+RAND()*(Model!$G$13-Model!$F$13)</f>
        <v>1778.7922293546849</v>
      </c>
      <c r="B4251" s="31">
        <f ca="1">Model!$F$14+RAND()*(Model!$G$14-Model!$F$14)</f>
        <v>0.57260236071221637</v>
      </c>
      <c r="C4251" s="32">
        <f ca="1">Model!$F$15+RAND()*(Model!$G$15-Model!$F$15)</f>
        <v>1.3574360933693984E-2</v>
      </c>
      <c r="D4251" s="33">
        <f ca="1">Model!$F$16+RAND()*(Model!$G$16-Model!$F$16)</f>
        <v>47.734396180531363</v>
      </c>
      <c r="E4251" s="33">
        <f>Model!$D$17</f>
        <v>800</v>
      </c>
      <c r="G4251" s="36">
        <f t="shared" ca="1" si="68"/>
        <v>-665.94743913257912</v>
      </c>
    </row>
    <row r="4252" spans="1:7" x14ac:dyDescent="0.2">
      <c r="A4252" s="6">
        <f ca="1">Model!$F$13+RAND()*(Model!$G$13-Model!$F$13)</f>
        <v>1260.3252751092261</v>
      </c>
      <c r="B4252" s="31">
        <f ca="1">Model!$F$14+RAND()*(Model!$G$14-Model!$F$14)</f>
        <v>0.32566436081504457</v>
      </c>
      <c r="C4252" s="32">
        <f ca="1">Model!$F$15+RAND()*(Model!$G$15-Model!$F$15)</f>
        <v>1.8917207525717225E-2</v>
      </c>
      <c r="D4252" s="33">
        <f ca="1">Model!$F$16+RAND()*(Model!$G$16-Model!$F$16)</f>
        <v>51.577694279884675</v>
      </c>
      <c r="E4252" s="33">
        <f>Model!$D$17</f>
        <v>800</v>
      </c>
      <c r="G4252" s="36">
        <f t="shared" ca="1" si="68"/>
        <v>19.263840172920027</v>
      </c>
    </row>
    <row r="4253" spans="1:7" x14ac:dyDescent="0.2">
      <c r="A4253" s="6">
        <f ca="1">Model!$F$13+RAND()*(Model!$G$13-Model!$F$13)</f>
        <v>1652.0021630309523</v>
      </c>
      <c r="B4253" s="31">
        <f ca="1">Model!$F$14+RAND()*(Model!$G$14-Model!$F$14)</f>
        <v>0.3623200246748719</v>
      </c>
      <c r="C4253" s="32">
        <f ca="1">Model!$F$15+RAND()*(Model!$G$15-Model!$F$15)</f>
        <v>1.1989670874313064E-2</v>
      </c>
      <c r="D4253" s="33">
        <f ca="1">Model!$F$16+RAND()*(Model!$G$16-Model!$F$16)</f>
        <v>47.107031653104414</v>
      </c>
      <c r="E4253" s="33">
        <f>Model!$D$17</f>
        <v>800</v>
      </c>
      <c r="G4253" s="36">
        <f t="shared" ca="1" si="68"/>
        <v>-465.50626829856867</v>
      </c>
    </row>
    <row r="4254" spans="1:7" x14ac:dyDescent="0.2">
      <c r="A4254" s="6">
        <f ca="1">Model!$F$13+RAND()*(Model!$G$13-Model!$F$13)</f>
        <v>1312.0108100636398</v>
      </c>
      <c r="B4254" s="31">
        <f ca="1">Model!$F$14+RAND()*(Model!$G$14-Model!$F$14)</f>
        <v>0.69116143813765651</v>
      </c>
      <c r="C4254" s="32">
        <f ca="1">Model!$F$15+RAND()*(Model!$G$15-Model!$F$15)</f>
        <v>1.936764254732502E-2</v>
      </c>
      <c r="D4254" s="33">
        <f ca="1">Model!$F$16+RAND()*(Model!$G$16-Model!$F$16)</f>
        <v>47.715562893598424</v>
      </c>
      <c r="E4254" s="33">
        <f>Model!$D$17</f>
        <v>800</v>
      </c>
      <c r="G4254" s="36">
        <f t="shared" ca="1" si="68"/>
        <v>-494.33227686479472</v>
      </c>
    </row>
    <row r="4255" spans="1:7" x14ac:dyDescent="0.2">
      <c r="A4255" s="6">
        <f ca="1">Model!$F$13+RAND()*(Model!$G$13-Model!$F$13)</f>
        <v>1488.9422958434975</v>
      </c>
      <c r="B4255" s="31">
        <f ca="1">Model!$F$14+RAND()*(Model!$G$14-Model!$F$14)</f>
        <v>0.32818237575288656</v>
      </c>
      <c r="C4255" s="32">
        <f ca="1">Model!$F$15+RAND()*(Model!$G$15-Model!$F$15)</f>
        <v>2.4836922367519696E-2</v>
      </c>
      <c r="D4255" s="33">
        <f ca="1">Model!$F$16+RAND()*(Model!$G$16-Model!$F$16)</f>
        <v>51.326157229584567</v>
      </c>
      <c r="E4255" s="33">
        <f>Model!$D$17</f>
        <v>800</v>
      </c>
      <c r="G4255" s="36">
        <f t="shared" ca="1" si="68"/>
        <v>609.43487186180482</v>
      </c>
    </row>
    <row r="4256" spans="1:7" x14ac:dyDescent="0.2">
      <c r="A4256" s="6">
        <f ca="1">Model!$F$13+RAND()*(Model!$G$13-Model!$F$13)</f>
        <v>1570.3947237216601</v>
      </c>
      <c r="B4256" s="31">
        <f ca="1">Model!$F$14+RAND()*(Model!$G$14-Model!$F$14)</f>
        <v>0.23373194739294029</v>
      </c>
      <c r="C4256" s="32">
        <f ca="1">Model!$F$15+RAND()*(Model!$G$15-Model!$F$15)</f>
        <v>1.0181458307871214E-2</v>
      </c>
      <c r="D4256" s="33">
        <f ca="1">Model!$F$16+RAND()*(Model!$G$16-Model!$F$16)</f>
        <v>49.668753075143698</v>
      </c>
      <c r="E4256" s="33">
        <f>Model!$D$17</f>
        <v>800</v>
      </c>
      <c r="G4256" s="36">
        <f t="shared" ca="1" si="68"/>
        <v>-372.90227336886448</v>
      </c>
    </row>
    <row r="4257" spans="1:7" x14ac:dyDescent="0.2">
      <c r="A4257" s="6">
        <f ca="1">Model!$F$13+RAND()*(Model!$G$13-Model!$F$13)</f>
        <v>1240.1804225298995</v>
      </c>
      <c r="B4257" s="31">
        <f ca="1">Model!$F$14+RAND()*(Model!$G$14-Model!$F$14)</f>
        <v>0.523272430838289</v>
      </c>
      <c r="C4257" s="32">
        <f ca="1">Model!$F$15+RAND()*(Model!$G$15-Model!$F$15)</f>
        <v>2.3498411106184825E-2</v>
      </c>
      <c r="D4257" s="33">
        <f ca="1">Model!$F$16+RAND()*(Model!$G$16-Model!$F$16)</f>
        <v>49.273462867165811</v>
      </c>
      <c r="E4257" s="33">
        <f>Model!$D$17</f>
        <v>800</v>
      </c>
      <c r="G4257" s="36">
        <f t="shared" ca="1" si="68"/>
        <v>-13.011694517453407</v>
      </c>
    </row>
    <row r="4258" spans="1:7" x14ac:dyDescent="0.2">
      <c r="A4258" s="6">
        <f ca="1">Model!$F$13+RAND()*(Model!$G$13-Model!$F$13)</f>
        <v>1726.5529984642628</v>
      </c>
      <c r="B4258" s="31">
        <f ca="1">Model!$F$14+RAND()*(Model!$G$14-Model!$F$14)</f>
        <v>0.28600423680382658</v>
      </c>
      <c r="C4258" s="32">
        <f ca="1">Model!$F$15+RAND()*(Model!$G$15-Model!$F$15)</f>
        <v>1.2463731546712502E-2</v>
      </c>
      <c r="D4258" s="33">
        <f ca="1">Model!$F$16+RAND()*(Model!$G$16-Model!$F$16)</f>
        <v>51.741309793813969</v>
      </c>
      <c r="E4258" s="33">
        <f>Model!$D$17</f>
        <v>800</v>
      </c>
      <c r="G4258" s="36">
        <f t="shared" ca="1" si="68"/>
        <v>-180.36506313986342</v>
      </c>
    </row>
    <row r="4259" spans="1:7" x14ac:dyDescent="0.2">
      <c r="A4259" s="6">
        <f ca="1">Model!$F$13+RAND()*(Model!$G$13-Model!$F$13)</f>
        <v>1229.8288445782159</v>
      </c>
      <c r="B4259" s="31">
        <f ca="1">Model!$F$14+RAND()*(Model!$G$14-Model!$F$14)</f>
        <v>0.55814836117958722</v>
      </c>
      <c r="C4259" s="32">
        <f ca="1">Model!$F$15+RAND()*(Model!$G$15-Model!$F$15)</f>
        <v>4.6161334030831461E-2</v>
      </c>
      <c r="D4259" s="33">
        <f ca="1">Model!$F$16+RAND()*(Model!$G$16-Model!$F$16)</f>
        <v>49.287603682197485</v>
      </c>
      <c r="E4259" s="33">
        <f>Model!$D$17</f>
        <v>800</v>
      </c>
      <c r="G4259" s="36">
        <f t="shared" ca="1" si="68"/>
        <v>1311.6569269100394</v>
      </c>
    </row>
    <row r="4260" spans="1:7" x14ac:dyDescent="0.2">
      <c r="A4260" s="6">
        <f ca="1">Model!$F$13+RAND()*(Model!$G$13-Model!$F$13)</f>
        <v>1382.7124773544394</v>
      </c>
      <c r="B4260" s="31">
        <f ca="1">Model!$F$14+RAND()*(Model!$G$14-Model!$F$14)</f>
        <v>0.61655555056150924</v>
      </c>
      <c r="C4260" s="32">
        <f ca="1">Model!$F$15+RAND()*(Model!$G$15-Model!$F$15)</f>
        <v>3.7735222056478612E-2</v>
      </c>
      <c r="D4260" s="33">
        <f ca="1">Model!$F$16+RAND()*(Model!$G$16-Model!$F$16)</f>
        <v>51.44157407559414</v>
      </c>
      <c r="E4260" s="33">
        <f>Model!$D$17</f>
        <v>800</v>
      </c>
      <c r="G4260" s="36">
        <f t="shared" ca="1" si="68"/>
        <v>1031.5460222186407</v>
      </c>
    </row>
    <row r="4261" spans="1:7" x14ac:dyDescent="0.2">
      <c r="A4261" s="6">
        <f ca="1">Model!$F$13+RAND()*(Model!$G$13-Model!$F$13)</f>
        <v>1546.802577752846</v>
      </c>
      <c r="B4261" s="31">
        <f ca="1">Model!$F$14+RAND()*(Model!$G$14-Model!$F$14)</f>
        <v>0.43661073320537569</v>
      </c>
      <c r="C4261" s="32">
        <f ca="1">Model!$F$15+RAND()*(Model!$G$15-Model!$F$15)</f>
        <v>4.6629736741939425E-2</v>
      </c>
      <c r="D4261" s="33">
        <f ca="1">Model!$F$16+RAND()*(Model!$G$16-Model!$F$16)</f>
        <v>48.325580170218529</v>
      </c>
      <c r="E4261" s="33">
        <f>Model!$D$17</f>
        <v>800</v>
      </c>
      <c r="G4261" s="36">
        <f t="shared" ca="1" si="68"/>
        <v>2010.2283679951788</v>
      </c>
    </row>
    <row r="4262" spans="1:7" x14ac:dyDescent="0.2">
      <c r="A4262" s="6">
        <f ca="1">Model!$F$13+RAND()*(Model!$G$13-Model!$F$13)</f>
        <v>1714.2248127851594</v>
      </c>
      <c r="B4262" s="31">
        <f ca="1">Model!$F$14+RAND()*(Model!$G$14-Model!$F$14)</f>
        <v>0.40574125872263728</v>
      </c>
      <c r="C4262" s="32">
        <f ca="1">Model!$F$15+RAND()*(Model!$G$15-Model!$F$15)</f>
        <v>3.0370459033181828E-2</v>
      </c>
      <c r="D4262" s="33">
        <f ca="1">Model!$F$16+RAND()*(Model!$G$16-Model!$F$16)</f>
        <v>50.928392808153831</v>
      </c>
      <c r="E4262" s="33">
        <f>Model!$D$17</f>
        <v>800</v>
      </c>
      <c r="G4262" s="36">
        <f t="shared" ca="1" si="68"/>
        <v>1155.8917847920388</v>
      </c>
    </row>
    <row r="4263" spans="1:7" x14ac:dyDescent="0.2">
      <c r="A4263" s="6">
        <f ca="1">Model!$F$13+RAND()*(Model!$G$13-Model!$F$13)</f>
        <v>1390.9462639334806</v>
      </c>
      <c r="B4263" s="31">
        <f ca="1">Model!$F$14+RAND()*(Model!$G$14-Model!$F$14)</f>
        <v>0.52027441572114508</v>
      </c>
      <c r="C4263" s="32">
        <f ca="1">Model!$F$15+RAND()*(Model!$G$15-Model!$F$15)</f>
        <v>3.539145634616505E-2</v>
      </c>
      <c r="D4263" s="33">
        <f ca="1">Model!$F$16+RAND()*(Model!$G$16-Model!$F$16)</f>
        <v>48.308178834190109</v>
      </c>
      <c r="E4263" s="33">
        <f>Model!$D$17</f>
        <v>800</v>
      </c>
      <c r="G4263" s="36">
        <f t="shared" ca="1" si="68"/>
        <v>854.42262495220484</v>
      </c>
    </row>
    <row r="4264" spans="1:7" x14ac:dyDescent="0.2">
      <c r="A4264" s="6">
        <f ca="1">Model!$F$13+RAND()*(Model!$G$13-Model!$F$13)</f>
        <v>1547.3436414092344</v>
      </c>
      <c r="B4264" s="31">
        <f ca="1">Model!$F$14+RAND()*(Model!$G$14-Model!$F$14)</f>
        <v>0.36487200809288933</v>
      </c>
      <c r="C4264" s="32">
        <f ca="1">Model!$F$15+RAND()*(Model!$G$15-Model!$F$15)</f>
        <v>4.077789429616515E-2</v>
      </c>
      <c r="D4264" s="33">
        <f ca="1">Model!$F$16+RAND()*(Model!$G$16-Model!$F$16)</f>
        <v>50.922742385366064</v>
      </c>
      <c r="E4264" s="33">
        <f>Model!$D$17</f>
        <v>800</v>
      </c>
      <c r="G4264" s="36">
        <f t="shared" ca="1" si="68"/>
        <v>1848.5110504527556</v>
      </c>
    </row>
    <row r="4265" spans="1:7" x14ac:dyDescent="0.2">
      <c r="A4265" s="6">
        <f ca="1">Model!$F$13+RAND()*(Model!$G$13-Model!$F$13)</f>
        <v>1294.4015764490616</v>
      </c>
      <c r="B4265" s="31">
        <f ca="1">Model!$F$14+RAND()*(Model!$G$14-Model!$F$14)</f>
        <v>0.74366727091790308</v>
      </c>
      <c r="C4265" s="32">
        <f ca="1">Model!$F$15+RAND()*(Model!$G$15-Model!$F$15)</f>
        <v>4.6677523815413395E-2</v>
      </c>
      <c r="D4265" s="33">
        <f ca="1">Model!$F$16+RAND()*(Model!$G$16-Model!$F$16)</f>
        <v>47.225330958010488</v>
      </c>
      <c r="E4265" s="33">
        <f>Model!$D$17</f>
        <v>800</v>
      </c>
      <c r="G4265" s="36">
        <f t="shared" ref="G4265:G4328" ca="1" si="69">A4265*C4265*D4265-(E4265+A4265*B4265)</f>
        <v>1090.7249264035311</v>
      </c>
    </row>
    <row r="4266" spans="1:7" x14ac:dyDescent="0.2">
      <c r="A4266" s="6">
        <f ca="1">Model!$F$13+RAND()*(Model!$G$13-Model!$F$13)</f>
        <v>1609.7104719303941</v>
      </c>
      <c r="B4266" s="31">
        <f ca="1">Model!$F$14+RAND()*(Model!$G$14-Model!$F$14)</f>
        <v>0.68738519414089627</v>
      </c>
      <c r="C4266" s="32">
        <f ca="1">Model!$F$15+RAND()*(Model!$G$15-Model!$F$15)</f>
        <v>1.9502301182286064E-2</v>
      </c>
      <c r="D4266" s="33">
        <f ca="1">Model!$F$16+RAND()*(Model!$G$16-Model!$F$16)</f>
        <v>49.848320572556403</v>
      </c>
      <c r="E4266" s="33">
        <f>Model!$D$17</f>
        <v>800</v>
      </c>
      <c r="G4266" s="36">
        <f t="shared" ca="1" si="69"/>
        <v>-341.59990439505077</v>
      </c>
    </row>
    <row r="4267" spans="1:7" x14ac:dyDescent="0.2">
      <c r="A4267" s="6">
        <f ca="1">Model!$F$13+RAND()*(Model!$G$13-Model!$F$13)</f>
        <v>1246.2821168960174</v>
      </c>
      <c r="B4267" s="31">
        <f ca="1">Model!$F$14+RAND()*(Model!$G$14-Model!$F$14)</f>
        <v>0.31270900355413267</v>
      </c>
      <c r="C4267" s="32">
        <f ca="1">Model!$F$15+RAND()*(Model!$G$15-Model!$F$15)</f>
        <v>4.3967706753167246E-2</v>
      </c>
      <c r="D4267" s="33">
        <f ca="1">Model!$F$16+RAND()*(Model!$G$16-Model!$F$16)</f>
        <v>50.282091312072509</v>
      </c>
      <c r="E4267" s="33">
        <f>Model!$D$17</f>
        <v>800</v>
      </c>
      <c r="G4267" s="36">
        <f t="shared" ca="1" si="69"/>
        <v>1565.54221599425</v>
      </c>
    </row>
    <row r="4268" spans="1:7" x14ac:dyDescent="0.2">
      <c r="A4268" s="6">
        <f ca="1">Model!$F$13+RAND()*(Model!$G$13-Model!$F$13)</f>
        <v>1525.9686809122334</v>
      </c>
      <c r="B4268" s="31">
        <f ca="1">Model!$F$14+RAND()*(Model!$G$14-Model!$F$14)</f>
        <v>0.4806126041322758</v>
      </c>
      <c r="C4268" s="32">
        <f ca="1">Model!$F$15+RAND()*(Model!$G$15-Model!$F$15)</f>
        <v>2.1979548629729416E-2</v>
      </c>
      <c r="D4268" s="33">
        <f ca="1">Model!$F$16+RAND()*(Model!$G$16-Model!$F$16)</f>
        <v>52.486881066121079</v>
      </c>
      <c r="E4268" s="33">
        <f>Model!$D$17</f>
        <v>800</v>
      </c>
      <c r="G4268" s="36">
        <f t="shared" ca="1" si="69"/>
        <v>227.01560660277505</v>
      </c>
    </row>
    <row r="4269" spans="1:7" x14ac:dyDescent="0.2">
      <c r="A4269" s="6">
        <f ca="1">Model!$F$13+RAND()*(Model!$G$13-Model!$F$13)</f>
        <v>1244.335880273296</v>
      </c>
      <c r="B4269" s="31">
        <f ca="1">Model!$F$14+RAND()*(Model!$G$14-Model!$F$14)</f>
        <v>0.75421863017931723</v>
      </c>
      <c r="C4269" s="32">
        <f ca="1">Model!$F$15+RAND()*(Model!$G$15-Model!$F$15)</f>
        <v>4.9578147475026972E-2</v>
      </c>
      <c r="D4269" s="33">
        <f ca="1">Model!$F$16+RAND()*(Model!$G$16-Model!$F$16)</f>
        <v>51.954719972588123</v>
      </c>
      <c r="E4269" s="33">
        <f>Model!$D$17</f>
        <v>800</v>
      </c>
      <c r="G4269" s="36">
        <f t="shared" ca="1" si="69"/>
        <v>1466.682412027264</v>
      </c>
    </row>
    <row r="4270" spans="1:7" x14ac:dyDescent="0.2">
      <c r="A4270" s="6">
        <f ca="1">Model!$F$13+RAND()*(Model!$G$13-Model!$F$13)</f>
        <v>1636.5278199993729</v>
      </c>
      <c r="B4270" s="31">
        <f ca="1">Model!$F$14+RAND()*(Model!$G$14-Model!$F$14)</f>
        <v>0.75583544583673157</v>
      </c>
      <c r="C4270" s="32">
        <f ca="1">Model!$F$15+RAND()*(Model!$G$15-Model!$F$15)</f>
        <v>1.4736934942315174E-2</v>
      </c>
      <c r="D4270" s="33">
        <f ca="1">Model!$F$16+RAND()*(Model!$G$16-Model!$F$16)</f>
        <v>50.008224491041091</v>
      </c>
      <c r="E4270" s="33">
        <f>Model!$D$17</f>
        <v>800</v>
      </c>
      <c r="G4270" s="36">
        <f t="shared" ca="1" si="69"/>
        <v>-830.8771803492059</v>
      </c>
    </row>
    <row r="4271" spans="1:7" x14ac:dyDescent="0.2">
      <c r="A4271" s="6">
        <f ca="1">Model!$F$13+RAND()*(Model!$G$13-Model!$F$13)</f>
        <v>1730.218302125503</v>
      </c>
      <c r="B4271" s="31">
        <f ca="1">Model!$F$14+RAND()*(Model!$G$14-Model!$F$14)</f>
        <v>0.51739650149993643</v>
      </c>
      <c r="C4271" s="32">
        <f ca="1">Model!$F$15+RAND()*(Model!$G$15-Model!$F$15)</f>
        <v>1.7094496055531934E-2</v>
      </c>
      <c r="D4271" s="33">
        <f ca="1">Model!$F$16+RAND()*(Model!$G$16-Model!$F$16)</f>
        <v>51.447941676951338</v>
      </c>
      <c r="E4271" s="33">
        <f>Model!$D$17</f>
        <v>800</v>
      </c>
      <c r="G4271" s="36">
        <f t="shared" ca="1" si="69"/>
        <v>-173.52232434485768</v>
      </c>
    </row>
    <row r="4272" spans="1:7" x14ac:dyDescent="0.2">
      <c r="A4272" s="6">
        <f ca="1">Model!$F$13+RAND()*(Model!$G$13-Model!$F$13)</f>
        <v>1479.4544635474454</v>
      </c>
      <c r="B4272" s="31">
        <f ca="1">Model!$F$14+RAND()*(Model!$G$14-Model!$F$14)</f>
        <v>0.44935749657608787</v>
      </c>
      <c r="C4272" s="32">
        <f ca="1">Model!$F$15+RAND()*(Model!$G$15-Model!$F$15)</f>
        <v>1.199053463470566E-2</v>
      </c>
      <c r="D4272" s="33">
        <f ca="1">Model!$F$16+RAND()*(Model!$G$16-Model!$F$16)</f>
        <v>48.868199275157522</v>
      </c>
      <c r="E4272" s="33">
        <f>Model!$D$17</f>
        <v>800</v>
      </c>
      <c r="G4272" s="36">
        <f t="shared" ca="1" si="69"/>
        <v>-597.90897710827187</v>
      </c>
    </row>
    <row r="4273" spans="1:7" x14ac:dyDescent="0.2">
      <c r="A4273" s="6">
        <f ca="1">Model!$F$13+RAND()*(Model!$G$13-Model!$F$13)</f>
        <v>1350.2746114824436</v>
      </c>
      <c r="B4273" s="31">
        <f ca="1">Model!$F$14+RAND()*(Model!$G$14-Model!$F$14)</f>
        <v>0.35994904987511478</v>
      </c>
      <c r="C4273" s="32">
        <f ca="1">Model!$F$15+RAND()*(Model!$G$15-Model!$F$15)</f>
        <v>3.8796906721746557E-2</v>
      </c>
      <c r="D4273" s="33">
        <f ca="1">Model!$F$16+RAND()*(Model!$G$16-Model!$F$16)</f>
        <v>48.393810035301037</v>
      </c>
      <c r="E4273" s="33">
        <f>Model!$D$17</f>
        <v>800</v>
      </c>
      <c r="G4273" s="36">
        <f t="shared" ca="1" si="69"/>
        <v>1249.1512085566142</v>
      </c>
    </row>
    <row r="4274" spans="1:7" x14ac:dyDescent="0.2">
      <c r="A4274" s="6">
        <f ca="1">Model!$F$13+RAND()*(Model!$G$13-Model!$F$13)</f>
        <v>1405.9709612835773</v>
      </c>
      <c r="B4274" s="31">
        <f ca="1">Model!$F$14+RAND()*(Model!$G$14-Model!$F$14)</f>
        <v>0.70575847364095257</v>
      </c>
      <c r="C4274" s="32">
        <f ca="1">Model!$F$15+RAND()*(Model!$G$15-Model!$F$15)</f>
        <v>3.7701367679041566E-2</v>
      </c>
      <c r="D4274" s="33">
        <f ca="1">Model!$F$16+RAND()*(Model!$G$16-Model!$F$16)</f>
        <v>50.640960762420477</v>
      </c>
      <c r="E4274" s="33">
        <f>Model!$D$17</f>
        <v>800</v>
      </c>
      <c r="G4274" s="36">
        <f t="shared" ca="1" si="69"/>
        <v>892.0509134327981</v>
      </c>
    </row>
    <row r="4275" spans="1:7" x14ac:dyDescent="0.2">
      <c r="A4275" s="6">
        <f ca="1">Model!$F$13+RAND()*(Model!$G$13-Model!$F$13)</f>
        <v>1285.2722689682125</v>
      </c>
      <c r="B4275" s="31">
        <f ca="1">Model!$F$14+RAND()*(Model!$G$14-Model!$F$14)</f>
        <v>0.30846470553798161</v>
      </c>
      <c r="C4275" s="32">
        <f ca="1">Model!$F$15+RAND()*(Model!$G$15-Model!$F$15)</f>
        <v>2.8603569890835089E-2</v>
      </c>
      <c r="D4275" s="33">
        <f ca="1">Model!$F$16+RAND()*(Model!$G$16-Model!$F$16)</f>
        <v>49.266507047146895</v>
      </c>
      <c r="E4275" s="33">
        <f>Model!$D$17</f>
        <v>800</v>
      </c>
      <c r="G4275" s="36">
        <f t="shared" ca="1" si="69"/>
        <v>614.7419501124507</v>
      </c>
    </row>
    <row r="4276" spans="1:7" x14ac:dyDescent="0.2">
      <c r="A4276" s="6">
        <f ca="1">Model!$F$13+RAND()*(Model!$G$13-Model!$F$13)</f>
        <v>1786.2846278987281</v>
      </c>
      <c r="B4276" s="31">
        <f ca="1">Model!$F$14+RAND()*(Model!$G$14-Model!$F$14)</f>
        <v>0.68664879193466688</v>
      </c>
      <c r="C4276" s="32">
        <f ca="1">Model!$F$15+RAND()*(Model!$G$15-Model!$F$15)</f>
        <v>3.4396421576453826E-2</v>
      </c>
      <c r="D4276" s="33">
        <f ca="1">Model!$F$16+RAND()*(Model!$G$16-Model!$F$16)</f>
        <v>51.341109753697033</v>
      </c>
      <c r="E4276" s="33">
        <f>Model!$D$17</f>
        <v>800</v>
      </c>
      <c r="G4276" s="36">
        <f t="shared" ca="1" si="69"/>
        <v>1127.939970119211</v>
      </c>
    </row>
    <row r="4277" spans="1:7" x14ac:dyDescent="0.2">
      <c r="A4277" s="6">
        <f ca="1">Model!$F$13+RAND()*(Model!$G$13-Model!$F$13)</f>
        <v>1525.4843028448349</v>
      </c>
      <c r="B4277" s="31">
        <f ca="1">Model!$F$14+RAND()*(Model!$G$14-Model!$F$14)</f>
        <v>0.22657153415919476</v>
      </c>
      <c r="C4277" s="32">
        <f ca="1">Model!$F$15+RAND()*(Model!$G$15-Model!$F$15)</f>
        <v>3.8202975369444205E-2</v>
      </c>
      <c r="D4277" s="33">
        <f ca="1">Model!$F$16+RAND()*(Model!$G$16-Model!$F$16)</f>
        <v>47.160504708613686</v>
      </c>
      <c r="E4277" s="33">
        <f>Model!$D$17</f>
        <v>800</v>
      </c>
      <c r="G4277" s="36">
        <f t="shared" ca="1" si="69"/>
        <v>1602.7904255353469</v>
      </c>
    </row>
    <row r="4278" spans="1:7" x14ac:dyDescent="0.2">
      <c r="A4278" s="6">
        <f ca="1">Model!$F$13+RAND()*(Model!$G$13-Model!$F$13)</f>
        <v>1357.4419075924761</v>
      </c>
      <c r="B4278" s="31">
        <f ca="1">Model!$F$14+RAND()*(Model!$G$14-Model!$F$14)</f>
        <v>0.29117116481540994</v>
      </c>
      <c r="C4278" s="32">
        <f ca="1">Model!$F$15+RAND()*(Model!$G$15-Model!$F$15)</f>
        <v>1.6490202158683874E-2</v>
      </c>
      <c r="D4278" s="33">
        <f ca="1">Model!$F$16+RAND()*(Model!$G$16-Model!$F$16)</f>
        <v>48.901196036757526</v>
      </c>
      <c r="E4278" s="33">
        <f>Model!$D$17</f>
        <v>800</v>
      </c>
      <c r="G4278" s="36">
        <f t="shared" ca="1" si="69"/>
        <v>-100.61953560723691</v>
      </c>
    </row>
    <row r="4279" spans="1:7" x14ac:dyDescent="0.2">
      <c r="A4279" s="6">
        <f ca="1">Model!$F$13+RAND()*(Model!$G$13-Model!$F$13)</f>
        <v>1443.2765707995272</v>
      </c>
      <c r="B4279" s="31">
        <f ca="1">Model!$F$14+RAND()*(Model!$G$14-Model!$F$14)</f>
        <v>0.40623696175116342</v>
      </c>
      <c r="C4279" s="32">
        <f ca="1">Model!$F$15+RAND()*(Model!$G$15-Model!$F$15)</f>
        <v>1.5088035260036388E-2</v>
      </c>
      <c r="D4279" s="33">
        <f ca="1">Model!$F$16+RAND()*(Model!$G$16-Model!$F$16)</f>
        <v>51.405948748233904</v>
      </c>
      <c r="E4279" s="33">
        <f>Model!$D$17</f>
        <v>800</v>
      </c>
      <c r="G4279" s="36">
        <f t="shared" ca="1" si="69"/>
        <v>-266.88566749393044</v>
      </c>
    </row>
    <row r="4280" spans="1:7" x14ac:dyDescent="0.2">
      <c r="A4280" s="6">
        <f ca="1">Model!$F$13+RAND()*(Model!$G$13-Model!$F$13)</f>
        <v>1238.9372749265708</v>
      </c>
      <c r="B4280" s="31">
        <f ca="1">Model!$F$14+RAND()*(Model!$G$14-Model!$F$14)</f>
        <v>0.52158836690607502</v>
      </c>
      <c r="C4280" s="32">
        <f ca="1">Model!$F$15+RAND()*(Model!$G$15-Model!$F$15)</f>
        <v>3.8903893663548364E-2</v>
      </c>
      <c r="D4280" s="33">
        <f ca="1">Model!$F$16+RAND()*(Model!$G$16-Model!$F$16)</f>
        <v>47.978383847810768</v>
      </c>
      <c r="E4280" s="33">
        <f>Model!$D$17</f>
        <v>800</v>
      </c>
      <c r="G4280" s="36">
        <f t="shared" ca="1" si="69"/>
        <v>866.31807466879604</v>
      </c>
    </row>
    <row r="4281" spans="1:7" x14ac:dyDescent="0.2">
      <c r="A4281" s="6">
        <f ca="1">Model!$F$13+RAND()*(Model!$G$13-Model!$F$13)</f>
        <v>1287.3020925852441</v>
      </c>
      <c r="B4281" s="31">
        <f ca="1">Model!$F$14+RAND()*(Model!$G$14-Model!$F$14)</f>
        <v>0.73351693370165294</v>
      </c>
      <c r="C4281" s="32">
        <f ca="1">Model!$F$15+RAND()*(Model!$G$15-Model!$F$15)</f>
        <v>1.9287447365704088E-2</v>
      </c>
      <c r="D4281" s="33">
        <f ca="1">Model!$F$16+RAND()*(Model!$G$16-Model!$F$16)</f>
        <v>52.243839288429804</v>
      </c>
      <c r="E4281" s="33">
        <f>Model!$D$17</f>
        <v>800</v>
      </c>
      <c r="G4281" s="36">
        <f t="shared" ca="1" si="69"/>
        <v>-447.10754332725378</v>
      </c>
    </row>
    <row r="4282" spans="1:7" x14ac:dyDescent="0.2">
      <c r="A4282" s="6">
        <f ca="1">Model!$F$13+RAND()*(Model!$G$13-Model!$F$13)</f>
        <v>1506.6545977452097</v>
      </c>
      <c r="B4282" s="31">
        <f ca="1">Model!$F$14+RAND()*(Model!$G$14-Model!$F$14)</f>
        <v>0.40235099339855868</v>
      </c>
      <c r="C4282" s="32">
        <f ca="1">Model!$F$15+RAND()*(Model!$G$15-Model!$F$15)</f>
        <v>4.3812486280306186E-2</v>
      </c>
      <c r="D4282" s="33">
        <f ca="1">Model!$F$16+RAND()*(Model!$G$16-Model!$F$16)</f>
        <v>47.890031320572433</v>
      </c>
      <c r="E4282" s="33">
        <f>Model!$D$17</f>
        <v>800</v>
      </c>
      <c r="G4282" s="36">
        <f t="shared" ca="1" si="69"/>
        <v>1755.0305889982387</v>
      </c>
    </row>
    <row r="4283" spans="1:7" x14ac:dyDescent="0.2">
      <c r="A4283" s="6">
        <f ca="1">Model!$F$13+RAND()*(Model!$G$13-Model!$F$13)</f>
        <v>1553.1576314635731</v>
      </c>
      <c r="B4283" s="31">
        <f ca="1">Model!$F$14+RAND()*(Model!$G$14-Model!$F$14)</f>
        <v>0.27027523664504288</v>
      </c>
      <c r="C4283" s="32">
        <f ca="1">Model!$F$15+RAND()*(Model!$G$15-Model!$F$15)</f>
        <v>1.8890250927592007E-2</v>
      </c>
      <c r="D4283" s="33">
        <f ca="1">Model!$F$16+RAND()*(Model!$G$16-Model!$F$16)</f>
        <v>49.884122818753823</v>
      </c>
      <c r="E4283" s="33">
        <f>Model!$D$17</f>
        <v>800</v>
      </c>
      <c r="G4283" s="36">
        <f t="shared" ca="1" si="69"/>
        <v>243.79704014005642</v>
      </c>
    </row>
    <row r="4284" spans="1:7" x14ac:dyDescent="0.2">
      <c r="A4284" s="6">
        <f ca="1">Model!$F$13+RAND()*(Model!$G$13-Model!$F$13)</f>
        <v>1457.3718229433462</v>
      </c>
      <c r="B4284" s="31">
        <f ca="1">Model!$F$14+RAND()*(Model!$G$14-Model!$F$14)</f>
        <v>0.57217275579194249</v>
      </c>
      <c r="C4284" s="32">
        <f ca="1">Model!$F$15+RAND()*(Model!$G$15-Model!$F$15)</f>
        <v>1.5248513299430284E-2</v>
      </c>
      <c r="D4284" s="33">
        <f ca="1">Model!$F$16+RAND()*(Model!$G$16-Model!$F$16)</f>
        <v>49.326376904098353</v>
      </c>
      <c r="E4284" s="33">
        <f>Model!$D$17</f>
        <v>800</v>
      </c>
      <c r="G4284" s="36">
        <f t="shared" ca="1" si="69"/>
        <v>-537.70053102459815</v>
      </c>
    </row>
    <row r="4285" spans="1:7" x14ac:dyDescent="0.2">
      <c r="A4285" s="6">
        <f ca="1">Model!$F$13+RAND()*(Model!$G$13-Model!$F$13)</f>
        <v>1426.2999313158073</v>
      </c>
      <c r="B4285" s="31">
        <f ca="1">Model!$F$14+RAND()*(Model!$G$14-Model!$F$14)</f>
        <v>0.49783759705395414</v>
      </c>
      <c r="C4285" s="32">
        <f ca="1">Model!$F$15+RAND()*(Model!$G$15-Model!$F$15)</f>
        <v>3.5727735472191505E-2</v>
      </c>
      <c r="D4285" s="33">
        <f ca="1">Model!$F$16+RAND()*(Model!$G$16-Model!$F$16)</f>
        <v>50.23095767553508</v>
      </c>
      <c r="E4285" s="33">
        <f>Model!$D$17</f>
        <v>800</v>
      </c>
      <c r="G4285" s="36">
        <f t="shared" ca="1" si="69"/>
        <v>1049.6268510246514</v>
      </c>
    </row>
    <row r="4286" spans="1:7" x14ac:dyDescent="0.2">
      <c r="A4286" s="6">
        <f ca="1">Model!$F$13+RAND()*(Model!$G$13-Model!$F$13)</f>
        <v>1427.3503068742064</v>
      </c>
      <c r="B4286" s="31">
        <f ca="1">Model!$F$14+RAND()*(Model!$G$14-Model!$F$14)</f>
        <v>0.48679649246464735</v>
      </c>
      <c r="C4286" s="32">
        <f ca="1">Model!$F$15+RAND()*(Model!$G$15-Model!$F$15)</f>
        <v>4.0312231695336299E-2</v>
      </c>
      <c r="D4286" s="33">
        <f ca="1">Model!$F$16+RAND()*(Model!$G$16-Model!$F$16)</f>
        <v>49.893323561599871</v>
      </c>
      <c r="E4286" s="33">
        <f>Model!$D$17</f>
        <v>800</v>
      </c>
      <c r="G4286" s="36">
        <f t="shared" ca="1" si="69"/>
        <v>1376.0165634190503</v>
      </c>
    </row>
    <row r="4287" spans="1:7" x14ac:dyDescent="0.2">
      <c r="A4287" s="6">
        <f ca="1">Model!$F$13+RAND()*(Model!$G$13-Model!$F$13)</f>
        <v>1202.2136462189676</v>
      </c>
      <c r="B4287" s="31">
        <f ca="1">Model!$F$14+RAND()*(Model!$G$14-Model!$F$14)</f>
        <v>0.22821672959506983</v>
      </c>
      <c r="C4287" s="32">
        <f ca="1">Model!$F$15+RAND()*(Model!$G$15-Model!$F$15)</f>
        <v>4.0197064734296552E-2</v>
      </c>
      <c r="D4287" s="33">
        <f ca="1">Model!$F$16+RAND()*(Model!$G$16-Model!$F$16)</f>
        <v>48.693093243054868</v>
      </c>
      <c r="E4287" s="33">
        <f>Model!$D$17</f>
        <v>800</v>
      </c>
      <c r="G4287" s="36">
        <f t="shared" ca="1" si="69"/>
        <v>1278.7508515664611</v>
      </c>
    </row>
    <row r="4288" spans="1:7" x14ac:dyDescent="0.2">
      <c r="A4288" s="6">
        <f ca="1">Model!$F$13+RAND()*(Model!$G$13-Model!$F$13)</f>
        <v>1442.7464488350347</v>
      </c>
      <c r="B4288" s="31">
        <f ca="1">Model!$F$14+RAND()*(Model!$G$14-Model!$F$14)</f>
        <v>0.68409892465761946</v>
      </c>
      <c r="C4288" s="32">
        <f ca="1">Model!$F$15+RAND()*(Model!$G$15-Model!$F$15)</f>
        <v>3.1517626558256337E-2</v>
      </c>
      <c r="D4288" s="33">
        <f ca="1">Model!$F$16+RAND()*(Model!$G$16-Model!$F$16)</f>
        <v>49.680976027553641</v>
      </c>
      <c r="E4288" s="33">
        <f>Model!$D$17</f>
        <v>800</v>
      </c>
      <c r="G4288" s="36">
        <f t="shared" ca="1" si="69"/>
        <v>472.1092552864252</v>
      </c>
    </row>
    <row r="4289" spans="1:7" x14ac:dyDescent="0.2">
      <c r="A4289" s="6">
        <f ca="1">Model!$F$13+RAND()*(Model!$G$13-Model!$F$13)</f>
        <v>1414.3228526624907</v>
      </c>
      <c r="B4289" s="31">
        <f ca="1">Model!$F$14+RAND()*(Model!$G$14-Model!$F$14)</f>
        <v>0.58726078945065074</v>
      </c>
      <c r="C4289" s="32">
        <f ca="1">Model!$F$15+RAND()*(Model!$G$15-Model!$F$15)</f>
        <v>3.9033196445097236E-2</v>
      </c>
      <c r="D4289" s="33">
        <f ca="1">Model!$F$16+RAND()*(Model!$G$16-Model!$F$16)</f>
        <v>50.693099235537645</v>
      </c>
      <c r="E4289" s="33">
        <f>Model!$D$17</f>
        <v>800</v>
      </c>
      <c r="G4289" s="36">
        <f t="shared" ca="1" si="69"/>
        <v>1167.9636510263333</v>
      </c>
    </row>
    <row r="4290" spans="1:7" x14ac:dyDescent="0.2">
      <c r="A4290" s="6">
        <f ca="1">Model!$F$13+RAND()*(Model!$G$13-Model!$F$13)</f>
        <v>1209.645205401669</v>
      </c>
      <c r="B4290" s="31">
        <f ca="1">Model!$F$14+RAND()*(Model!$G$14-Model!$F$14)</f>
        <v>0.73411424631316713</v>
      </c>
      <c r="C4290" s="32">
        <f ca="1">Model!$F$15+RAND()*(Model!$G$15-Model!$F$15)</f>
        <v>4.434761734619716E-2</v>
      </c>
      <c r="D4290" s="33">
        <f ca="1">Model!$F$16+RAND()*(Model!$G$16-Model!$F$16)</f>
        <v>47.421412692082377</v>
      </c>
      <c r="E4290" s="33">
        <f>Model!$D$17</f>
        <v>800</v>
      </c>
      <c r="G4290" s="36">
        <f t="shared" ca="1" si="69"/>
        <v>855.89834277197997</v>
      </c>
    </row>
    <row r="4291" spans="1:7" x14ac:dyDescent="0.2">
      <c r="A4291" s="6">
        <f ca="1">Model!$F$13+RAND()*(Model!$G$13-Model!$F$13)</f>
        <v>1337.8078355697037</v>
      </c>
      <c r="B4291" s="31">
        <f ca="1">Model!$F$14+RAND()*(Model!$G$14-Model!$F$14)</f>
        <v>0.49732985834820381</v>
      </c>
      <c r="C4291" s="32">
        <f ca="1">Model!$F$15+RAND()*(Model!$G$15-Model!$F$15)</f>
        <v>2.0617121617129766E-2</v>
      </c>
      <c r="D4291" s="33">
        <f ca="1">Model!$F$16+RAND()*(Model!$G$16-Model!$F$16)</f>
        <v>50.862101760228775</v>
      </c>
      <c r="E4291" s="33">
        <f>Model!$D$17</f>
        <v>800</v>
      </c>
      <c r="G4291" s="36">
        <f t="shared" ca="1" si="69"/>
        <v>-62.466166540140875</v>
      </c>
    </row>
    <row r="4292" spans="1:7" x14ac:dyDescent="0.2">
      <c r="A4292" s="6">
        <f ca="1">Model!$F$13+RAND()*(Model!$G$13-Model!$F$13)</f>
        <v>1694.4395480772832</v>
      </c>
      <c r="B4292" s="31">
        <f ca="1">Model!$F$14+RAND()*(Model!$G$14-Model!$F$14)</f>
        <v>0.60922197781749665</v>
      </c>
      <c r="C4292" s="32">
        <f ca="1">Model!$F$15+RAND()*(Model!$G$15-Model!$F$15)</f>
        <v>2.7592695508514536E-2</v>
      </c>
      <c r="D4292" s="33">
        <f ca="1">Model!$F$16+RAND()*(Model!$G$16-Model!$F$16)</f>
        <v>49.340098641851476</v>
      </c>
      <c r="E4292" s="33">
        <f>Model!$D$17</f>
        <v>800</v>
      </c>
      <c r="G4292" s="36">
        <f t="shared" ca="1" si="69"/>
        <v>474.56478255354023</v>
      </c>
    </row>
    <row r="4293" spans="1:7" x14ac:dyDescent="0.2">
      <c r="A4293" s="6">
        <f ca="1">Model!$F$13+RAND()*(Model!$G$13-Model!$F$13)</f>
        <v>1343.9995409417186</v>
      </c>
      <c r="B4293" s="31">
        <f ca="1">Model!$F$14+RAND()*(Model!$G$14-Model!$F$14)</f>
        <v>0.54592927197188745</v>
      </c>
      <c r="C4293" s="32">
        <f ca="1">Model!$F$15+RAND()*(Model!$G$15-Model!$F$15)</f>
        <v>4.0558181818634548E-2</v>
      </c>
      <c r="D4293" s="33">
        <f ca="1">Model!$F$16+RAND()*(Model!$G$16-Model!$F$16)</f>
        <v>49.316903987538609</v>
      </c>
      <c r="E4293" s="33">
        <f>Model!$D$17</f>
        <v>800</v>
      </c>
      <c r="G4293" s="36">
        <f t="shared" ca="1" si="69"/>
        <v>1154.5445113102837</v>
      </c>
    </row>
    <row r="4294" spans="1:7" x14ac:dyDescent="0.2">
      <c r="A4294" s="6">
        <f ca="1">Model!$F$13+RAND()*(Model!$G$13-Model!$F$13)</f>
        <v>1513.3674870719944</v>
      </c>
      <c r="B4294" s="31">
        <f ca="1">Model!$F$14+RAND()*(Model!$G$14-Model!$F$14)</f>
        <v>0.30569029410277881</v>
      </c>
      <c r="C4294" s="32">
        <f ca="1">Model!$F$15+RAND()*(Model!$G$15-Model!$F$15)</f>
        <v>4.393127843601282E-2</v>
      </c>
      <c r="D4294" s="33">
        <f ca="1">Model!$F$16+RAND()*(Model!$G$16-Model!$F$16)</f>
        <v>51.374783776134763</v>
      </c>
      <c r="E4294" s="33">
        <f>Model!$D$17</f>
        <v>800</v>
      </c>
      <c r="G4294" s="36">
        <f t="shared" ca="1" si="69"/>
        <v>2152.988026475472</v>
      </c>
    </row>
    <row r="4295" spans="1:7" x14ac:dyDescent="0.2">
      <c r="A4295" s="6">
        <f ca="1">Model!$F$13+RAND()*(Model!$G$13-Model!$F$13)</f>
        <v>1739.0283160815084</v>
      </c>
      <c r="B4295" s="31">
        <f ca="1">Model!$F$14+RAND()*(Model!$G$14-Model!$F$14)</f>
        <v>0.64365899478141242</v>
      </c>
      <c r="C4295" s="32">
        <f ca="1">Model!$F$15+RAND()*(Model!$G$15-Model!$F$15)</f>
        <v>1.2619159699911156E-2</v>
      </c>
      <c r="D4295" s="33">
        <f ca="1">Model!$F$16+RAND()*(Model!$G$16-Model!$F$16)</f>
        <v>50.99483700022386</v>
      </c>
      <c r="E4295" s="33">
        <f>Model!$D$17</f>
        <v>800</v>
      </c>
      <c r="G4295" s="36">
        <f t="shared" ca="1" si="69"/>
        <v>-800.25564203982822</v>
      </c>
    </row>
    <row r="4296" spans="1:7" x14ac:dyDescent="0.2">
      <c r="A4296" s="6">
        <f ca="1">Model!$F$13+RAND()*(Model!$G$13-Model!$F$13)</f>
        <v>1454.9129773906118</v>
      </c>
      <c r="B4296" s="31">
        <f ca="1">Model!$F$14+RAND()*(Model!$G$14-Model!$F$14)</f>
        <v>0.2460961773241353</v>
      </c>
      <c r="C4296" s="32">
        <f ca="1">Model!$F$15+RAND()*(Model!$G$15-Model!$F$15)</f>
        <v>4.2240032375675036E-2</v>
      </c>
      <c r="D4296" s="33">
        <f ca="1">Model!$F$16+RAND()*(Model!$G$16-Model!$F$16)</f>
        <v>47.333047455536608</v>
      </c>
      <c r="E4296" s="33">
        <f>Model!$D$17</f>
        <v>800</v>
      </c>
      <c r="G4296" s="36">
        <f t="shared" ca="1" si="69"/>
        <v>1750.8309491966593</v>
      </c>
    </row>
    <row r="4297" spans="1:7" x14ac:dyDescent="0.2">
      <c r="A4297" s="6">
        <f ca="1">Model!$F$13+RAND()*(Model!$G$13-Model!$F$13)</f>
        <v>1632.1268438200732</v>
      </c>
      <c r="B4297" s="31">
        <f ca="1">Model!$F$14+RAND()*(Model!$G$14-Model!$F$14)</f>
        <v>0.64096288073584895</v>
      </c>
      <c r="C4297" s="32">
        <f ca="1">Model!$F$15+RAND()*(Model!$G$15-Model!$F$15)</f>
        <v>1.6146142491060621E-2</v>
      </c>
      <c r="D4297" s="33">
        <f ca="1">Model!$F$16+RAND()*(Model!$G$16-Model!$F$16)</f>
        <v>51.252359856653548</v>
      </c>
      <c r="E4297" s="33">
        <f>Model!$D$17</f>
        <v>800</v>
      </c>
      <c r="G4297" s="36">
        <f t="shared" ca="1" si="69"/>
        <v>-495.50221537471816</v>
      </c>
    </row>
    <row r="4298" spans="1:7" x14ac:dyDescent="0.2">
      <c r="A4298" s="6">
        <f ca="1">Model!$F$13+RAND()*(Model!$G$13-Model!$F$13)</f>
        <v>1263.3901993364657</v>
      </c>
      <c r="B4298" s="31">
        <f ca="1">Model!$F$14+RAND()*(Model!$G$14-Model!$F$14)</f>
        <v>0.7060042707510914</v>
      </c>
      <c r="C4298" s="32">
        <f ca="1">Model!$F$15+RAND()*(Model!$G$15-Model!$F$15)</f>
        <v>3.8401584083243782E-2</v>
      </c>
      <c r="D4298" s="33">
        <f ca="1">Model!$F$16+RAND()*(Model!$G$16-Model!$F$16)</f>
        <v>47.222834647827476</v>
      </c>
      <c r="E4298" s="33">
        <f>Model!$D$17</f>
        <v>800</v>
      </c>
      <c r="G4298" s="36">
        <f t="shared" ca="1" si="69"/>
        <v>599.11290421402737</v>
      </c>
    </row>
    <row r="4299" spans="1:7" x14ac:dyDescent="0.2">
      <c r="A4299" s="6">
        <f ca="1">Model!$F$13+RAND()*(Model!$G$13-Model!$F$13)</f>
        <v>1781.4231033215988</v>
      </c>
      <c r="B4299" s="31">
        <f ca="1">Model!$F$14+RAND()*(Model!$G$14-Model!$F$14)</f>
        <v>0.52634556160146917</v>
      </c>
      <c r="C4299" s="32">
        <f ca="1">Model!$F$15+RAND()*(Model!$G$15-Model!$F$15)</f>
        <v>3.8430650320775375E-2</v>
      </c>
      <c r="D4299" s="33">
        <f ca="1">Model!$F$16+RAND()*(Model!$G$16-Model!$F$16)</f>
        <v>47.666086120832595</v>
      </c>
      <c r="E4299" s="33">
        <f>Model!$D$17</f>
        <v>800</v>
      </c>
      <c r="G4299" s="36">
        <f t="shared" ca="1" si="69"/>
        <v>1525.6356163617352</v>
      </c>
    </row>
    <row r="4300" spans="1:7" x14ac:dyDescent="0.2">
      <c r="A4300" s="6">
        <f ca="1">Model!$F$13+RAND()*(Model!$G$13-Model!$F$13)</f>
        <v>1547.9294342338749</v>
      </c>
      <c r="B4300" s="31">
        <f ca="1">Model!$F$14+RAND()*(Model!$G$14-Model!$F$14)</f>
        <v>0.33330283887232792</v>
      </c>
      <c r="C4300" s="32">
        <f ca="1">Model!$F$15+RAND()*(Model!$G$15-Model!$F$15)</f>
        <v>2.1438133093510899E-2</v>
      </c>
      <c r="D4300" s="33">
        <f ca="1">Model!$F$16+RAND()*(Model!$G$16-Model!$F$16)</f>
        <v>50.675361199548007</v>
      </c>
      <c r="E4300" s="33">
        <f>Model!$D$17</f>
        <v>800</v>
      </c>
      <c r="G4300" s="36">
        <f t="shared" ca="1" si="69"/>
        <v>365.71825715468572</v>
      </c>
    </row>
    <row r="4301" spans="1:7" x14ac:dyDescent="0.2">
      <c r="A4301" s="6">
        <f ca="1">Model!$F$13+RAND()*(Model!$G$13-Model!$F$13)</f>
        <v>1384.8857296573681</v>
      </c>
      <c r="B4301" s="31">
        <f ca="1">Model!$F$14+RAND()*(Model!$G$14-Model!$F$14)</f>
        <v>0.35462292139603435</v>
      </c>
      <c r="C4301" s="32">
        <f ca="1">Model!$F$15+RAND()*(Model!$G$15-Model!$F$15)</f>
        <v>3.2028619154322285E-2</v>
      </c>
      <c r="D4301" s="33">
        <f ca="1">Model!$F$16+RAND()*(Model!$G$16-Model!$F$16)</f>
        <v>49.023321694379717</v>
      </c>
      <c r="E4301" s="33">
        <f>Model!$D$17</f>
        <v>800</v>
      </c>
      <c r="G4301" s="36">
        <f t="shared" ca="1" si="69"/>
        <v>883.36513606802691</v>
      </c>
    </row>
    <row r="4302" spans="1:7" x14ac:dyDescent="0.2">
      <c r="A4302" s="6">
        <f ca="1">Model!$F$13+RAND()*(Model!$G$13-Model!$F$13)</f>
        <v>1248.0516547678635</v>
      </c>
      <c r="B4302" s="31">
        <f ca="1">Model!$F$14+RAND()*(Model!$G$14-Model!$F$14)</f>
        <v>0.31484131293522755</v>
      </c>
      <c r="C4302" s="32">
        <f ca="1">Model!$F$15+RAND()*(Model!$G$15-Model!$F$15)</f>
        <v>4.5558155617710989E-2</v>
      </c>
      <c r="D4302" s="33">
        <f ca="1">Model!$F$16+RAND()*(Model!$G$16-Model!$F$16)</f>
        <v>51.328130269525623</v>
      </c>
      <c r="E4302" s="33">
        <f>Model!$D$17</f>
        <v>800</v>
      </c>
      <c r="G4302" s="36">
        <f t="shared" ca="1" si="69"/>
        <v>1725.5244217718439</v>
      </c>
    </row>
    <row r="4303" spans="1:7" x14ac:dyDescent="0.2">
      <c r="A4303" s="6">
        <f ca="1">Model!$F$13+RAND()*(Model!$G$13-Model!$F$13)</f>
        <v>1286.9560054703566</v>
      </c>
      <c r="B4303" s="31">
        <f ca="1">Model!$F$14+RAND()*(Model!$G$14-Model!$F$14)</f>
        <v>0.77381455821088885</v>
      </c>
      <c r="C4303" s="32">
        <f ca="1">Model!$F$15+RAND()*(Model!$G$15-Model!$F$15)</f>
        <v>1.0729567247650515E-2</v>
      </c>
      <c r="D4303" s="33">
        <f ca="1">Model!$F$16+RAND()*(Model!$G$16-Model!$F$16)</f>
        <v>50.709673131140448</v>
      </c>
      <c r="E4303" s="33">
        <f>Model!$D$17</f>
        <v>800</v>
      </c>
      <c r="G4303" s="36">
        <f t="shared" ca="1" si="69"/>
        <v>-1095.6417345853608</v>
      </c>
    </row>
    <row r="4304" spans="1:7" x14ac:dyDescent="0.2">
      <c r="A4304" s="6">
        <f ca="1">Model!$F$13+RAND()*(Model!$G$13-Model!$F$13)</f>
        <v>1795.9312595937108</v>
      </c>
      <c r="B4304" s="31">
        <f ca="1">Model!$F$14+RAND()*(Model!$G$14-Model!$F$14)</f>
        <v>0.32130586145089901</v>
      </c>
      <c r="C4304" s="32">
        <f ca="1">Model!$F$15+RAND()*(Model!$G$15-Model!$F$15)</f>
        <v>3.1129179768403355E-2</v>
      </c>
      <c r="D4304" s="33">
        <f ca="1">Model!$F$16+RAND()*(Model!$G$16-Model!$F$16)</f>
        <v>51.925582006452636</v>
      </c>
      <c r="E4304" s="33">
        <f>Model!$D$17</f>
        <v>800</v>
      </c>
      <c r="G4304" s="36">
        <f t="shared" ca="1" si="69"/>
        <v>1525.9014427201885</v>
      </c>
    </row>
    <row r="4305" spans="1:7" x14ac:dyDescent="0.2">
      <c r="A4305" s="6">
        <f ca="1">Model!$F$13+RAND()*(Model!$G$13-Model!$F$13)</f>
        <v>1311.5228382955966</v>
      </c>
      <c r="B4305" s="31">
        <f ca="1">Model!$F$14+RAND()*(Model!$G$14-Model!$F$14)</f>
        <v>0.57687819980616428</v>
      </c>
      <c r="C4305" s="32">
        <f ca="1">Model!$F$15+RAND()*(Model!$G$15-Model!$F$15)</f>
        <v>1.9897317965662138E-2</v>
      </c>
      <c r="D4305" s="33">
        <f ca="1">Model!$F$16+RAND()*(Model!$G$16-Model!$F$16)</f>
        <v>50.739458863193015</v>
      </c>
      <c r="E4305" s="33">
        <f>Model!$D$17</f>
        <v>800</v>
      </c>
      <c r="G4305" s="36">
        <f t="shared" ca="1" si="69"/>
        <v>-232.50282638142426</v>
      </c>
    </row>
    <row r="4306" spans="1:7" x14ac:dyDescent="0.2">
      <c r="A4306" s="6">
        <f ca="1">Model!$F$13+RAND()*(Model!$G$13-Model!$F$13)</f>
        <v>1271.5055533647983</v>
      </c>
      <c r="B4306" s="31">
        <f ca="1">Model!$F$14+RAND()*(Model!$G$14-Model!$F$14)</f>
        <v>0.34018419624407426</v>
      </c>
      <c r="C4306" s="32">
        <f ca="1">Model!$F$15+RAND()*(Model!$G$15-Model!$F$15)</f>
        <v>2.9699356831504334E-2</v>
      </c>
      <c r="D4306" s="33">
        <f ca="1">Model!$F$16+RAND()*(Model!$G$16-Model!$F$16)</f>
        <v>50.461243315426323</v>
      </c>
      <c r="E4306" s="33">
        <f>Model!$D$17</f>
        <v>800</v>
      </c>
      <c r="G4306" s="36">
        <f t="shared" ca="1" si="69"/>
        <v>673.0166463179105</v>
      </c>
    </row>
    <row r="4307" spans="1:7" x14ac:dyDescent="0.2">
      <c r="A4307" s="6">
        <f ca="1">Model!$F$13+RAND()*(Model!$G$13-Model!$F$13)</f>
        <v>1476.8896782192003</v>
      </c>
      <c r="B4307" s="31">
        <f ca="1">Model!$F$14+RAND()*(Model!$G$14-Model!$F$14)</f>
        <v>0.7259188996570014</v>
      </c>
      <c r="C4307" s="32">
        <f ca="1">Model!$F$15+RAND()*(Model!$G$15-Model!$F$15)</f>
        <v>4.0389546999912644E-2</v>
      </c>
      <c r="D4307" s="33">
        <f ca="1">Model!$F$16+RAND()*(Model!$G$16-Model!$F$16)</f>
        <v>52.769431269088891</v>
      </c>
      <c r="E4307" s="33">
        <f>Model!$D$17</f>
        <v>800</v>
      </c>
      <c r="G4307" s="36">
        <f t="shared" ca="1" si="69"/>
        <v>1275.6422052145306</v>
      </c>
    </row>
    <row r="4308" spans="1:7" x14ac:dyDescent="0.2">
      <c r="A4308" s="6">
        <f ca="1">Model!$F$13+RAND()*(Model!$G$13-Model!$F$13)</f>
        <v>1316.2728260639003</v>
      </c>
      <c r="B4308" s="31">
        <f ca="1">Model!$F$14+RAND()*(Model!$G$14-Model!$F$14)</f>
        <v>0.47759901095864804</v>
      </c>
      <c r="C4308" s="32">
        <f ca="1">Model!$F$15+RAND()*(Model!$G$15-Model!$F$15)</f>
        <v>1.6785691611307621E-2</v>
      </c>
      <c r="D4308" s="33">
        <f ca="1">Model!$F$16+RAND()*(Model!$G$16-Model!$F$16)</f>
        <v>50.373981213107051</v>
      </c>
      <c r="E4308" s="33">
        <f>Model!$D$17</f>
        <v>800</v>
      </c>
      <c r="G4308" s="36">
        <f t="shared" ca="1" si="69"/>
        <v>-315.6601666343945</v>
      </c>
    </row>
    <row r="4309" spans="1:7" x14ac:dyDescent="0.2">
      <c r="A4309" s="6">
        <f ca="1">Model!$F$13+RAND()*(Model!$G$13-Model!$F$13)</f>
        <v>1697.2365973368187</v>
      </c>
      <c r="B4309" s="31">
        <f ca="1">Model!$F$14+RAND()*(Model!$G$14-Model!$F$14)</f>
        <v>0.43321350626924587</v>
      </c>
      <c r="C4309" s="32">
        <f ca="1">Model!$F$15+RAND()*(Model!$G$15-Model!$F$15)</f>
        <v>3.3072782990009889E-2</v>
      </c>
      <c r="D4309" s="33">
        <f ca="1">Model!$F$16+RAND()*(Model!$G$16-Model!$F$16)</f>
        <v>51.106197520177638</v>
      </c>
      <c r="E4309" s="33">
        <f>Model!$D$17</f>
        <v>800</v>
      </c>
      <c r="G4309" s="36">
        <f t="shared" ca="1" si="69"/>
        <v>1333.444518748774</v>
      </c>
    </row>
    <row r="4310" spans="1:7" x14ac:dyDescent="0.2">
      <c r="A4310" s="6">
        <f ca="1">Model!$F$13+RAND()*(Model!$G$13-Model!$F$13)</f>
        <v>1252.8027218515185</v>
      </c>
      <c r="B4310" s="31">
        <f ca="1">Model!$F$14+RAND()*(Model!$G$14-Model!$F$14)</f>
        <v>0.49241207869308851</v>
      </c>
      <c r="C4310" s="32">
        <f ca="1">Model!$F$15+RAND()*(Model!$G$15-Model!$F$15)</f>
        <v>1.8125648180933873E-2</v>
      </c>
      <c r="D4310" s="33">
        <f ca="1">Model!$F$16+RAND()*(Model!$G$16-Model!$F$16)</f>
        <v>52.716419955481868</v>
      </c>
      <c r="E4310" s="33">
        <f>Model!$D$17</f>
        <v>800</v>
      </c>
      <c r="G4310" s="36">
        <f t="shared" ca="1" si="69"/>
        <v>-219.81803585025568</v>
      </c>
    </row>
    <row r="4311" spans="1:7" x14ac:dyDescent="0.2">
      <c r="A4311" s="6">
        <f ca="1">Model!$F$13+RAND()*(Model!$G$13-Model!$F$13)</f>
        <v>1480.3227274969065</v>
      </c>
      <c r="B4311" s="31">
        <f ca="1">Model!$F$14+RAND()*(Model!$G$14-Model!$F$14)</f>
        <v>0.69901772081473634</v>
      </c>
      <c r="C4311" s="32">
        <f ca="1">Model!$F$15+RAND()*(Model!$G$15-Model!$F$15)</f>
        <v>2.9408362743842419E-2</v>
      </c>
      <c r="D4311" s="33">
        <f ca="1">Model!$F$16+RAND()*(Model!$G$16-Model!$F$16)</f>
        <v>50.72585179530185</v>
      </c>
      <c r="E4311" s="33">
        <f>Model!$D$17</f>
        <v>800</v>
      </c>
      <c r="G4311" s="36">
        <f t="shared" ca="1" si="69"/>
        <v>373.52070442547142</v>
      </c>
    </row>
    <row r="4312" spans="1:7" x14ac:dyDescent="0.2">
      <c r="A4312" s="6">
        <f ca="1">Model!$F$13+RAND()*(Model!$G$13-Model!$F$13)</f>
        <v>1266.7277114163039</v>
      </c>
      <c r="B4312" s="31">
        <f ca="1">Model!$F$14+RAND()*(Model!$G$14-Model!$F$14)</f>
        <v>0.43591238430296159</v>
      </c>
      <c r="C4312" s="32">
        <f ca="1">Model!$F$15+RAND()*(Model!$G$15-Model!$F$15)</f>
        <v>4.8308743668676227E-2</v>
      </c>
      <c r="D4312" s="33">
        <f ca="1">Model!$F$16+RAND()*(Model!$G$16-Model!$F$16)</f>
        <v>48.755597711751903</v>
      </c>
      <c r="E4312" s="33">
        <f>Model!$D$17</f>
        <v>800</v>
      </c>
      <c r="G4312" s="36">
        <f t="shared" ca="1" si="69"/>
        <v>1631.3689346178357</v>
      </c>
    </row>
    <row r="4313" spans="1:7" x14ac:dyDescent="0.2">
      <c r="A4313" s="6">
        <f ca="1">Model!$F$13+RAND()*(Model!$G$13-Model!$F$13)</f>
        <v>1512.098661967319</v>
      </c>
      <c r="B4313" s="31">
        <f ca="1">Model!$F$14+RAND()*(Model!$G$14-Model!$F$14)</f>
        <v>0.39960840527511565</v>
      </c>
      <c r="C4313" s="32">
        <f ca="1">Model!$F$15+RAND()*(Model!$G$15-Model!$F$15)</f>
        <v>2.6670810823445731E-2</v>
      </c>
      <c r="D4313" s="33">
        <f ca="1">Model!$F$16+RAND()*(Model!$G$16-Model!$F$16)</f>
        <v>52.556179744422487</v>
      </c>
      <c r="E4313" s="33">
        <f>Model!$D$17</f>
        <v>800</v>
      </c>
      <c r="G4313" s="36">
        <f t="shared" ca="1" si="69"/>
        <v>715.28544360419164</v>
      </c>
    </row>
    <row r="4314" spans="1:7" x14ac:dyDescent="0.2">
      <c r="A4314" s="6">
        <f ca="1">Model!$F$13+RAND()*(Model!$G$13-Model!$F$13)</f>
        <v>1717.5648797073668</v>
      </c>
      <c r="B4314" s="31">
        <f ca="1">Model!$F$14+RAND()*(Model!$G$14-Model!$F$14)</f>
        <v>0.41393333200416482</v>
      </c>
      <c r="C4314" s="32">
        <f ca="1">Model!$F$15+RAND()*(Model!$G$15-Model!$F$15)</f>
        <v>3.3480452473726365E-2</v>
      </c>
      <c r="D4314" s="33">
        <f ca="1">Model!$F$16+RAND()*(Model!$G$16-Model!$F$16)</f>
        <v>48.878506706406313</v>
      </c>
      <c r="E4314" s="33">
        <f>Model!$D$17</f>
        <v>800</v>
      </c>
      <c r="G4314" s="36">
        <f t="shared" ca="1" si="69"/>
        <v>1299.7938098208406</v>
      </c>
    </row>
    <row r="4315" spans="1:7" x14ac:dyDescent="0.2">
      <c r="A4315" s="6">
        <f ca="1">Model!$F$13+RAND()*(Model!$G$13-Model!$F$13)</f>
        <v>1612.8737557700028</v>
      </c>
      <c r="B4315" s="31">
        <f ca="1">Model!$F$14+RAND()*(Model!$G$14-Model!$F$14)</f>
        <v>0.53396332293583049</v>
      </c>
      <c r="C4315" s="32">
        <f ca="1">Model!$F$15+RAND()*(Model!$G$15-Model!$F$15)</f>
        <v>3.4359087670669253E-2</v>
      </c>
      <c r="D4315" s="33">
        <f ca="1">Model!$F$16+RAND()*(Model!$G$16-Model!$F$16)</f>
        <v>47.832863400850208</v>
      </c>
      <c r="E4315" s="33">
        <f>Model!$D$17</f>
        <v>800</v>
      </c>
      <c r="G4315" s="36">
        <f t="shared" ca="1" si="69"/>
        <v>989.53217983470427</v>
      </c>
    </row>
    <row r="4316" spans="1:7" x14ac:dyDescent="0.2">
      <c r="A4316" s="6">
        <f ca="1">Model!$F$13+RAND()*(Model!$G$13-Model!$F$13)</f>
        <v>1380.35924464452</v>
      </c>
      <c r="B4316" s="31">
        <f ca="1">Model!$F$14+RAND()*(Model!$G$14-Model!$F$14)</f>
        <v>0.45273690186888449</v>
      </c>
      <c r="C4316" s="32">
        <f ca="1">Model!$F$15+RAND()*(Model!$G$15-Model!$F$15)</f>
        <v>2.7522735664095986E-2</v>
      </c>
      <c r="D4316" s="33">
        <f ca="1">Model!$F$16+RAND()*(Model!$G$16-Model!$F$16)</f>
        <v>52.552375151556632</v>
      </c>
      <c r="E4316" s="33">
        <f>Model!$D$17</f>
        <v>800</v>
      </c>
      <c r="G4316" s="36">
        <f t="shared" ca="1" si="69"/>
        <v>571.591517372412</v>
      </c>
    </row>
    <row r="4317" spans="1:7" x14ac:dyDescent="0.2">
      <c r="A4317" s="6">
        <f ca="1">Model!$F$13+RAND()*(Model!$G$13-Model!$F$13)</f>
        <v>1428.8196663770761</v>
      </c>
      <c r="B4317" s="31">
        <f ca="1">Model!$F$14+RAND()*(Model!$G$14-Model!$F$14)</f>
        <v>0.47986143590018915</v>
      </c>
      <c r="C4317" s="32">
        <f ca="1">Model!$F$15+RAND()*(Model!$G$15-Model!$F$15)</f>
        <v>1.1434181433021067E-2</v>
      </c>
      <c r="D4317" s="33">
        <f ca="1">Model!$F$16+RAND()*(Model!$G$16-Model!$F$16)</f>
        <v>52.661922122495753</v>
      </c>
      <c r="E4317" s="33">
        <f>Model!$D$17</f>
        <v>800</v>
      </c>
      <c r="G4317" s="36">
        <f t="shared" ca="1" si="69"/>
        <v>-625.27744969783544</v>
      </c>
    </row>
    <row r="4318" spans="1:7" x14ac:dyDescent="0.2">
      <c r="A4318" s="6">
        <f ca="1">Model!$F$13+RAND()*(Model!$G$13-Model!$F$13)</f>
        <v>1636.9801582546204</v>
      </c>
      <c r="B4318" s="31">
        <f ca="1">Model!$F$14+RAND()*(Model!$G$14-Model!$F$14)</f>
        <v>0.36296233722411186</v>
      </c>
      <c r="C4318" s="32">
        <f ca="1">Model!$F$15+RAND()*(Model!$G$15-Model!$F$15)</f>
        <v>3.5115751327018399E-2</v>
      </c>
      <c r="D4318" s="33">
        <f ca="1">Model!$F$16+RAND()*(Model!$G$16-Model!$F$16)</f>
        <v>49.201546505931866</v>
      </c>
      <c r="E4318" s="33">
        <f>Model!$D$17</f>
        <v>800</v>
      </c>
      <c r="G4318" s="36">
        <f t="shared" ca="1" si="69"/>
        <v>1434.1291324847866</v>
      </c>
    </row>
    <row r="4319" spans="1:7" x14ac:dyDescent="0.2">
      <c r="A4319" s="6">
        <f ca="1">Model!$F$13+RAND()*(Model!$G$13-Model!$F$13)</f>
        <v>1638.8011496030181</v>
      </c>
      <c r="B4319" s="31">
        <f ca="1">Model!$F$14+RAND()*(Model!$G$14-Model!$F$14)</f>
        <v>0.64471973706060326</v>
      </c>
      <c r="C4319" s="32">
        <f ca="1">Model!$F$15+RAND()*(Model!$G$15-Model!$F$15)</f>
        <v>4.535384563227339E-2</v>
      </c>
      <c r="D4319" s="33">
        <f ca="1">Model!$F$16+RAND()*(Model!$G$16-Model!$F$16)</f>
        <v>47.509003082905849</v>
      </c>
      <c r="E4319" s="33">
        <f>Model!$D$17</f>
        <v>800</v>
      </c>
      <c r="G4319" s="36">
        <f t="shared" ca="1" si="69"/>
        <v>1674.5835984340893</v>
      </c>
    </row>
    <row r="4320" spans="1:7" x14ac:dyDescent="0.2">
      <c r="A4320" s="6">
        <f ca="1">Model!$F$13+RAND()*(Model!$G$13-Model!$F$13)</f>
        <v>1569.2557253506079</v>
      </c>
      <c r="B4320" s="31">
        <f ca="1">Model!$F$14+RAND()*(Model!$G$14-Model!$F$14)</f>
        <v>0.79500862776062187</v>
      </c>
      <c r="C4320" s="32">
        <f ca="1">Model!$F$15+RAND()*(Model!$G$15-Model!$F$15)</f>
        <v>2.2991486522995153E-2</v>
      </c>
      <c r="D4320" s="33">
        <f ca="1">Model!$F$16+RAND()*(Model!$G$16-Model!$F$16)</f>
        <v>48.63752868158128</v>
      </c>
      <c r="E4320" s="33">
        <f>Model!$D$17</f>
        <v>800</v>
      </c>
      <c r="G4320" s="36">
        <f t="shared" ca="1" si="69"/>
        <v>-292.75306150714732</v>
      </c>
    </row>
    <row r="4321" spans="1:7" x14ac:dyDescent="0.2">
      <c r="A4321" s="6">
        <f ca="1">Model!$F$13+RAND()*(Model!$G$13-Model!$F$13)</f>
        <v>1631.3066848270951</v>
      </c>
      <c r="B4321" s="31">
        <f ca="1">Model!$F$14+RAND()*(Model!$G$14-Model!$F$14)</f>
        <v>0.54215032656461215</v>
      </c>
      <c r="C4321" s="32">
        <f ca="1">Model!$F$15+RAND()*(Model!$G$15-Model!$F$15)</f>
        <v>1.7257189724049306E-2</v>
      </c>
      <c r="D4321" s="33">
        <f ca="1">Model!$F$16+RAND()*(Model!$G$16-Model!$F$16)</f>
        <v>49.2298321651473</v>
      </c>
      <c r="E4321" s="33">
        <f>Model!$D$17</f>
        <v>800</v>
      </c>
      <c r="G4321" s="36">
        <f t="shared" ca="1" si="69"/>
        <v>-298.5065909432783</v>
      </c>
    </row>
    <row r="4322" spans="1:7" x14ac:dyDescent="0.2">
      <c r="A4322" s="6">
        <f ca="1">Model!$F$13+RAND()*(Model!$G$13-Model!$F$13)</f>
        <v>1417.2562098610003</v>
      </c>
      <c r="B4322" s="31">
        <f ca="1">Model!$F$14+RAND()*(Model!$G$14-Model!$F$14)</f>
        <v>0.39830904359017727</v>
      </c>
      <c r="C4322" s="32">
        <f ca="1">Model!$F$15+RAND()*(Model!$G$15-Model!$F$15)</f>
        <v>1.6142926654650714E-2</v>
      </c>
      <c r="D4322" s="33">
        <f ca="1">Model!$F$16+RAND()*(Model!$G$16-Model!$F$16)</f>
        <v>47.743876100468732</v>
      </c>
      <c r="E4322" s="33">
        <f>Model!$D$17</f>
        <v>800</v>
      </c>
      <c r="G4322" s="36">
        <f t="shared" ca="1" si="69"/>
        <v>-272.18991162908969</v>
      </c>
    </row>
    <row r="4323" spans="1:7" x14ac:dyDescent="0.2">
      <c r="A4323" s="6">
        <f ca="1">Model!$F$13+RAND()*(Model!$G$13-Model!$F$13)</f>
        <v>1707.8858610549682</v>
      </c>
      <c r="B4323" s="31">
        <f ca="1">Model!$F$14+RAND()*(Model!$G$14-Model!$F$14)</f>
        <v>0.2035200495641013</v>
      </c>
      <c r="C4323" s="32">
        <f ca="1">Model!$F$15+RAND()*(Model!$G$15-Model!$F$15)</f>
        <v>1.7100093168290059E-2</v>
      </c>
      <c r="D4323" s="33">
        <f ca="1">Model!$F$16+RAND()*(Model!$G$16-Model!$F$16)</f>
        <v>52.582362000283354</v>
      </c>
      <c r="E4323" s="33">
        <f>Model!$D$17</f>
        <v>800</v>
      </c>
      <c r="G4323" s="36">
        <f t="shared" ca="1" si="69"/>
        <v>388.07925333585217</v>
      </c>
    </row>
    <row r="4324" spans="1:7" x14ac:dyDescent="0.2">
      <c r="A4324" s="6">
        <f ca="1">Model!$F$13+RAND()*(Model!$G$13-Model!$F$13)</f>
        <v>1289.7374134346178</v>
      </c>
      <c r="B4324" s="31">
        <f ca="1">Model!$F$14+RAND()*(Model!$G$14-Model!$F$14)</f>
        <v>0.57643158059444777</v>
      </c>
      <c r="C4324" s="32">
        <f ca="1">Model!$F$15+RAND()*(Model!$G$15-Model!$F$15)</f>
        <v>4.8929366219090019E-2</v>
      </c>
      <c r="D4324" s="33">
        <f ca="1">Model!$F$16+RAND()*(Model!$G$16-Model!$F$16)</f>
        <v>47.865381697852492</v>
      </c>
      <c r="E4324" s="33">
        <f>Model!$D$17</f>
        <v>800</v>
      </c>
      <c r="G4324" s="36">
        <f t="shared" ca="1" si="69"/>
        <v>1477.1490400024059</v>
      </c>
    </row>
    <row r="4325" spans="1:7" x14ac:dyDescent="0.2">
      <c r="A4325" s="6">
        <f ca="1">Model!$F$13+RAND()*(Model!$G$13-Model!$F$13)</f>
        <v>1355.353972429471</v>
      </c>
      <c r="B4325" s="31">
        <f ca="1">Model!$F$14+RAND()*(Model!$G$14-Model!$F$14)</f>
        <v>0.49116838804689755</v>
      </c>
      <c r="C4325" s="32">
        <f ca="1">Model!$F$15+RAND()*(Model!$G$15-Model!$F$15)</f>
        <v>1.1624134360417156E-2</v>
      </c>
      <c r="D4325" s="33">
        <f ca="1">Model!$F$16+RAND()*(Model!$G$16-Model!$F$16)</f>
        <v>51.953636384300445</v>
      </c>
      <c r="E4325" s="33">
        <f>Model!$D$17</f>
        <v>800</v>
      </c>
      <c r="G4325" s="36">
        <f t="shared" ca="1" si="69"/>
        <v>-647.18700870202224</v>
      </c>
    </row>
    <row r="4326" spans="1:7" x14ac:dyDescent="0.2">
      <c r="A4326" s="6">
        <f ca="1">Model!$F$13+RAND()*(Model!$G$13-Model!$F$13)</f>
        <v>1512.6241468191633</v>
      </c>
      <c r="B4326" s="31">
        <f ca="1">Model!$F$14+RAND()*(Model!$G$14-Model!$F$14)</f>
        <v>0.55452020753857911</v>
      </c>
      <c r="C4326" s="32">
        <f ca="1">Model!$F$15+RAND()*(Model!$G$15-Model!$F$15)</f>
        <v>3.459709591385908E-2</v>
      </c>
      <c r="D4326" s="33">
        <f ca="1">Model!$F$16+RAND()*(Model!$G$16-Model!$F$16)</f>
        <v>50.235947824101018</v>
      </c>
      <c r="E4326" s="33">
        <f>Model!$D$17</f>
        <v>800</v>
      </c>
      <c r="G4326" s="36">
        <f t="shared" ca="1" si="69"/>
        <v>990.18719517854061</v>
      </c>
    </row>
    <row r="4327" spans="1:7" x14ac:dyDescent="0.2">
      <c r="A4327" s="6">
        <f ca="1">Model!$F$13+RAND()*(Model!$G$13-Model!$F$13)</f>
        <v>1337.3869423806798</v>
      </c>
      <c r="B4327" s="31">
        <f ca="1">Model!$F$14+RAND()*(Model!$G$14-Model!$F$14)</f>
        <v>0.66945929621239353</v>
      </c>
      <c r="C4327" s="32">
        <f ca="1">Model!$F$15+RAND()*(Model!$G$15-Model!$F$15)</f>
        <v>3.3916797398571445E-2</v>
      </c>
      <c r="D4327" s="33">
        <f ca="1">Model!$F$16+RAND()*(Model!$G$16-Model!$F$16)</f>
        <v>47.543990228880574</v>
      </c>
      <c r="E4327" s="33">
        <f>Model!$D$17</f>
        <v>800</v>
      </c>
      <c r="G4327" s="36">
        <f t="shared" ca="1" si="69"/>
        <v>461.26366387043458</v>
      </c>
    </row>
    <row r="4328" spans="1:7" x14ac:dyDescent="0.2">
      <c r="A4328" s="6">
        <f ca="1">Model!$F$13+RAND()*(Model!$G$13-Model!$F$13)</f>
        <v>1317.2504154719863</v>
      </c>
      <c r="B4328" s="31">
        <f ca="1">Model!$F$14+RAND()*(Model!$G$14-Model!$F$14)</f>
        <v>0.52806586458847504</v>
      </c>
      <c r="C4328" s="32">
        <f ca="1">Model!$F$15+RAND()*(Model!$G$15-Model!$F$15)</f>
        <v>4.345674197091054E-2</v>
      </c>
      <c r="D4328" s="33">
        <f ca="1">Model!$F$16+RAND()*(Model!$G$16-Model!$F$16)</f>
        <v>49.290406080842665</v>
      </c>
      <c r="E4328" s="33">
        <f>Model!$D$17</f>
        <v>800</v>
      </c>
      <c r="G4328" s="36">
        <f t="shared" ca="1" si="69"/>
        <v>1325.9560146335125</v>
      </c>
    </row>
    <row r="4329" spans="1:7" x14ac:dyDescent="0.2">
      <c r="A4329" s="6">
        <f ca="1">Model!$F$13+RAND()*(Model!$G$13-Model!$F$13)</f>
        <v>1498.7691089905122</v>
      </c>
      <c r="B4329" s="31">
        <f ca="1">Model!$F$14+RAND()*(Model!$G$14-Model!$F$14)</f>
        <v>0.67242960696722154</v>
      </c>
      <c r="C4329" s="32">
        <f ca="1">Model!$F$15+RAND()*(Model!$G$15-Model!$F$15)</f>
        <v>2.7254597531189306E-2</v>
      </c>
      <c r="D4329" s="33">
        <f ca="1">Model!$F$16+RAND()*(Model!$G$16-Model!$F$16)</f>
        <v>49.560112379352255</v>
      </c>
      <c r="E4329" s="33">
        <f>Model!$D$17</f>
        <v>800</v>
      </c>
      <c r="G4329" s="36">
        <f t="shared" ref="G4329:G4392" ca="1" si="70">A4329*C4329*D4329-(E4329+A4329*B4329)</f>
        <v>216.63203700626832</v>
      </c>
    </row>
    <row r="4330" spans="1:7" x14ac:dyDescent="0.2">
      <c r="A4330" s="6">
        <f ca="1">Model!$F$13+RAND()*(Model!$G$13-Model!$F$13)</f>
        <v>1309.5500435936237</v>
      </c>
      <c r="B4330" s="31">
        <f ca="1">Model!$F$14+RAND()*(Model!$G$14-Model!$F$14)</f>
        <v>0.33993443428912606</v>
      </c>
      <c r="C4330" s="32">
        <f ca="1">Model!$F$15+RAND()*(Model!$G$15-Model!$F$15)</f>
        <v>2.1354995255769688E-2</v>
      </c>
      <c r="D4330" s="33">
        <f ca="1">Model!$F$16+RAND()*(Model!$G$16-Model!$F$16)</f>
        <v>50.164470439532224</v>
      </c>
      <c r="E4330" s="33">
        <f>Model!$D$17</f>
        <v>800</v>
      </c>
      <c r="G4330" s="36">
        <f t="shared" ca="1" si="70"/>
        <v>157.71008254536105</v>
      </c>
    </row>
    <row r="4331" spans="1:7" x14ac:dyDescent="0.2">
      <c r="A4331" s="6">
        <f ca="1">Model!$F$13+RAND()*(Model!$G$13-Model!$F$13)</f>
        <v>1536.3922339361079</v>
      </c>
      <c r="B4331" s="31">
        <f ca="1">Model!$F$14+RAND()*(Model!$G$14-Model!$F$14)</f>
        <v>0.54586185570331924</v>
      </c>
      <c r="C4331" s="32">
        <f ca="1">Model!$F$15+RAND()*(Model!$G$15-Model!$F$15)</f>
        <v>2.1021038455768082E-2</v>
      </c>
      <c r="D4331" s="33">
        <f ca="1">Model!$F$16+RAND()*(Model!$G$16-Model!$F$16)</f>
        <v>52.513529150689628</v>
      </c>
      <c r="E4331" s="33">
        <f>Model!$D$17</f>
        <v>800</v>
      </c>
      <c r="G4331" s="36">
        <f t="shared" ca="1" si="70"/>
        <v>57.348441343116747</v>
      </c>
    </row>
    <row r="4332" spans="1:7" x14ac:dyDescent="0.2">
      <c r="A4332" s="6">
        <f ca="1">Model!$F$13+RAND()*(Model!$G$13-Model!$F$13)</f>
        <v>1591.1117893336295</v>
      </c>
      <c r="B4332" s="31">
        <f ca="1">Model!$F$14+RAND()*(Model!$G$14-Model!$F$14)</f>
        <v>0.44171043737166971</v>
      </c>
      <c r="C4332" s="32">
        <f ca="1">Model!$F$15+RAND()*(Model!$G$15-Model!$F$15)</f>
        <v>3.2522715982771906E-2</v>
      </c>
      <c r="D4332" s="33">
        <f ca="1">Model!$F$16+RAND()*(Model!$G$16-Model!$F$16)</f>
        <v>48.330806780999758</v>
      </c>
      <c r="E4332" s="33">
        <f>Model!$D$17</f>
        <v>800</v>
      </c>
      <c r="G4332" s="36">
        <f t="shared" ca="1" si="70"/>
        <v>998.1769531211994</v>
      </c>
    </row>
    <row r="4333" spans="1:7" x14ac:dyDescent="0.2">
      <c r="A4333" s="6">
        <f ca="1">Model!$F$13+RAND()*(Model!$G$13-Model!$F$13)</f>
        <v>1477.3268411175475</v>
      </c>
      <c r="B4333" s="31">
        <f ca="1">Model!$F$14+RAND()*(Model!$G$14-Model!$F$14)</f>
        <v>0.7609915698516474</v>
      </c>
      <c r="C4333" s="32">
        <f ca="1">Model!$F$15+RAND()*(Model!$G$15-Model!$F$15)</f>
        <v>1.3694130148437806E-2</v>
      </c>
      <c r="D4333" s="33">
        <f ca="1">Model!$F$16+RAND()*(Model!$G$16-Model!$F$16)</f>
        <v>51.816681784446232</v>
      </c>
      <c r="E4333" s="33">
        <f>Model!$D$17</f>
        <v>800</v>
      </c>
      <c r="G4333" s="36">
        <f t="shared" ca="1" si="70"/>
        <v>-875.94521516527334</v>
      </c>
    </row>
    <row r="4334" spans="1:7" x14ac:dyDescent="0.2">
      <c r="A4334" s="6">
        <f ca="1">Model!$F$13+RAND()*(Model!$G$13-Model!$F$13)</f>
        <v>1543.9555432007069</v>
      </c>
      <c r="B4334" s="31">
        <f ca="1">Model!$F$14+RAND()*(Model!$G$14-Model!$F$14)</f>
        <v>0.48325715896016136</v>
      </c>
      <c r="C4334" s="32">
        <f ca="1">Model!$F$15+RAND()*(Model!$G$15-Model!$F$15)</f>
        <v>4.0012789738646172E-2</v>
      </c>
      <c r="D4334" s="33">
        <f ca="1">Model!$F$16+RAND()*(Model!$G$16-Model!$F$16)</f>
        <v>49.131214543376423</v>
      </c>
      <c r="E4334" s="33">
        <f>Model!$D$17</f>
        <v>800</v>
      </c>
      <c r="G4334" s="36">
        <f t="shared" ca="1" si="70"/>
        <v>1489.0990558410203</v>
      </c>
    </row>
    <row r="4335" spans="1:7" x14ac:dyDescent="0.2">
      <c r="A4335" s="6">
        <f ca="1">Model!$F$13+RAND()*(Model!$G$13-Model!$F$13)</f>
        <v>1272.9918417830158</v>
      </c>
      <c r="B4335" s="31">
        <f ca="1">Model!$F$14+RAND()*(Model!$G$14-Model!$F$14)</f>
        <v>0.7758922257313019</v>
      </c>
      <c r="C4335" s="32">
        <f ca="1">Model!$F$15+RAND()*(Model!$G$15-Model!$F$15)</f>
        <v>2.9811990377883034E-2</v>
      </c>
      <c r="D4335" s="33">
        <f ca="1">Model!$F$16+RAND()*(Model!$G$16-Model!$F$16)</f>
        <v>51.560376817569221</v>
      </c>
      <c r="E4335" s="33">
        <f>Model!$D$17</f>
        <v>800</v>
      </c>
      <c r="G4335" s="36">
        <f t="shared" ca="1" si="70"/>
        <v>169.03350988418811</v>
      </c>
    </row>
    <row r="4336" spans="1:7" x14ac:dyDescent="0.2">
      <c r="A4336" s="6">
        <f ca="1">Model!$F$13+RAND()*(Model!$G$13-Model!$F$13)</f>
        <v>1432.1091780492904</v>
      </c>
      <c r="B4336" s="31">
        <f ca="1">Model!$F$14+RAND()*(Model!$G$14-Model!$F$14)</f>
        <v>0.69741770925712931</v>
      </c>
      <c r="C4336" s="32">
        <f ca="1">Model!$F$15+RAND()*(Model!$G$15-Model!$F$15)</f>
        <v>2.392039873365355E-2</v>
      </c>
      <c r="D4336" s="33">
        <f ca="1">Model!$F$16+RAND()*(Model!$G$16-Model!$F$16)</f>
        <v>50.418892028321629</v>
      </c>
      <c r="E4336" s="33">
        <f>Model!$D$17</f>
        <v>800</v>
      </c>
      <c r="G4336" s="36">
        <f t="shared" ca="1" si="70"/>
        <v>-71.597347796649274</v>
      </c>
    </row>
    <row r="4337" spans="1:7" x14ac:dyDescent="0.2">
      <c r="A4337" s="6">
        <f ca="1">Model!$F$13+RAND()*(Model!$G$13-Model!$F$13)</f>
        <v>1679.4132070091187</v>
      </c>
      <c r="B4337" s="31">
        <f ca="1">Model!$F$14+RAND()*(Model!$G$14-Model!$F$14)</f>
        <v>0.24688386214511204</v>
      </c>
      <c r="C4337" s="32">
        <f ca="1">Model!$F$15+RAND()*(Model!$G$15-Model!$F$15)</f>
        <v>2.3509359507631306E-2</v>
      </c>
      <c r="D4337" s="33">
        <f ca="1">Model!$F$16+RAND()*(Model!$G$16-Model!$F$16)</f>
        <v>49.569859502253138</v>
      </c>
      <c r="E4337" s="33">
        <f>Model!$D$17</f>
        <v>800</v>
      </c>
      <c r="G4337" s="36">
        <f t="shared" ca="1" si="70"/>
        <v>742.4936470625662</v>
      </c>
    </row>
    <row r="4338" spans="1:7" x14ac:dyDescent="0.2">
      <c r="A4338" s="6">
        <f ca="1">Model!$F$13+RAND()*(Model!$G$13-Model!$F$13)</f>
        <v>1559.4059343300221</v>
      </c>
      <c r="B4338" s="31">
        <f ca="1">Model!$F$14+RAND()*(Model!$G$14-Model!$F$14)</f>
        <v>0.35957394083487049</v>
      </c>
      <c r="C4338" s="32">
        <f ca="1">Model!$F$15+RAND()*(Model!$G$15-Model!$F$15)</f>
        <v>3.2073942328912135E-2</v>
      </c>
      <c r="D4338" s="33">
        <f ca="1">Model!$F$16+RAND()*(Model!$G$16-Model!$F$16)</f>
        <v>51.746414075210758</v>
      </c>
      <c r="E4338" s="33">
        <f>Model!$D$17</f>
        <v>800</v>
      </c>
      <c r="G4338" s="36">
        <f t="shared" ca="1" si="70"/>
        <v>1227.4422264180471</v>
      </c>
    </row>
    <row r="4339" spans="1:7" x14ac:dyDescent="0.2">
      <c r="A4339" s="6">
        <f ca="1">Model!$F$13+RAND()*(Model!$G$13-Model!$F$13)</f>
        <v>1296.9016308501446</v>
      </c>
      <c r="B4339" s="31">
        <f ca="1">Model!$F$14+RAND()*(Model!$G$14-Model!$F$14)</f>
        <v>0.41582434475558416</v>
      </c>
      <c r="C4339" s="32">
        <f ca="1">Model!$F$15+RAND()*(Model!$G$15-Model!$F$15)</f>
        <v>3.3191980817644795E-2</v>
      </c>
      <c r="D4339" s="33">
        <f ca="1">Model!$F$16+RAND()*(Model!$G$16-Model!$F$16)</f>
        <v>47.197823025766624</v>
      </c>
      <c r="E4339" s="33">
        <f>Model!$D$17</f>
        <v>800</v>
      </c>
      <c r="G4339" s="36">
        <f t="shared" ca="1" si="70"/>
        <v>692.42886483599636</v>
      </c>
    </row>
    <row r="4340" spans="1:7" x14ac:dyDescent="0.2">
      <c r="A4340" s="6">
        <f ca="1">Model!$F$13+RAND()*(Model!$G$13-Model!$F$13)</f>
        <v>1235.8827874339333</v>
      </c>
      <c r="B4340" s="31">
        <f ca="1">Model!$F$14+RAND()*(Model!$G$14-Model!$F$14)</f>
        <v>0.4358084157016987</v>
      </c>
      <c r="C4340" s="32">
        <f ca="1">Model!$F$15+RAND()*(Model!$G$15-Model!$F$15)</f>
        <v>3.7674318256837307E-2</v>
      </c>
      <c r="D4340" s="33">
        <f ca="1">Model!$F$16+RAND()*(Model!$G$16-Model!$F$16)</f>
        <v>48.945621400041389</v>
      </c>
      <c r="E4340" s="33">
        <f>Model!$D$17</f>
        <v>800</v>
      </c>
      <c r="G4340" s="36">
        <f t="shared" ca="1" si="70"/>
        <v>940.35098780283079</v>
      </c>
    </row>
    <row r="4341" spans="1:7" x14ac:dyDescent="0.2">
      <c r="A4341" s="6">
        <f ca="1">Model!$F$13+RAND()*(Model!$G$13-Model!$F$13)</f>
        <v>1754.8642929500018</v>
      </c>
      <c r="B4341" s="31">
        <f ca="1">Model!$F$14+RAND()*(Model!$G$14-Model!$F$14)</f>
        <v>0.43211076691743888</v>
      </c>
      <c r="C4341" s="32">
        <f ca="1">Model!$F$15+RAND()*(Model!$G$15-Model!$F$15)</f>
        <v>1.5349990458641955E-2</v>
      </c>
      <c r="D4341" s="33">
        <f ca="1">Model!$F$16+RAND()*(Model!$G$16-Model!$F$16)</f>
        <v>52.675451013981395</v>
      </c>
      <c r="E4341" s="33">
        <f>Model!$D$17</f>
        <v>800</v>
      </c>
      <c r="G4341" s="36">
        <f t="shared" ca="1" si="70"/>
        <v>-139.36922212235822</v>
      </c>
    </row>
    <row r="4342" spans="1:7" x14ac:dyDescent="0.2">
      <c r="A4342" s="6">
        <f ca="1">Model!$F$13+RAND()*(Model!$G$13-Model!$F$13)</f>
        <v>1499.8644544538504</v>
      </c>
      <c r="B4342" s="31">
        <f ca="1">Model!$F$14+RAND()*(Model!$G$14-Model!$F$14)</f>
        <v>0.48076935107517738</v>
      </c>
      <c r="C4342" s="32">
        <f ca="1">Model!$F$15+RAND()*(Model!$G$15-Model!$F$15)</f>
        <v>1.6945922468919457E-2</v>
      </c>
      <c r="D4342" s="33">
        <f ca="1">Model!$F$16+RAND()*(Model!$G$16-Model!$F$16)</f>
        <v>47.586793477658247</v>
      </c>
      <c r="E4342" s="33">
        <f>Model!$D$17</f>
        <v>800</v>
      </c>
      <c r="G4342" s="36">
        <f t="shared" ca="1" si="70"/>
        <v>-311.59499545798258</v>
      </c>
    </row>
    <row r="4343" spans="1:7" x14ac:dyDescent="0.2">
      <c r="A4343" s="6">
        <f ca="1">Model!$F$13+RAND()*(Model!$G$13-Model!$F$13)</f>
        <v>1213.9771371501322</v>
      </c>
      <c r="B4343" s="31">
        <f ca="1">Model!$F$14+RAND()*(Model!$G$14-Model!$F$14)</f>
        <v>0.75576762106919593</v>
      </c>
      <c r="C4343" s="32">
        <f ca="1">Model!$F$15+RAND()*(Model!$G$15-Model!$F$15)</f>
        <v>4.5349258706593072E-2</v>
      </c>
      <c r="D4343" s="33">
        <f ca="1">Model!$F$16+RAND()*(Model!$G$16-Model!$F$16)</f>
        <v>51.962499669623256</v>
      </c>
      <c r="E4343" s="33">
        <f>Model!$D$17</f>
        <v>800</v>
      </c>
      <c r="G4343" s="36">
        <f t="shared" ca="1" si="70"/>
        <v>1143.2049720518633</v>
      </c>
    </row>
    <row r="4344" spans="1:7" x14ac:dyDescent="0.2">
      <c r="A4344" s="6">
        <f ca="1">Model!$F$13+RAND()*(Model!$G$13-Model!$F$13)</f>
        <v>1398.135157803785</v>
      </c>
      <c r="B4344" s="31">
        <f ca="1">Model!$F$14+RAND()*(Model!$G$14-Model!$F$14)</f>
        <v>0.42918427161618</v>
      </c>
      <c r="C4344" s="32">
        <f ca="1">Model!$F$15+RAND()*(Model!$G$15-Model!$F$15)</f>
        <v>3.2786373838571164E-2</v>
      </c>
      <c r="D4344" s="33">
        <f ca="1">Model!$F$16+RAND()*(Model!$G$16-Model!$F$16)</f>
        <v>48.766896242691999</v>
      </c>
      <c r="E4344" s="33">
        <f>Model!$D$17</f>
        <v>800</v>
      </c>
      <c r="G4344" s="36">
        <f t="shared" ca="1" si="70"/>
        <v>835.40627133743783</v>
      </c>
    </row>
    <row r="4345" spans="1:7" x14ac:dyDescent="0.2">
      <c r="A4345" s="6">
        <f ca="1">Model!$F$13+RAND()*(Model!$G$13-Model!$F$13)</f>
        <v>1315.5100242591532</v>
      </c>
      <c r="B4345" s="31">
        <f ca="1">Model!$F$14+RAND()*(Model!$G$14-Model!$F$14)</f>
        <v>0.52191006082749314</v>
      </c>
      <c r="C4345" s="32">
        <f ca="1">Model!$F$15+RAND()*(Model!$G$15-Model!$F$15)</f>
        <v>1.0636630690912181E-2</v>
      </c>
      <c r="D4345" s="33">
        <f ca="1">Model!$F$16+RAND()*(Model!$G$16-Model!$F$16)</f>
        <v>52.387107030044085</v>
      </c>
      <c r="E4345" s="33">
        <f>Model!$D$17</f>
        <v>800</v>
      </c>
      <c r="G4345" s="36">
        <f t="shared" ca="1" si="70"/>
        <v>-753.54638165051722</v>
      </c>
    </row>
    <row r="4346" spans="1:7" x14ac:dyDescent="0.2">
      <c r="A4346" s="6">
        <f ca="1">Model!$F$13+RAND()*(Model!$G$13-Model!$F$13)</f>
        <v>1209.6410191100481</v>
      </c>
      <c r="B4346" s="31">
        <f ca="1">Model!$F$14+RAND()*(Model!$G$14-Model!$F$14)</f>
        <v>0.51529304190799718</v>
      </c>
      <c r="C4346" s="32">
        <f ca="1">Model!$F$15+RAND()*(Model!$G$15-Model!$F$15)</f>
        <v>2.1554082337277767E-2</v>
      </c>
      <c r="D4346" s="33">
        <f ca="1">Model!$F$16+RAND()*(Model!$G$16-Model!$F$16)</f>
        <v>51.598649654023717</v>
      </c>
      <c r="E4346" s="33">
        <f>Model!$D$17</f>
        <v>800</v>
      </c>
      <c r="G4346" s="36">
        <f t="shared" ca="1" si="70"/>
        <v>-78.003377900868372</v>
      </c>
    </row>
    <row r="4347" spans="1:7" x14ac:dyDescent="0.2">
      <c r="A4347" s="6">
        <f ca="1">Model!$F$13+RAND()*(Model!$G$13-Model!$F$13)</f>
        <v>1335.5479220842087</v>
      </c>
      <c r="B4347" s="31">
        <f ca="1">Model!$F$14+RAND()*(Model!$G$14-Model!$F$14)</f>
        <v>0.66699861416342276</v>
      </c>
      <c r="C4347" s="32">
        <f ca="1">Model!$F$15+RAND()*(Model!$G$15-Model!$F$15)</f>
        <v>2.4529337445670339E-2</v>
      </c>
      <c r="D4347" s="33">
        <f ca="1">Model!$F$16+RAND()*(Model!$G$16-Model!$F$16)</f>
        <v>47.318506547951522</v>
      </c>
      <c r="E4347" s="33">
        <f>Model!$D$17</f>
        <v>800</v>
      </c>
      <c r="G4347" s="36">
        <f t="shared" ca="1" si="70"/>
        <v>-140.64933919972464</v>
      </c>
    </row>
    <row r="4348" spans="1:7" x14ac:dyDescent="0.2">
      <c r="A4348" s="6">
        <f ca="1">Model!$F$13+RAND()*(Model!$G$13-Model!$F$13)</f>
        <v>1635.0465064780321</v>
      </c>
      <c r="B4348" s="31">
        <f ca="1">Model!$F$14+RAND()*(Model!$G$14-Model!$F$14)</f>
        <v>0.67391763998348631</v>
      </c>
      <c r="C4348" s="32">
        <f ca="1">Model!$F$15+RAND()*(Model!$G$15-Model!$F$15)</f>
        <v>2.7477797239026519E-2</v>
      </c>
      <c r="D4348" s="33">
        <f ca="1">Model!$F$16+RAND()*(Model!$G$16-Model!$F$16)</f>
        <v>50.104003367908049</v>
      </c>
      <c r="E4348" s="33">
        <f>Model!$D$17</f>
        <v>800</v>
      </c>
      <c r="G4348" s="36">
        <f t="shared" ca="1" si="70"/>
        <v>349.1597450154552</v>
      </c>
    </row>
    <row r="4349" spans="1:7" x14ac:dyDescent="0.2">
      <c r="A4349" s="6">
        <f ca="1">Model!$F$13+RAND()*(Model!$G$13-Model!$F$13)</f>
        <v>1462.5096510573374</v>
      </c>
      <c r="B4349" s="31">
        <f ca="1">Model!$F$14+RAND()*(Model!$G$14-Model!$F$14)</f>
        <v>0.63492255126700459</v>
      </c>
      <c r="C4349" s="32">
        <f ca="1">Model!$F$15+RAND()*(Model!$G$15-Model!$F$15)</f>
        <v>4.6762042080336116E-2</v>
      </c>
      <c r="D4349" s="33">
        <f ca="1">Model!$F$16+RAND()*(Model!$G$16-Model!$F$16)</f>
        <v>48.410918631957827</v>
      </c>
      <c r="E4349" s="33">
        <f>Model!$D$17</f>
        <v>800</v>
      </c>
      <c r="G4349" s="36">
        <f t="shared" ca="1" si="70"/>
        <v>1582.2393573880333</v>
      </c>
    </row>
    <row r="4350" spans="1:7" x14ac:dyDescent="0.2">
      <c r="A4350" s="6">
        <f ca="1">Model!$F$13+RAND()*(Model!$G$13-Model!$F$13)</f>
        <v>1383.3992137900093</v>
      </c>
      <c r="B4350" s="31">
        <f ca="1">Model!$F$14+RAND()*(Model!$G$14-Model!$F$14)</f>
        <v>0.38264055423790566</v>
      </c>
      <c r="C4350" s="32">
        <f ca="1">Model!$F$15+RAND()*(Model!$G$15-Model!$F$15)</f>
        <v>3.2478022999788914E-2</v>
      </c>
      <c r="D4350" s="33">
        <f ca="1">Model!$F$16+RAND()*(Model!$G$16-Model!$F$16)</f>
        <v>52.541347122688734</v>
      </c>
      <c r="E4350" s="33">
        <f>Model!$D$17</f>
        <v>800</v>
      </c>
      <c r="G4350" s="36">
        <f t="shared" ca="1" si="70"/>
        <v>1031.3418401576396</v>
      </c>
    </row>
    <row r="4351" spans="1:7" x14ac:dyDescent="0.2">
      <c r="A4351" s="6">
        <f ca="1">Model!$F$13+RAND()*(Model!$G$13-Model!$F$13)</f>
        <v>1200.2249580817552</v>
      </c>
      <c r="B4351" s="31">
        <f ca="1">Model!$F$14+RAND()*(Model!$G$14-Model!$F$14)</f>
        <v>0.75258346189343506</v>
      </c>
      <c r="C4351" s="32">
        <f ca="1">Model!$F$15+RAND()*(Model!$G$15-Model!$F$15)</f>
        <v>2.3885240878686265E-2</v>
      </c>
      <c r="D4351" s="33">
        <f ca="1">Model!$F$16+RAND()*(Model!$G$16-Model!$F$16)</f>
        <v>49.266127083872327</v>
      </c>
      <c r="E4351" s="33">
        <f>Model!$D$17</f>
        <v>800</v>
      </c>
      <c r="G4351" s="36">
        <f t="shared" ca="1" si="70"/>
        <v>-290.92476326542783</v>
      </c>
    </row>
    <row r="4352" spans="1:7" x14ac:dyDescent="0.2">
      <c r="A4352" s="6">
        <f ca="1">Model!$F$13+RAND()*(Model!$G$13-Model!$F$13)</f>
        <v>1378.206367024366</v>
      </c>
      <c r="B4352" s="31">
        <f ca="1">Model!$F$14+RAND()*(Model!$G$14-Model!$F$14)</f>
        <v>0.49322182970207057</v>
      </c>
      <c r="C4352" s="32">
        <f ca="1">Model!$F$15+RAND()*(Model!$G$15-Model!$F$15)</f>
        <v>3.6670375197207318E-2</v>
      </c>
      <c r="D4352" s="33">
        <f ca="1">Model!$F$16+RAND()*(Model!$G$16-Model!$F$16)</f>
        <v>48.894245828778693</v>
      </c>
      <c r="E4352" s="33">
        <f>Model!$D$17</f>
        <v>800</v>
      </c>
      <c r="G4352" s="36">
        <f t="shared" ca="1" si="70"/>
        <v>991.32167176950088</v>
      </c>
    </row>
    <row r="4353" spans="1:7" x14ac:dyDescent="0.2">
      <c r="A4353" s="6">
        <f ca="1">Model!$F$13+RAND()*(Model!$G$13-Model!$F$13)</f>
        <v>1630.5834931595255</v>
      </c>
      <c r="B4353" s="31">
        <f ca="1">Model!$F$14+RAND()*(Model!$G$14-Model!$F$14)</f>
        <v>0.57922838371926588</v>
      </c>
      <c r="C4353" s="32">
        <f ca="1">Model!$F$15+RAND()*(Model!$G$15-Model!$F$15)</f>
        <v>4.7095544147871857E-2</v>
      </c>
      <c r="D4353" s="33">
        <f ca="1">Model!$F$16+RAND()*(Model!$G$16-Model!$F$16)</f>
        <v>48.979844344299124</v>
      </c>
      <c r="E4353" s="33">
        <f>Model!$D$17</f>
        <v>800</v>
      </c>
      <c r="G4353" s="36">
        <f t="shared" ca="1" si="70"/>
        <v>2016.8395686535096</v>
      </c>
    </row>
    <row r="4354" spans="1:7" x14ac:dyDescent="0.2">
      <c r="A4354" s="6">
        <f ca="1">Model!$F$13+RAND()*(Model!$G$13-Model!$F$13)</f>
        <v>1387.9240640191747</v>
      </c>
      <c r="B4354" s="31">
        <f ca="1">Model!$F$14+RAND()*(Model!$G$14-Model!$F$14)</f>
        <v>0.33547850460478446</v>
      </c>
      <c r="C4354" s="32">
        <f ca="1">Model!$F$15+RAND()*(Model!$G$15-Model!$F$15)</f>
        <v>4.295007449542923E-2</v>
      </c>
      <c r="D4354" s="33">
        <f ca="1">Model!$F$16+RAND()*(Model!$G$16-Model!$F$16)</f>
        <v>47.601618812697971</v>
      </c>
      <c r="E4354" s="33">
        <f>Model!$D$17</f>
        <v>800</v>
      </c>
      <c r="G4354" s="36">
        <f t="shared" ca="1" si="70"/>
        <v>1571.9824467734429</v>
      </c>
    </row>
    <row r="4355" spans="1:7" x14ac:dyDescent="0.2">
      <c r="A4355" s="6">
        <f ca="1">Model!$F$13+RAND()*(Model!$G$13-Model!$F$13)</f>
        <v>1464.2670835863682</v>
      </c>
      <c r="B4355" s="31">
        <f ca="1">Model!$F$14+RAND()*(Model!$G$14-Model!$F$14)</f>
        <v>0.73136128095304231</v>
      </c>
      <c r="C4355" s="32">
        <f ca="1">Model!$F$15+RAND()*(Model!$G$15-Model!$F$15)</f>
        <v>1.2248893071876368E-2</v>
      </c>
      <c r="D4355" s="33">
        <f ca="1">Model!$F$16+RAND()*(Model!$G$16-Model!$F$16)</f>
        <v>47.728515222222605</v>
      </c>
      <c r="E4355" s="33">
        <f>Model!$D$17</f>
        <v>800</v>
      </c>
      <c r="G4355" s="36">
        <f t="shared" ca="1" si="70"/>
        <v>-1014.866261212775</v>
      </c>
    </row>
    <row r="4356" spans="1:7" x14ac:dyDescent="0.2">
      <c r="A4356" s="6">
        <f ca="1">Model!$F$13+RAND()*(Model!$G$13-Model!$F$13)</f>
        <v>1500.6416298478314</v>
      </c>
      <c r="B4356" s="31">
        <f ca="1">Model!$F$14+RAND()*(Model!$G$14-Model!$F$14)</f>
        <v>0.40025638590322166</v>
      </c>
      <c r="C4356" s="32">
        <f ca="1">Model!$F$15+RAND()*(Model!$G$15-Model!$F$15)</f>
        <v>4.9246807845199525E-2</v>
      </c>
      <c r="D4356" s="33">
        <f ca="1">Model!$F$16+RAND()*(Model!$G$16-Model!$F$16)</f>
        <v>48.013579734117201</v>
      </c>
      <c r="E4356" s="33">
        <f>Model!$D$17</f>
        <v>800</v>
      </c>
      <c r="G4356" s="36">
        <f t="shared" ca="1" si="70"/>
        <v>2147.6490511335387</v>
      </c>
    </row>
    <row r="4357" spans="1:7" x14ac:dyDescent="0.2">
      <c r="A4357" s="6">
        <f ca="1">Model!$F$13+RAND()*(Model!$G$13-Model!$F$13)</f>
        <v>1528.5049948093497</v>
      </c>
      <c r="B4357" s="31">
        <f ca="1">Model!$F$14+RAND()*(Model!$G$14-Model!$F$14)</f>
        <v>0.68481326233825413</v>
      </c>
      <c r="C4357" s="32">
        <f ca="1">Model!$F$15+RAND()*(Model!$G$15-Model!$F$15)</f>
        <v>2.1497395861633573E-2</v>
      </c>
      <c r="D4357" s="33">
        <f ca="1">Model!$F$16+RAND()*(Model!$G$16-Model!$F$16)</f>
        <v>48.960147230107609</v>
      </c>
      <c r="E4357" s="33">
        <f>Model!$D$17</f>
        <v>800</v>
      </c>
      <c r="G4357" s="36">
        <f t="shared" ca="1" si="70"/>
        <v>-237.96503871257642</v>
      </c>
    </row>
    <row r="4358" spans="1:7" x14ac:dyDescent="0.2">
      <c r="A4358" s="6">
        <f ca="1">Model!$F$13+RAND()*(Model!$G$13-Model!$F$13)</f>
        <v>1773.6765978743001</v>
      </c>
      <c r="B4358" s="31">
        <f ca="1">Model!$F$14+RAND()*(Model!$G$14-Model!$F$14)</f>
        <v>0.37384346450146122</v>
      </c>
      <c r="C4358" s="32">
        <f ca="1">Model!$F$15+RAND()*(Model!$G$15-Model!$F$15)</f>
        <v>4.7806061373055153E-2</v>
      </c>
      <c r="D4358" s="33">
        <f ca="1">Model!$F$16+RAND()*(Model!$G$16-Model!$F$16)</f>
        <v>49.177270974604731</v>
      </c>
      <c r="E4358" s="33">
        <f>Model!$D$17</f>
        <v>800</v>
      </c>
      <c r="G4358" s="36">
        <f t="shared" ca="1" si="70"/>
        <v>2706.7859658962079</v>
      </c>
    </row>
    <row r="4359" spans="1:7" x14ac:dyDescent="0.2">
      <c r="A4359" s="6">
        <f ca="1">Model!$F$13+RAND()*(Model!$G$13-Model!$F$13)</f>
        <v>1580.4216571578513</v>
      </c>
      <c r="B4359" s="31">
        <f ca="1">Model!$F$14+RAND()*(Model!$G$14-Model!$F$14)</f>
        <v>0.41125303032269922</v>
      </c>
      <c r="C4359" s="32">
        <f ca="1">Model!$F$15+RAND()*(Model!$G$15-Model!$F$15)</f>
        <v>3.2055402530441909E-2</v>
      </c>
      <c r="D4359" s="33">
        <f ca="1">Model!$F$16+RAND()*(Model!$G$16-Model!$F$16)</f>
        <v>50.331675298604324</v>
      </c>
      <c r="E4359" s="33">
        <f>Model!$D$17</f>
        <v>800</v>
      </c>
      <c r="G4359" s="36">
        <f t="shared" ca="1" si="70"/>
        <v>1099.9024433857671</v>
      </c>
    </row>
    <row r="4360" spans="1:7" x14ac:dyDescent="0.2">
      <c r="A4360" s="6">
        <f ca="1">Model!$F$13+RAND()*(Model!$G$13-Model!$F$13)</f>
        <v>1550.5528069818031</v>
      </c>
      <c r="B4360" s="31">
        <f ca="1">Model!$F$14+RAND()*(Model!$G$14-Model!$F$14)</f>
        <v>0.70985751501973238</v>
      </c>
      <c r="C4360" s="32">
        <f ca="1">Model!$F$15+RAND()*(Model!$G$15-Model!$F$15)</f>
        <v>1.5890740480105765E-2</v>
      </c>
      <c r="D4360" s="33">
        <f ca="1">Model!$F$16+RAND()*(Model!$G$16-Model!$F$16)</f>
        <v>50.173297876603904</v>
      </c>
      <c r="E4360" s="33">
        <f>Model!$D$17</f>
        <v>800</v>
      </c>
      <c r="G4360" s="36">
        <f t="shared" ca="1" si="70"/>
        <v>-664.4299883578376</v>
      </c>
    </row>
    <row r="4361" spans="1:7" x14ac:dyDescent="0.2">
      <c r="A4361" s="6">
        <f ca="1">Model!$F$13+RAND()*(Model!$G$13-Model!$F$13)</f>
        <v>1389.8208820840459</v>
      </c>
      <c r="B4361" s="31">
        <f ca="1">Model!$F$14+RAND()*(Model!$G$14-Model!$F$14)</f>
        <v>0.33496622286691358</v>
      </c>
      <c r="C4361" s="32">
        <f ca="1">Model!$F$15+RAND()*(Model!$G$15-Model!$F$15)</f>
        <v>2.1579845602949621E-2</v>
      </c>
      <c r="D4361" s="33">
        <f ca="1">Model!$F$16+RAND()*(Model!$G$16-Model!$F$16)</f>
        <v>50.966011257170521</v>
      </c>
      <c r="E4361" s="33">
        <f>Model!$D$17</f>
        <v>800</v>
      </c>
      <c r="G4361" s="36">
        <f t="shared" ca="1" si="70"/>
        <v>263.03567681899358</v>
      </c>
    </row>
    <row r="4362" spans="1:7" x14ac:dyDescent="0.2">
      <c r="A4362" s="6">
        <f ca="1">Model!$F$13+RAND()*(Model!$G$13-Model!$F$13)</f>
        <v>1343.0771455008114</v>
      </c>
      <c r="B4362" s="31">
        <f ca="1">Model!$F$14+RAND()*(Model!$G$14-Model!$F$14)</f>
        <v>0.52452983125246599</v>
      </c>
      <c r="C4362" s="32">
        <f ca="1">Model!$F$15+RAND()*(Model!$G$15-Model!$F$15)</f>
        <v>2.6518582274038346E-2</v>
      </c>
      <c r="D4362" s="33">
        <f ca="1">Model!$F$16+RAND()*(Model!$G$16-Model!$F$16)</f>
        <v>48.612483933285333</v>
      </c>
      <c r="E4362" s="33">
        <f>Model!$D$17</f>
        <v>800</v>
      </c>
      <c r="G4362" s="36">
        <f t="shared" ca="1" si="70"/>
        <v>226.92259221404629</v>
      </c>
    </row>
    <row r="4363" spans="1:7" x14ac:dyDescent="0.2">
      <c r="A4363" s="6">
        <f ca="1">Model!$F$13+RAND()*(Model!$G$13-Model!$F$13)</f>
        <v>1671.9217036280922</v>
      </c>
      <c r="B4363" s="31">
        <f ca="1">Model!$F$14+RAND()*(Model!$G$14-Model!$F$14)</f>
        <v>0.57811445578933451</v>
      </c>
      <c r="C4363" s="32">
        <f ca="1">Model!$F$15+RAND()*(Model!$G$15-Model!$F$15)</f>
        <v>4.6081977417636005E-2</v>
      </c>
      <c r="D4363" s="33">
        <f ca="1">Model!$F$16+RAND()*(Model!$G$16-Model!$F$16)</f>
        <v>50.495460050860473</v>
      </c>
      <c r="E4363" s="33">
        <f>Model!$D$17</f>
        <v>800</v>
      </c>
      <c r="G4363" s="36">
        <f t="shared" ca="1" si="70"/>
        <v>2123.883750350637</v>
      </c>
    </row>
    <row r="4364" spans="1:7" x14ac:dyDescent="0.2">
      <c r="A4364" s="6">
        <f ca="1">Model!$F$13+RAND()*(Model!$G$13-Model!$F$13)</f>
        <v>1773.7886747333214</v>
      </c>
      <c r="B4364" s="31">
        <f ca="1">Model!$F$14+RAND()*(Model!$G$14-Model!$F$14)</f>
        <v>0.33763737913612207</v>
      </c>
      <c r="C4364" s="32">
        <f ca="1">Model!$F$15+RAND()*(Model!$G$15-Model!$F$15)</f>
        <v>2.5049568255807737E-2</v>
      </c>
      <c r="D4364" s="33">
        <f ca="1">Model!$F$16+RAND()*(Model!$G$16-Model!$F$16)</f>
        <v>50.699425413962629</v>
      </c>
      <c r="E4364" s="33">
        <f>Model!$D$17</f>
        <v>800</v>
      </c>
      <c r="G4364" s="36">
        <f t="shared" ca="1" si="70"/>
        <v>853.81198263781516</v>
      </c>
    </row>
    <row r="4365" spans="1:7" x14ac:dyDescent="0.2">
      <c r="A4365" s="6">
        <f ca="1">Model!$F$13+RAND()*(Model!$G$13-Model!$F$13)</f>
        <v>1264.4581940490539</v>
      </c>
      <c r="B4365" s="31">
        <f ca="1">Model!$F$14+RAND()*(Model!$G$14-Model!$F$14)</f>
        <v>0.50139437867092918</v>
      </c>
      <c r="C4365" s="32">
        <f ca="1">Model!$F$15+RAND()*(Model!$G$15-Model!$F$15)</f>
        <v>3.4794243239583855E-2</v>
      </c>
      <c r="D4365" s="33">
        <f ca="1">Model!$F$16+RAND()*(Model!$G$16-Model!$F$16)</f>
        <v>51.683748169025222</v>
      </c>
      <c r="E4365" s="33">
        <f>Model!$D$17</f>
        <v>800</v>
      </c>
      <c r="G4365" s="36">
        <f t="shared" ca="1" si="70"/>
        <v>839.87902671250777</v>
      </c>
    </row>
    <row r="4366" spans="1:7" x14ac:dyDescent="0.2">
      <c r="A4366" s="6">
        <f ca="1">Model!$F$13+RAND()*(Model!$G$13-Model!$F$13)</f>
        <v>1320.4434444746862</v>
      </c>
      <c r="B4366" s="31">
        <f ca="1">Model!$F$14+RAND()*(Model!$G$14-Model!$F$14)</f>
        <v>0.69875708362290956</v>
      </c>
      <c r="C4366" s="32">
        <f ca="1">Model!$F$15+RAND()*(Model!$G$15-Model!$F$15)</f>
        <v>2.9951155226161021E-2</v>
      </c>
      <c r="D4366" s="33">
        <f ca="1">Model!$F$16+RAND()*(Model!$G$16-Model!$F$16)</f>
        <v>47.901034219671288</v>
      </c>
      <c r="E4366" s="33">
        <f>Model!$D$17</f>
        <v>800</v>
      </c>
      <c r="G4366" s="36">
        <f t="shared" ca="1" si="70"/>
        <v>171.75952664207648</v>
      </c>
    </row>
    <row r="4367" spans="1:7" x14ac:dyDescent="0.2">
      <c r="A4367" s="6">
        <f ca="1">Model!$F$13+RAND()*(Model!$G$13-Model!$F$13)</f>
        <v>1677.2134525304828</v>
      </c>
      <c r="B4367" s="31">
        <f ca="1">Model!$F$14+RAND()*(Model!$G$14-Model!$F$14)</f>
        <v>0.66509478130582733</v>
      </c>
      <c r="C4367" s="32">
        <f ca="1">Model!$F$15+RAND()*(Model!$G$15-Model!$F$15)</f>
        <v>1.2527701459431703E-2</v>
      </c>
      <c r="D4367" s="33">
        <f ca="1">Model!$F$16+RAND()*(Model!$G$16-Model!$F$16)</f>
        <v>48.428697122454068</v>
      </c>
      <c r="E4367" s="33">
        <f>Model!$D$17</f>
        <v>800</v>
      </c>
      <c r="G4367" s="36">
        <f t="shared" ca="1" si="70"/>
        <v>-897.9400773266533</v>
      </c>
    </row>
    <row r="4368" spans="1:7" x14ac:dyDescent="0.2">
      <c r="A4368" s="6">
        <f ca="1">Model!$F$13+RAND()*(Model!$G$13-Model!$F$13)</f>
        <v>1796.7542756967459</v>
      </c>
      <c r="B4368" s="31">
        <f ca="1">Model!$F$14+RAND()*(Model!$G$14-Model!$F$14)</f>
        <v>0.3858760688761087</v>
      </c>
      <c r="C4368" s="32">
        <f ca="1">Model!$F$15+RAND()*(Model!$G$15-Model!$F$15)</f>
        <v>2.5571200477903587E-2</v>
      </c>
      <c r="D4368" s="33">
        <f ca="1">Model!$F$16+RAND()*(Model!$G$16-Model!$F$16)</f>
        <v>52.86291471284467</v>
      </c>
      <c r="E4368" s="33">
        <f>Model!$D$17</f>
        <v>800</v>
      </c>
      <c r="G4368" s="36">
        <f t="shared" ca="1" si="70"/>
        <v>935.47079843449956</v>
      </c>
    </row>
    <row r="4369" spans="1:7" x14ac:dyDescent="0.2">
      <c r="A4369" s="6">
        <f ca="1">Model!$F$13+RAND()*(Model!$G$13-Model!$F$13)</f>
        <v>1425.2922843103886</v>
      </c>
      <c r="B4369" s="31">
        <f ca="1">Model!$F$14+RAND()*(Model!$G$14-Model!$F$14)</f>
        <v>0.46786195192422353</v>
      </c>
      <c r="C4369" s="32">
        <f ca="1">Model!$F$15+RAND()*(Model!$G$15-Model!$F$15)</f>
        <v>3.5357803509295418E-2</v>
      </c>
      <c r="D4369" s="33">
        <f ca="1">Model!$F$16+RAND()*(Model!$G$16-Model!$F$16)</f>
        <v>47.030396258516035</v>
      </c>
      <c r="E4369" s="33">
        <f>Model!$D$17</f>
        <v>800</v>
      </c>
      <c r="G4369" s="36">
        <f t="shared" ca="1" si="70"/>
        <v>903.26640846712053</v>
      </c>
    </row>
    <row r="4370" spans="1:7" x14ac:dyDescent="0.2">
      <c r="A4370" s="6">
        <f ca="1">Model!$F$13+RAND()*(Model!$G$13-Model!$F$13)</f>
        <v>1505.7117215768442</v>
      </c>
      <c r="B4370" s="31">
        <f ca="1">Model!$F$14+RAND()*(Model!$G$14-Model!$F$14)</f>
        <v>0.29502308196798488</v>
      </c>
      <c r="C4370" s="32">
        <f ca="1">Model!$F$15+RAND()*(Model!$G$15-Model!$F$15)</f>
        <v>3.9450354784862397E-2</v>
      </c>
      <c r="D4370" s="33">
        <f ca="1">Model!$F$16+RAND()*(Model!$G$16-Model!$F$16)</f>
        <v>51.498327488214358</v>
      </c>
      <c r="E4370" s="33">
        <f>Model!$D$17</f>
        <v>800</v>
      </c>
      <c r="G4370" s="36">
        <f t="shared" ca="1" si="70"/>
        <v>1814.8253121304638</v>
      </c>
    </row>
    <row r="4371" spans="1:7" x14ac:dyDescent="0.2">
      <c r="A4371" s="6">
        <f ca="1">Model!$F$13+RAND()*(Model!$G$13-Model!$F$13)</f>
        <v>1372.0478042139073</v>
      </c>
      <c r="B4371" s="31">
        <f ca="1">Model!$F$14+RAND()*(Model!$G$14-Model!$F$14)</f>
        <v>0.59534127829248917</v>
      </c>
      <c r="C4371" s="32">
        <f ca="1">Model!$F$15+RAND()*(Model!$G$15-Model!$F$15)</f>
        <v>2.6564723537847557E-2</v>
      </c>
      <c r="D4371" s="33">
        <f ca="1">Model!$F$16+RAND()*(Model!$G$16-Model!$F$16)</f>
        <v>48.104585078608714</v>
      </c>
      <c r="E4371" s="33">
        <f>Model!$D$17</f>
        <v>800</v>
      </c>
      <c r="G4371" s="36">
        <f t="shared" ca="1" si="70"/>
        <v>136.48261947304604</v>
      </c>
    </row>
    <row r="4372" spans="1:7" x14ac:dyDescent="0.2">
      <c r="A4372" s="6">
        <f ca="1">Model!$F$13+RAND()*(Model!$G$13-Model!$F$13)</f>
        <v>1586.2873339003017</v>
      </c>
      <c r="B4372" s="31">
        <f ca="1">Model!$F$14+RAND()*(Model!$G$14-Model!$F$14)</f>
        <v>0.6206602833006083</v>
      </c>
      <c r="C4372" s="32">
        <f ca="1">Model!$F$15+RAND()*(Model!$G$15-Model!$F$15)</f>
        <v>4.1383733286693425E-2</v>
      </c>
      <c r="D4372" s="33">
        <f ca="1">Model!$F$16+RAND()*(Model!$G$16-Model!$F$16)</f>
        <v>50.265305148857848</v>
      </c>
      <c r="E4372" s="33">
        <f>Model!$D$17</f>
        <v>800</v>
      </c>
      <c r="G4372" s="36">
        <f t="shared" ca="1" si="70"/>
        <v>1515.1954033714946</v>
      </c>
    </row>
    <row r="4373" spans="1:7" x14ac:dyDescent="0.2">
      <c r="A4373" s="6">
        <f ca="1">Model!$F$13+RAND()*(Model!$G$13-Model!$F$13)</f>
        <v>1376.8968227768214</v>
      </c>
      <c r="B4373" s="31">
        <f ca="1">Model!$F$14+RAND()*(Model!$G$14-Model!$F$14)</f>
        <v>0.69823070495698025</v>
      </c>
      <c r="C4373" s="32">
        <f ca="1">Model!$F$15+RAND()*(Model!$G$15-Model!$F$15)</f>
        <v>3.7327494267810069E-2</v>
      </c>
      <c r="D4373" s="33">
        <f ca="1">Model!$F$16+RAND()*(Model!$G$16-Model!$F$16)</f>
        <v>47.851679365777677</v>
      </c>
      <c r="E4373" s="33">
        <f>Model!$D$17</f>
        <v>800</v>
      </c>
      <c r="G4373" s="36">
        <f t="shared" ca="1" si="70"/>
        <v>697.99845386514471</v>
      </c>
    </row>
    <row r="4374" spans="1:7" x14ac:dyDescent="0.2">
      <c r="A4374" s="6">
        <f ca="1">Model!$F$13+RAND()*(Model!$G$13-Model!$F$13)</f>
        <v>1348.1900107885663</v>
      </c>
      <c r="B4374" s="31">
        <f ca="1">Model!$F$14+RAND()*(Model!$G$14-Model!$F$14)</f>
        <v>0.60979452271699053</v>
      </c>
      <c r="C4374" s="32">
        <f ca="1">Model!$F$15+RAND()*(Model!$G$15-Model!$F$15)</f>
        <v>1.4796588828379368E-2</v>
      </c>
      <c r="D4374" s="33">
        <f ca="1">Model!$F$16+RAND()*(Model!$G$16-Model!$F$16)</f>
        <v>47.147504771810532</v>
      </c>
      <c r="E4374" s="33">
        <f>Model!$D$17</f>
        <v>800</v>
      </c>
      <c r="G4374" s="36">
        <f t="shared" ca="1" si="70"/>
        <v>-681.59154566309303</v>
      </c>
    </row>
    <row r="4375" spans="1:7" x14ac:dyDescent="0.2">
      <c r="A4375" s="6">
        <f ca="1">Model!$F$13+RAND()*(Model!$G$13-Model!$F$13)</f>
        <v>1359.046825792497</v>
      </c>
      <c r="B4375" s="31">
        <f ca="1">Model!$F$14+RAND()*(Model!$G$14-Model!$F$14)</f>
        <v>0.7499772916830274</v>
      </c>
      <c r="C4375" s="32">
        <f ca="1">Model!$F$15+RAND()*(Model!$G$15-Model!$F$15)</f>
        <v>4.6885301960442827E-2</v>
      </c>
      <c r="D4375" s="33">
        <f ca="1">Model!$F$16+RAND()*(Model!$G$16-Model!$F$16)</f>
        <v>47.760546479017002</v>
      </c>
      <c r="E4375" s="33">
        <f>Model!$D$17</f>
        <v>800</v>
      </c>
      <c r="G4375" s="36">
        <f t="shared" ca="1" si="70"/>
        <v>1224.0153252719697</v>
      </c>
    </row>
    <row r="4376" spans="1:7" x14ac:dyDescent="0.2">
      <c r="A4376" s="6">
        <f ca="1">Model!$F$13+RAND()*(Model!$G$13-Model!$F$13)</f>
        <v>1691.6852384836395</v>
      </c>
      <c r="B4376" s="31">
        <f ca="1">Model!$F$14+RAND()*(Model!$G$14-Model!$F$14)</f>
        <v>0.48255724383709975</v>
      </c>
      <c r="C4376" s="32">
        <f ca="1">Model!$F$15+RAND()*(Model!$G$15-Model!$F$15)</f>
        <v>3.8149293741247307E-2</v>
      </c>
      <c r="D4376" s="33">
        <f ca="1">Model!$F$16+RAND()*(Model!$G$16-Model!$F$16)</f>
        <v>48.587476550874321</v>
      </c>
      <c r="E4376" s="33">
        <f>Model!$D$17</f>
        <v>800</v>
      </c>
      <c r="G4376" s="36">
        <f t="shared" ca="1" si="70"/>
        <v>1519.3354312064603</v>
      </c>
    </row>
    <row r="4377" spans="1:7" x14ac:dyDescent="0.2">
      <c r="A4377" s="6">
        <f ca="1">Model!$F$13+RAND()*(Model!$G$13-Model!$F$13)</f>
        <v>1692.7463119855445</v>
      </c>
      <c r="B4377" s="31">
        <f ca="1">Model!$F$14+RAND()*(Model!$G$14-Model!$F$14)</f>
        <v>0.65653253606771911</v>
      </c>
      <c r="C4377" s="32">
        <f ca="1">Model!$F$15+RAND()*(Model!$G$15-Model!$F$15)</f>
        <v>1.3234712791405819E-2</v>
      </c>
      <c r="D4377" s="33">
        <f ca="1">Model!$F$16+RAND()*(Model!$G$16-Model!$F$16)</f>
        <v>48.083345664311061</v>
      </c>
      <c r="E4377" s="33">
        <f>Model!$D$17</f>
        <v>800</v>
      </c>
      <c r="G4377" s="36">
        <f t="shared" ca="1" si="70"/>
        <v>-834.13129441413639</v>
      </c>
    </row>
    <row r="4378" spans="1:7" x14ac:dyDescent="0.2">
      <c r="A4378" s="6">
        <f ca="1">Model!$F$13+RAND()*(Model!$G$13-Model!$F$13)</f>
        <v>1221.3014260998202</v>
      </c>
      <c r="B4378" s="31">
        <f ca="1">Model!$F$14+RAND()*(Model!$G$14-Model!$F$14)</f>
        <v>0.58075071798442401</v>
      </c>
      <c r="C4378" s="32">
        <f ca="1">Model!$F$15+RAND()*(Model!$G$15-Model!$F$15)</f>
        <v>3.0539160447416572E-2</v>
      </c>
      <c r="D4378" s="33">
        <f ca="1">Model!$F$16+RAND()*(Model!$G$16-Model!$F$16)</f>
        <v>52.897274795986746</v>
      </c>
      <c r="E4378" s="33">
        <f>Model!$D$17</f>
        <v>800</v>
      </c>
      <c r="G4378" s="36">
        <f t="shared" ca="1" si="70"/>
        <v>463.66549547976297</v>
      </c>
    </row>
    <row r="4379" spans="1:7" x14ac:dyDescent="0.2">
      <c r="A4379" s="6">
        <f ca="1">Model!$F$13+RAND()*(Model!$G$13-Model!$F$13)</f>
        <v>1441.3527172475947</v>
      </c>
      <c r="B4379" s="31">
        <f ca="1">Model!$F$14+RAND()*(Model!$G$14-Model!$F$14)</f>
        <v>0.29405914689454471</v>
      </c>
      <c r="C4379" s="32">
        <f ca="1">Model!$F$15+RAND()*(Model!$G$15-Model!$F$15)</f>
        <v>4.6075668667171929E-2</v>
      </c>
      <c r="D4379" s="33">
        <f ca="1">Model!$F$16+RAND()*(Model!$G$16-Model!$F$16)</f>
        <v>51.261739660240387</v>
      </c>
      <c r="E4379" s="33">
        <f>Model!$D$17</f>
        <v>800</v>
      </c>
      <c r="G4379" s="36">
        <f t="shared" ca="1" si="70"/>
        <v>2180.5153199874339</v>
      </c>
    </row>
    <row r="4380" spans="1:7" x14ac:dyDescent="0.2">
      <c r="A4380" s="6">
        <f ca="1">Model!$F$13+RAND()*(Model!$G$13-Model!$F$13)</f>
        <v>1344.3899047502098</v>
      </c>
      <c r="B4380" s="31">
        <f ca="1">Model!$F$14+RAND()*(Model!$G$14-Model!$F$14)</f>
        <v>0.64068163388590937</v>
      </c>
      <c r="C4380" s="32">
        <f ca="1">Model!$F$15+RAND()*(Model!$G$15-Model!$F$15)</f>
        <v>1.1283556052896611E-2</v>
      </c>
      <c r="D4380" s="33">
        <f ca="1">Model!$F$16+RAND()*(Model!$G$16-Model!$F$16)</f>
        <v>48.601599912137978</v>
      </c>
      <c r="E4380" s="33">
        <f>Model!$D$17</f>
        <v>800</v>
      </c>
      <c r="G4380" s="36">
        <f t="shared" ca="1" si="70"/>
        <v>-924.06400691596355</v>
      </c>
    </row>
    <row r="4381" spans="1:7" x14ac:dyDescent="0.2">
      <c r="A4381" s="6">
        <f ca="1">Model!$F$13+RAND()*(Model!$G$13-Model!$F$13)</f>
        <v>1489.331463840196</v>
      </c>
      <c r="B4381" s="31">
        <f ca="1">Model!$F$14+RAND()*(Model!$G$14-Model!$F$14)</f>
        <v>0.54169243828278213</v>
      </c>
      <c r="C4381" s="32">
        <f ca="1">Model!$F$15+RAND()*(Model!$G$15-Model!$F$15)</f>
        <v>3.2933497028592211E-2</v>
      </c>
      <c r="D4381" s="33">
        <f ca="1">Model!$F$16+RAND()*(Model!$G$16-Model!$F$16)</f>
        <v>50.566353472805275</v>
      </c>
      <c r="E4381" s="33">
        <f>Model!$D$17</f>
        <v>800</v>
      </c>
      <c r="G4381" s="36">
        <f t="shared" ca="1" si="70"/>
        <v>873.4640859694191</v>
      </c>
    </row>
    <row r="4382" spans="1:7" x14ac:dyDescent="0.2">
      <c r="A4382" s="6">
        <f ca="1">Model!$F$13+RAND()*(Model!$G$13-Model!$F$13)</f>
        <v>1493.0138334408257</v>
      </c>
      <c r="B4382" s="31">
        <f ca="1">Model!$F$14+RAND()*(Model!$G$14-Model!$F$14)</f>
        <v>0.63822134788306695</v>
      </c>
      <c r="C4382" s="32">
        <f ca="1">Model!$F$15+RAND()*(Model!$G$15-Model!$F$15)</f>
        <v>2.2205855121735792E-2</v>
      </c>
      <c r="D4382" s="33">
        <f ca="1">Model!$F$16+RAND()*(Model!$G$16-Model!$F$16)</f>
        <v>52.44485181338387</v>
      </c>
      <c r="E4382" s="33">
        <f>Model!$D$17</f>
        <v>800</v>
      </c>
      <c r="G4382" s="36">
        <f t="shared" ca="1" si="70"/>
        <v>-14.135098595062573</v>
      </c>
    </row>
    <row r="4383" spans="1:7" x14ac:dyDescent="0.2">
      <c r="A4383" s="6">
        <f ca="1">Model!$F$13+RAND()*(Model!$G$13-Model!$F$13)</f>
        <v>1707.9866948170352</v>
      </c>
      <c r="B4383" s="31">
        <f ca="1">Model!$F$14+RAND()*(Model!$G$14-Model!$F$14)</f>
        <v>0.74927642752165124</v>
      </c>
      <c r="C4383" s="32">
        <f ca="1">Model!$F$15+RAND()*(Model!$G$15-Model!$F$15)</f>
        <v>4.6282117467786481E-2</v>
      </c>
      <c r="D4383" s="33">
        <f ca="1">Model!$F$16+RAND()*(Model!$G$16-Model!$F$16)</f>
        <v>51.34154923283289</v>
      </c>
      <c r="E4383" s="33">
        <f>Model!$D$17</f>
        <v>800</v>
      </c>
      <c r="G4383" s="36">
        <f t="shared" ca="1" si="70"/>
        <v>1978.7563216087656</v>
      </c>
    </row>
    <row r="4384" spans="1:7" x14ac:dyDescent="0.2">
      <c r="A4384" s="6">
        <f ca="1">Model!$F$13+RAND()*(Model!$G$13-Model!$F$13)</f>
        <v>1419.1950201589104</v>
      </c>
      <c r="B4384" s="31">
        <f ca="1">Model!$F$14+RAND()*(Model!$G$14-Model!$F$14)</f>
        <v>0.50804107713382818</v>
      </c>
      <c r="C4384" s="32">
        <f ca="1">Model!$F$15+RAND()*(Model!$G$15-Model!$F$15)</f>
        <v>3.3594291927852071E-2</v>
      </c>
      <c r="D4384" s="33">
        <f ca="1">Model!$F$16+RAND()*(Model!$G$16-Model!$F$16)</f>
        <v>52.444999587414003</v>
      </c>
      <c r="E4384" s="33">
        <f>Model!$D$17</f>
        <v>800</v>
      </c>
      <c r="G4384" s="36">
        <f t="shared" ca="1" si="70"/>
        <v>979.40310678821106</v>
      </c>
    </row>
    <row r="4385" spans="1:7" x14ac:dyDescent="0.2">
      <c r="A4385" s="6">
        <f ca="1">Model!$F$13+RAND()*(Model!$G$13-Model!$F$13)</f>
        <v>1258.9515257949099</v>
      </c>
      <c r="B4385" s="31">
        <f ca="1">Model!$F$14+RAND()*(Model!$G$14-Model!$F$14)</f>
        <v>0.55491852647270168</v>
      </c>
      <c r="C4385" s="32">
        <f ca="1">Model!$F$15+RAND()*(Model!$G$15-Model!$F$15)</f>
        <v>3.6629737400141707E-2</v>
      </c>
      <c r="D4385" s="33">
        <f ca="1">Model!$F$16+RAND()*(Model!$G$16-Model!$F$16)</f>
        <v>52.663473690628194</v>
      </c>
      <c r="E4385" s="33">
        <f>Model!$D$17</f>
        <v>800</v>
      </c>
      <c r="G4385" s="36">
        <f t="shared" ca="1" si="70"/>
        <v>929.96392301873493</v>
      </c>
    </row>
    <row r="4386" spans="1:7" x14ac:dyDescent="0.2">
      <c r="A4386" s="6">
        <f ca="1">Model!$F$13+RAND()*(Model!$G$13-Model!$F$13)</f>
        <v>1522.047653142763</v>
      </c>
      <c r="B4386" s="31">
        <f ca="1">Model!$F$14+RAND()*(Model!$G$14-Model!$F$14)</f>
        <v>0.24574989542268957</v>
      </c>
      <c r="C4386" s="32">
        <f ca="1">Model!$F$15+RAND()*(Model!$G$15-Model!$F$15)</f>
        <v>1.7007907311187051E-2</v>
      </c>
      <c r="D4386" s="33">
        <f ca="1">Model!$F$16+RAND()*(Model!$G$16-Model!$F$16)</f>
        <v>51.905992372517268</v>
      </c>
      <c r="E4386" s="33">
        <f>Model!$D$17</f>
        <v>800</v>
      </c>
      <c r="G4386" s="36">
        <f t="shared" ca="1" si="70"/>
        <v>169.63934870082903</v>
      </c>
    </row>
    <row r="4387" spans="1:7" x14ac:dyDescent="0.2">
      <c r="A4387" s="6">
        <f ca="1">Model!$F$13+RAND()*(Model!$G$13-Model!$F$13)</f>
        <v>1401.7460509291623</v>
      </c>
      <c r="B4387" s="31">
        <f ca="1">Model!$F$14+RAND()*(Model!$G$14-Model!$F$14)</f>
        <v>0.4222298488963</v>
      </c>
      <c r="C4387" s="32">
        <f ca="1">Model!$F$15+RAND()*(Model!$G$15-Model!$F$15)</f>
        <v>4.7451941049317728E-2</v>
      </c>
      <c r="D4387" s="33">
        <f ca="1">Model!$F$16+RAND()*(Model!$G$16-Model!$F$16)</f>
        <v>50.505224407745644</v>
      </c>
      <c r="E4387" s="33">
        <f>Model!$D$17</f>
        <v>800</v>
      </c>
      <c r="G4387" s="36">
        <f t="shared" ca="1" si="70"/>
        <v>1967.5248154170301</v>
      </c>
    </row>
    <row r="4388" spans="1:7" x14ac:dyDescent="0.2">
      <c r="A4388" s="6">
        <f ca="1">Model!$F$13+RAND()*(Model!$G$13-Model!$F$13)</f>
        <v>1372.9161228267758</v>
      </c>
      <c r="B4388" s="31">
        <f ca="1">Model!$F$14+RAND()*(Model!$G$14-Model!$F$14)</f>
        <v>0.77636784801890779</v>
      </c>
      <c r="C4388" s="32">
        <f ca="1">Model!$F$15+RAND()*(Model!$G$15-Model!$F$15)</f>
        <v>3.8033153468349429E-2</v>
      </c>
      <c r="D4388" s="33">
        <f ca="1">Model!$F$16+RAND()*(Model!$G$16-Model!$F$16)</f>
        <v>49.058530780758744</v>
      </c>
      <c r="E4388" s="33">
        <f>Model!$D$17</f>
        <v>800</v>
      </c>
      <c r="G4388" s="36">
        <f t="shared" ca="1" si="70"/>
        <v>695.76847708373793</v>
      </c>
    </row>
    <row r="4389" spans="1:7" x14ac:dyDescent="0.2">
      <c r="A4389" s="6">
        <f ca="1">Model!$F$13+RAND()*(Model!$G$13-Model!$F$13)</f>
        <v>1524.1653687884827</v>
      </c>
      <c r="B4389" s="31">
        <f ca="1">Model!$F$14+RAND()*(Model!$G$14-Model!$F$14)</f>
        <v>0.46376611464108325</v>
      </c>
      <c r="C4389" s="32">
        <f ca="1">Model!$F$15+RAND()*(Model!$G$15-Model!$F$15)</f>
        <v>1.7825603678342933E-2</v>
      </c>
      <c r="D4389" s="33">
        <f ca="1">Model!$F$16+RAND()*(Model!$G$16-Model!$F$16)</f>
        <v>49.093992689345505</v>
      </c>
      <c r="E4389" s="33">
        <f>Model!$D$17</f>
        <v>800</v>
      </c>
      <c r="G4389" s="36">
        <f t="shared" ca="1" si="70"/>
        <v>-173.01332559465914</v>
      </c>
    </row>
    <row r="4390" spans="1:7" x14ac:dyDescent="0.2">
      <c r="A4390" s="6">
        <f ca="1">Model!$F$13+RAND()*(Model!$G$13-Model!$F$13)</f>
        <v>1238.433067090165</v>
      </c>
      <c r="B4390" s="31">
        <f ca="1">Model!$F$14+RAND()*(Model!$G$14-Model!$F$14)</f>
        <v>0.37013723781024022</v>
      </c>
      <c r="C4390" s="32">
        <f ca="1">Model!$F$15+RAND()*(Model!$G$15-Model!$F$15)</f>
        <v>1.7281928110901797E-2</v>
      </c>
      <c r="D4390" s="33">
        <f ca="1">Model!$F$16+RAND()*(Model!$G$16-Model!$F$16)</f>
        <v>48.544995578584597</v>
      </c>
      <c r="E4390" s="33">
        <f>Model!$D$17</f>
        <v>800</v>
      </c>
      <c r="G4390" s="36">
        <f t="shared" ca="1" si="70"/>
        <v>-219.40538136203895</v>
      </c>
    </row>
    <row r="4391" spans="1:7" x14ac:dyDescent="0.2">
      <c r="A4391" s="6">
        <f ca="1">Model!$F$13+RAND()*(Model!$G$13-Model!$F$13)</f>
        <v>1360.840635098356</v>
      </c>
      <c r="B4391" s="31">
        <f ca="1">Model!$F$14+RAND()*(Model!$G$14-Model!$F$14)</f>
        <v>0.4767111441366611</v>
      </c>
      <c r="C4391" s="32">
        <f ca="1">Model!$F$15+RAND()*(Model!$G$15-Model!$F$15)</f>
        <v>1.4366829686200192E-2</v>
      </c>
      <c r="D4391" s="33">
        <f ca="1">Model!$F$16+RAND()*(Model!$G$16-Model!$F$16)</f>
        <v>50.714326887041715</v>
      </c>
      <c r="E4391" s="33">
        <f>Model!$D$17</f>
        <v>800</v>
      </c>
      <c r="G4391" s="36">
        <f t="shared" ca="1" si="70"/>
        <v>-457.21383399910349</v>
      </c>
    </row>
    <row r="4392" spans="1:7" x14ac:dyDescent="0.2">
      <c r="A4392" s="6">
        <f ca="1">Model!$F$13+RAND()*(Model!$G$13-Model!$F$13)</f>
        <v>1735.7927675880082</v>
      </c>
      <c r="B4392" s="31">
        <f ca="1">Model!$F$14+RAND()*(Model!$G$14-Model!$F$14)</f>
        <v>0.62119134440130885</v>
      </c>
      <c r="C4392" s="32">
        <f ca="1">Model!$F$15+RAND()*(Model!$G$15-Model!$F$15)</f>
        <v>3.5181450419086831E-2</v>
      </c>
      <c r="D4392" s="33">
        <f ca="1">Model!$F$16+RAND()*(Model!$G$16-Model!$F$16)</f>
        <v>47.23494129653502</v>
      </c>
      <c r="E4392" s="33">
        <f>Model!$D$17</f>
        <v>800</v>
      </c>
      <c r="G4392" s="36">
        <f t="shared" ca="1" si="70"/>
        <v>1006.2701213669723</v>
      </c>
    </row>
    <row r="4393" spans="1:7" x14ac:dyDescent="0.2">
      <c r="A4393" s="6">
        <f ca="1">Model!$F$13+RAND()*(Model!$G$13-Model!$F$13)</f>
        <v>1541.1371797550914</v>
      </c>
      <c r="B4393" s="31">
        <f ca="1">Model!$F$14+RAND()*(Model!$G$14-Model!$F$14)</f>
        <v>0.38885301078657231</v>
      </c>
      <c r="C4393" s="32">
        <f ca="1">Model!$F$15+RAND()*(Model!$G$15-Model!$F$15)</f>
        <v>3.8912031621514367E-2</v>
      </c>
      <c r="D4393" s="33">
        <f ca="1">Model!$F$16+RAND()*(Model!$G$16-Model!$F$16)</f>
        <v>50.384111328637445</v>
      </c>
      <c r="E4393" s="33">
        <f>Model!$D$17</f>
        <v>800</v>
      </c>
      <c r="G4393" s="36">
        <f t="shared" ref="G4393:G4456" ca="1" si="71">A4393*C4393*D4393-(E4393+A4393*B4393)</f>
        <v>1622.1977884555449</v>
      </c>
    </row>
    <row r="4394" spans="1:7" x14ac:dyDescent="0.2">
      <c r="A4394" s="6">
        <f ca="1">Model!$F$13+RAND()*(Model!$G$13-Model!$F$13)</f>
        <v>1784.5104276031448</v>
      </c>
      <c r="B4394" s="31">
        <f ca="1">Model!$F$14+RAND()*(Model!$G$14-Model!$F$14)</f>
        <v>0.52788293934981412</v>
      </c>
      <c r="C4394" s="32">
        <f ca="1">Model!$F$15+RAND()*(Model!$G$15-Model!$F$15)</f>
        <v>3.1451966903622855E-2</v>
      </c>
      <c r="D4394" s="33">
        <f ca="1">Model!$F$16+RAND()*(Model!$G$16-Model!$F$16)</f>
        <v>50.176582030269202</v>
      </c>
      <c r="E4394" s="33">
        <f>Model!$D$17</f>
        <v>800</v>
      </c>
      <c r="G4394" s="36">
        <f t="shared" ca="1" si="71"/>
        <v>1074.2164426976028</v>
      </c>
    </row>
    <row r="4395" spans="1:7" x14ac:dyDescent="0.2">
      <c r="A4395" s="6">
        <f ca="1">Model!$F$13+RAND()*(Model!$G$13-Model!$F$13)</f>
        <v>1780.6575188818379</v>
      </c>
      <c r="B4395" s="31">
        <f ca="1">Model!$F$14+RAND()*(Model!$G$14-Model!$F$14)</f>
        <v>0.68458254461964607</v>
      </c>
      <c r="C4395" s="32">
        <f ca="1">Model!$F$15+RAND()*(Model!$G$15-Model!$F$15)</f>
        <v>2.6517775114438404E-2</v>
      </c>
      <c r="D4395" s="33">
        <f ca="1">Model!$F$16+RAND()*(Model!$G$16-Model!$F$16)</f>
        <v>50.153289116684931</v>
      </c>
      <c r="E4395" s="33">
        <f>Model!$D$17</f>
        <v>800</v>
      </c>
      <c r="G4395" s="36">
        <f t="shared" ca="1" si="71"/>
        <v>349.18489710065842</v>
      </c>
    </row>
    <row r="4396" spans="1:7" x14ac:dyDescent="0.2">
      <c r="A4396" s="6">
        <f ca="1">Model!$F$13+RAND()*(Model!$G$13-Model!$F$13)</f>
        <v>1561.8428104093209</v>
      </c>
      <c r="B4396" s="31">
        <f ca="1">Model!$F$14+RAND()*(Model!$G$14-Model!$F$14)</f>
        <v>0.21228326011533527</v>
      </c>
      <c r="C4396" s="32">
        <f ca="1">Model!$F$15+RAND()*(Model!$G$15-Model!$F$15)</f>
        <v>2.7716582975308234E-2</v>
      </c>
      <c r="D4396" s="33">
        <f ca="1">Model!$F$16+RAND()*(Model!$G$16-Model!$F$16)</f>
        <v>47.962447701230523</v>
      </c>
      <c r="E4396" s="33">
        <f>Model!$D$17</f>
        <v>800</v>
      </c>
      <c r="G4396" s="36">
        <f t="shared" ca="1" si="71"/>
        <v>944.6907177474011</v>
      </c>
    </row>
    <row r="4397" spans="1:7" x14ac:dyDescent="0.2">
      <c r="A4397" s="6">
        <f ca="1">Model!$F$13+RAND()*(Model!$G$13-Model!$F$13)</f>
        <v>1564.7404505368752</v>
      </c>
      <c r="B4397" s="31">
        <f ca="1">Model!$F$14+RAND()*(Model!$G$14-Model!$F$14)</f>
        <v>0.78894995740665697</v>
      </c>
      <c r="C4397" s="32">
        <f ca="1">Model!$F$15+RAND()*(Model!$G$15-Model!$F$15)</f>
        <v>3.2074149885422211E-2</v>
      </c>
      <c r="D4397" s="33">
        <f ca="1">Model!$F$16+RAND()*(Model!$G$16-Model!$F$16)</f>
        <v>47.427300634889548</v>
      </c>
      <c r="E4397" s="33">
        <f>Model!$D$17</f>
        <v>800</v>
      </c>
      <c r="G4397" s="36">
        <f t="shared" ca="1" si="71"/>
        <v>345.766160594236</v>
      </c>
    </row>
    <row r="4398" spans="1:7" x14ac:dyDescent="0.2">
      <c r="A4398" s="6">
        <f ca="1">Model!$F$13+RAND()*(Model!$G$13-Model!$F$13)</f>
        <v>1460.249558915775</v>
      </c>
      <c r="B4398" s="31">
        <f ca="1">Model!$F$14+RAND()*(Model!$G$14-Model!$F$14)</f>
        <v>0.78657202938481552</v>
      </c>
      <c r="C4398" s="32">
        <f ca="1">Model!$F$15+RAND()*(Model!$G$15-Model!$F$15)</f>
        <v>1.3322300268654268E-2</v>
      </c>
      <c r="D4398" s="33">
        <f ca="1">Model!$F$16+RAND()*(Model!$G$16-Model!$F$16)</f>
        <v>48.472932836549006</v>
      </c>
      <c r="E4398" s="33">
        <f>Model!$D$17</f>
        <v>800</v>
      </c>
      <c r="G4398" s="36">
        <f t="shared" ca="1" si="71"/>
        <v>-1005.6046904823183</v>
      </c>
    </row>
    <row r="4399" spans="1:7" x14ac:dyDescent="0.2">
      <c r="A4399" s="6">
        <f ca="1">Model!$F$13+RAND()*(Model!$G$13-Model!$F$13)</f>
        <v>1223.3027780677694</v>
      </c>
      <c r="B4399" s="31">
        <f ca="1">Model!$F$14+RAND()*(Model!$G$14-Model!$F$14)</f>
        <v>0.65921580819924674</v>
      </c>
      <c r="C4399" s="32">
        <f ca="1">Model!$F$15+RAND()*(Model!$G$15-Model!$F$15)</f>
        <v>4.0460152526191624E-2</v>
      </c>
      <c r="D4399" s="33">
        <f ca="1">Model!$F$16+RAND()*(Model!$G$16-Model!$F$16)</f>
        <v>48.804154724814751</v>
      </c>
      <c r="E4399" s="33">
        <f>Model!$D$17</f>
        <v>800</v>
      </c>
      <c r="G4399" s="36">
        <f t="shared" ca="1" si="71"/>
        <v>809.14193759214277</v>
      </c>
    </row>
    <row r="4400" spans="1:7" x14ac:dyDescent="0.2">
      <c r="A4400" s="6">
        <f ca="1">Model!$F$13+RAND()*(Model!$G$13-Model!$F$13)</f>
        <v>1296.8396132136829</v>
      </c>
      <c r="B4400" s="31">
        <f ca="1">Model!$F$14+RAND()*(Model!$G$14-Model!$F$14)</f>
        <v>0.74545746062867435</v>
      </c>
      <c r="C4400" s="32">
        <f ca="1">Model!$F$15+RAND()*(Model!$G$15-Model!$F$15)</f>
        <v>4.4559251007114151E-2</v>
      </c>
      <c r="D4400" s="33">
        <f ca="1">Model!$F$16+RAND()*(Model!$G$16-Model!$F$16)</f>
        <v>48.22248946279413</v>
      </c>
      <c r="E4400" s="33">
        <f>Model!$D$17</f>
        <v>800</v>
      </c>
      <c r="G4400" s="36">
        <f t="shared" ca="1" si="71"/>
        <v>1019.8557444711601</v>
      </c>
    </row>
    <row r="4401" spans="1:7" x14ac:dyDescent="0.2">
      <c r="A4401" s="6">
        <f ca="1">Model!$F$13+RAND()*(Model!$G$13-Model!$F$13)</f>
        <v>1712.6554219897889</v>
      </c>
      <c r="B4401" s="31">
        <f ca="1">Model!$F$14+RAND()*(Model!$G$14-Model!$F$14)</f>
        <v>0.57226090972230603</v>
      </c>
      <c r="C4401" s="32">
        <f ca="1">Model!$F$15+RAND()*(Model!$G$15-Model!$F$15)</f>
        <v>4.7231001264088787E-2</v>
      </c>
      <c r="D4401" s="33">
        <f ca="1">Model!$F$16+RAND()*(Model!$G$16-Model!$F$16)</f>
        <v>52.704196910174154</v>
      </c>
      <c r="E4401" s="33">
        <f>Model!$D$17</f>
        <v>800</v>
      </c>
      <c r="G4401" s="36">
        <f t="shared" ca="1" si="71"/>
        <v>2483.1794221715968</v>
      </c>
    </row>
    <row r="4402" spans="1:7" x14ac:dyDescent="0.2">
      <c r="A4402" s="6">
        <f ca="1">Model!$F$13+RAND()*(Model!$G$13-Model!$F$13)</f>
        <v>1230.203065782609</v>
      </c>
      <c r="B4402" s="31">
        <f ca="1">Model!$F$14+RAND()*(Model!$G$14-Model!$F$14)</f>
        <v>0.55517233334479621</v>
      </c>
      <c r="C4402" s="32">
        <f ca="1">Model!$F$15+RAND()*(Model!$G$15-Model!$F$15)</f>
        <v>2.2638780192100701E-2</v>
      </c>
      <c r="D4402" s="33">
        <f ca="1">Model!$F$16+RAND()*(Model!$G$16-Model!$F$16)</f>
        <v>51.784739463087334</v>
      </c>
      <c r="E4402" s="33">
        <f>Model!$D$17</f>
        <v>800</v>
      </c>
      <c r="G4402" s="36">
        <f t="shared" ca="1" si="71"/>
        <v>-40.754342869500306</v>
      </c>
    </row>
    <row r="4403" spans="1:7" x14ac:dyDescent="0.2">
      <c r="A4403" s="6">
        <f ca="1">Model!$F$13+RAND()*(Model!$G$13-Model!$F$13)</f>
        <v>1633.7189966723859</v>
      </c>
      <c r="B4403" s="31">
        <f ca="1">Model!$F$14+RAND()*(Model!$G$14-Model!$F$14)</f>
        <v>0.40349787768315953</v>
      </c>
      <c r="C4403" s="32">
        <f ca="1">Model!$F$15+RAND()*(Model!$G$15-Model!$F$15)</f>
        <v>4.5222444253509991E-2</v>
      </c>
      <c r="D4403" s="33">
        <f ca="1">Model!$F$16+RAND()*(Model!$G$16-Model!$F$16)</f>
        <v>52.9696632291122</v>
      </c>
      <c r="E4403" s="33">
        <f>Model!$D$17</f>
        <v>800</v>
      </c>
      <c r="G4403" s="36">
        <f t="shared" ca="1" si="71"/>
        <v>2454.2371596378152</v>
      </c>
    </row>
    <row r="4404" spans="1:7" x14ac:dyDescent="0.2">
      <c r="A4404" s="6">
        <f ca="1">Model!$F$13+RAND()*(Model!$G$13-Model!$F$13)</f>
        <v>1633.6926351090883</v>
      </c>
      <c r="B4404" s="31">
        <f ca="1">Model!$F$14+RAND()*(Model!$G$14-Model!$F$14)</f>
        <v>0.51519490385256428</v>
      </c>
      <c r="C4404" s="32">
        <f ca="1">Model!$F$15+RAND()*(Model!$G$15-Model!$F$15)</f>
        <v>4.3741796029631658E-2</v>
      </c>
      <c r="D4404" s="33">
        <f ca="1">Model!$F$16+RAND()*(Model!$G$16-Model!$F$16)</f>
        <v>52.84147222335055</v>
      </c>
      <c r="E4404" s="33">
        <f>Model!$D$17</f>
        <v>800</v>
      </c>
      <c r="G4404" s="36">
        <f t="shared" ca="1" si="71"/>
        <v>2134.4158330275468</v>
      </c>
    </row>
    <row r="4405" spans="1:7" x14ac:dyDescent="0.2">
      <c r="A4405" s="6">
        <f ca="1">Model!$F$13+RAND()*(Model!$G$13-Model!$F$13)</f>
        <v>1616.1179007136511</v>
      </c>
      <c r="B4405" s="31">
        <f ca="1">Model!$F$14+RAND()*(Model!$G$14-Model!$F$14)</f>
        <v>0.38184069343155563</v>
      </c>
      <c r="C4405" s="32">
        <f ca="1">Model!$F$15+RAND()*(Model!$G$15-Model!$F$15)</f>
        <v>2.4671544324406196E-2</v>
      </c>
      <c r="D4405" s="33">
        <f ca="1">Model!$F$16+RAND()*(Model!$G$16-Model!$F$16)</f>
        <v>49.412916441293675</v>
      </c>
      <c r="E4405" s="33">
        <f>Model!$D$17</f>
        <v>800</v>
      </c>
      <c r="G4405" s="36">
        <f t="shared" ca="1" si="71"/>
        <v>553.09837247228938</v>
      </c>
    </row>
    <row r="4406" spans="1:7" x14ac:dyDescent="0.2">
      <c r="A4406" s="6">
        <f ca="1">Model!$F$13+RAND()*(Model!$G$13-Model!$F$13)</f>
        <v>1536.537292817977</v>
      </c>
      <c r="B4406" s="31">
        <f ca="1">Model!$F$14+RAND()*(Model!$G$14-Model!$F$14)</f>
        <v>0.42875734126070786</v>
      </c>
      <c r="C4406" s="32">
        <f ca="1">Model!$F$15+RAND()*(Model!$G$15-Model!$F$15)</f>
        <v>3.8043039656253455E-2</v>
      </c>
      <c r="D4406" s="33">
        <f ca="1">Model!$F$16+RAND()*(Model!$G$16-Model!$F$16)</f>
        <v>48.89936173101038</v>
      </c>
      <c r="E4406" s="33">
        <f>Model!$D$17</f>
        <v>800</v>
      </c>
      <c r="G4406" s="36">
        <f t="shared" ca="1" si="71"/>
        <v>1399.5884999763512</v>
      </c>
    </row>
    <row r="4407" spans="1:7" x14ac:dyDescent="0.2">
      <c r="A4407" s="6">
        <f ca="1">Model!$F$13+RAND()*(Model!$G$13-Model!$F$13)</f>
        <v>1213.6564395286998</v>
      </c>
      <c r="B4407" s="31">
        <f ca="1">Model!$F$14+RAND()*(Model!$G$14-Model!$F$14)</f>
        <v>0.58316854919272976</v>
      </c>
      <c r="C4407" s="32">
        <f ca="1">Model!$F$15+RAND()*(Model!$G$15-Model!$F$15)</f>
        <v>2.5571153876658557E-2</v>
      </c>
      <c r="D4407" s="33">
        <f ca="1">Model!$F$16+RAND()*(Model!$G$16-Model!$F$16)</f>
        <v>51.237040021873291</v>
      </c>
      <c r="E4407" s="33">
        <f>Model!$D$17</f>
        <v>800</v>
      </c>
      <c r="G4407" s="36">
        <f t="shared" ca="1" si="71"/>
        <v>82.354550151923377</v>
      </c>
    </row>
    <row r="4408" spans="1:7" x14ac:dyDescent="0.2">
      <c r="A4408" s="6">
        <f ca="1">Model!$F$13+RAND()*(Model!$G$13-Model!$F$13)</f>
        <v>1424.9312961727287</v>
      </c>
      <c r="B4408" s="31">
        <f ca="1">Model!$F$14+RAND()*(Model!$G$14-Model!$F$14)</f>
        <v>0.67872674068855932</v>
      </c>
      <c r="C4408" s="32">
        <f ca="1">Model!$F$15+RAND()*(Model!$G$15-Model!$F$15)</f>
        <v>4.3006579316980688E-2</v>
      </c>
      <c r="D4408" s="33">
        <f ca="1">Model!$F$16+RAND()*(Model!$G$16-Model!$F$16)</f>
        <v>49.452288665060571</v>
      </c>
      <c r="E4408" s="33">
        <f>Model!$D$17</f>
        <v>800</v>
      </c>
      <c r="G4408" s="36">
        <f t="shared" ca="1" si="71"/>
        <v>1263.3675373497022</v>
      </c>
    </row>
    <row r="4409" spans="1:7" x14ac:dyDescent="0.2">
      <c r="A4409" s="6">
        <f ca="1">Model!$F$13+RAND()*(Model!$G$13-Model!$F$13)</f>
        <v>1523.654955208136</v>
      </c>
      <c r="B4409" s="31">
        <f ca="1">Model!$F$14+RAND()*(Model!$G$14-Model!$F$14)</f>
        <v>0.52951045137133379</v>
      </c>
      <c r="C4409" s="32">
        <f ca="1">Model!$F$15+RAND()*(Model!$G$15-Model!$F$15)</f>
        <v>1.3775588277973365E-2</v>
      </c>
      <c r="D4409" s="33">
        <f ca="1">Model!$F$16+RAND()*(Model!$G$16-Model!$F$16)</f>
        <v>51.732043290150713</v>
      </c>
      <c r="E4409" s="33">
        <f>Model!$D$17</f>
        <v>800</v>
      </c>
      <c r="G4409" s="36">
        <f t="shared" ca="1" si="71"/>
        <v>-520.97477794086967</v>
      </c>
    </row>
    <row r="4410" spans="1:7" x14ac:dyDescent="0.2">
      <c r="A4410" s="6">
        <f ca="1">Model!$F$13+RAND()*(Model!$G$13-Model!$F$13)</f>
        <v>1707.3122866838437</v>
      </c>
      <c r="B4410" s="31">
        <f ca="1">Model!$F$14+RAND()*(Model!$G$14-Model!$F$14)</f>
        <v>0.42296317794342608</v>
      </c>
      <c r="C4410" s="32">
        <f ca="1">Model!$F$15+RAND()*(Model!$G$15-Model!$F$15)</f>
        <v>2.1289929684466462E-2</v>
      </c>
      <c r="D4410" s="33">
        <f ca="1">Model!$F$16+RAND()*(Model!$G$16-Model!$F$16)</f>
        <v>49.592788506051818</v>
      </c>
      <c r="E4410" s="33">
        <f>Model!$D$17</f>
        <v>800</v>
      </c>
      <c r="G4410" s="36">
        <f t="shared" ca="1" si="71"/>
        <v>280.4961453055223</v>
      </c>
    </row>
    <row r="4411" spans="1:7" x14ac:dyDescent="0.2">
      <c r="A4411" s="6">
        <f ca="1">Model!$F$13+RAND()*(Model!$G$13-Model!$F$13)</f>
        <v>1525.2910242996052</v>
      </c>
      <c r="B4411" s="31">
        <f ca="1">Model!$F$14+RAND()*(Model!$G$14-Model!$F$14)</f>
        <v>0.39707138468203917</v>
      </c>
      <c r="C4411" s="32">
        <f ca="1">Model!$F$15+RAND()*(Model!$G$15-Model!$F$15)</f>
        <v>4.9776148041548535E-2</v>
      </c>
      <c r="D4411" s="33">
        <f ca="1">Model!$F$16+RAND()*(Model!$G$16-Model!$F$16)</f>
        <v>50.049477695326317</v>
      </c>
      <c r="E4411" s="33">
        <f>Model!$D$17</f>
        <v>800</v>
      </c>
      <c r="G4411" s="36">
        <f t="shared" ca="1" si="71"/>
        <v>2394.2626731328364</v>
      </c>
    </row>
    <row r="4412" spans="1:7" x14ac:dyDescent="0.2">
      <c r="A4412" s="6">
        <f ca="1">Model!$F$13+RAND()*(Model!$G$13-Model!$F$13)</f>
        <v>1720.0525673141665</v>
      </c>
      <c r="B4412" s="31">
        <f ca="1">Model!$F$14+RAND()*(Model!$G$14-Model!$F$14)</f>
        <v>0.3928424037269117</v>
      </c>
      <c r="C4412" s="32">
        <f ca="1">Model!$F$15+RAND()*(Model!$G$15-Model!$F$15)</f>
        <v>1.2081363960502953E-2</v>
      </c>
      <c r="D4412" s="33">
        <f ca="1">Model!$F$16+RAND()*(Model!$G$16-Model!$F$16)</f>
        <v>52.038423661965759</v>
      </c>
      <c r="E4412" s="33">
        <f>Model!$D$17</f>
        <v>800</v>
      </c>
      <c r="G4412" s="36">
        <f t="shared" ca="1" si="71"/>
        <v>-394.32090201698543</v>
      </c>
    </row>
    <row r="4413" spans="1:7" x14ac:dyDescent="0.2">
      <c r="A4413" s="6">
        <f ca="1">Model!$F$13+RAND()*(Model!$G$13-Model!$F$13)</f>
        <v>1290.8636497800251</v>
      </c>
      <c r="B4413" s="31">
        <f ca="1">Model!$F$14+RAND()*(Model!$G$14-Model!$F$14)</f>
        <v>0.76035316381976403</v>
      </c>
      <c r="C4413" s="32">
        <f ca="1">Model!$F$15+RAND()*(Model!$G$15-Model!$F$15)</f>
        <v>2.9551165750481945E-2</v>
      </c>
      <c r="D4413" s="33">
        <f ca="1">Model!$F$16+RAND()*(Model!$G$16-Model!$F$16)</f>
        <v>52.273731280668379</v>
      </c>
      <c r="E4413" s="33">
        <f>Model!$D$17</f>
        <v>800</v>
      </c>
      <c r="G4413" s="36">
        <f t="shared" ca="1" si="71"/>
        <v>212.54897230407209</v>
      </c>
    </row>
    <row r="4414" spans="1:7" x14ac:dyDescent="0.2">
      <c r="A4414" s="6">
        <f ca="1">Model!$F$13+RAND()*(Model!$G$13-Model!$F$13)</f>
        <v>1662.1384640096451</v>
      </c>
      <c r="B4414" s="31">
        <f ca="1">Model!$F$14+RAND()*(Model!$G$14-Model!$F$14)</f>
        <v>0.77669851611754193</v>
      </c>
      <c r="C4414" s="32">
        <f ca="1">Model!$F$15+RAND()*(Model!$G$15-Model!$F$15)</f>
        <v>4.6090378180185874E-2</v>
      </c>
      <c r="D4414" s="33">
        <f ca="1">Model!$F$16+RAND()*(Model!$G$16-Model!$F$16)</f>
        <v>49.502022220664713</v>
      </c>
      <c r="E4414" s="33">
        <f>Model!$D$17</f>
        <v>800</v>
      </c>
      <c r="G4414" s="36">
        <f t="shared" ca="1" si="71"/>
        <v>1701.2996654012791</v>
      </c>
    </row>
    <row r="4415" spans="1:7" x14ac:dyDescent="0.2">
      <c r="A4415" s="6">
        <f ca="1">Model!$F$13+RAND()*(Model!$G$13-Model!$F$13)</f>
        <v>1318.1510621828074</v>
      </c>
      <c r="B4415" s="31">
        <f ca="1">Model!$F$14+RAND()*(Model!$G$14-Model!$F$14)</f>
        <v>0.78468356879957968</v>
      </c>
      <c r="C4415" s="32">
        <f ca="1">Model!$F$15+RAND()*(Model!$G$15-Model!$F$15)</f>
        <v>1.2182312805117071E-2</v>
      </c>
      <c r="D4415" s="33">
        <f ca="1">Model!$F$16+RAND()*(Model!$G$16-Model!$F$16)</f>
        <v>52.768465068856941</v>
      </c>
      <c r="E4415" s="33">
        <f>Model!$D$17</f>
        <v>800</v>
      </c>
      <c r="G4415" s="36">
        <f t="shared" ca="1" si="71"/>
        <v>-986.96868349475392</v>
      </c>
    </row>
    <row r="4416" spans="1:7" x14ac:dyDescent="0.2">
      <c r="A4416" s="6">
        <f ca="1">Model!$F$13+RAND()*(Model!$G$13-Model!$F$13)</f>
        <v>1255.1743830254454</v>
      </c>
      <c r="B4416" s="31">
        <f ca="1">Model!$F$14+RAND()*(Model!$G$14-Model!$F$14)</f>
        <v>0.25286119535598595</v>
      </c>
      <c r="C4416" s="32">
        <f ca="1">Model!$F$15+RAND()*(Model!$G$15-Model!$F$15)</f>
        <v>4.936762891608034E-2</v>
      </c>
      <c r="D4416" s="33">
        <f ca="1">Model!$F$16+RAND()*(Model!$G$16-Model!$F$16)</f>
        <v>52.025555922119018</v>
      </c>
      <c r="E4416" s="33">
        <f>Model!$D$17</f>
        <v>800</v>
      </c>
      <c r="G4416" s="36">
        <f t="shared" ca="1" si="71"/>
        <v>2106.3778020527288</v>
      </c>
    </row>
    <row r="4417" spans="1:7" x14ac:dyDescent="0.2">
      <c r="A4417" s="6">
        <f ca="1">Model!$F$13+RAND()*(Model!$G$13-Model!$F$13)</f>
        <v>1222.0476465969675</v>
      </c>
      <c r="B4417" s="31">
        <f ca="1">Model!$F$14+RAND()*(Model!$G$14-Model!$F$14)</f>
        <v>0.21597872798269796</v>
      </c>
      <c r="C4417" s="32">
        <f ca="1">Model!$F$15+RAND()*(Model!$G$15-Model!$F$15)</f>
        <v>3.9671240278036798E-2</v>
      </c>
      <c r="D4417" s="33">
        <f ca="1">Model!$F$16+RAND()*(Model!$G$16-Model!$F$16)</f>
        <v>51.612883452325427</v>
      </c>
      <c r="E4417" s="33">
        <f>Model!$D$17</f>
        <v>800</v>
      </c>
      <c r="G4417" s="36">
        <f t="shared" ca="1" si="71"/>
        <v>1438.2638196799878</v>
      </c>
    </row>
    <row r="4418" spans="1:7" x14ac:dyDescent="0.2">
      <c r="A4418" s="6">
        <f ca="1">Model!$F$13+RAND()*(Model!$G$13-Model!$F$13)</f>
        <v>1200.4663084410026</v>
      </c>
      <c r="B4418" s="31">
        <f ca="1">Model!$F$14+RAND()*(Model!$G$14-Model!$F$14)</f>
        <v>0.66138023586617534</v>
      </c>
      <c r="C4418" s="32">
        <f ca="1">Model!$F$15+RAND()*(Model!$G$15-Model!$F$15)</f>
        <v>4.3247607491253733E-2</v>
      </c>
      <c r="D4418" s="33">
        <f ca="1">Model!$F$16+RAND()*(Model!$G$16-Model!$F$16)</f>
        <v>47.932422669637511</v>
      </c>
      <c r="E4418" s="33">
        <f>Model!$D$17</f>
        <v>800</v>
      </c>
      <c r="G4418" s="36">
        <f t="shared" ca="1" si="71"/>
        <v>894.55707179858518</v>
      </c>
    </row>
    <row r="4419" spans="1:7" x14ac:dyDescent="0.2">
      <c r="A4419" s="6">
        <f ca="1">Model!$F$13+RAND()*(Model!$G$13-Model!$F$13)</f>
        <v>1721.3256684175376</v>
      </c>
      <c r="B4419" s="31">
        <f ca="1">Model!$F$14+RAND()*(Model!$G$14-Model!$F$14)</f>
        <v>0.53233343814062173</v>
      </c>
      <c r="C4419" s="32">
        <f ca="1">Model!$F$15+RAND()*(Model!$G$15-Model!$F$15)</f>
        <v>1.1819339903940915E-2</v>
      </c>
      <c r="D4419" s="33">
        <f ca="1">Model!$F$16+RAND()*(Model!$G$16-Model!$F$16)</f>
        <v>51.790803615207068</v>
      </c>
      <c r="E4419" s="33">
        <f>Model!$D$17</f>
        <v>800</v>
      </c>
      <c r="G4419" s="36">
        <f t="shared" ca="1" si="71"/>
        <v>-662.63877335335337</v>
      </c>
    </row>
    <row r="4420" spans="1:7" x14ac:dyDescent="0.2">
      <c r="A4420" s="6">
        <f ca="1">Model!$F$13+RAND()*(Model!$G$13-Model!$F$13)</f>
        <v>1723.6867870433348</v>
      </c>
      <c r="B4420" s="31">
        <f ca="1">Model!$F$14+RAND()*(Model!$G$14-Model!$F$14)</f>
        <v>0.47300325049564274</v>
      </c>
      <c r="C4420" s="32">
        <f ca="1">Model!$F$15+RAND()*(Model!$G$15-Model!$F$15)</f>
        <v>4.401584230992913E-2</v>
      </c>
      <c r="D4420" s="33">
        <f ca="1">Model!$F$16+RAND()*(Model!$G$16-Model!$F$16)</f>
        <v>49.983715566941441</v>
      </c>
      <c r="E4420" s="33">
        <f>Model!$D$17</f>
        <v>800</v>
      </c>
      <c r="G4420" s="36">
        <f t="shared" ca="1" si="71"/>
        <v>2176.9313451882617</v>
      </c>
    </row>
    <row r="4421" spans="1:7" x14ac:dyDescent="0.2">
      <c r="A4421" s="6">
        <f ca="1">Model!$F$13+RAND()*(Model!$G$13-Model!$F$13)</f>
        <v>1445.3812781874681</v>
      </c>
      <c r="B4421" s="31">
        <f ca="1">Model!$F$14+RAND()*(Model!$G$14-Model!$F$14)</f>
        <v>0.72211860919490323</v>
      </c>
      <c r="C4421" s="32">
        <f ca="1">Model!$F$15+RAND()*(Model!$G$15-Model!$F$15)</f>
        <v>4.1073991671252794E-2</v>
      </c>
      <c r="D4421" s="33">
        <f ca="1">Model!$F$16+RAND()*(Model!$G$16-Model!$F$16)</f>
        <v>51.75279987762957</v>
      </c>
      <c r="E4421" s="33">
        <f>Model!$D$17</f>
        <v>800</v>
      </c>
      <c r="G4421" s="36">
        <f t="shared" ca="1" si="71"/>
        <v>1228.7016952155464</v>
      </c>
    </row>
    <row r="4422" spans="1:7" x14ac:dyDescent="0.2">
      <c r="A4422" s="6">
        <f ca="1">Model!$F$13+RAND()*(Model!$G$13-Model!$F$13)</f>
        <v>1531.8774154779906</v>
      </c>
      <c r="B4422" s="31">
        <f ca="1">Model!$F$14+RAND()*(Model!$G$14-Model!$F$14)</f>
        <v>0.2621248105728613</v>
      </c>
      <c r="C4422" s="32">
        <f ca="1">Model!$F$15+RAND()*(Model!$G$15-Model!$F$15)</f>
        <v>4.8152023459325309E-2</v>
      </c>
      <c r="D4422" s="33">
        <f ca="1">Model!$F$16+RAND()*(Model!$G$16-Model!$F$16)</f>
        <v>47.401713521703606</v>
      </c>
      <c r="E4422" s="33">
        <f>Model!$D$17</f>
        <v>800</v>
      </c>
      <c r="G4422" s="36">
        <f t="shared" ca="1" si="71"/>
        <v>2294.9493866470766</v>
      </c>
    </row>
    <row r="4423" spans="1:7" x14ac:dyDescent="0.2">
      <c r="A4423" s="6">
        <f ca="1">Model!$F$13+RAND()*(Model!$G$13-Model!$F$13)</f>
        <v>1630.846444902106</v>
      </c>
      <c r="B4423" s="31">
        <f ca="1">Model!$F$14+RAND()*(Model!$G$14-Model!$F$14)</f>
        <v>0.78508985269432352</v>
      </c>
      <c r="C4423" s="32">
        <f ca="1">Model!$F$15+RAND()*(Model!$G$15-Model!$F$15)</f>
        <v>2.5558702710395113E-2</v>
      </c>
      <c r="D4423" s="33">
        <f ca="1">Model!$F$16+RAND()*(Model!$G$16-Model!$F$16)</f>
        <v>49.227302550221673</v>
      </c>
      <c r="E4423" s="33">
        <f>Model!$D$17</f>
        <v>800</v>
      </c>
      <c r="G4423" s="36">
        <f t="shared" ca="1" si="71"/>
        <v>-28.452844558435572</v>
      </c>
    </row>
    <row r="4424" spans="1:7" x14ac:dyDescent="0.2">
      <c r="A4424" s="6">
        <f ca="1">Model!$F$13+RAND()*(Model!$G$13-Model!$F$13)</f>
        <v>1470.0509836177191</v>
      </c>
      <c r="B4424" s="31">
        <f ca="1">Model!$F$14+RAND()*(Model!$G$14-Model!$F$14)</f>
        <v>0.58286152191590768</v>
      </c>
      <c r="C4424" s="32">
        <f ca="1">Model!$F$15+RAND()*(Model!$G$15-Model!$F$15)</f>
        <v>3.1708412509668327E-2</v>
      </c>
      <c r="D4424" s="33">
        <f ca="1">Model!$F$16+RAND()*(Model!$G$16-Model!$F$16)</f>
        <v>51.789938471594247</v>
      </c>
      <c r="E4424" s="33">
        <f>Model!$D$17</f>
        <v>800</v>
      </c>
      <c r="G4424" s="36">
        <f t="shared" ca="1" si="71"/>
        <v>757.24736787962547</v>
      </c>
    </row>
    <row r="4425" spans="1:7" x14ac:dyDescent="0.2">
      <c r="A4425" s="6">
        <f ca="1">Model!$F$13+RAND()*(Model!$G$13-Model!$F$13)</f>
        <v>1398.6466060679109</v>
      </c>
      <c r="B4425" s="31">
        <f ca="1">Model!$F$14+RAND()*(Model!$G$14-Model!$F$14)</f>
        <v>0.52841701906069294</v>
      </c>
      <c r="C4425" s="32">
        <f ca="1">Model!$F$15+RAND()*(Model!$G$15-Model!$F$15)</f>
        <v>1.2534985828797023E-2</v>
      </c>
      <c r="D4425" s="33">
        <f ca="1">Model!$F$16+RAND()*(Model!$G$16-Model!$F$16)</f>
        <v>48.895514404453394</v>
      </c>
      <c r="E4425" s="33">
        <f>Model!$D$17</f>
        <v>800</v>
      </c>
      <c r="G4425" s="36">
        <f t="shared" ca="1" si="71"/>
        <v>-681.83175942529795</v>
      </c>
    </row>
    <row r="4426" spans="1:7" x14ac:dyDescent="0.2">
      <c r="A4426" s="6">
        <f ca="1">Model!$F$13+RAND()*(Model!$G$13-Model!$F$13)</f>
        <v>1688.998300156492</v>
      </c>
      <c r="B4426" s="31">
        <f ca="1">Model!$F$14+RAND()*(Model!$G$14-Model!$F$14)</f>
        <v>0.21181128281962502</v>
      </c>
      <c r="C4426" s="32">
        <f ca="1">Model!$F$15+RAND()*(Model!$G$15-Model!$F$15)</f>
        <v>4.7314424536392709E-2</v>
      </c>
      <c r="D4426" s="33">
        <f ca="1">Model!$F$16+RAND()*(Model!$G$16-Model!$F$16)</f>
        <v>51.952878419805778</v>
      </c>
      <c r="E4426" s="33">
        <f>Model!$D$17</f>
        <v>800</v>
      </c>
      <c r="G4426" s="36">
        <f t="shared" ca="1" si="71"/>
        <v>2994.0125261954572</v>
      </c>
    </row>
    <row r="4427" spans="1:7" x14ac:dyDescent="0.2">
      <c r="A4427" s="6">
        <f ca="1">Model!$F$13+RAND()*(Model!$G$13-Model!$F$13)</f>
        <v>1405.78817003104</v>
      </c>
      <c r="B4427" s="31">
        <f ca="1">Model!$F$14+RAND()*(Model!$G$14-Model!$F$14)</f>
        <v>0.28363732857827678</v>
      </c>
      <c r="C4427" s="32">
        <f ca="1">Model!$F$15+RAND()*(Model!$G$15-Model!$F$15)</f>
        <v>1.4573374830446104E-2</v>
      </c>
      <c r="D4427" s="33">
        <f ca="1">Model!$F$16+RAND()*(Model!$G$16-Model!$F$16)</f>
        <v>47.244213921318632</v>
      </c>
      <c r="E4427" s="33">
        <f>Model!$D$17</f>
        <v>800</v>
      </c>
      <c r="G4427" s="36">
        <f t="shared" ca="1" si="71"/>
        <v>-230.8381085546547</v>
      </c>
    </row>
    <row r="4428" spans="1:7" x14ac:dyDescent="0.2">
      <c r="A4428" s="6">
        <f ca="1">Model!$F$13+RAND()*(Model!$G$13-Model!$F$13)</f>
        <v>1788.7187790189819</v>
      </c>
      <c r="B4428" s="31">
        <f ca="1">Model!$F$14+RAND()*(Model!$G$14-Model!$F$14)</f>
        <v>0.32598117379066055</v>
      </c>
      <c r="C4428" s="32">
        <f ca="1">Model!$F$15+RAND()*(Model!$G$15-Model!$F$15)</f>
        <v>3.1632246677726683E-2</v>
      </c>
      <c r="D4428" s="33">
        <f ca="1">Model!$F$16+RAND()*(Model!$G$16-Model!$F$16)</f>
        <v>48.767181829247512</v>
      </c>
      <c r="E4428" s="33">
        <f>Model!$D$17</f>
        <v>800</v>
      </c>
      <c r="G4428" s="36">
        <f t="shared" ca="1" si="71"/>
        <v>1376.2167119237586</v>
      </c>
    </row>
    <row r="4429" spans="1:7" x14ac:dyDescent="0.2">
      <c r="A4429" s="6">
        <f ca="1">Model!$F$13+RAND()*(Model!$G$13-Model!$F$13)</f>
        <v>1473.4007642210172</v>
      </c>
      <c r="B4429" s="31">
        <f ca="1">Model!$F$14+RAND()*(Model!$G$14-Model!$F$14)</f>
        <v>0.40671797717700747</v>
      </c>
      <c r="C4429" s="32">
        <f ca="1">Model!$F$15+RAND()*(Model!$G$15-Model!$F$15)</f>
        <v>4.8589155312085561E-2</v>
      </c>
      <c r="D4429" s="33">
        <f ca="1">Model!$F$16+RAND()*(Model!$G$16-Model!$F$16)</f>
        <v>51.794246153578513</v>
      </c>
      <c r="E4429" s="33">
        <f>Model!$D$17</f>
        <v>800</v>
      </c>
      <c r="G4429" s="36">
        <f t="shared" ca="1" si="71"/>
        <v>2308.7587621773391</v>
      </c>
    </row>
    <row r="4430" spans="1:7" x14ac:dyDescent="0.2">
      <c r="A4430" s="6">
        <f ca="1">Model!$F$13+RAND()*(Model!$G$13-Model!$F$13)</f>
        <v>1780.9414019155661</v>
      </c>
      <c r="B4430" s="31">
        <f ca="1">Model!$F$14+RAND()*(Model!$G$14-Model!$F$14)</f>
        <v>0.77355967508261636</v>
      </c>
      <c r="C4430" s="32">
        <f ca="1">Model!$F$15+RAND()*(Model!$G$15-Model!$F$15)</f>
        <v>3.618947416637467E-2</v>
      </c>
      <c r="D4430" s="33">
        <f ca="1">Model!$F$16+RAND()*(Model!$G$16-Model!$F$16)</f>
        <v>52.767090498629912</v>
      </c>
      <c r="E4430" s="33">
        <f>Model!$D$17</f>
        <v>800</v>
      </c>
      <c r="G4430" s="36">
        <f t="shared" ca="1" si="71"/>
        <v>1223.2448613866563</v>
      </c>
    </row>
    <row r="4431" spans="1:7" x14ac:dyDescent="0.2">
      <c r="A4431" s="6">
        <f ca="1">Model!$F$13+RAND()*(Model!$G$13-Model!$F$13)</f>
        <v>1709.5897099386173</v>
      </c>
      <c r="B4431" s="31">
        <f ca="1">Model!$F$14+RAND()*(Model!$G$14-Model!$F$14)</f>
        <v>0.31290596517591501</v>
      </c>
      <c r="C4431" s="32">
        <f ca="1">Model!$F$15+RAND()*(Model!$G$15-Model!$F$15)</f>
        <v>2.2867865264846264E-2</v>
      </c>
      <c r="D4431" s="33">
        <f ca="1">Model!$F$16+RAND()*(Model!$G$16-Model!$F$16)</f>
        <v>50.165155569837339</v>
      </c>
      <c r="E4431" s="33">
        <f>Model!$D$17</f>
        <v>800</v>
      </c>
      <c r="G4431" s="36">
        <f t="shared" ca="1" si="71"/>
        <v>626.24924103898047</v>
      </c>
    </row>
    <row r="4432" spans="1:7" x14ac:dyDescent="0.2">
      <c r="A4432" s="6">
        <f ca="1">Model!$F$13+RAND()*(Model!$G$13-Model!$F$13)</f>
        <v>1624.8586092486053</v>
      </c>
      <c r="B4432" s="31">
        <f ca="1">Model!$F$14+RAND()*(Model!$G$14-Model!$F$14)</f>
        <v>0.49816819638288273</v>
      </c>
      <c r="C4432" s="32">
        <f ca="1">Model!$F$15+RAND()*(Model!$G$15-Model!$F$15)</f>
        <v>1.1078883393872734E-2</v>
      </c>
      <c r="D4432" s="33">
        <f ca="1">Model!$F$16+RAND()*(Model!$G$16-Model!$F$16)</f>
        <v>49.097487050868466</v>
      </c>
      <c r="E4432" s="33">
        <f>Model!$D$17</f>
        <v>800</v>
      </c>
      <c r="G4432" s="36">
        <f t="shared" ca="1" si="71"/>
        <v>-725.61862388684847</v>
      </c>
    </row>
    <row r="4433" spans="1:7" x14ac:dyDescent="0.2">
      <c r="A4433" s="6">
        <f ca="1">Model!$F$13+RAND()*(Model!$G$13-Model!$F$13)</f>
        <v>1261.1894611495709</v>
      </c>
      <c r="B4433" s="31">
        <f ca="1">Model!$F$14+RAND()*(Model!$G$14-Model!$F$14)</f>
        <v>0.29465434202217705</v>
      </c>
      <c r="C4433" s="32">
        <f ca="1">Model!$F$15+RAND()*(Model!$G$15-Model!$F$15)</f>
        <v>4.0894785787293025E-2</v>
      </c>
      <c r="D4433" s="33">
        <f ca="1">Model!$F$16+RAND()*(Model!$G$16-Model!$F$16)</f>
        <v>51.572900065531528</v>
      </c>
      <c r="E4433" s="33">
        <f>Model!$D$17</f>
        <v>800</v>
      </c>
      <c r="G4433" s="36">
        <f t="shared" ca="1" si="71"/>
        <v>1488.3127000718746</v>
      </c>
    </row>
    <row r="4434" spans="1:7" x14ac:dyDescent="0.2">
      <c r="A4434" s="6">
        <f ca="1">Model!$F$13+RAND()*(Model!$G$13-Model!$F$13)</f>
        <v>1721.6080852408659</v>
      </c>
      <c r="B4434" s="31">
        <f ca="1">Model!$F$14+RAND()*(Model!$G$14-Model!$F$14)</f>
        <v>0.21061352628476537</v>
      </c>
      <c r="C4434" s="32">
        <f ca="1">Model!$F$15+RAND()*(Model!$G$15-Model!$F$15)</f>
        <v>1.681149734265578E-2</v>
      </c>
      <c r="D4434" s="33">
        <f ca="1">Model!$F$16+RAND()*(Model!$G$16-Model!$F$16)</f>
        <v>48.917425906959842</v>
      </c>
      <c r="E4434" s="33">
        <f>Model!$D$17</f>
        <v>800</v>
      </c>
      <c r="G4434" s="36">
        <f t="shared" ca="1" si="71"/>
        <v>253.21380177786295</v>
      </c>
    </row>
    <row r="4435" spans="1:7" x14ac:dyDescent="0.2">
      <c r="A4435" s="6">
        <f ca="1">Model!$F$13+RAND()*(Model!$G$13-Model!$F$13)</f>
        <v>1305.4256175019875</v>
      </c>
      <c r="B4435" s="31">
        <f ca="1">Model!$F$14+RAND()*(Model!$G$14-Model!$F$14)</f>
        <v>0.33462661254354975</v>
      </c>
      <c r="C4435" s="32">
        <f ca="1">Model!$F$15+RAND()*(Model!$G$15-Model!$F$15)</f>
        <v>1.8896734359718288E-2</v>
      </c>
      <c r="D4435" s="33">
        <f ca="1">Model!$F$16+RAND()*(Model!$G$16-Model!$F$16)</f>
        <v>50.50929619237494</v>
      </c>
      <c r="E4435" s="33">
        <f>Model!$D$17</f>
        <v>800</v>
      </c>
      <c r="G4435" s="36">
        <f t="shared" ca="1" si="71"/>
        <v>9.1473653500584078</v>
      </c>
    </row>
    <row r="4436" spans="1:7" x14ac:dyDescent="0.2">
      <c r="A4436" s="6">
        <f ca="1">Model!$F$13+RAND()*(Model!$G$13-Model!$F$13)</f>
        <v>1496.2187050605598</v>
      </c>
      <c r="B4436" s="31">
        <f ca="1">Model!$F$14+RAND()*(Model!$G$14-Model!$F$14)</f>
        <v>0.47054840806569503</v>
      </c>
      <c r="C4436" s="32">
        <f ca="1">Model!$F$15+RAND()*(Model!$G$15-Model!$F$15)</f>
        <v>3.2085979192123679E-2</v>
      </c>
      <c r="D4436" s="33">
        <f ca="1">Model!$F$16+RAND()*(Model!$G$16-Model!$F$16)</f>
        <v>48.489503036613499</v>
      </c>
      <c r="E4436" s="33">
        <f>Model!$D$17</f>
        <v>800</v>
      </c>
      <c r="G4436" s="36">
        <f t="shared" ca="1" si="71"/>
        <v>823.82338426860815</v>
      </c>
    </row>
    <row r="4437" spans="1:7" x14ac:dyDescent="0.2">
      <c r="A4437" s="6">
        <f ca="1">Model!$F$13+RAND()*(Model!$G$13-Model!$F$13)</f>
        <v>1763.9715362697066</v>
      </c>
      <c r="B4437" s="31">
        <f ca="1">Model!$F$14+RAND()*(Model!$G$14-Model!$F$14)</f>
        <v>0.48924432000977353</v>
      </c>
      <c r="C4437" s="32">
        <f ca="1">Model!$F$15+RAND()*(Model!$G$15-Model!$F$15)</f>
        <v>3.4342171313633651E-2</v>
      </c>
      <c r="D4437" s="33">
        <f ca="1">Model!$F$16+RAND()*(Model!$G$16-Model!$F$16)</f>
        <v>52.689010640514567</v>
      </c>
      <c r="E4437" s="33">
        <f>Model!$D$17</f>
        <v>800</v>
      </c>
      <c r="G4437" s="36">
        <f t="shared" ca="1" si="71"/>
        <v>1528.8141138820915</v>
      </c>
    </row>
    <row r="4438" spans="1:7" x14ac:dyDescent="0.2">
      <c r="A4438" s="6">
        <f ca="1">Model!$F$13+RAND()*(Model!$G$13-Model!$F$13)</f>
        <v>1526.2880512195572</v>
      </c>
      <c r="B4438" s="31">
        <f ca="1">Model!$F$14+RAND()*(Model!$G$14-Model!$F$14)</f>
        <v>0.54798386661806908</v>
      </c>
      <c r="C4438" s="32">
        <f ca="1">Model!$F$15+RAND()*(Model!$G$15-Model!$F$15)</f>
        <v>2.8864305343258512E-2</v>
      </c>
      <c r="D4438" s="33">
        <f ca="1">Model!$F$16+RAND()*(Model!$G$16-Model!$F$16)</f>
        <v>48.120995588931663</v>
      </c>
      <c r="E4438" s="33">
        <f>Model!$D$17</f>
        <v>800</v>
      </c>
      <c r="G4438" s="36">
        <f t="shared" ca="1" si="71"/>
        <v>483.60099125974625</v>
      </c>
    </row>
    <row r="4439" spans="1:7" x14ac:dyDescent="0.2">
      <c r="A4439" s="6">
        <f ca="1">Model!$F$13+RAND()*(Model!$G$13-Model!$F$13)</f>
        <v>1361.8998105085934</v>
      </c>
      <c r="B4439" s="31">
        <f ca="1">Model!$F$14+RAND()*(Model!$G$14-Model!$F$14)</f>
        <v>0.33867411419804205</v>
      </c>
      <c r="C4439" s="32">
        <f ca="1">Model!$F$15+RAND()*(Model!$G$15-Model!$F$15)</f>
        <v>2.2132449056367017E-2</v>
      </c>
      <c r="D4439" s="33">
        <f ca="1">Model!$F$16+RAND()*(Model!$G$16-Model!$F$16)</f>
        <v>47.728850844118639</v>
      </c>
      <c r="E4439" s="33">
        <f>Model!$D$17</f>
        <v>800</v>
      </c>
      <c r="G4439" s="36">
        <f t="shared" ca="1" si="71"/>
        <v>177.41131432663678</v>
      </c>
    </row>
    <row r="4440" spans="1:7" x14ac:dyDescent="0.2">
      <c r="A4440" s="6">
        <f ca="1">Model!$F$13+RAND()*(Model!$G$13-Model!$F$13)</f>
        <v>1657.3062137631523</v>
      </c>
      <c r="B4440" s="31">
        <f ca="1">Model!$F$14+RAND()*(Model!$G$14-Model!$F$14)</f>
        <v>0.44168614419268792</v>
      </c>
      <c r="C4440" s="32">
        <f ca="1">Model!$F$15+RAND()*(Model!$G$15-Model!$F$15)</f>
        <v>1.5642479555273089E-2</v>
      </c>
      <c r="D4440" s="33">
        <f ca="1">Model!$F$16+RAND()*(Model!$G$16-Model!$F$16)</f>
        <v>49.426833036707777</v>
      </c>
      <c r="E4440" s="33">
        <f>Model!$D$17</f>
        <v>800</v>
      </c>
      <c r="G4440" s="36">
        <f t="shared" ca="1" si="71"/>
        <v>-250.64926036046427</v>
      </c>
    </row>
    <row r="4441" spans="1:7" x14ac:dyDescent="0.2">
      <c r="A4441" s="6">
        <f ca="1">Model!$F$13+RAND()*(Model!$G$13-Model!$F$13)</f>
        <v>1701.3436244872992</v>
      </c>
      <c r="B4441" s="31">
        <f ca="1">Model!$F$14+RAND()*(Model!$G$14-Model!$F$14)</f>
        <v>0.76834869179131315</v>
      </c>
      <c r="C4441" s="32">
        <f ca="1">Model!$F$15+RAND()*(Model!$G$15-Model!$F$15)</f>
        <v>2.0394282850456507E-2</v>
      </c>
      <c r="D4441" s="33">
        <f ca="1">Model!$F$16+RAND()*(Model!$G$16-Model!$F$16)</f>
        <v>51.120459789250575</v>
      </c>
      <c r="E4441" s="33">
        <f>Model!$D$17</f>
        <v>800</v>
      </c>
      <c r="G4441" s="36">
        <f t="shared" ca="1" si="71"/>
        <v>-333.46363428380596</v>
      </c>
    </row>
    <row r="4442" spans="1:7" x14ac:dyDescent="0.2">
      <c r="A4442" s="6">
        <f ca="1">Model!$F$13+RAND()*(Model!$G$13-Model!$F$13)</f>
        <v>1764.5574085421799</v>
      </c>
      <c r="B4442" s="31">
        <f ca="1">Model!$F$14+RAND()*(Model!$G$14-Model!$F$14)</f>
        <v>0.59140905464002946</v>
      </c>
      <c r="C4442" s="32">
        <f ca="1">Model!$F$15+RAND()*(Model!$G$15-Model!$F$15)</f>
        <v>4.2683928623069405E-2</v>
      </c>
      <c r="D4442" s="33">
        <f ca="1">Model!$F$16+RAND()*(Model!$G$16-Model!$F$16)</f>
        <v>51.323414678868005</v>
      </c>
      <c r="E4442" s="33">
        <f>Model!$D$17</f>
        <v>800</v>
      </c>
      <c r="G4442" s="36">
        <f t="shared" ca="1" si="71"/>
        <v>2022.014162713439</v>
      </c>
    </row>
    <row r="4443" spans="1:7" x14ac:dyDescent="0.2">
      <c r="A4443" s="6">
        <f ca="1">Model!$F$13+RAND()*(Model!$G$13-Model!$F$13)</f>
        <v>1586.8588274316671</v>
      </c>
      <c r="B4443" s="31">
        <f ca="1">Model!$F$14+RAND()*(Model!$G$14-Model!$F$14)</f>
        <v>0.77658407794046513</v>
      </c>
      <c r="C4443" s="32">
        <f ca="1">Model!$F$15+RAND()*(Model!$G$15-Model!$F$15)</f>
        <v>3.545113346622538E-2</v>
      </c>
      <c r="D4443" s="33">
        <f ca="1">Model!$F$16+RAND()*(Model!$G$16-Model!$F$16)</f>
        <v>52.9305218282719</v>
      </c>
      <c r="E4443" s="33">
        <f>Model!$D$17</f>
        <v>800</v>
      </c>
      <c r="G4443" s="36">
        <f t="shared" ca="1" si="71"/>
        <v>945.32717695045335</v>
      </c>
    </row>
    <row r="4444" spans="1:7" x14ac:dyDescent="0.2">
      <c r="A4444" s="6">
        <f ca="1">Model!$F$13+RAND()*(Model!$G$13-Model!$F$13)</f>
        <v>1448.586901189813</v>
      </c>
      <c r="B4444" s="31">
        <f ca="1">Model!$F$14+RAND()*(Model!$G$14-Model!$F$14)</f>
        <v>0.78644975953766694</v>
      </c>
      <c r="C4444" s="32">
        <f ca="1">Model!$F$15+RAND()*(Model!$G$15-Model!$F$15)</f>
        <v>1.0341445939546428E-2</v>
      </c>
      <c r="D4444" s="33">
        <f ca="1">Model!$F$16+RAND()*(Model!$G$16-Model!$F$16)</f>
        <v>49.811447853406975</v>
      </c>
      <c r="E4444" s="33">
        <f>Model!$D$17</f>
        <v>800</v>
      </c>
      <c r="G4444" s="36">
        <f t="shared" ca="1" si="71"/>
        <v>-1193.0412659913356</v>
      </c>
    </row>
    <row r="4445" spans="1:7" x14ac:dyDescent="0.2">
      <c r="A4445" s="6">
        <f ca="1">Model!$F$13+RAND()*(Model!$G$13-Model!$F$13)</f>
        <v>1753.5785219975769</v>
      </c>
      <c r="B4445" s="31">
        <f ca="1">Model!$F$14+RAND()*(Model!$G$14-Model!$F$14)</f>
        <v>0.41552740655818893</v>
      </c>
      <c r="C4445" s="32">
        <f ca="1">Model!$F$15+RAND()*(Model!$G$15-Model!$F$15)</f>
        <v>2.9124174962518998E-2</v>
      </c>
      <c r="D4445" s="33">
        <f ca="1">Model!$F$16+RAND()*(Model!$G$16-Model!$F$16)</f>
        <v>51.269755935315864</v>
      </c>
      <c r="E4445" s="33">
        <f>Model!$D$17</f>
        <v>800</v>
      </c>
      <c r="G4445" s="36">
        <f t="shared" ca="1" si="71"/>
        <v>1089.7648242207463</v>
      </c>
    </row>
    <row r="4446" spans="1:7" x14ac:dyDescent="0.2">
      <c r="A4446" s="6">
        <f ca="1">Model!$F$13+RAND()*(Model!$G$13-Model!$F$13)</f>
        <v>1529.6929797550879</v>
      </c>
      <c r="B4446" s="31">
        <f ca="1">Model!$F$14+RAND()*(Model!$G$14-Model!$F$14)</f>
        <v>0.62098748682722671</v>
      </c>
      <c r="C4446" s="32">
        <f ca="1">Model!$F$15+RAND()*(Model!$G$15-Model!$F$15)</f>
        <v>3.3823926402697171E-2</v>
      </c>
      <c r="D4446" s="33">
        <f ca="1">Model!$F$16+RAND()*(Model!$G$16-Model!$F$16)</f>
        <v>51.46751792505534</v>
      </c>
      <c r="E4446" s="33">
        <f>Model!$D$17</f>
        <v>800</v>
      </c>
      <c r="G4446" s="36">
        <f t="shared" ca="1" si="71"/>
        <v>913.020643537968</v>
      </c>
    </row>
    <row r="4447" spans="1:7" x14ac:dyDescent="0.2">
      <c r="A4447" s="6">
        <f ca="1">Model!$F$13+RAND()*(Model!$G$13-Model!$F$13)</f>
        <v>1477.036757238405</v>
      </c>
      <c r="B4447" s="31">
        <f ca="1">Model!$F$14+RAND()*(Model!$G$14-Model!$F$14)</f>
        <v>0.48865597244761988</v>
      </c>
      <c r="C4447" s="32">
        <f ca="1">Model!$F$15+RAND()*(Model!$G$15-Model!$F$15)</f>
        <v>2.8408392848489734E-2</v>
      </c>
      <c r="D4447" s="33">
        <f ca="1">Model!$F$16+RAND()*(Model!$G$16-Model!$F$16)</f>
        <v>51.797997065154433</v>
      </c>
      <c r="E4447" s="33">
        <f>Model!$D$17</f>
        <v>800</v>
      </c>
      <c r="G4447" s="36">
        <f t="shared" ca="1" si="71"/>
        <v>651.69357879977679</v>
      </c>
    </row>
    <row r="4448" spans="1:7" x14ac:dyDescent="0.2">
      <c r="A4448" s="6">
        <f ca="1">Model!$F$13+RAND()*(Model!$G$13-Model!$F$13)</f>
        <v>1335.9753505210954</v>
      </c>
      <c r="B4448" s="31">
        <f ca="1">Model!$F$14+RAND()*(Model!$G$14-Model!$F$14)</f>
        <v>0.71393929388506128</v>
      </c>
      <c r="C4448" s="32">
        <f ca="1">Model!$F$15+RAND()*(Model!$G$15-Model!$F$15)</f>
        <v>4.8199760679763788E-2</v>
      </c>
      <c r="D4448" s="33">
        <f ca="1">Model!$F$16+RAND()*(Model!$G$16-Model!$F$16)</f>
        <v>50.203226735487227</v>
      </c>
      <c r="E4448" s="33">
        <f>Model!$D$17</f>
        <v>800</v>
      </c>
      <c r="G4448" s="36">
        <f t="shared" ca="1" si="71"/>
        <v>1478.9658299056509</v>
      </c>
    </row>
    <row r="4449" spans="1:7" x14ac:dyDescent="0.2">
      <c r="A4449" s="6">
        <f ca="1">Model!$F$13+RAND()*(Model!$G$13-Model!$F$13)</f>
        <v>1491.9831658446369</v>
      </c>
      <c r="B4449" s="31">
        <f ca="1">Model!$F$14+RAND()*(Model!$G$14-Model!$F$14)</f>
        <v>0.60533793033942362</v>
      </c>
      <c r="C4449" s="32">
        <f ca="1">Model!$F$15+RAND()*(Model!$G$15-Model!$F$15)</f>
        <v>1.4189134847788939E-2</v>
      </c>
      <c r="D4449" s="33">
        <f ca="1">Model!$F$16+RAND()*(Model!$G$16-Model!$F$16)</f>
        <v>49.996112453023926</v>
      </c>
      <c r="E4449" s="33">
        <f>Model!$D$17</f>
        <v>800</v>
      </c>
      <c r="G4449" s="36">
        <f t="shared" ca="1" si="71"/>
        <v>-644.73878435001552</v>
      </c>
    </row>
    <row r="4450" spans="1:7" x14ac:dyDescent="0.2">
      <c r="A4450" s="6">
        <f ca="1">Model!$F$13+RAND()*(Model!$G$13-Model!$F$13)</f>
        <v>1369.5187492025043</v>
      </c>
      <c r="B4450" s="31">
        <f ca="1">Model!$F$14+RAND()*(Model!$G$14-Model!$F$14)</f>
        <v>0.68772802465924632</v>
      </c>
      <c r="C4450" s="32">
        <f ca="1">Model!$F$15+RAND()*(Model!$G$15-Model!$F$15)</f>
        <v>1.5683782801059101E-2</v>
      </c>
      <c r="D4450" s="33">
        <f ca="1">Model!$F$16+RAND()*(Model!$G$16-Model!$F$16)</f>
        <v>52.651396199738876</v>
      </c>
      <c r="E4450" s="33">
        <f>Model!$D$17</f>
        <v>800</v>
      </c>
      <c r="G4450" s="36">
        <f t="shared" ca="1" si="71"/>
        <v>-610.94473289573739</v>
      </c>
    </row>
    <row r="4451" spans="1:7" x14ac:dyDescent="0.2">
      <c r="A4451" s="6">
        <f ca="1">Model!$F$13+RAND()*(Model!$G$13-Model!$F$13)</f>
        <v>1303.1391544128644</v>
      </c>
      <c r="B4451" s="31">
        <f ca="1">Model!$F$14+RAND()*(Model!$G$14-Model!$F$14)</f>
        <v>0.54667901885218384</v>
      </c>
      <c r="C4451" s="32">
        <f ca="1">Model!$F$15+RAND()*(Model!$G$15-Model!$F$15)</f>
        <v>3.3461687272141723E-2</v>
      </c>
      <c r="D4451" s="33">
        <f ca="1">Model!$F$16+RAND()*(Model!$G$16-Model!$F$16)</f>
        <v>50.616824195048991</v>
      </c>
      <c r="E4451" s="33">
        <f>Model!$D$17</f>
        <v>800</v>
      </c>
      <c r="G4451" s="36">
        <f t="shared" ca="1" si="71"/>
        <v>694.75967238065414</v>
      </c>
    </row>
    <row r="4452" spans="1:7" x14ac:dyDescent="0.2">
      <c r="A4452" s="6">
        <f ca="1">Model!$F$13+RAND()*(Model!$G$13-Model!$F$13)</f>
        <v>1537.9973120815398</v>
      </c>
      <c r="B4452" s="31">
        <f ca="1">Model!$F$14+RAND()*(Model!$G$14-Model!$F$14)</f>
        <v>0.20364892868457629</v>
      </c>
      <c r="C4452" s="32">
        <f ca="1">Model!$F$15+RAND()*(Model!$G$15-Model!$F$15)</f>
        <v>3.7003790766615044E-2</v>
      </c>
      <c r="D4452" s="33">
        <f ca="1">Model!$F$16+RAND()*(Model!$G$16-Model!$F$16)</f>
        <v>50.940195903665426</v>
      </c>
      <c r="E4452" s="33">
        <f>Model!$D$17</f>
        <v>800</v>
      </c>
      <c r="G4452" s="36">
        <f t="shared" ca="1" si="71"/>
        <v>1785.883207977304</v>
      </c>
    </row>
    <row r="4453" spans="1:7" x14ac:dyDescent="0.2">
      <c r="A4453" s="6">
        <f ca="1">Model!$F$13+RAND()*(Model!$G$13-Model!$F$13)</f>
        <v>1726.6650073540152</v>
      </c>
      <c r="B4453" s="31">
        <f ca="1">Model!$F$14+RAND()*(Model!$G$14-Model!$F$14)</f>
        <v>0.22748939466317997</v>
      </c>
      <c r="C4453" s="32">
        <f ca="1">Model!$F$15+RAND()*(Model!$G$15-Model!$F$15)</f>
        <v>4.282226057132113E-2</v>
      </c>
      <c r="D4453" s="33">
        <f ca="1">Model!$F$16+RAND()*(Model!$G$16-Model!$F$16)</f>
        <v>51.537445065041737</v>
      </c>
      <c r="E4453" s="33">
        <f>Model!$D$17</f>
        <v>800</v>
      </c>
      <c r="G4453" s="36">
        <f t="shared" ca="1" si="71"/>
        <v>2617.865191035311</v>
      </c>
    </row>
    <row r="4454" spans="1:7" x14ac:dyDescent="0.2">
      <c r="A4454" s="6">
        <f ca="1">Model!$F$13+RAND()*(Model!$G$13-Model!$F$13)</f>
        <v>1495.9175897971261</v>
      </c>
      <c r="B4454" s="31">
        <f ca="1">Model!$F$14+RAND()*(Model!$G$14-Model!$F$14)</f>
        <v>0.43416524443888066</v>
      </c>
      <c r="C4454" s="32">
        <f ca="1">Model!$F$15+RAND()*(Model!$G$15-Model!$F$15)</f>
        <v>3.6500881687033956E-2</v>
      </c>
      <c r="D4454" s="33">
        <f ca="1">Model!$F$16+RAND()*(Model!$G$16-Model!$F$16)</f>
        <v>48.544597634287115</v>
      </c>
      <c r="E4454" s="33">
        <f>Model!$D$17</f>
        <v>800</v>
      </c>
      <c r="G4454" s="36">
        <f t="shared" ca="1" si="71"/>
        <v>1201.1717893594669</v>
      </c>
    </row>
    <row r="4455" spans="1:7" x14ac:dyDescent="0.2">
      <c r="A4455" s="6">
        <f ca="1">Model!$F$13+RAND()*(Model!$G$13-Model!$F$13)</f>
        <v>1299.2666111928243</v>
      </c>
      <c r="B4455" s="31">
        <f ca="1">Model!$F$14+RAND()*(Model!$G$14-Model!$F$14)</f>
        <v>0.26195679196649396</v>
      </c>
      <c r="C4455" s="32">
        <f ca="1">Model!$F$15+RAND()*(Model!$G$15-Model!$F$15)</f>
        <v>4.5752076548725706E-2</v>
      </c>
      <c r="D4455" s="33">
        <f ca="1">Model!$F$16+RAND()*(Model!$G$16-Model!$F$16)</f>
        <v>47.450019531756524</v>
      </c>
      <c r="E4455" s="33">
        <f>Model!$D$17</f>
        <v>800</v>
      </c>
      <c r="G4455" s="36">
        <f t="shared" ca="1" si="71"/>
        <v>1680.2741493923336</v>
      </c>
    </row>
    <row r="4456" spans="1:7" x14ac:dyDescent="0.2">
      <c r="A4456" s="6">
        <f ca="1">Model!$F$13+RAND()*(Model!$G$13-Model!$F$13)</f>
        <v>1761.4943770820964</v>
      </c>
      <c r="B4456" s="31">
        <f ca="1">Model!$F$14+RAND()*(Model!$G$14-Model!$F$14)</f>
        <v>0.5056284462294458</v>
      </c>
      <c r="C4456" s="32">
        <f ca="1">Model!$F$15+RAND()*(Model!$G$15-Model!$F$15)</f>
        <v>2.1377705387623243E-2</v>
      </c>
      <c r="D4456" s="33">
        <f ca="1">Model!$F$16+RAND()*(Model!$G$16-Model!$F$16)</f>
        <v>52.85191991821938</v>
      </c>
      <c r="E4456" s="33">
        <f>Model!$D$17</f>
        <v>800</v>
      </c>
      <c r="G4456" s="36">
        <f t="shared" ca="1" si="71"/>
        <v>299.56764196469362</v>
      </c>
    </row>
    <row r="4457" spans="1:7" x14ac:dyDescent="0.2">
      <c r="A4457" s="6">
        <f ca="1">Model!$F$13+RAND()*(Model!$G$13-Model!$F$13)</f>
        <v>1275.0278377927659</v>
      </c>
      <c r="B4457" s="31">
        <f ca="1">Model!$F$14+RAND()*(Model!$G$14-Model!$F$14)</f>
        <v>0.69563191951346481</v>
      </c>
      <c r="C4457" s="32">
        <f ca="1">Model!$F$15+RAND()*(Model!$G$15-Model!$F$15)</f>
        <v>4.2101590892047958E-2</v>
      </c>
      <c r="D4457" s="33">
        <f ca="1">Model!$F$16+RAND()*(Model!$G$16-Model!$F$16)</f>
        <v>51.905056355854136</v>
      </c>
      <c r="E4457" s="33">
        <f>Model!$D$17</f>
        <v>800</v>
      </c>
      <c r="G4457" s="36">
        <f t="shared" ref="G4457:G4520" ca="1" si="72">A4457*C4457*D4457-(E4457+A4457*B4457)</f>
        <v>1099.3497173882017</v>
      </c>
    </row>
    <row r="4458" spans="1:7" x14ac:dyDescent="0.2">
      <c r="A4458" s="6">
        <f ca="1">Model!$F$13+RAND()*(Model!$G$13-Model!$F$13)</f>
        <v>1234.0709672074065</v>
      </c>
      <c r="B4458" s="31">
        <f ca="1">Model!$F$14+RAND()*(Model!$G$14-Model!$F$14)</f>
        <v>0.31270541233666183</v>
      </c>
      <c r="C4458" s="32">
        <f ca="1">Model!$F$15+RAND()*(Model!$G$15-Model!$F$15)</f>
        <v>1.6111643065951541E-2</v>
      </c>
      <c r="D4458" s="33">
        <f ca="1">Model!$F$16+RAND()*(Model!$G$16-Model!$F$16)</f>
        <v>52.846829790519948</v>
      </c>
      <c r="E4458" s="33">
        <f>Model!$D$17</f>
        <v>800</v>
      </c>
      <c r="G4458" s="36">
        <f t="shared" ca="1" si="72"/>
        <v>-135.15186037724425</v>
      </c>
    </row>
    <row r="4459" spans="1:7" x14ac:dyDescent="0.2">
      <c r="A4459" s="6">
        <f ca="1">Model!$F$13+RAND()*(Model!$G$13-Model!$F$13)</f>
        <v>1429.8444083613053</v>
      </c>
      <c r="B4459" s="31">
        <f ca="1">Model!$F$14+RAND()*(Model!$G$14-Model!$F$14)</f>
        <v>0.53047614621620409</v>
      </c>
      <c r="C4459" s="32">
        <f ca="1">Model!$F$15+RAND()*(Model!$G$15-Model!$F$15)</f>
        <v>4.7366210753242585E-2</v>
      </c>
      <c r="D4459" s="33">
        <f ca="1">Model!$F$16+RAND()*(Model!$G$16-Model!$F$16)</f>
        <v>48.983872338069865</v>
      </c>
      <c r="E4459" s="33">
        <f>Model!$D$17</f>
        <v>800</v>
      </c>
      <c r="G4459" s="36">
        <f t="shared" ca="1" si="72"/>
        <v>1758.9986494551606</v>
      </c>
    </row>
    <row r="4460" spans="1:7" x14ac:dyDescent="0.2">
      <c r="A4460" s="6">
        <f ca="1">Model!$F$13+RAND()*(Model!$G$13-Model!$F$13)</f>
        <v>1261.4120497174672</v>
      </c>
      <c r="B4460" s="31">
        <f ca="1">Model!$F$14+RAND()*(Model!$G$14-Model!$F$14)</f>
        <v>0.50719093773107093</v>
      </c>
      <c r="C4460" s="32">
        <f ca="1">Model!$F$15+RAND()*(Model!$G$15-Model!$F$15)</f>
        <v>2.5479450753864381E-2</v>
      </c>
      <c r="D4460" s="33">
        <f ca="1">Model!$F$16+RAND()*(Model!$G$16-Model!$F$16)</f>
        <v>49.4928638824451</v>
      </c>
      <c r="E4460" s="33">
        <f>Model!$D$17</f>
        <v>800</v>
      </c>
      <c r="G4460" s="36">
        <f t="shared" ca="1" si="72"/>
        <v>150.92815115998314</v>
      </c>
    </row>
    <row r="4461" spans="1:7" x14ac:dyDescent="0.2">
      <c r="A4461" s="6">
        <f ca="1">Model!$F$13+RAND()*(Model!$G$13-Model!$F$13)</f>
        <v>1693.2509035935502</v>
      </c>
      <c r="B4461" s="31">
        <f ca="1">Model!$F$14+RAND()*(Model!$G$14-Model!$F$14)</f>
        <v>0.70373967471604781</v>
      </c>
      <c r="C4461" s="32">
        <f ca="1">Model!$F$15+RAND()*(Model!$G$15-Model!$F$15)</f>
        <v>4.2376207980655188E-2</v>
      </c>
      <c r="D4461" s="33">
        <f ca="1">Model!$F$16+RAND()*(Model!$G$16-Model!$F$16)</f>
        <v>48.816557851018807</v>
      </c>
      <c r="E4461" s="33">
        <f>Model!$D$17</f>
        <v>800</v>
      </c>
      <c r="G4461" s="36">
        <f t="shared" ca="1" si="72"/>
        <v>1511.1536042847217</v>
      </c>
    </row>
    <row r="4462" spans="1:7" x14ac:dyDescent="0.2">
      <c r="A4462" s="6">
        <f ca="1">Model!$F$13+RAND()*(Model!$G$13-Model!$F$13)</f>
        <v>1388.1503579419536</v>
      </c>
      <c r="B4462" s="31">
        <f ca="1">Model!$F$14+RAND()*(Model!$G$14-Model!$F$14)</f>
        <v>0.23602375438871204</v>
      </c>
      <c r="C4462" s="32">
        <f ca="1">Model!$F$15+RAND()*(Model!$G$15-Model!$F$15)</f>
        <v>1.1377807455254208E-2</v>
      </c>
      <c r="D4462" s="33">
        <f ca="1">Model!$F$16+RAND()*(Model!$G$16-Model!$F$16)</f>
        <v>47.697255870147686</v>
      </c>
      <c r="E4462" s="33">
        <f>Model!$D$17</f>
        <v>800</v>
      </c>
      <c r="G4462" s="36">
        <f t="shared" ca="1" si="72"/>
        <v>-374.300872869758</v>
      </c>
    </row>
    <row r="4463" spans="1:7" x14ac:dyDescent="0.2">
      <c r="A4463" s="6">
        <f ca="1">Model!$F$13+RAND()*(Model!$G$13-Model!$F$13)</f>
        <v>1293.274629689384</v>
      </c>
      <c r="B4463" s="31">
        <f ca="1">Model!$F$14+RAND()*(Model!$G$14-Model!$F$14)</f>
        <v>0.77329332488889069</v>
      </c>
      <c r="C4463" s="32">
        <f ca="1">Model!$F$15+RAND()*(Model!$G$15-Model!$F$15)</f>
        <v>2.3227991896467352E-2</v>
      </c>
      <c r="D4463" s="33">
        <f ca="1">Model!$F$16+RAND()*(Model!$G$16-Model!$F$16)</f>
        <v>52.054087959521539</v>
      </c>
      <c r="E4463" s="33">
        <f>Model!$D$17</f>
        <v>800</v>
      </c>
      <c r="G4463" s="36">
        <f t="shared" ca="1" si="72"/>
        <v>-236.3668505930973</v>
      </c>
    </row>
    <row r="4464" spans="1:7" x14ac:dyDescent="0.2">
      <c r="A4464" s="6">
        <f ca="1">Model!$F$13+RAND()*(Model!$G$13-Model!$F$13)</f>
        <v>1255.5598197088302</v>
      </c>
      <c r="B4464" s="31">
        <f ca="1">Model!$F$14+RAND()*(Model!$G$14-Model!$F$14)</f>
        <v>0.78768009941095141</v>
      </c>
      <c r="C4464" s="32">
        <f ca="1">Model!$F$15+RAND()*(Model!$G$15-Model!$F$15)</f>
        <v>2.4781150982498366E-2</v>
      </c>
      <c r="D4464" s="33">
        <f ca="1">Model!$F$16+RAND()*(Model!$G$16-Model!$F$16)</f>
        <v>51.687162850725556</v>
      </c>
      <c r="E4464" s="33">
        <f>Model!$D$17</f>
        <v>800</v>
      </c>
      <c r="G4464" s="36">
        <f t="shared" ca="1" si="72"/>
        <v>-180.77385878899167</v>
      </c>
    </row>
    <row r="4465" spans="1:7" x14ac:dyDescent="0.2">
      <c r="A4465" s="6">
        <f ca="1">Model!$F$13+RAND()*(Model!$G$13-Model!$F$13)</f>
        <v>1491.9455160978951</v>
      </c>
      <c r="B4465" s="31">
        <f ca="1">Model!$F$14+RAND()*(Model!$G$14-Model!$F$14)</f>
        <v>0.5498686575925219</v>
      </c>
      <c r="C4465" s="32">
        <f ca="1">Model!$F$15+RAND()*(Model!$G$15-Model!$F$15)</f>
        <v>4.2679955500351398E-2</v>
      </c>
      <c r="D4465" s="33">
        <f ca="1">Model!$F$16+RAND()*(Model!$G$16-Model!$F$16)</f>
        <v>47.099146092245583</v>
      </c>
      <c r="E4465" s="33">
        <f>Model!$D$17</f>
        <v>800</v>
      </c>
      <c r="G4465" s="36">
        <f t="shared" ca="1" si="72"/>
        <v>1378.7190722041673</v>
      </c>
    </row>
    <row r="4466" spans="1:7" x14ac:dyDescent="0.2">
      <c r="A4466" s="6">
        <f ca="1">Model!$F$13+RAND()*(Model!$G$13-Model!$F$13)</f>
        <v>1257.5370912552685</v>
      </c>
      <c r="B4466" s="31">
        <f ca="1">Model!$F$14+RAND()*(Model!$G$14-Model!$F$14)</f>
        <v>0.62588471671993262</v>
      </c>
      <c r="C4466" s="32">
        <f ca="1">Model!$F$15+RAND()*(Model!$G$15-Model!$F$15)</f>
        <v>1.4231281688401652E-2</v>
      </c>
      <c r="D4466" s="33">
        <f ca="1">Model!$F$16+RAND()*(Model!$G$16-Model!$F$16)</f>
        <v>47.277344319401863</v>
      </c>
      <c r="E4466" s="33">
        <f>Model!$D$17</f>
        <v>800</v>
      </c>
      <c r="G4466" s="36">
        <f t="shared" ca="1" si="72"/>
        <v>-740.98065584555945</v>
      </c>
    </row>
    <row r="4467" spans="1:7" x14ac:dyDescent="0.2">
      <c r="A4467" s="6">
        <f ca="1">Model!$F$13+RAND()*(Model!$G$13-Model!$F$13)</f>
        <v>1473.0183869183913</v>
      </c>
      <c r="B4467" s="31">
        <f ca="1">Model!$F$14+RAND()*(Model!$G$14-Model!$F$14)</f>
        <v>0.42338371575749517</v>
      </c>
      <c r="C4467" s="32">
        <f ca="1">Model!$F$15+RAND()*(Model!$G$15-Model!$F$15)</f>
        <v>1.7224857585448297E-2</v>
      </c>
      <c r="D4467" s="33">
        <f ca="1">Model!$F$16+RAND()*(Model!$G$16-Model!$F$16)</f>
        <v>51.747859893423559</v>
      </c>
      <c r="E4467" s="33">
        <f>Model!$D$17</f>
        <v>800</v>
      </c>
      <c r="G4467" s="36">
        <f t="shared" ca="1" si="72"/>
        <v>-110.67777029729473</v>
      </c>
    </row>
    <row r="4468" spans="1:7" x14ac:dyDescent="0.2">
      <c r="A4468" s="6">
        <f ca="1">Model!$F$13+RAND()*(Model!$G$13-Model!$F$13)</f>
        <v>1346.8041150500035</v>
      </c>
      <c r="B4468" s="31">
        <f ca="1">Model!$F$14+RAND()*(Model!$G$14-Model!$F$14)</f>
        <v>0.30695456796365617</v>
      </c>
      <c r="C4468" s="32">
        <f ca="1">Model!$F$15+RAND()*(Model!$G$15-Model!$F$15)</f>
        <v>1.133716137273301E-2</v>
      </c>
      <c r="D4468" s="33">
        <f ca="1">Model!$F$16+RAND()*(Model!$G$16-Model!$F$16)</f>
        <v>51.360755220465094</v>
      </c>
      <c r="E4468" s="33">
        <f>Model!$D$17</f>
        <v>800</v>
      </c>
      <c r="G4468" s="36">
        <f t="shared" ca="1" si="72"/>
        <v>-429.1836119629678</v>
      </c>
    </row>
    <row r="4469" spans="1:7" x14ac:dyDescent="0.2">
      <c r="A4469" s="6">
        <f ca="1">Model!$F$13+RAND()*(Model!$G$13-Model!$F$13)</f>
        <v>1710.1540633524999</v>
      </c>
      <c r="B4469" s="31">
        <f ca="1">Model!$F$14+RAND()*(Model!$G$14-Model!$F$14)</f>
        <v>0.28190519411054821</v>
      </c>
      <c r="C4469" s="32">
        <f ca="1">Model!$F$15+RAND()*(Model!$G$15-Model!$F$15)</f>
        <v>3.4551260886760353E-2</v>
      </c>
      <c r="D4469" s="33">
        <f ca="1">Model!$F$16+RAND()*(Model!$G$16-Model!$F$16)</f>
        <v>52.886167337768853</v>
      </c>
      <c r="E4469" s="33">
        <f>Model!$D$17</f>
        <v>800</v>
      </c>
      <c r="G4469" s="36">
        <f t="shared" ca="1" si="72"/>
        <v>1842.8354424041513</v>
      </c>
    </row>
    <row r="4470" spans="1:7" x14ac:dyDescent="0.2">
      <c r="A4470" s="6">
        <f ca="1">Model!$F$13+RAND()*(Model!$G$13-Model!$F$13)</f>
        <v>1256.2729239806695</v>
      </c>
      <c r="B4470" s="31">
        <f ca="1">Model!$F$14+RAND()*(Model!$G$14-Model!$F$14)</f>
        <v>0.21041062411547104</v>
      </c>
      <c r="C4470" s="32">
        <f ca="1">Model!$F$15+RAND()*(Model!$G$15-Model!$F$15)</f>
        <v>2.7686485658210323E-2</v>
      </c>
      <c r="D4470" s="33">
        <f ca="1">Model!$F$16+RAND()*(Model!$G$16-Model!$F$16)</f>
        <v>48.097880760211616</v>
      </c>
      <c r="E4470" s="33">
        <f>Model!$D$17</f>
        <v>800</v>
      </c>
      <c r="G4470" s="36">
        <f t="shared" ca="1" si="72"/>
        <v>608.59684734243319</v>
      </c>
    </row>
    <row r="4471" spans="1:7" x14ac:dyDescent="0.2">
      <c r="A4471" s="6">
        <f ca="1">Model!$F$13+RAND()*(Model!$G$13-Model!$F$13)</f>
        <v>1683.6471267713619</v>
      </c>
      <c r="B4471" s="31">
        <f ca="1">Model!$F$14+RAND()*(Model!$G$14-Model!$F$14)</f>
        <v>0.43602634149758579</v>
      </c>
      <c r="C4471" s="32">
        <f ca="1">Model!$F$15+RAND()*(Model!$G$15-Model!$F$15)</f>
        <v>1.0190039420140313E-2</v>
      </c>
      <c r="D4471" s="33">
        <f ca="1">Model!$F$16+RAND()*(Model!$G$16-Model!$F$16)</f>
        <v>52.223382032801602</v>
      </c>
      <c r="E4471" s="33">
        <f>Model!$D$17</f>
        <v>800</v>
      </c>
      <c r="G4471" s="36">
        <f t="shared" ca="1" si="72"/>
        <v>-638.14766796479114</v>
      </c>
    </row>
    <row r="4472" spans="1:7" x14ac:dyDescent="0.2">
      <c r="A4472" s="6">
        <f ca="1">Model!$F$13+RAND()*(Model!$G$13-Model!$F$13)</f>
        <v>1490.678993691226</v>
      </c>
      <c r="B4472" s="31">
        <f ca="1">Model!$F$14+RAND()*(Model!$G$14-Model!$F$14)</f>
        <v>0.22017234919009618</v>
      </c>
      <c r="C4472" s="32">
        <f ca="1">Model!$F$15+RAND()*(Model!$G$15-Model!$F$15)</f>
        <v>3.592823264022884E-2</v>
      </c>
      <c r="D4472" s="33">
        <f ca="1">Model!$F$16+RAND()*(Model!$G$16-Model!$F$16)</f>
        <v>48.047072522028479</v>
      </c>
      <c r="E4472" s="33">
        <f>Model!$D$17</f>
        <v>800</v>
      </c>
      <c r="G4472" s="36">
        <f t="shared" ca="1" si="72"/>
        <v>1445.0729493728136</v>
      </c>
    </row>
    <row r="4473" spans="1:7" x14ac:dyDescent="0.2">
      <c r="A4473" s="6">
        <f ca="1">Model!$F$13+RAND()*(Model!$G$13-Model!$F$13)</f>
        <v>1634.3813468520063</v>
      </c>
      <c r="B4473" s="31">
        <f ca="1">Model!$F$14+RAND()*(Model!$G$14-Model!$F$14)</f>
        <v>0.77655075905738813</v>
      </c>
      <c r="C4473" s="32">
        <f ca="1">Model!$F$15+RAND()*(Model!$G$15-Model!$F$15)</f>
        <v>2.2092602445393347E-2</v>
      </c>
      <c r="D4473" s="33">
        <f ca="1">Model!$F$16+RAND()*(Model!$G$16-Model!$F$16)</f>
        <v>51.218239867790025</v>
      </c>
      <c r="E4473" s="33">
        <f>Model!$D$17</f>
        <v>800</v>
      </c>
      <c r="G4473" s="36">
        <f t="shared" ca="1" si="72"/>
        <v>-219.80532331528343</v>
      </c>
    </row>
    <row r="4474" spans="1:7" x14ac:dyDescent="0.2">
      <c r="A4474" s="6">
        <f ca="1">Model!$F$13+RAND()*(Model!$G$13-Model!$F$13)</f>
        <v>1388.5418195099021</v>
      </c>
      <c r="B4474" s="31">
        <f ca="1">Model!$F$14+RAND()*(Model!$G$14-Model!$F$14)</f>
        <v>0.31528458020542477</v>
      </c>
      <c r="C4474" s="32">
        <f ca="1">Model!$F$15+RAND()*(Model!$G$15-Model!$F$15)</f>
        <v>4.2414377473166294E-2</v>
      </c>
      <c r="D4474" s="33">
        <f ca="1">Model!$F$16+RAND()*(Model!$G$16-Model!$F$16)</f>
        <v>52.687174519673782</v>
      </c>
      <c r="E4474" s="33">
        <f>Model!$D$17</f>
        <v>800</v>
      </c>
      <c r="G4474" s="36">
        <f t="shared" ca="1" si="72"/>
        <v>1865.1798427918143</v>
      </c>
    </row>
    <row r="4475" spans="1:7" x14ac:dyDescent="0.2">
      <c r="A4475" s="6">
        <f ca="1">Model!$F$13+RAND()*(Model!$G$13-Model!$F$13)</f>
        <v>1725.6721531346109</v>
      </c>
      <c r="B4475" s="31">
        <f ca="1">Model!$F$14+RAND()*(Model!$G$14-Model!$F$14)</f>
        <v>0.59767257071698943</v>
      </c>
      <c r="C4475" s="32">
        <f ca="1">Model!$F$15+RAND()*(Model!$G$15-Model!$F$15)</f>
        <v>2.3954593464546779E-2</v>
      </c>
      <c r="D4475" s="33">
        <f ca="1">Model!$F$16+RAND()*(Model!$G$16-Model!$F$16)</f>
        <v>52.849536066592513</v>
      </c>
      <c r="E4475" s="33">
        <f>Model!$D$17</f>
        <v>800</v>
      </c>
      <c r="G4475" s="36">
        <f t="shared" ca="1" si="72"/>
        <v>353.29531253006417</v>
      </c>
    </row>
    <row r="4476" spans="1:7" x14ac:dyDescent="0.2">
      <c r="A4476" s="6">
        <f ca="1">Model!$F$13+RAND()*(Model!$G$13-Model!$F$13)</f>
        <v>1774.9739053555704</v>
      </c>
      <c r="B4476" s="31">
        <f ca="1">Model!$F$14+RAND()*(Model!$G$14-Model!$F$14)</f>
        <v>0.29913186483896742</v>
      </c>
      <c r="C4476" s="32">
        <f ca="1">Model!$F$15+RAND()*(Model!$G$15-Model!$F$15)</f>
        <v>3.6093877721032779E-2</v>
      </c>
      <c r="D4476" s="33">
        <f ca="1">Model!$F$16+RAND()*(Model!$G$16-Model!$F$16)</f>
        <v>48.503641589430146</v>
      </c>
      <c r="E4476" s="33">
        <f>Model!$D$17</f>
        <v>800</v>
      </c>
      <c r="G4476" s="36">
        <f t="shared" ca="1" si="72"/>
        <v>1776.4680648435269</v>
      </c>
    </row>
    <row r="4477" spans="1:7" x14ac:dyDescent="0.2">
      <c r="A4477" s="6">
        <f ca="1">Model!$F$13+RAND()*(Model!$G$13-Model!$F$13)</f>
        <v>1228.0545937919146</v>
      </c>
      <c r="B4477" s="31">
        <f ca="1">Model!$F$14+RAND()*(Model!$G$14-Model!$F$14)</f>
        <v>0.32556629328649389</v>
      </c>
      <c r="C4477" s="32">
        <f ca="1">Model!$F$15+RAND()*(Model!$G$15-Model!$F$15)</f>
        <v>1.0119777898224411E-2</v>
      </c>
      <c r="D4477" s="33">
        <f ca="1">Model!$F$16+RAND()*(Model!$G$16-Model!$F$16)</f>
        <v>51.368361711131151</v>
      </c>
      <c r="E4477" s="33">
        <f>Model!$D$17</f>
        <v>800</v>
      </c>
      <c r="G4477" s="36">
        <f t="shared" ca="1" si="72"/>
        <v>-561.42568887629784</v>
      </c>
    </row>
    <row r="4478" spans="1:7" x14ac:dyDescent="0.2">
      <c r="A4478" s="6">
        <f ca="1">Model!$F$13+RAND()*(Model!$G$13-Model!$F$13)</f>
        <v>1488.4965259761238</v>
      </c>
      <c r="B4478" s="31">
        <f ca="1">Model!$F$14+RAND()*(Model!$G$14-Model!$F$14)</f>
        <v>0.76486176793231664</v>
      </c>
      <c r="C4478" s="32">
        <f ca="1">Model!$F$15+RAND()*(Model!$G$15-Model!$F$15)</f>
        <v>4.6244054241541856E-2</v>
      </c>
      <c r="D4478" s="33">
        <f ca="1">Model!$F$16+RAND()*(Model!$G$16-Model!$F$16)</f>
        <v>48.484241223347169</v>
      </c>
      <c r="E4478" s="33">
        <f>Model!$D$17</f>
        <v>800</v>
      </c>
      <c r="G4478" s="36">
        <f t="shared" ca="1" si="72"/>
        <v>1398.8757073017653</v>
      </c>
    </row>
    <row r="4479" spans="1:7" x14ac:dyDescent="0.2">
      <c r="A4479" s="6">
        <f ca="1">Model!$F$13+RAND()*(Model!$G$13-Model!$F$13)</f>
        <v>1332.6517525139668</v>
      </c>
      <c r="B4479" s="31">
        <f ca="1">Model!$F$14+RAND()*(Model!$G$14-Model!$F$14)</f>
        <v>0.57111080079520016</v>
      </c>
      <c r="C4479" s="32">
        <f ca="1">Model!$F$15+RAND()*(Model!$G$15-Model!$F$15)</f>
        <v>1.8804046843021623E-2</v>
      </c>
      <c r="D4479" s="33">
        <f ca="1">Model!$F$16+RAND()*(Model!$G$16-Model!$F$16)</f>
        <v>52.212055583126165</v>
      </c>
      <c r="E4479" s="33">
        <f>Model!$D$17</f>
        <v>800</v>
      </c>
      <c r="G4479" s="36">
        <f t="shared" ca="1" si="72"/>
        <v>-252.69706559565998</v>
      </c>
    </row>
    <row r="4480" spans="1:7" x14ac:dyDescent="0.2">
      <c r="A4480" s="6">
        <f ca="1">Model!$F$13+RAND()*(Model!$G$13-Model!$F$13)</f>
        <v>1318.0478407286007</v>
      </c>
      <c r="B4480" s="31">
        <f ca="1">Model!$F$14+RAND()*(Model!$G$14-Model!$F$14)</f>
        <v>0.68832082237709091</v>
      </c>
      <c r="C4480" s="32">
        <f ca="1">Model!$F$15+RAND()*(Model!$G$15-Model!$F$15)</f>
        <v>2.9419160718840383E-2</v>
      </c>
      <c r="D4480" s="33">
        <f ca="1">Model!$F$16+RAND()*(Model!$G$16-Model!$F$16)</f>
        <v>49.026252008065015</v>
      </c>
      <c r="E4480" s="33">
        <f>Model!$D$17</f>
        <v>800</v>
      </c>
      <c r="G4480" s="36">
        <f t="shared" ca="1" si="72"/>
        <v>193.79537237415207</v>
      </c>
    </row>
    <row r="4481" spans="1:7" x14ac:dyDescent="0.2">
      <c r="A4481" s="6">
        <f ca="1">Model!$F$13+RAND()*(Model!$G$13-Model!$F$13)</f>
        <v>1732.5351020398659</v>
      </c>
      <c r="B4481" s="31">
        <f ca="1">Model!$F$14+RAND()*(Model!$G$14-Model!$F$14)</f>
        <v>0.46666344686913958</v>
      </c>
      <c r="C4481" s="32">
        <f ca="1">Model!$F$15+RAND()*(Model!$G$15-Model!$F$15)</f>
        <v>1.6606533355620005E-2</v>
      </c>
      <c r="D4481" s="33">
        <f ca="1">Model!$F$16+RAND()*(Model!$G$16-Model!$F$16)</f>
        <v>51.052266492454848</v>
      </c>
      <c r="E4481" s="33">
        <f>Model!$D$17</f>
        <v>800</v>
      </c>
      <c r="G4481" s="36">
        <f t="shared" ca="1" si="72"/>
        <v>-139.66552222396331</v>
      </c>
    </row>
    <row r="4482" spans="1:7" x14ac:dyDescent="0.2">
      <c r="A4482" s="6">
        <f ca="1">Model!$F$13+RAND()*(Model!$G$13-Model!$F$13)</f>
        <v>1545.7380155006886</v>
      </c>
      <c r="B4482" s="31">
        <f ca="1">Model!$F$14+RAND()*(Model!$G$14-Model!$F$14)</f>
        <v>0.39267702226795276</v>
      </c>
      <c r="C4482" s="32">
        <f ca="1">Model!$F$15+RAND()*(Model!$G$15-Model!$F$15)</f>
        <v>4.6326898723796812E-2</v>
      </c>
      <c r="D4482" s="33">
        <f ca="1">Model!$F$16+RAND()*(Model!$G$16-Model!$F$16)</f>
        <v>47.574979253243384</v>
      </c>
      <c r="E4482" s="33">
        <f>Model!$D$17</f>
        <v>800</v>
      </c>
      <c r="G4482" s="36">
        <f t="shared" ca="1" si="72"/>
        <v>1999.8327104815826</v>
      </c>
    </row>
    <row r="4483" spans="1:7" x14ac:dyDescent="0.2">
      <c r="A4483" s="6">
        <f ca="1">Model!$F$13+RAND()*(Model!$G$13-Model!$F$13)</f>
        <v>1392.1751432108217</v>
      </c>
      <c r="B4483" s="31">
        <f ca="1">Model!$F$14+RAND()*(Model!$G$14-Model!$F$14)</f>
        <v>0.67397490760791223</v>
      </c>
      <c r="C4483" s="32">
        <f ca="1">Model!$F$15+RAND()*(Model!$G$15-Model!$F$15)</f>
        <v>3.4359565717361373E-2</v>
      </c>
      <c r="D4483" s="33">
        <f ca="1">Model!$F$16+RAND()*(Model!$G$16-Model!$F$16)</f>
        <v>48.741459346977329</v>
      </c>
      <c r="E4483" s="33">
        <f>Model!$D$17</f>
        <v>800</v>
      </c>
      <c r="G4483" s="36">
        <f t="shared" ca="1" si="72"/>
        <v>593.23384783626352</v>
      </c>
    </row>
    <row r="4484" spans="1:7" x14ac:dyDescent="0.2">
      <c r="A4484" s="6">
        <f ca="1">Model!$F$13+RAND()*(Model!$G$13-Model!$F$13)</f>
        <v>1606.3862295720328</v>
      </c>
      <c r="B4484" s="31">
        <f ca="1">Model!$F$14+RAND()*(Model!$G$14-Model!$F$14)</f>
        <v>0.3717612662048988</v>
      </c>
      <c r="C4484" s="32">
        <f ca="1">Model!$F$15+RAND()*(Model!$G$15-Model!$F$15)</f>
        <v>2.0905470172503458E-2</v>
      </c>
      <c r="D4484" s="33">
        <f ca="1">Model!$F$16+RAND()*(Model!$G$16-Model!$F$16)</f>
        <v>47.436327479703323</v>
      </c>
      <c r="E4484" s="33">
        <f>Model!$D$17</f>
        <v>800</v>
      </c>
      <c r="G4484" s="36">
        <f t="shared" ca="1" si="72"/>
        <v>195.82687605875913</v>
      </c>
    </row>
    <row r="4485" spans="1:7" x14ac:dyDescent="0.2">
      <c r="A4485" s="6">
        <f ca="1">Model!$F$13+RAND()*(Model!$G$13-Model!$F$13)</f>
        <v>1742.4155768392991</v>
      </c>
      <c r="B4485" s="31">
        <f ca="1">Model!$F$14+RAND()*(Model!$G$14-Model!$F$14)</f>
        <v>0.60106233033386447</v>
      </c>
      <c r="C4485" s="32">
        <f ca="1">Model!$F$15+RAND()*(Model!$G$15-Model!$F$15)</f>
        <v>1.6319755685630807E-2</v>
      </c>
      <c r="D4485" s="33">
        <f ca="1">Model!$F$16+RAND()*(Model!$G$16-Model!$F$16)</f>
        <v>48.384463961037426</v>
      </c>
      <c r="E4485" s="33">
        <f>Model!$D$17</f>
        <v>800</v>
      </c>
      <c r="G4485" s="36">
        <f t="shared" ca="1" si="72"/>
        <v>-471.44959525189779</v>
      </c>
    </row>
    <row r="4486" spans="1:7" x14ac:dyDescent="0.2">
      <c r="A4486" s="6">
        <f ca="1">Model!$F$13+RAND()*(Model!$G$13-Model!$F$13)</f>
        <v>1531.0103684968124</v>
      </c>
      <c r="B4486" s="31">
        <f ca="1">Model!$F$14+RAND()*(Model!$G$14-Model!$F$14)</f>
        <v>0.37378145189864453</v>
      </c>
      <c r="C4486" s="32">
        <f ca="1">Model!$F$15+RAND()*(Model!$G$15-Model!$F$15)</f>
        <v>4.2606532373307519E-2</v>
      </c>
      <c r="D4486" s="33">
        <f ca="1">Model!$F$16+RAND()*(Model!$G$16-Model!$F$16)</f>
        <v>49.676863579522141</v>
      </c>
      <c r="E4486" s="33">
        <f>Model!$D$17</f>
        <v>800</v>
      </c>
      <c r="G4486" s="36">
        <f t="shared" ca="1" si="72"/>
        <v>1868.2103373689533</v>
      </c>
    </row>
    <row r="4487" spans="1:7" x14ac:dyDescent="0.2">
      <c r="A4487" s="6">
        <f ca="1">Model!$F$13+RAND()*(Model!$G$13-Model!$F$13)</f>
        <v>1345.1531182342248</v>
      </c>
      <c r="B4487" s="31">
        <f ca="1">Model!$F$14+RAND()*(Model!$G$14-Model!$F$14)</f>
        <v>0.59333348507887806</v>
      </c>
      <c r="C4487" s="32">
        <f ca="1">Model!$F$15+RAND()*(Model!$G$15-Model!$F$15)</f>
        <v>3.8394883946706704E-2</v>
      </c>
      <c r="D4487" s="33">
        <f ca="1">Model!$F$16+RAND()*(Model!$G$16-Model!$F$16)</f>
        <v>50.252357908285141</v>
      </c>
      <c r="E4487" s="33">
        <f>Model!$D$17</f>
        <v>800</v>
      </c>
      <c r="G4487" s="36">
        <f t="shared" ca="1" si="72"/>
        <v>997.25903400150992</v>
      </c>
    </row>
    <row r="4488" spans="1:7" x14ac:dyDescent="0.2">
      <c r="A4488" s="6">
        <f ca="1">Model!$F$13+RAND()*(Model!$G$13-Model!$F$13)</f>
        <v>1598.531008884328</v>
      </c>
      <c r="B4488" s="31">
        <f ca="1">Model!$F$14+RAND()*(Model!$G$14-Model!$F$14)</f>
        <v>0.4591935977238778</v>
      </c>
      <c r="C4488" s="32">
        <f ca="1">Model!$F$15+RAND()*(Model!$G$15-Model!$F$15)</f>
        <v>2.8411798886304997E-2</v>
      </c>
      <c r="D4488" s="33">
        <f ca="1">Model!$F$16+RAND()*(Model!$G$16-Model!$F$16)</f>
        <v>49.197199567050795</v>
      </c>
      <c r="E4488" s="33">
        <f>Model!$D$17</f>
        <v>800</v>
      </c>
      <c r="G4488" s="36">
        <f t="shared" ca="1" si="72"/>
        <v>700.36097096443655</v>
      </c>
    </row>
    <row r="4489" spans="1:7" x14ac:dyDescent="0.2">
      <c r="A4489" s="6">
        <f ca="1">Model!$F$13+RAND()*(Model!$G$13-Model!$F$13)</f>
        <v>1515.1045812152233</v>
      </c>
      <c r="B4489" s="31">
        <f ca="1">Model!$F$14+RAND()*(Model!$G$14-Model!$F$14)</f>
        <v>0.60434983974051781</v>
      </c>
      <c r="C4489" s="32">
        <f ca="1">Model!$F$15+RAND()*(Model!$G$15-Model!$F$15)</f>
        <v>4.1665487515297576E-2</v>
      </c>
      <c r="D4489" s="33">
        <f ca="1">Model!$F$16+RAND()*(Model!$G$16-Model!$F$16)</f>
        <v>52.446941184304492</v>
      </c>
      <c r="E4489" s="33">
        <f>Model!$D$17</f>
        <v>800</v>
      </c>
      <c r="G4489" s="36">
        <f t="shared" ca="1" si="72"/>
        <v>1595.1947931789073</v>
      </c>
    </row>
    <row r="4490" spans="1:7" x14ac:dyDescent="0.2">
      <c r="A4490" s="6">
        <f ca="1">Model!$F$13+RAND()*(Model!$G$13-Model!$F$13)</f>
        <v>1774.1939784354904</v>
      </c>
      <c r="B4490" s="31">
        <f ca="1">Model!$F$14+RAND()*(Model!$G$14-Model!$F$14)</f>
        <v>0.29389673962885049</v>
      </c>
      <c r="C4490" s="32">
        <f ca="1">Model!$F$15+RAND()*(Model!$G$15-Model!$F$15)</f>
        <v>2.2846206299533076E-2</v>
      </c>
      <c r="D4490" s="33">
        <f ca="1">Model!$F$16+RAND()*(Model!$G$16-Model!$F$16)</f>
        <v>49.325193203333995</v>
      </c>
      <c r="E4490" s="33">
        <f>Model!$D$17</f>
        <v>800</v>
      </c>
      <c r="G4490" s="36">
        <f t="shared" ca="1" si="72"/>
        <v>677.89790672043432</v>
      </c>
    </row>
    <row r="4491" spans="1:7" x14ac:dyDescent="0.2">
      <c r="A4491" s="6">
        <f ca="1">Model!$F$13+RAND()*(Model!$G$13-Model!$F$13)</f>
        <v>1271.0863023938821</v>
      </c>
      <c r="B4491" s="31">
        <f ca="1">Model!$F$14+RAND()*(Model!$G$14-Model!$F$14)</f>
        <v>0.32661181163810687</v>
      </c>
      <c r="C4491" s="32">
        <f ca="1">Model!$F$15+RAND()*(Model!$G$15-Model!$F$15)</f>
        <v>1.9369743544631918E-2</v>
      </c>
      <c r="D4491" s="33">
        <f ca="1">Model!$F$16+RAND()*(Model!$G$16-Model!$F$16)</f>
        <v>50.653014752169227</v>
      </c>
      <c r="E4491" s="33">
        <f>Model!$D$17</f>
        <v>800</v>
      </c>
      <c r="G4491" s="36">
        <f t="shared" ca="1" si="72"/>
        <v>31.956610309841381</v>
      </c>
    </row>
    <row r="4492" spans="1:7" x14ac:dyDescent="0.2">
      <c r="A4492" s="6">
        <f ca="1">Model!$F$13+RAND()*(Model!$G$13-Model!$F$13)</f>
        <v>1694.0727031145955</v>
      </c>
      <c r="B4492" s="31">
        <f ca="1">Model!$F$14+RAND()*(Model!$G$14-Model!$F$14)</f>
        <v>0.76660363990838132</v>
      </c>
      <c r="C4492" s="32">
        <f ca="1">Model!$F$15+RAND()*(Model!$G$15-Model!$F$15)</f>
        <v>2.926954665452234E-2</v>
      </c>
      <c r="D4492" s="33">
        <f ca="1">Model!$F$16+RAND()*(Model!$G$16-Model!$F$16)</f>
        <v>52.576365376677273</v>
      </c>
      <c r="E4492" s="33">
        <f>Model!$D$17</f>
        <v>800</v>
      </c>
      <c r="G4492" s="36">
        <f t="shared" ca="1" si="72"/>
        <v>508.30310792017463</v>
      </c>
    </row>
    <row r="4493" spans="1:7" x14ac:dyDescent="0.2">
      <c r="A4493" s="6">
        <f ca="1">Model!$F$13+RAND()*(Model!$G$13-Model!$F$13)</f>
        <v>1683.2529376876705</v>
      </c>
      <c r="B4493" s="31">
        <f ca="1">Model!$F$14+RAND()*(Model!$G$14-Model!$F$14)</f>
        <v>0.40028171968401605</v>
      </c>
      <c r="C4493" s="32">
        <f ca="1">Model!$F$15+RAND()*(Model!$G$15-Model!$F$15)</f>
        <v>3.7328671203955534E-2</v>
      </c>
      <c r="D4493" s="33">
        <f ca="1">Model!$F$16+RAND()*(Model!$G$16-Model!$F$16)</f>
        <v>47.724823283440585</v>
      </c>
      <c r="E4493" s="33">
        <f>Model!$D$17</f>
        <v>800</v>
      </c>
      <c r="G4493" s="36">
        <f t="shared" ca="1" si="72"/>
        <v>1524.9468592234862</v>
      </c>
    </row>
    <row r="4494" spans="1:7" x14ac:dyDescent="0.2">
      <c r="A4494" s="6">
        <f ca="1">Model!$F$13+RAND()*(Model!$G$13-Model!$F$13)</f>
        <v>1594.2619579394063</v>
      </c>
      <c r="B4494" s="31">
        <f ca="1">Model!$F$14+RAND()*(Model!$G$14-Model!$F$14)</f>
        <v>0.76871304162776877</v>
      </c>
      <c r="C4494" s="32">
        <f ca="1">Model!$F$15+RAND()*(Model!$G$15-Model!$F$15)</f>
        <v>2.8922244785767673E-2</v>
      </c>
      <c r="D4494" s="33">
        <f ca="1">Model!$F$16+RAND()*(Model!$G$16-Model!$F$16)</f>
        <v>49.984863903180553</v>
      </c>
      <c r="E4494" s="33">
        <f>Model!$D$17</f>
        <v>800</v>
      </c>
      <c r="G4494" s="36">
        <f t="shared" ca="1" si="72"/>
        <v>279.2538512753772</v>
      </c>
    </row>
    <row r="4495" spans="1:7" x14ac:dyDescent="0.2">
      <c r="A4495" s="6">
        <f ca="1">Model!$F$13+RAND()*(Model!$G$13-Model!$F$13)</f>
        <v>1231.1812995823907</v>
      </c>
      <c r="B4495" s="31">
        <f ca="1">Model!$F$14+RAND()*(Model!$G$14-Model!$F$14)</f>
        <v>0.31526092926940119</v>
      </c>
      <c r="C4495" s="32">
        <f ca="1">Model!$F$15+RAND()*(Model!$G$15-Model!$F$15)</f>
        <v>4.7269296802256291E-2</v>
      </c>
      <c r="D4495" s="33">
        <f ca="1">Model!$F$16+RAND()*(Model!$G$16-Model!$F$16)</f>
        <v>47.510062613254561</v>
      </c>
      <c r="E4495" s="33">
        <f>Model!$D$17</f>
        <v>800</v>
      </c>
      <c r="G4495" s="36">
        <f t="shared" ca="1" si="72"/>
        <v>1576.8032817444591</v>
      </c>
    </row>
    <row r="4496" spans="1:7" x14ac:dyDescent="0.2">
      <c r="A4496" s="6">
        <f ca="1">Model!$F$13+RAND()*(Model!$G$13-Model!$F$13)</f>
        <v>1498.397518367118</v>
      </c>
      <c r="B4496" s="31">
        <f ca="1">Model!$F$14+RAND()*(Model!$G$14-Model!$F$14)</f>
        <v>0.68633649312037859</v>
      </c>
      <c r="C4496" s="32">
        <f ca="1">Model!$F$15+RAND()*(Model!$G$15-Model!$F$15)</f>
        <v>4.5255086929797121E-2</v>
      </c>
      <c r="D4496" s="33">
        <f ca="1">Model!$F$16+RAND()*(Model!$G$16-Model!$F$16)</f>
        <v>50.617148002831478</v>
      </c>
      <c r="E4496" s="33">
        <f>Model!$D$17</f>
        <v>800</v>
      </c>
      <c r="G4496" s="36">
        <f t="shared" ca="1" si="72"/>
        <v>1603.9494733253118</v>
      </c>
    </row>
    <row r="4497" spans="1:7" x14ac:dyDescent="0.2">
      <c r="A4497" s="6">
        <f ca="1">Model!$F$13+RAND()*(Model!$G$13-Model!$F$13)</f>
        <v>1418.7681693291838</v>
      </c>
      <c r="B4497" s="31">
        <f ca="1">Model!$F$14+RAND()*(Model!$G$14-Model!$F$14)</f>
        <v>0.23101921295407496</v>
      </c>
      <c r="C4497" s="32">
        <f ca="1">Model!$F$15+RAND()*(Model!$G$15-Model!$F$15)</f>
        <v>1.1155726623999062E-2</v>
      </c>
      <c r="D4497" s="33">
        <f ca="1">Model!$F$16+RAND()*(Model!$G$16-Model!$F$16)</f>
        <v>51.522122030605921</v>
      </c>
      <c r="E4497" s="33">
        <f>Model!$D$17</f>
        <v>800</v>
      </c>
      <c r="G4497" s="36">
        <f t="shared" ca="1" si="72"/>
        <v>-312.30199508707108</v>
      </c>
    </row>
    <row r="4498" spans="1:7" x14ac:dyDescent="0.2">
      <c r="A4498" s="6">
        <f ca="1">Model!$F$13+RAND()*(Model!$G$13-Model!$F$13)</f>
        <v>1250.4848789399812</v>
      </c>
      <c r="B4498" s="31">
        <f ca="1">Model!$F$14+RAND()*(Model!$G$14-Model!$F$14)</f>
        <v>0.46713418969553711</v>
      </c>
      <c r="C4498" s="32">
        <f ca="1">Model!$F$15+RAND()*(Model!$G$15-Model!$F$15)</f>
        <v>2.392834121254683E-2</v>
      </c>
      <c r="D4498" s="33">
        <f ca="1">Model!$F$16+RAND()*(Model!$G$16-Model!$F$16)</f>
        <v>49.089311511655922</v>
      </c>
      <c r="E4498" s="33">
        <f>Model!$D$17</f>
        <v>800</v>
      </c>
      <c r="G4498" s="36">
        <f t="shared" ca="1" si="72"/>
        <v>84.70755533544525</v>
      </c>
    </row>
    <row r="4499" spans="1:7" x14ac:dyDescent="0.2">
      <c r="A4499" s="6">
        <f ca="1">Model!$F$13+RAND()*(Model!$G$13-Model!$F$13)</f>
        <v>1603.4500460759045</v>
      </c>
      <c r="B4499" s="31">
        <f ca="1">Model!$F$14+RAND()*(Model!$G$14-Model!$F$14)</f>
        <v>0.22977288863868245</v>
      </c>
      <c r="C4499" s="32">
        <f ca="1">Model!$F$15+RAND()*(Model!$G$15-Model!$F$15)</f>
        <v>3.90446391723583E-2</v>
      </c>
      <c r="D4499" s="33">
        <f ca="1">Model!$F$16+RAND()*(Model!$G$16-Model!$F$16)</f>
        <v>48.089723921196239</v>
      </c>
      <c r="E4499" s="33">
        <f>Model!$D$17</f>
        <v>800</v>
      </c>
      <c r="G4499" s="36">
        <f t="shared" ca="1" si="72"/>
        <v>1842.2820855003254</v>
      </c>
    </row>
    <row r="4500" spans="1:7" x14ac:dyDescent="0.2">
      <c r="A4500" s="6">
        <f ca="1">Model!$F$13+RAND()*(Model!$G$13-Model!$F$13)</f>
        <v>1778.4833212044282</v>
      </c>
      <c r="B4500" s="31">
        <f ca="1">Model!$F$14+RAND()*(Model!$G$14-Model!$F$14)</f>
        <v>0.40049974393479104</v>
      </c>
      <c r="C4500" s="32">
        <f ca="1">Model!$F$15+RAND()*(Model!$G$15-Model!$F$15)</f>
        <v>4.7086574568115554E-2</v>
      </c>
      <c r="D4500" s="33">
        <f ca="1">Model!$F$16+RAND()*(Model!$G$16-Model!$F$16)</f>
        <v>47.433969678008239</v>
      </c>
      <c r="E4500" s="33">
        <f>Model!$D$17</f>
        <v>800</v>
      </c>
      <c r="G4500" s="36">
        <f t="shared" ca="1" si="72"/>
        <v>2459.9659859407943</v>
      </c>
    </row>
    <row r="4501" spans="1:7" x14ac:dyDescent="0.2">
      <c r="A4501" s="6">
        <f ca="1">Model!$F$13+RAND()*(Model!$G$13-Model!$F$13)</f>
        <v>1370.6353395828792</v>
      </c>
      <c r="B4501" s="31">
        <f ca="1">Model!$F$14+RAND()*(Model!$G$14-Model!$F$14)</f>
        <v>0.51588323402037661</v>
      </c>
      <c r="C4501" s="32">
        <f ca="1">Model!$F$15+RAND()*(Model!$G$15-Model!$F$15)</f>
        <v>4.7555123987843201E-2</v>
      </c>
      <c r="D4501" s="33">
        <f ca="1">Model!$F$16+RAND()*(Model!$G$16-Model!$F$16)</f>
        <v>52.83005836276164</v>
      </c>
      <c r="E4501" s="33">
        <f>Model!$D$17</f>
        <v>800</v>
      </c>
      <c r="G4501" s="36">
        <f t="shared" ca="1" si="72"/>
        <v>1936.4141641303836</v>
      </c>
    </row>
    <row r="4502" spans="1:7" x14ac:dyDescent="0.2">
      <c r="A4502" s="6">
        <f ca="1">Model!$F$13+RAND()*(Model!$G$13-Model!$F$13)</f>
        <v>1606.8466756172029</v>
      </c>
      <c r="B4502" s="31">
        <f ca="1">Model!$F$14+RAND()*(Model!$G$14-Model!$F$14)</f>
        <v>0.74785219077872278</v>
      </c>
      <c r="C4502" s="32">
        <f ca="1">Model!$F$15+RAND()*(Model!$G$15-Model!$F$15)</f>
        <v>1.4804308894517861E-2</v>
      </c>
      <c r="D4502" s="33">
        <f ca="1">Model!$F$16+RAND()*(Model!$G$16-Model!$F$16)</f>
        <v>49.463442257490613</v>
      </c>
      <c r="E4502" s="33">
        <f>Model!$D$17</f>
        <v>800</v>
      </c>
      <c r="G4502" s="36">
        <f t="shared" ca="1" si="72"/>
        <v>-825.03485215743262</v>
      </c>
    </row>
    <row r="4503" spans="1:7" x14ac:dyDescent="0.2">
      <c r="A4503" s="6">
        <f ca="1">Model!$F$13+RAND()*(Model!$G$13-Model!$F$13)</f>
        <v>1340.4849946491336</v>
      </c>
      <c r="B4503" s="31">
        <f ca="1">Model!$F$14+RAND()*(Model!$G$14-Model!$F$14)</f>
        <v>0.58935262548956702</v>
      </c>
      <c r="C4503" s="32">
        <f ca="1">Model!$F$15+RAND()*(Model!$G$15-Model!$F$15)</f>
        <v>1.6778162272470244E-2</v>
      </c>
      <c r="D4503" s="33">
        <f ca="1">Model!$F$16+RAND()*(Model!$G$16-Model!$F$16)</f>
        <v>47.227342870262127</v>
      </c>
      <c r="E4503" s="33">
        <f>Model!$D$17</f>
        <v>800</v>
      </c>
      <c r="G4503" s="36">
        <f t="shared" ca="1" si="72"/>
        <v>-527.83409709264856</v>
      </c>
    </row>
    <row r="4504" spans="1:7" x14ac:dyDescent="0.2">
      <c r="A4504" s="6">
        <f ca="1">Model!$F$13+RAND()*(Model!$G$13-Model!$F$13)</f>
        <v>1426.0809151628657</v>
      </c>
      <c r="B4504" s="31">
        <f ca="1">Model!$F$14+RAND()*(Model!$G$14-Model!$F$14)</f>
        <v>0.67894702486295611</v>
      </c>
      <c r="C4504" s="32">
        <f ca="1">Model!$F$15+RAND()*(Model!$G$15-Model!$F$15)</f>
        <v>3.6337380409380782E-2</v>
      </c>
      <c r="D4504" s="33">
        <f ca="1">Model!$F$16+RAND()*(Model!$G$16-Model!$F$16)</f>
        <v>47.364843787016035</v>
      </c>
      <c r="E4504" s="33">
        <f>Model!$D$17</f>
        <v>800</v>
      </c>
      <c r="G4504" s="36">
        <f t="shared" ca="1" si="72"/>
        <v>686.21492810629456</v>
      </c>
    </row>
    <row r="4505" spans="1:7" x14ac:dyDescent="0.2">
      <c r="A4505" s="6">
        <f ca="1">Model!$F$13+RAND()*(Model!$G$13-Model!$F$13)</f>
        <v>1268.6264350617325</v>
      </c>
      <c r="B4505" s="31">
        <f ca="1">Model!$F$14+RAND()*(Model!$G$14-Model!$F$14)</f>
        <v>0.21848988794348145</v>
      </c>
      <c r="C4505" s="32">
        <f ca="1">Model!$F$15+RAND()*(Model!$G$15-Model!$F$15)</f>
        <v>1.5957850062383323E-2</v>
      </c>
      <c r="D4505" s="33">
        <f ca="1">Model!$F$16+RAND()*(Model!$G$16-Model!$F$16)</f>
        <v>50.842769611787233</v>
      </c>
      <c r="E4505" s="33">
        <f>Model!$D$17</f>
        <v>800</v>
      </c>
      <c r="G4505" s="36">
        <f t="shared" ca="1" si="72"/>
        <v>-47.893033932563412</v>
      </c>
    </row>
    <row r="4506" spans="1:7" x14ac:dyDescent="0.2">
      <c r="A4506" s="6">
        <f ca="1">Model!$F$13+RAND()*(Model!$G$13-Model!$F$13)</f>
        <v>1578.0893359741603</v>
      </c>
      <c r="B4506" s="31">
        <f ca="1">Model!$F$14+RAND()*(Model!$G$14-Model!$F$14)</f>
        <v>0.2809513868303144</v>
      </c>
      <c r="C4506" s="32">
        <f ca="1">Model!$F$15+RAND()*(Model!$G$15-Model!$F$15)</f>
        <v>4.3294684444706417E-2</v>
      </c>
      <c r="D4506" s="33">
        <f ca="1">Model!$F$16+RAND()*(Model!$G$16-Model!$F$16)</f>
        <v>52.209080700977083</v>
      </c>
      <c r="E4506" s="33">
        <f>Model!$D$17</f>
        <v>800</v>
      </c>
      <c r="G4506" s="36">
        <f t="shared" ca="1" si="72"/>
        <v>2323.7083591038322</v>
      </c>
    </row>
    <row r="4507" spans="1:7" x14ac:dyDescent="0.2">
      <c r="A4507" s="6">
        <f ca="1">Model!$F$13+RAND()*(Model!$G$13-Model!$F$13)</f>
        <v>1334.078661884223</v>
      </c>
      <c r="B4507" s="31">
        <f ca="1">Model!$F$14+RAND()*(Model!$G$14-Model!$F$14)</f>
        <v>0.33719439635322657</v>
      </c>
      <c r="C4507" s="32">
        <f ca="1">Model!$F$15+RAND()*(Model!$G$15-Model!$F$15)</f>
        <v>2.0355514657725764E-2</v>
      </c>
      <c r="D4507" s="33">
        <f ca="1">Model!$F$16+RAND()*(Model!$G$16-Model!$F$16)</f>
        <v>52.936579015291287</v>
      </c>
      <c r="E4507" s="33">
        <f>Model!$D$17</f>
        <v>800</v>
      </c>
      <c r="G4507" s="36">
        <f t="shared" ca="1" si="72"/>
        <v>187.69436077550381</v>
      </c>
    </row>
    <row r="4508" spans="1:7" x14ac:dyDescent="0.2">
      <c r="A4508" s="6">
        <f ca="1">Model!$F$13+RAND()*(Model!$G$13-Model!$F$13)</f>
        <v>1553.9956573247528</v>
      </c>
      <c r="B4508" s="31">
        <f ca="1">Model!$F$14+RAND()*(Model!$G$14-Model!$F$14)</f>
        <v>0.27534847343945401</v>
      </c>
      <c r="C4508" s="32">
        <f ca="1">Model!$F$15+RAND()*(Model!$G$15-Model!$F$15)</f>
        <v>4.2406519806945188E-2</v>
      </c>
      <c r="D4508" s="33">
        <f ca="1">Model!$F$16+RAND()*(Model!$G$16-Model!$F$16)</f>
        <v>50.405678860356765</v>
      </c>
      <c r="E4508" s="33">
        <f>Model!$D$17</f>
        <v>800</v>
      </c>
      <c r="G4508" s="36">
        <f t="shared" ca="1" si="72"/>
        <v>2093.8211025139553</v>
      </c>
    </row>
    <row r="4509" spans="1:7" x14ac:dyDescent="0.2">
      <c r="A4509" s="6">
        <f ca="1">Model!$F$13+RAND()*(Model!$G$13-Model!$F$13)</f>
        <v>1682.7993894823774</v>
      </c>
      <c r="B4509" s="31">
        <f ca="1">Model!$F$14+RAND()*(Model!$G$14-Model!$F$14)</f>
        <v>0.3214733693985371</v>
      </c>
      <c r="C4509" s="32">
        <f ca="1">Model!$F$15+RAND()*(Model!$G$15-Model!$F$15)</f>
        <v>1.4580570912705669E-2</v>
      </c>
      <c r="D4509" s="33">
        <f ca="1">Model!$F$16+RAND()*(Model!$G$16-Model!$F$16)</f>
        <v>52.846337787511018</v>
      </c>
      <c r="E4509" s="33">
        <f>Model!$D$17</f>
        <v>800</v>
      </c>
      <c r="G4509" s="36">
        <f t="shared" ca="1" si="72"/>
        <v>-44.328153821891874</v>
      </c>
    </row>
    <row r="4510" spans="1:7" x14ac:dyDescent="0.2">
      <c r="A4510" s="6">
        <f ca="1">Model!$F$13+RAND()*(Model!$G$13-Model!$F$13)</f>
        <v>1416.604040518188</v>
      </c>
      <c r="B4510" s="31">
        <f ca="1">Model!$F$14+RAND()*(Model!$G$14-Model!$F$14)</f>
        <v>0.38669413633916982</v>
      </c>
      <c r="C4510" s="32">
        <f ca="1">Model!$F$15+RAND()*(Model!$G$15-Model!$F$15)</f>
        <v>2.9200629073373029E-2</v>
      </c>
      <c r="D4510" s="33">
        <f ca="1">Model!$F$16+RAND()*(Model!$G$16-Model!$F$16)</f>
        <v>47.248656593498524</v>
      </c>
      <c r="E4510" s="33">
        <f>Model!$D$17</f>
        <v>800</v>
      </c>
      <c r="G4510" s="36">
        <f t="shared" ca="1" si="72"/>
        <v>606.68265446815735</v>
      </c>
    </row>
    <row r="4511" spans="1:7" x14ac:dyDescent="0.2">
      <c r="A4511" s="6">
        <f ca="1">Model!$F$13+RAND()*(Model!$G$13-Model!$F$13)</f>
        <v>1643.5301158098735</v>
      </c>
      <c r="B4511" s="31">
        <f ca="1">Model!$F$14+RAND()*(Model!$G$14-Model!$F$14)</f>
        <v>0.4722789510108199</v>
      </c>
      <c r="C4511" s="32">
        <f ca="1">Model!$F$15+RAND()*(Model!$G$15-Model!$F$15)</f>
        <v>4.493737653559958E-2</v>
      </c>
      <c r="D4511" s="33">
        <f ca="1">Model!$F$16+RAND()*(Model!$G$16-Model!$F$16)</f>
        <v>50.235767216136864</v>
      </c>
      <c r="E4511" s="33">
        <f>Model!$D$17</f>
        <v>800</v>
      </c>
      <c r="G4511" s="36">
        <f t="shared" ca="1" si="72"/>
        <v>2134.0047114409995</v>
      </c>
    </row>
    <row r="4512" spans="1:7" x14ac:dyDescent="0.2">
      <c r="A4512" s="6">
        <f ca="1">Model!$F$13+RAND()*(Model!$G$13-Model!$F$13)</f>
        <v>1362.6685866711609</v>
      </c>
      <c r="B4512" s="31">
        <f ca="1">Model!$F$14+RAND()*(Model!$G$14-Model!$F$14)</f>
        <v>0.28940210568154201</v>
      </c>
      <c r="C4512" s="32">
        <f ca="1">Model!$F$15+RAND()*(Model!$G$15-Model!$F$15)</f>
        <v>1.5969420771260543E-2</v>
      </c>
      <c r="D4512" s="33">
        <f ca="1">Model!$F$16+RAND()*(Model!$G$16-Model!$F$16)</f>
        <v>47.93244675680905</v>
      </c>
      <c r="E4512" s="33">
        <f>Model!$D$17</f>
        <v>800</v>
      </c>
      <c r="G4512" s="36">
        <f t="shared" ca="1" si="72"/>
        <v>-151.29984079560495</v>
      </c>
    </row>
    <row r="4513" spans="1:7" x14ac:dyDescent="0.2">
      <c r="A4513" s="6">
        <f ca="1">Model!$F$13+RAND()*(Model!$G$13-Model!$F$13)</f>
        <v>1291.957430211542</v>
      </c>
      <c r="B4513" s="31">
        <f ca="1">Model!$F$14+RAND()*(Model!$G$14-Model!$F$14)</f>
        <v>0.38999682498023586</v>
      </c>
      <c r="C4513" s="32">
        <f ca="1">Model!$F$15+RAND()*(Model!$G$15-Model!$F$15)</f>
        <v>1.2034008143178334E-2</v>
      </c>
      <c r="D4513" s="33">
        <f ca="1">Model!$F$16+RAND()*(Model!$G$16-Model!$F$16)</f>
        <v>47.29253347793297</v>
      </c>
      <c r="E4513" s="33">
        <f>Model!$D$17</f>
        <v>800</v>
      </c>
      <c r="G4513" s="36">
        <f t="shared" ca="1" si="72"/>
        <v>-568.5821200396033</v>
      </c>
    </row>
    <row r="4514" spans="1:7" x14ac:dyDescent="0.2">
      <c r="A4514" s="6">
        <f ca="1">Model!$F$13+RAND()*(Model!$G$13-Model!$F$13)</f>
        <v>1209.0955452783178</v>
      </c>
      <c r="B4514" s="31">
        <f ca="1">Model!$F$14+RAND()*(Model!$G$14-Model!$F$14)</f>
        <v>0.48447506954188685</v>
      </c>
      <c r="C4514" s="32">
        <f ca="1">Model!$F$15+RAND()*(Model!$G$15-Model!$F$15)</f>
        <v>1.8431642334660027E-2</v>
      </c>
      <c r="D4514" s="33">
        <f ca="1">Model!$F$16+RAND()*(Model!$G$16-Model!$F$16)</f>
        <v>52.110621085225979</v>
      </c>
      <c r="E4514" s="33">
        <f>Model!$D$17</f>
        <v>800</v>
      </c>
      <c r="G4514" s="36">
        <f t="shared" ca="1" si="72"/>
        <v>-224.45932405592612</v>
      </c>
    </row>
    <row r="4515" spans="1:7" x14ac:dyDescent="0.2">
      <c r="A4515" s="6">
        <f ca="1">Model!$F$13+RAND()*(Model!$G$13-Model!$F$13)</f>
        <v>1402.0710143741985</v>
      </c>
      <c r="B4515" s="31">
        <f ca="1">Model!$F$14+RAND()*(Model!$G$14-Model!$F$14)</f>
        <v>0.51481833567086799</v>
      </c>
      <c r="C4515" s="32">
        <f ca="1">Model!$F$15+RAND()*(Model!$G$15-Model!$F$15)</f>
        <v>3.586528290355534E-2</v>
      </c>
      <c r="D4515" s="33">
        <f ca="1">Model!$F$16+RAND()*(Model!$G$16-Model!$F$16)</f>
        <v>49.106630044350482</v>
      </c>
      <c r="E4515" s="33">
        <f>Model!$D$17</f>
        <v>800</v>
      </c>
      <c r="G4515" s="36">
        <f t="shared" ca="1" si="72"/>
        <v>947.54810298055509</v>
      </c>
    </row>
    <row r="4516" spans="1:7" x14ac:dyDescent="0.2">
      <c r="A4516" s="6">
        <f ca="1">Model!$F$13+RAND()*(Model!$G$13-Model!$F$13)</f>
        <v>1681.2318447135217</v>
      </c>
      <c r="B4516" s="31">
        <f ca="1">Model!$F$14+RAND()*(Model!$G$14-Model!$F$14)</f>
        <v>0.38991577861477322</v>
      </c>
      <c r="C4516" s="32">
        <f ca="1">Model!$F$15+RAND()*(Model!$G$15-Model!$F$15)</f>
        <v>2.8265360863073075E-2</v>
      </c>
      <c r="D4516" s="33">
        <f ca="1">Model!$F$16+RAND()*(Model!$G$16-Model!$F$16)</f>
        <v>47.806046124309717</v>
      </c>
      <c r="E4516" s="33">
        <f>Model!$D$17</f>
        <v>800</v>
      </c>
      <c r="G4516" s="36">
        <f t="shared" ca="1" si="72"/>
        <v>816.2343565794904</v>
      </c>
    </row>
    <row r="4517" spans="1:7" x14ac:dyDescent="0.2">
      <c r="A4517" s="6">
        <f ca="1">Model!$F$13+RAND()*(Model!$G$13-Model!$F$13)</f>
        <v>1448.6927480074824</v>
      </c>
      <c r="B4517" s="31">
        <f ca="1">Model!$F$14+RAND()*(Model!$G$14-Model!$F$14)</f>
        <v>0.31041384373866876</v>
      </c>
      <c r="C4517" s="32">
        <f ca="1">Model!$F$15+RAND()*(Model!$G$15-Model!$F$15)</f>
        <v>3.2652845823446824E-2</v>
      </c>
      <c r="D4517" s="33">
        <f ca="1">Model!$F$16+RAND()*(Model!$G$16-Model!$F$16)</f>
        <v>51.230240327245447</v>
      </c>
      <c r="E4517" s="33">
        <f>Model!$D$17</f>
        <v>800</v>
      </c>
      <c r="G4517" s="36">
        <f t="shared" ca="1" si="72"/>
        <v>1173.6979787960479</v>
      </c>
    </row>
    <row r="4518" spans="1:7" x14ac:dyDescent="0.2">
      <c r="A4518" s="6">
        <f ca="1">Model!$F$13+RAND()*(Model!$G$13-Model!$F$13)</f>
        <v>1761.7392520226108</v>
      </c>
      <c r="B4518" s="31">
        <f ca="1">Model!$F$14+RAND()*(Model!$G$14-Model!$F$14)</f>
        <v>0.72915897193040768</v>
      </c>
      <c r="C4518" s="32">
        <f ca="1">Model!$F$15+RAND()*(Model!$G$15-Model!$F$15)</f>
        <v>4.2945105840709485E-2</v>
      </c>
      <c r="D4518" s="33">
        <f ca="1">Model!$F$16+RAND()*(Model!$G$16-Model!$F$16)</f>
        <v>51.60554510708819</v>
      </c>
      <c r="E4518" s="33">
        <f>Model!$D$17</f>
        <v>800</v>
      </c>
      <c r="G4518" s="36">
        <f t="shared" ca="1" si="72"/>
        <v>1819.7884082530227</v>
      </c>
    </row>
    <row r="4519" spans="1:7" x14ac:dyDescent="0.2">
      <c r="A4519" s="6">
        <f ca="1">Model!$F$13+RAND()*(Model!$G$13-Model!$F$13)</f>
        <v>1595.7371740888784</v>
      </c>
      <c r="B4519" s="31">
        <f ca="1">Model!$F$14+RAND()*(Model!$G$14-Model!$F$14)</f>
        <v>0.66571100699033781</v>
      </c>
      <c r="C4519" s="32">
        <f ca="1">Model!$F$15+RAND()*(Model!$G$15-Model!$F$15)</f>
        <v>1.2290749799798247E-2</v>
      </c>
      <c r="D4519" s="33">
        <f ca="1">Model!$F$16+RAND()*(Model!$G$16-Model!$F$16)</f>
        <v>51.483532879860576</v>
      </c>
      <c r="E4519" s="33">
        <f>Model!$D$17</f>
        <v>800</v>
      </c>
      <c r="G4519" s="36">
        <f t="shared" ca="1" si="72"/>
        <v>-852.56324031548831</v>
      </c>
    </row>
    <row r="4520" spans="1:7" x14ac:dyDescent="0.2">
      <c r="A4520" s="6">
        <f ca="1">Model!$F$13+RAND()*(Model!$G$13-Model!$F$13)</f>
        <v>1443.7331128756364</v>
      </c>
      <c r="B4520" s="31">
        <f ca="1">Model!$F$14+RAND()*(Model!$G$14-Model!$F$14)</f>
        <v>0.24666099596249483</v>
      </c>
      <c r="C4520" s="32">
        <f ca="1">Model!$F$15+RAND()*(Model!$G$15-Model!$F$15)</f>
        <v>4.7498248568982208E-2</v>
      </c>
      <c r="D4520" s="33">
        <f ca="1">Model!$F$16+RAND()*(Model!$G$16-Model!$F$16)</f>
        <v>48.766950478853992</v>
      </c>
      <c r="E4520" s="33">
        <f>Model!$D$17</f>
        <v>800</v>
      </c>
      <c r="G4520" s="36">
        <f t="shared" ca="1" si="72"/>
        <v>2188.0709483777027</v>
      </c>
    </row>
    <row r="4521" spans="1:7" x14ac:dyDescent="0.2">
      <c r="A4521" s="6">
        <f ca="1">Model!$F$13+RAND()*(Model!$G$13-Model!$F$13)</f>
        <v>1267.6872142852922</v>
      </c>
      <c r="B4521" s="31">
        <f ca="1">Model!$F$14+RAND()*(Model!$G$14-Model!$F$14)</f>
        <v>0.37761475619774237</v>
      </c>
      <c r="C4521" s="32">
        <f ca="1">Model!$F$15+RAND()*(Model!$G$15-Model!$F$15)</f>
        <v>4.9886930676720093E-2</v>
      </c>
      <c r="D4521" s="33">
        <f ca="1">Model!$F$16+RAND()*(Model!$G$16-Model!$F$16)</f>
        <v>48.000817583840913</v>
      </c>
      <c r="E4521" s="33">
        <f>Model!$D$17</f>
        <v>800</v>
      </c>
      <c r="G4521" s="36">
        <f t="shared" ref="G4521:G4584" ca="1" si="73">A4521*C4521*D4521-(E4521+A4521*B4521)</f>
        <v>1756.9234670652249</v>
      </c>
    </row>
    <row r="4522" spans="1:7" x14ac:dyDescent="0.2">
      <c r="A4522" s="6">
        <f ca="1">Model!$F$13+RAND()*(Model!$G$13-Model!$F$13)</f>
        <v>1556.4768293055959</v>
      </c>
      <c r="B4522" s="31">
        <f ca="1">Model!$F$14+RAND()*(Model!$G$14-Model!$F$14)</f>
        <v>0.51050642494782883</v>
      </c>
      <c r="C4522" s="32">
        <f ca="1">Model!$F$15+RAND()*(Model!$G$15-Model!$F$15)</f>
        <v>2.1538178622354218E-2</v>
      </c>
      <c r="D4522" s="33">
        <f ca="1">Model!$F$16+RAND()*(Model!$G$16-Model!$F$16)</f>
        <v>52.084455256470896</v>
      </c>
      <c r="E4522" s="33">
        <f>Model!$D$17</f>
        <v>800</v>
      </c>
      <c r="G4522" s="36">
        <f t="shared" ca="1" si="73"/>
        <v>151.47097950830994</v>
      </c>
    </row>
    <row r="4523" spans="1:7" x14ac:dyDescent="0.2">
      <c r="A4523" s="6">
        <f ca="1">Model!$F$13+RAND()*(Model!$G$13-Model!$F$13)</f>
        <v>1370.7266959797689</v>
      </c>
      <c r="B4523" s="31">
        <f ca="1">Model!$F$14+RAND()*(Model!$G$14-Model!$F$14)</f>
        <v>0.27061539094317111</v>
      </c>
      <c r="C4523" s="32">
        <f ca="1">Model!$F$15+RAND()*(Model!$G$15-Model!$F$15)</f>
        <v>1.8574557470446111E-2</v>
      </c>
      <c r="D4523" s="33">
        <f ca="1">Model!$F$16+RAND()*(Model!$G$16-Model!$F$16)</f>
        <v>51.584030834973433</v>
      </c>
      <c r="E4523" s="33">
        <f>Model!$D$17</f>
        <v>800</v>
      </c>
      <c r="G4523" s="36">
        <f t="shared" ca="1" si="73"/>
        <v>142.42279050350317</v>
      </c>
    </row>
    <row r="4524" spans="1:7" x14ac:dyDescent="0.2">
      <c r="A4524" s="6">
        <f ca="1">Model!$F$13+RAND()*(Model!$G$13-Model!$F$13)</f>
        <v>1321.8230111698726</v>
      </c>
      <c r="B4524" s="31">
        <f ca="1">Model!$F$14+RAND()*(Model!$G$14-Model!$F$14)</f>
        <v>0.78139613081569803</v>
      </c>
      <c r="C4524" s="32">
        <f ca="1">Model!$F$15+RAND()*(Model!$G$15-Model!$F$15)</f>
        <v>2.0418193884965796E-2</v>
      </c>
      <c r="D4524" s="33">
        <f ca="1">Model!$F$16+RAND()*(Model!$G$16-Model!$F$16)</f>
        <v>47.117990008274994</v>
      </c>
      <c r="E4524" s="33">
        <f>Model!$D$17</f>
        <v>800</v>
      </c>
      <c r="G4524" s="36">
        <f t="shared" ca="1" si="73"/>
        <v>-561.18871546178821</v>
      </c>
    </row>
    <row r="4525" spans="1:7" x14ac:dyDescent="0.2">
      <c r="A4525" s="6">
        <f ca="1">Model!$F$13+RAND()*(Model!$G$13-Model!$F$13)</f>
        <v>1391.5735978035361</v>
      </c>
      <c r="B4525" s="31">
        <f ca="1">Model!$F$14+RAND()*(Model!$G$14-Model!$F$14)</f>
        <v>0.50169564546322309</v>
      </c>
      <c r="C4525" s="32">
        <f ca="1">Model!$F$15+RAND()*(Model!$G$15-Model!$F$15)</f>
        <v>4.033841048234043E-2</v>
      </c>
      <c r="D4525" s="33">
        <f ca="1">Model!$F$16+RAND()*(Model!$G$16-Model!$F$16)</f>
        <v>47.501536178312016</v>
      </c>
      <c r="E4525" s="33">
        <f>Model!$D$17</f>
        <v>800</v>
      </c>
      <c r="G4525" s="36">
        <f t="shared" ca="1" si="73"/>
        <v>1168.298499987289</v>
      </c>
    </row>
    <row r="4526" spans="1:7" x14ac:dyDescent="0.2">
      <c r="A4526" s="6">
        <f ca="1">Model!$F$13+RAND()*(Model!$G$13-Model!$F$13)</f>
        <v>1491.8754370768197</v>
      </c>
      <c r="B4526" s="31">
        <f ca="1">Model!$F$14+RAND()*(Model!$G$14-Model!$F$14)</f>
        <v>0.60100342165607268</v>
      </c>
      <c r="C4526" s="32">
        <f ca="1">Model!$F$15+RAND()*(Model!$G$15-Model!$F$15)</f>
        <v>1.3644845926128055E-2</v>
      </c>
      <c r="D4526" s="33">
        <f ca="1">Model!$F$16+RAND()*(Model!$G$16-Model!$F$16)</f>
        <v>51.160092114957386</v>
      </c>
      <c r="E4526" s="33">
        <f>Model!$D$17</f>
        <v>800</v>
      </c>
      <c r="G4526" s="36">
        <f t="shared" ca="1" si="73"/>
        <v>-655.18640708685598</v>
      </c>
    </row>
    <row r="4527" spans="1:7" x14ac:dyDescent="0.2">
      <c r="A4527" s="6">
        <f ca="1">Model!$F$13+RAND()*(Model!$G$13-Model!$F$13)</f>
        <v>1289.2992991570472</v>
      </c>
      <c r="B4527" s="31">
        <f ca="1">Model!$F$14+RAND()*(Model!$G$14-Model!$F$14)</f>
        <v>0.24093039215234244</v>
      </c>
      <c r="C4527" s="32">
        <f ca="1">Model!$F$15+RAND()*(Model!$G$15-Model!$F$15)</f>
        <v>4.9380614105927291E-2</v>
      </c>
      <c r="D4527" s="33">
        <f ca="1">Model!$F$16+RAND()*(Model!$G$16-Model!$F$16)</f>
        <v>48.741575915800006</v>
      </c>
      <c r="E4527" s="33">
        <f>Model!$D$17</f>
        <v>800</v>
      </c>
      <c r="G4527" s="36">
        <f t="shared" ca="1" si="73"/>
        <v>1992.5688521999587</v>
      </c>
    </row>
    <row r="4528" spans="1:7" x14ac:dyDescent="0.2">
      <c r="A4528" s="6">
        <f ca="1">Model!$F$13+RAND()*(Model!$G$13-Model!$F$13)</f>
        <v>1615.8222339446158</v>
      </c>
      <c r="B4528" s="31">
        <f ca="1">Model!$F$14+RAND()*(Model!$G$14-Model!$F$14)</f>
        <v>0.723821386095582</v>
      </c>
      <c r="C4528" s="32">
        <f ca="1">Model!$F$15+RAND()*(Model!$G$15-Model!$F$15)</f>
        <v>2.6546158246165595E-2</v>
      </c>
      <c r="D4528" s="33">
        <f ca="1">Model!$F$16+RAND()*(Model!$G$16-Model!$F$16)</f>
        <v>50.874872992836856</v>
      </c>
      <c r="E4528" s="33">
        <f>Model!$D$17</f>
        <v>800</v>
      </c>
      <c r="G4528" s="36">
        <f t="shared" ca="1" si="73"/>
        <v>212.6536377413579</v>
      </c>
    </row>
    <row r="4529" spans="1:7" x14ac:dyDescent="0.2">
      <c r="A4529" s="6">
        <f ca="1">Model!$F$13+RAND()*(Model!$G$13-Model!$F$13)</f>
        <v>1364.6910970290517</v>
      </c>
      <c r="B4529" s="31">
        <f ca="1">Model!$F$14+RAND()*(Model!$G$14-Model!$F$14)</f>
        <v>0.76931262330481776</v>
      </c>
      <c r="C4529" s="32">
        <f ca="1">Model!$F$15+RAND()*(Model!$G$15-Model!$F$15)</f>
        <v>3.5939685387597564E-2</v>
      </c>
      <c r="D4529" s="33">
        <f ca="1">Model!$F$16+RAND()*(Model!$G$16-Model!$F$16)</f>
        <v>51.000692714825682</v>
      </c>
      <c r="E4529" s="33">
        <f>Model!$D$17</f>
        <v>800</v>
      </c>
      <c r="G4529" s="36">
        <f t="shared" ca="1" si="73"/>
        <v>651.53489003157756</v>
      </c>
    </row>
    <row r="4530" spans="1:7" x14ac:dyDescent="0.2">
      <c r="A4530" s="6">
        <f ca="1">Model!$F$13+RAND()*(Model!$G$13-Model!$F$13)</f>
        <v>1582.0259920714161</v>
      </c>
      <c r="B4530" s="31">
        <f ca="1">Model!$F$14+RAND()*(Model!$G$14-Model!$F$14)</f>
        <v>0.54999720396938023</v>
      </c>
      <c r="C4530" s="32">
        <f ca="1">Model!$F$15+RAND()*(Model!$G$15-Model!$F$15)</f>
        <v>3.2984643852628545E-2</v>
      </c>
      <c r="D4530" s="33">
        <f ca="1">Model!$F$16+RAND()*(Model!$G$16-Model!$F$16)</f>
        <v>49.211311889077358</v>
      </c>
      <c r="E4530" s="33">
        <f>Model!$D$17</f>
        <v>800</v>
      </c>
      <c r="G4530" s="36">
        <f t="shared" ca="1" si="73"/>
        <v>897.86255570119329</v>
      </c>
    </row>
    <row r="4531" spans="1:7" x14ac:dyDescent="0.2">
      <c r="A4531" s="6">
        <f ca="1">Model!$F$13+RAND()*(Model!$G$13-Model!$F$13)</f>
        <v>1434.3070925603824</v>
      </c>
      <c r="B4531" s="31">
        <f ca="1">Model!$F$14+RAND()*(Model!$G$14-Model!$F$14)</f>
        <v>0.7324525730710334</v>
      </c>
      <c r="C4531" s="32">
        <f ca="1">Model!$F$15+RAND()*(Model!$G$15-Model!$F$15)</f>
        <v>2.4292566762127883E-2</v>
      </c>
      <c r="D4531" s="33">
        <f ca="1">Model!$F$16+RAND()*(Model!$G$16-Model!$F$16)</f>
        <v>47.005828855736866</v>
      </c>
      <c r="E4531" s="33">
        <f>Model!$D$17</f>
        <v>800</v>
      </c>
      <c r="G4531" s="36">
        <f t="shared" ca="1" si="73"/>
        <v>-212.73778793418091</v>
      </c>
    </row>
    <row r="4532" spans="1:7" x14ac:dyDescent="0.2">
      <c r="A4532" s="6">
        <f ca="1">Model!$F$13+RAND()*(Model!$G$13-Model!$F$13)</f>
        <v>1270.5745255344618</v>
      </c>
      <c r="B4532" s="31">
        <f ca="1">Model!$F$14+RAND()*(Model!$G$14-Model!$F$14)</f>
        <v>0.43225763323503386</v>
      </c>
      <c r="C4532" s="32">
        <f ca="1">Model!$F$15+RAND()*(Model!$G$15-Model!$F$15)</f>
        <v>1.890425937556409E-2</v>
      </c>
      <c r="D4532" s="33">
        <f ca="1">Model!$F$16+RAND()*(Model!$G$16-Model!$F$16)</f>
        <v>48.682803042181085</v>
      </c>
      <c r="E4532" s="33">
        <f>Model!$D$17</f>
        <v>800</v>
      </c>
      <c r="G4532" s="36">
        <f t="shared" ca="1" si="73"/>
        <v>-179.89012780424036</v>
      </c>
    </row>
    <row r="4533" spans="1:7" x14ac:dyDescent="0.2">
      <c r="A4533" s="6">
        <f ca="1">Model!$F$13+RAND()*(Model!$G$13-Model!$F$13)</f>
        <v>1369.9404252111249</v>
      </c>
      <c r="B4533" s="31">
        <f ca="1">Model!$F$14+RAND()*(Model!$G$14-Model!$F$14)</f>
        <v>0.75889123624089416</v>
      </c>
      <c r="C4533" s="32">
        <f ca="1">Model!$F$15+RAND()*(Model!$G$15-Model!$F$15)</f>
        <v>3.4546039309135128E-2</v>
      </c>
      <c r="D4533" s="33">
        <f ca="1">Model!$F$16+RAND()*(Model!$G$16-Model!$F$16)</f>
        <v>52.209104881037234</v>
      </c>
      <c r="E4533" s="33">
        <f>Model!$D$17</f>
        <v>800</v>
      </c>
      <c r="G4533" s="36">
        <f t="shared" ca="1" si="73"/>
        <v>631.21313862177863</v>
      </c>
    </row>
    <row r="4534" spans="1:7" x14ac:dyDescent="0.2">
      <c r="A4534" s="6">
        <f ca="1">Model!$F$13+RAND()*(Model!$G$13-Model!$F$13)</f>
        <v>1201.0715732155218</v>
      </c>
      <c r="B4534" s="31">
        <f ca="1">Model!$F$14+RAND()*(Model!$G$14-Model!$F$14)</f>
        <v>0.77293403128346516</v>
      </c>
      <c r="C4534" s="32">
        <f ca="1">Model!$F$15+RAND()*(Model!$G$15-Model!$F$15)</f>
        <v>3.8404841315369379E-2</v>
      </c>
      <c r="D4534" s="33">
        <f ca="1">Model!$F$16+RAND()*(Model!$G$16-Model!$F$16)</f>
        <v>52.419699048241768</v>
      </c>
      <c r="E4534" s="33">
        <f>Model!$D$17</f>
        <v>800</v>
      </c>
      <c r="G4534" s="36">
        <f t="shared" ca="1" si="73"/>
        <v>689.61243484117995</v>
      </c>
    </row>
    <row r="4535" spans="1:7" x14ac:dyDescent="0.2">
      <c r="A4535" s="6">
        <f ca="1">Model!$F$13+RAND()*(Model!$G$13-Model!$F$13)</f>
        <v>1329.6862572549226</v>
      </c>
      <c r="B4535" s="31">
        <f ca="1">Model!$F$14+RAND()*(Model!$G$14-Model!$F$14)</f>
        <v>0.30745589993728151</v>
      </c>
      <c r="C4535" s="32">
        <f ca="1">Model!$F$15+RAND()*(Model!$G$15-Model!$F$15)</f>
        <v>4.6292165718143923E-2</v>
      </c>
      <c r="D4535" s="33">
        <f ca="1">Model!$F$16+RAND()*(Model!$G$16-Model!$F$16)</f>
        <v>49.226757828906194</v>
      </c>
      <c r="E4535" s="33">
        <f>Model!$D$17</f>
        <v>800</v>
      </c>
      <c r="G4535" s="36">
        <f t="shared" ca="1" si="73"/>
        <v>1821.2867514957254</v>
      </c>
    </row>
    <row r="4536" spans="1:7" x14ac:dyDescent="0.2">
      <c r="A4536" s="6">
        <f ca="1">Model!$F$13+RAND()*(Model!$G$13-Model!$F$13)</f>
        <v>1593.5221134237781</v>
      </c>
      <c r="B4536" s="31">
        <f ca="1">Model!$F$14+RAND()*(Model!$G$14-Model!$F$14)</f>
        <v>0.75796416366284713</v>
      </c>
      <c r="C4536" s="32">
        <f ca="1">Model!$F$15+RAND()*(Model!$G$15-Model!$F$15)</f>
        <v>3.6935910494977901E-2</v>
      </c>
      <c r="D4536" s="33">
        <f ca="1">Model!$F$16+RAND()*(Model!$G$16-Model!$F$16)</f>
        <v>52.611088841475997</v>
      </c>
      <c r="E4536" s="33">
        <f>Model!$D$17</f>
        <v>800</v>
      </c>
      <c r="G4536" s="36">
        <f t="shared" ca="1" si="73"/>
        <v>1088.7608152183914</v>
      </c>
    </row>
    <row r="4537" spans="1:7" x14ac:dyDescent="0.2">
      <c r="A4537" s="6">
        <f ca="1">Model!$F$13+RAND()*(Model!$G$13-Model!$F$13)</f>
        <v>1542.9533860517347</v>
      </c>
      <c r="B4537" s="31">
        <f ca="1">Model!$F$14+RAND()*(Model!$G$14-Model!$F$14)</f>
        <v>0.70527936800129165</v>
      </c>
      <c r="C4537" s="32">
        <f ca="1">Model!$F$15+RAND()*(Model!$G$15-Model!$F$15)</f>
        <v>4.2170821084513865E-2</v>
      </c>
      <c r="D4537" s="33">
        <f ca="1">Model!$F$16+RAND()*(Model!$G$16-Model!$F$16)</f>
        <v>52.517089678496667</v>
      </c>
      <c r="E4537" s="33">
        <f>Model!$D$17</f>
        <v>800</v>
      </c>
      <c r="G4537" s="36">
        <f t="shared" ca="1" si="73"/>
        <v>1528.9483827946356</v>
      </c>
    </row>
    <row r="4538" spans="1:7" x14ac:dyDescent="0.2">
      <c r="A4538" s="6">
        <f ca="1">Model!$F$13+RAND()*(Model!$G$13-Model!$F$13)</f>
        <v>1287.5583454638972</v>
      </c>
      <c r="B4538" s="31">
        <f ca="1">Model!$F$14+RAND()*(Model!$G$14-Model!$F$14)</f>
        <v>0.62118815755010759</v>
      </c>
      <c r="C4538" s="32">
        <f ca="1">Model!$F$15+RAND()*(Model!$G$15-Model!$F$15)</f>
        <v>1.4576008315747825E-2</v>
      </c>
      <c r="D4538" s="33">
        <f ca="1">Model!$F$16+RAND()*(Model!$G$16-Model!$F$16)</f>
        <v>48.387120490604538</v>
      </c>
      <c r="E4538" s="33">
        <f>Model!$D$17</f>
        <v>800</v>
      </c>
      <c r="G4538" s="36">
        <f t="shared" ca="1" si="73"/>
        <v>-691.71259236537378</v>
      </c>
    </row>
    <row r="4539" spans="1:7" x14ac:dyDescent="0.2">
      <c r="A4539" s="6">
        <f ca="1">Model!$F$13+RAND()*(Model!$G$13-Model!$F$13)</f>
        <v>1675.8552651286627</v>
      </c>
      <c r="B4539" s="31">
        <f ca="1">Model!$F$14+RAND()*(Model!$G$14-Model!$F$14)</f>
        <v>0.76972075068322732</v>
      </c>
      <c r="C4539" s="32">
        <f ca="1">Model!$F$15+RAND()*(Model!$G$15-Model!$F$15)</f>
        <v>1.262360979529794E-2</v>
      </c>
      <c r="D4539" s="33">
        <f ca="1">Model!$F$16+RAND()*(Model!$G$16-Model!$F$16)</f>
        <v>49.698946854239914</v>
      </c>
      <c r="E4539" s="33">
        <f>Model!$D$17</f>
        <v>800</v>
      </c>
      <c r="G4539" s="36">
        <f t="shared" ca="1" si="73"/>
        <v>-1038.5423082341176</v>
      </c>
    </row>
    <row r="4540" spans="1:7" x14ac:dyDescent="0.2">
      <c r="A4540" s="6">
        <f ca="1">Model!$F$13+RAND()*(Model!$G$13-Model!$F$13)</f>
        <v>1344.0958785469747</v>
      </c>
      <c r="B4540" s="31">
        <f ca="1">Model!$F$14+RAND()*(Model!$G$14-Model!$F$14)</f>
        <v>0.48207623593716009</v>
      </c>
      <c r="C4540" s="32">
        <f ca="1">Model!$F$15+RAND()*(Model!$G$15-Model!$F$15)</f>
        <v>4.8952836968907287E-2</v>
      </c>
      <c r="D4540" s="33">
        <f ca="1">Model!$F$16+RAND()*(Model!$G$16-Model!$F$16)</f>
        <v>51.975779024641007</v>
      </c>
      <c r="E4540" s="33">
        <f>Model!$D$17</f>
        <v>800</v>
      </c>
      <c r="G4540" s="36">
        <f t="shared" ca="1" si="73"/>
        <v>1971.9095766747987</v>
      </c>
    </row>
    <row r="4541" spans="1:7" x14ac:dyDescent="0.2">
      <c r="A4541" s="6">
        <f ca="1">Model!$F$13+RAND()*(Model!$G$13-Model!$F$13)</f>
        <v>1712.5519207529833</v>
      </c>
      <c r="B4541" s="31">
        <f ca="1">Model!$F$14+RAND()*(Model!$G$14-Model!$F$14)</f>
        <v>0.40374980450392972</v>
      </c>
      <c r="C4541" s="32">
        <f ca="1">Model!$F$15+RAND()*(Model!$G$15-Model!$F$15)</f>
        <v>1.2060982829010927E-2</v>
      </c>
      <c r="D4541" s="33">
        <f ca="1">Model!$F$16+RAND()*(Model!$G$16-Model!$F$16)</f>
        <v>52.87137312631031</v>
      </c>
      <c r="E4541" s="33">
        <f>Model!$D$17</f>
        <v>800</v>
      </c>
      <c r="G4541" s="36">
        <f t="shared" ca="1" si="73"/>
        <v>-399.38115548222072</v>
      </c>
    </row>
    <row r="4542" spans="1:7" x14ac:dyDescent="0.2">
      <c r="A4542" s="6">
        <f ca="1">Model!$F$13+RAND()*(Model!$G$13-Model!$F$13)</f>
        <v>1700.5891858901207</v>
      </c>
      <c r="B4542" s="31">
        <f ca="1">Model!$F$14+RAND()*(Model!$G$14-Model!$F$14)</f>
        <v>0.75312900137115513</v>
      </c>
      <c r="C4542" s="32">
        <f ca="1">Model!$F$15+RAND()*(Model!$G$15-Model!$F$15)</f>
        <v>1.5497716214087185E-2</v>
      </c>
      <c r="D4542" s="33">
        <f ca="1">Model!$F$16+RAND()*(Model!$G$16-Model!$F$16)</f>
        <v>48.767375440902498</v>
      </c>
      <c r="E4542" s="33">
        <f>Model!$D$17</f>
        <v>800</v>
      </c>
      <c r="G4542" s="36">
        <f t="shared" ca="1" si="73"/>
        <v>-795.48673201355382</v>
      </c>
    </row>
    <row r="4543" spans="1:7" x14ac:dyDescent="0.2">
      <c r="A4543" s="6">
        <f ca="1">Model!$F$13+RAND()*(Model!$G$13-Model!$F$13)</f>
        <v>1469.2906557853983</v>
      </c>
      <c r="B4543" s="31">
        <f ca="1">Model!$F$14+RAND()*(Model!$G$14-Model!$F$14)</f>
        <v>0.7579484853046552</v>
      </c>
      <c r="C4543" s="32">
        <f ca="1">Model!$F$15+RAND()*(Model!$G$15-Model!$F$15)</f>
        <v>4.7920159108578241E-2</v>
      </c>
      <c r="D4543" s="33">
        <f ca="1">Model!$F$16+RAND()*(Model!$G$16-Model!$F$16)</f>
        <v>50.874535777229582</v>
      </c>
      <c r="E4543" s="33">
        <f>Model!$D$17</f>
        <v>800</v>
      </c>
      <c r="G4543" s="36">
        <f t="shared" ca="1" si="73"/>
        <v>1668.3603495312354</v>
      </c>
    </row>
    <row r="4544" spans="1:7" x14ac:dyDescent="0.2">
      <c r="A4544" s="6">
        <f ca="1">Model!$F$13+RAND()*(Model!$G$13-Model!$F$13)</f>
        <v>1637.2615678060254</v>
      </c>
      <c r="B4544" s="31">
        <f ca="1">Model!$F$14+RAND()*(Model!$G$14-Model!$F$14)</f>
        <v>0.40271173000264393</v>
      </c>
      <c r="C4544" s="32">
        <f ca="1">Model!$F$15+RAND()*(Model!$G$15-Model!$F$15)</f>
        <v>4.8191186186204098E-2</v>
      </c>
      <c r="D4544" s="33">
        <f ca="1">Model!$F$16+RAND()*(Model!$G$16-Model!$F$16)</f>
        <v>48.92450992453513</v>
      </c>
      <c r="E4544" s="33">
        <f>Model!$D$17</f>
        <v>800</v>
      </c>
      <c r="G4544" s="36">
        <f t="shared" ca="1" si="73"/>
        <v>2400.8765509893919</v>
      </c>
    </row>
    <row r="4545" spans="1:7" x14ac:dyDescent="0.2">
      <c r="A4545" s="6">
        <f ca="1">Model!$F$13+RAND()*(Model!$G$13-Model!$F$13)</f>
        <v>1636.8430685425142</v>
      </c>
      <c r="B4545" s="31">
        <f ca="1">Model!$F$14+RAND()*(Model!$G$14-Model!$F$14)</f>
        <v>0.52639894116237884</v>
      </c>
      <c r="C4545" s="32">
        <f ca="1">Model!$F$15+RAND()*(Model!$G$15-Model!$F$15)</f>
        <v>3.6921266546191038E-2</v>
      </c>
      <c r="D4545" s="33">
        <f ca="1">Model!$F$16+RAND()*(Model!$G$16-Model!$F$16)</f>
        <v>48.836351171922132</v>
      </c>
      <c r="E4545" s="33">
        <f>Model!$D$17</f>
        <v>800</v>
      </c>
      <c r="G4545" s="36">
        <f t="shared" ca="1" si="73"/>
        <v>1289.7591785221321</v>
      </c>
    </row>
    <row r="4546" spans="1:7" x14ac:dyDescent="0.2">
      <c r="A4546" s="6">
        <f ca="1">Model!$F$13+RAND()*(Model!$G$13-Model!$F$13)</f>
        <v>1489.3453181564805</v>
      </c>
      <c r="B4546" s="31">
        <f ca="1">Model!$F$14+RAND()*(Model!$G$14-Model!$F$14)</f>
        <v>0.46268212923415836</v>
      </c>
      <c r="C4546" s="32">
        <f ca="1">Model!$F$15+RAND()*(Model!$G$15-Model!$F$15)</f>
        <v>4.7050528067026795E-2</v>
      </c>
      <c r="D4546" s="33">
        <f ca="1">Model!$F$16+RAND()*(Model!$G$16-Model!$F$16)</f>
        <v>49.714485578881991</v>
      </c>
      <c r="E4546" s="33">
        <f>Model!$D$17</f>
        <v>800</v>
      </c>
      <c r="G4546" s="36">
        <f t="shared" ca="1" si="73"/>
        <v>1994.6234460543874</v>
      </c>
    </row>
    <row r="4547" spans="1:7" x14ac:dyDescent="0.2">
      <c r="A4547" s="6">
        <f ca="1">Model!$F$13+RAND()*(Model!$G$13-Model!$F$13)</f>
        <v>1419.8189476064827</v>
      </c>
      <c r="B4547" s="31">
        <f ca="1">Model!$F$14+RAND()*(Model!$G$14-Model!$F$14)</f>
        <v>0.62572054789344778</v>
      </c>
      <c r="C4547" s="32">
        <f ca="1">Model!$F$15+RAND()*(Model!$G$15-Model!$F$15)</f>
        <v>1.6468993711900082E-2</v>
      </c>
      <c r="D4547" s="33">
        <f ca="1">Model!$F$16+RAND()*(Model!$G$16-Model!$F$16)</f>
        <v>50.504862813034194</v>
      </c>
      <c r="E4547" s="33">
        <f>Model!$D$17</f>
        <v>800</v>
      </c>
      <c r="G4547" s="36">
        <f t="shared" ca="1" si="73"/>
        <v>-507.45522203211067</v>
      </c>
    </row>
    <row r="4548" spans="1:7" x14ac:dyDescent="0.2">
      <c r="A4548" s="6">
        <f ca="1">Model!$F$13+RAND()*(Model!$G$13-Model!$F$13)</f>
        <v>1633.176105733917</v>
      </c>
      <c r="B4548" s="31">
        <f ca="1">Model!$F$14+RAND()*(Model!$G$14-Model!$F$14)</f>
        <v>0.68826845986684215</v>
      </c>
      <c r="C4548" s="32">
        <f ca="1">Model!$F$15+RAND()*(Model!$G$15-Model!$F$15)</f>
        <v>2.6474277668615702E-2</v>
      </c>
      <c r="D4548" s="33">
        <f ca="1">Model!$F$16+RAND()*(Model!$G$16-Model!$F$16)</f>
        <v>48.602480418204252</v>
      </c>
      <c r="E4548" s="33">
        <f>Model!$D$17</f>
        <v>800</v>
      </c>
      <c r="G4548" s="36">
        <f t="shared" ca="1" si="73"/>
        <v>177.36950770874387</v>
      </c>
    </row>
    <row r="4549" spans="1:7" x14ac:dyDescent="0.2">
      <c r="A4549" s="6">
        <f ca="1">Model!$F$13+RAND()*(Model!$G$13-Model!$F$13)</f>
        <v>1337.5011574548323</v>
      </c>
      <c r="B4549" s="31">
        <f ca="1">Model!$F$14+RAND()*(Model!$G$14-Model!$F$14)</f>
        <v>0.24900014572495865</v>
      </c>
      <c r="C4549" s="32">
        <f ca="1">Model!$F$15+RAND()*(Model!$G$15-Model!$F$15)</f>
        <v>4.3676200792874709E-2</v>
      </c>
      <c r="D4549" s="33">
        <f ca="1">Model!$F$16+RAND()*(Model!$G$16-Model!$F$16)</f>
        <v>52.249017860906491</v>
      </c>
      <c r="E4549" s="33">
        <f>Model!$D$17</f>
        <v>800</v>
      </c>
      <c r="G4549" s="36">
        <f t="shared" ca="1" si="73"/>
        <v>1919.1912794881582</v>
      </c>
    </row>
    <row r="4550" spans="1:7" x14ac:dyDescent="0.2">
      <c r="A4550" s="6">
        <f ca="1">Model!$F$13+RAND()*(Model!$G$13-Model!$F$13)</f>
        <v>1507.8791668122981</v>
      </c>
      <c r="B4550" s="31">
        <f ca="1">Model!$F$14+RAND()*(Model!$G$14-Model!$F$14)</f>
        <v>0.76670142169538669</v>
      </c>
      <c r="C4550" s="32">
        <f ca="1">Model!$F$15+RAND()*(Model!$G$15-Model!$F$15)</f>
        <v>2.0624073577838114E-2</v>
      </c>
      <c r="D4550" s="33">
        <f ca="1">Model!$F$16+RAND()*(Model!$G$16-Model!$F$16)</f>
        <v>52.881718166153739</v>
      </c>
      <c r="E4550" s="33">
        <f>Model!$D$17</f>
        <v>800</v>
      </c>
      <c r="G4550" s="36">
        <f t="shared" ca="1" si="73"/>
        <v>-311.54512487535453</v>
      </c>
    </row>
    <row r="4551" spans="1:7" x14ac:dyDescent="0.2">
      <c r="A4551" s="6">
        <f ca="1">Model!$F$13+RAND()*(Model!$G$13-Model!$F$13)</f>
        <v>1643.918281600869</v>
      </c>
      <c r="B4551" s="31">
        <f ca="1">Model!$F$14+RAND()*(Model!$G$14-Model!$F$14)</f>
        <v>0.79008489588730613</v>
      </c>
      <c r="C4551" s="32">
        <f ca="1">Model!$F$15+RAND()*(Model!$G$15-Model!$F$15)</f>
        <v>4.0654287769870699E-2</v>
      </c>
      <c r="D4551" s="33">
        <f ca="1">Model!$F$16+RAND()*(Model!$G$16-Model!$F$16)</f>
        <v>49.984890340750972</v>
      </c>
      <c r="E4551" s="33">
        <f>Model!$D$17</f>
        <v>800</v>
      </c>
      <c r="G4551" s="36">
        <f t="shared" ca="1" si="73"/>
        <v>1241.7715264656581</v>
      </c>
    </row>
    <row r="4552" spans="1:7" x14ac:dyDescent="0.2">
      <c r="A4552" s="6">
        <f ca="1">Model!$F$13+RAND()*(Model!$G$13-Model!$F$13)</f>
        <v>1287.8972632599948</v>
      </c>
      <c r="B4552" s="31">
        <f ca="1">Model!$F$14+RAND()*(Model!$G$14-Model!$F$14)</f>
        <v>0.41813326973126247</v>
      </c>
      <c r="C4552" s="32">
        <f ca="1">Model!$F$15+RAND()*(Model!$G$15-Model!$F$15)</f>
        <v>2.3584541260921004E-2</v>
      </c>
      <c r="D4552" s="33">
        <f ca="1">Model!$F$16+RAND()*(Model!$G$16-Model!$F$16)</f>
        <v>51.00819015838303</v>
      </c>
      <c r="E4552" s="33">
        <f>Model!$D$17</f>
        <v>800</v>
      </c>
      <c r="G4552" s="36">
        <f t="shared" ca="1" si="73"/>
        <v>210.83385132799503</v>
      </c>
    </row>
    <row r="4553" spans="1:7" x14ac:dyDescent="0.2">
      <c r="A4553" s="6">
        <f ca="1">Model!$F$13+RAND()*(Model!$G$13-Model!$F$13)</f>
        <v>1636.8667789222718</v>
      </c>
      <c r="B4553" s="31">
        <f ca="1">Model!$F$14+RAND()*(Model!$G$14-Model!$F$14)</f>
        <v>0.5523577598232583</v>
      </c>
      <c r="C4553" s="32">
        <f ca="1">Model!$F$15+RAND()*(Model!$G$15-Model!$F$15)</f>
        <v>1.6132802001858668E-2</v>
      </c>
      <c r="D4553" s="33">
        <f ca="1">Model!$F$16+RAND()*(Model!$G$16-Model!$F$16)</f>
        <v>51.328148735076809</v>
      </c>
      <c r="E4553" s="33">
        <f>Model!$D$17</f>
        <v>800</v>
      </c>
      <c r="G4553" s="36">
        <f t="shared" ca="1" si="73"/>
        <v>-348.70093218570992</v>
      </c>
    </row>
    <row r="4554" spans="1:7" x14ac:dyDescent="0.2">
      <c r="A4554" s="6">
        <f ca="1">Model!$F$13+RAND()*(Model!$G$13-Model!$F$13)</f>
        <v>1532.2654658608553</v>
      </c>
      <c r="B4554" s="31">
        <f ca="1">Model!$F$14+RAND()*(Model!$G$14-Model!$F$14)</f>
        <v>0.31070640154015111</v>
      </c>
      <c r="C4554" s="32">
        <f ca="1">Model!$F$15+RAND()*(Model!$G$15-Model!$F$15)</f>
        <v>2.0756134765677361E-2</v>
      </c>
      <c r="D4554" s="33">
        <f ca="1">Model!$F$16+RAND()*(Model!$G$16-Model!$F$16)</f>
        <v>48.319280493121035</v>
      </c>
      <c r="E4554" s="33">
        <f>Model!$D$17</f>
        <v>800</v>
      </c>
      <c r="G4554" s="36">
        <f t="shared" ca="1" si="73"/>
        <v>260.6572867868299</v>
      </c>
    </row>
    <row r="4555" spans="1:7" x14ac:dyDescent="0.2">
      <c r="A4555" s="6">
        <f ca="1">Model!$F$13+RAND()*(Model!$G$13-Model!$F$13)</f>
        <v>1714.7955688743089</v>
      </c>
      <c r="B4555" s="31">
        <f ca="1">Model!$F$14+RAND()*(Model!$G$14-Model!$F$14)</f>
        <v>0.6425517986365632</v>
      </c>
      <c r="C4555" s="32">
        <f ca="1">Model!$F$15+RAND()*(Model!$G$15-Model!$F$15)</f>
        <v>2.4703629476089416E-2</v>
      </c>
      <c r="D4555" s="33">
        <f ca="1">Model!$F$16+RAND()*(Model!$G$16-Model!$F$16)</f>
        <v>49.787092640634469</v>
      </c>
      <c r="E4555" s="33">
        <f>Model!$D$17</f>
        <v>800</v>
      </c>
      <c r="G4555" s="36">
        <f t="shared" ca="1" si="73"/>
        <v>207.2196287349077</v>
      </c>
    </row>
    <row r="4556" spans="1:7" x14ac:dyDescent="0.2">
      <c r="A4556" s="6">
        <f ca="1">Model!$F$13+RAND()*(Model!$G$13-Model!$F$13)</f>
        <v>1235.1482331674981</v>
      </c>
      <c r="B4556" s="31">
        <f ca="1">Model!$F$14+RAND()*(Model!$G$14-Model!$F$14)</f>
        <v>0.43718386029244999</v>
      </c>
      <c r="C4556" s="32">
        <f ca="1">Model!$F$15+RAND()*(Model!$G$15-Model!$F$15)</f>
        <v>4.8954717079151985E-2</v>
      </c>
      <c r="D4556" s="33">
        <f ca="1">Model!$F$16+RAND()*(Model!$G$16-Model!$F$16)</f>
        <v>50.877355749509398</v>
      </c>
      <c r="E4556" s="33">
        <f>Model!$D$17</f>
        <v>800</v>
      </c>
      <c r="G4556" s="36">
        <f t="shared" ca="1" si="73"/>
        <v>1736.3802269669022</v>
      </c>
    </row>
    <row r="4557" spans="1:7" x14ac:dyDescent="0.2">
      <c r="A4557" s="6">
        <f ca="1">Model!$F$13+RAND()*(Model!$G$13-Model!$F$13)</f>
        <v>1481.7625935878568</v>
      </c>
      <c r="B4557" s="31">
        <f ca="1">Model!$F$14+RAND()*(Model!$G$14-Model!$F$14)</f>
        <v>0.61357580489887198</v>
      </c>
      <c r="C4557" s="32">
        <f ca="1">Model!$F$15+RAND()*(Model!$G$15-Model!$F$15)</f>
        <v>2.9761898615025713E-2</v>
      </c>
      <c r="D4557" s="33">
        <f ca="1">Model!$F$16+RAND()*(Model!$G$16-Model!$F$16)</f>
        <v>50.044634092109234</v>
      </c>
      <c r="E4557" s="33">
        <f>Model!$D$17</f>
        <v>800</v>
      </c>
      <c r="G4557" s="36">
        <f t="shared" ca="1" si="73"/>
        <v>497.7980945660488</v>
      </c>
    </row>
    <row r="4558" spans="1:7" x14ac:dyDescent="0.2">
      <c r="A4558" s="6">
        <f ca="1">Model!$F$13+RAND()*(Model!$G$13-Model!$F$13)</f>
        <v>1248.6516107004531</v>
      </c>
      <c r="B4558" s="31">
        <f ca="1">Model!$F$14+RAND()*(Model!$G$14-Model!$F$14)</f>
        <v>0.59468950390003206</v>
      </c>
      <c r="C4558" s="32">
        <f ca="1">Model!$F$15+RAND()*(Model!$G$15-Model!$F$15)</f>
        <v>2.4889101866269581E-2</v>
      </c>
      <c r="D4558" s="33">
        <f ca="1">Model!$F$16+RAND()*(Model!$G$16-Model!$F$16)</f>
        <v>50.683933775470116</v>
      </c>
      <c r="E4558" s="33">
        <f>Model!$D$17</f>
        <v>800</v>
      </c>
      <c r="G4558" s="36">
        <f t="shared" ca="1" si="73"/>
        <v>32.586018604796664</v>
      </c>
    </row>
    <row r="4559" spans="1:7" x14ac:dyDescent="0.2">
      <c r="A4559" s="6">
        <f ca="1">Model!$F$13+RAND()*(Model!$G$13-Model!$F$13)</f>
        <v>1451.6339301115702</v>
      </c>
      <c r="B4559" s="31">
        <f ca="1">Model!$F$14+RAND()*(Model!$G$14-Model!$F$14)</f>
        <v>0.26142798176303578</v>
      </c>
      <c r="C4559" s="32">
        <f ca="1">Model!$F$15+RAND()*(Model!$G$15-Model!$F$15)</f>
        <v>2.1183326184943702E-2</v>
      </c>
      <c r="D4559" s="33">
        <f ca="1">Model!$F$16+RAND()*(Model!$G$16-Model!$F$16)</f>
        <v>50.305787988554435</v>
      </c>
      <c r="E4559" s="33">
        <f>Model!$D$17</f>
        <v>800</v>
      </c>
      <c r="G4559" s="36">
        <f t="shared" ca="1" si="73"/>
        <v>367.42713720532311</v>
      </c>
    </row>
    <row r="4560" spans="1:7" x14ac:dyDescent="0.2">
      <c r="A4560" s="6">
        <f ca="1">Model!$F$13+RAND()*(Model!$G$13-Model!$F$13)</f>
        <v>1470.3587364703958</v>
      </c>
      <c r="B4560" s="31">
        <f ca="1">Model!$F$14+RAND()*(Model!$G$14-Model!$F$14)</f>
        <v>0.58998276646950543</v>
      </c>
      <c r="C4560" s="32">
        <f ca="1">Model!$F$15+RAND()*(Model!$G$15-Model!$F$15)</f>
        <v>3.5300385650060634E-2</v>
      </c>
      <c r="D4560" s="33">
        <f ca="1">Model!$F$16+RAND()*(Model!$G$16-Model!$F$16)</f>
        <v>51.902742388776744</v>
      </c>
      <c r="E4560" s="33">
        <f>Model!$D$17</f>
        <v>800</v>
      </c>
      <c r="G4560" s="36">
        <f t="shared" ca="1" si="73"/>
        <v>1026.4855864392071</v>
      </c>
    </row>
    <row r="4561" spans="1:7" x14ac:dyDescent="0.2">
      <c r="A4561" s="6">
        <f ca="1">Model!$F$13+RAND()*(Model!$G$13-Model!$F$13)</f>
        <v>1704.0308528281248</v>
      </c>
      <c r="B4561" s="31">
        <f ca="1">Model!$F$14+RAND()*(Model!$G$14-Model!$F$14)</f>
        <v>0.4570084485617501</v>
      </c>
      <c r="C4561" s="32">
        <f ca="1">Model!$F$15+RAND()*(Model!$G$15-Model!$F$15)</f>
        <v>3.9693535948359129E-2</v>
      </c>
      <c r="D4561" s="33">
        <f ca="1">Model!$F$16+RAND()*(Model!$G$16-Model!$F$16)</f>
        <v>49.698083536076126</v>
      </c>
      <c r="E4561" s="33">
        <f>Model!$D$17</f>
        <v>800</v>
      </c>
      <c r="G4561" s="36">
        <f t="shared" ca="1" si="73"/>
        <v>1782.7726686434744</v>
      </c>
    </row>
    <row r="4562" spans="1:7" x14ac:dyDescent="0.2">
      <c r="A4562" s="6">
        <f ca="1">Model!$F$13+RAND()*(Model!$G$13-Model!$F$13)</f>
        <v>1333.5341792333884</v>
      </c>
      <c r="B4562" s="31">
        <f ca="1">Model!$F$14+RAND()*(Model!$G$14-Model!$F$14)</f>
        <v>0.29821217648909842</v>
      </c>
      <c r="C4562" s="32">
        <f ca="1">Model!$F$15+RAND()*(Model!$G$15-Model!$F$15)</f>
        <v>1.2423261221627322E-2</v>
      </c>
      <c r="D4562" s="33">
        <f ca="1">Model!$F$16+RAND()*(Model!$G$16-Model!$F$16)</f>
        <v>50.6413964216827</v>
      </c>
      <c r="E4562" s="33">
        <f>Model!$D$17</f>
        <v>800</v>
      </c>
      <c r="G4562" s="36">
        <f t="shared" ca="1" si="73"/>
        <v>-358.70804307092271</v>
      </c>
    </row>
    <row r="4563" spans="1:7" x14ac:dyDescent="0.2">
      <c r="A4563" s="6">
        <f ca="1">Model!$F$13+RAND()*(Model!$G$13-Model!$F$13)</f>
        <v>1261.3569427018529</v>
      </c>
      <c r="B4563" s="31">
        <f ca="1">Model!$F$14+RAND()*(Model!$G$14-Model!$F$14)</f>
        <v>0.52496235046619488</v>
      </c>
      <c r="C4563" s="32">
        <f ca="1">Model!$F$15+RAND()*(Model!$G$15-Model!$F$15)</f>
        <v>2.5832571749787807E-2</v>
      </c>
      <c r="D4563" s="33">
        <f ca="1">Model!$F$16+RAND()*(Model!$G$16-Model!$F$16)</f>
        <v>51.73408338834863</v>
      </c>
      <c r="E4563" s="33">
        <f>Model!$D$17</f>
        <v>800</v>
      </c>
      <c r="G4563" s="36">
        <f t="shared" ca="1" si="73"/>
        <v>223.54331645625575</v>
      </c>
    </row>
    <row r="4564" spans="1:7" x14ac:dyDescent="0.2">
      <c r="A4564" s="6">
        <f ca="1">Model!$F$13+RAND()*(Model!$G$13-Model!$F$13)</f>
        <v>1317.5105009730773</v>
      </c>
      <c r="B4564" s="31">
        <f ca="1">Model!$F$14+RAND()*(Model!$G$14-Model!$F$14)</f>
        <v>0.27983562029779918</v>
      </c>
      <c r="C4564" s="32">
        <f ca="1">Model!$F$15+RAND()*(Model!$G$15-Model!$F$15)</f>
        <v>2.956897071446267E-2</v>
      </c>
      <c r="D4564" s="33">
        <f ca="1">Model!$F$16+RAND()*(Model!$G$16-Model!$F$16)</f>
        <v>48.21713943089005</v>
      </c>
      <c r="E4564" s="33">
        <f>Model!$D$17</f>
        <v>800</v>
      </c>
      <c r="G4564" s="36">
        <f t="shared" ca="1" si="73"/>
        <v>709.72943788933253</v>
      </c>
    </row>
    <row r="4565" spans="1:7" x14ac:dyDescent="0.2">
      <c r="A4565" s="6">
        <f ca="1">Model!$F$13+RAND()*(Model!$G$13-Model!$F$13)</f>
        <v>1461.0289662330592</v>
      </c>
      <c r="B4565" s="31">
        <f ca="1">Model!$F$14+RAND()*(Model!$G$14-Model!$F$14)</f>
        <v>0.64803289808710041</v>
      </c>
      <c r="C4565" s="32">
        <f ca="1">Model!$F$15+RAND()*(Model!$G$15-Model!$F$15)</f>
        <v>3.3037624353926584E-2</v>
      </c>
      <c r="D4565" s="33">
        <f ca="1">Model!$F$16+RAND()*(Model!$G$16-Model!$F$16)</f>
        <v>49.533199128914347</v>
      </c>
      <c r="E4565" s="33">
        <f>Model!$D$17</f>
        <v>800</v>
      </c>
      <c r="G4565" s="36">
        <f t="shared" ca="1" si="73"/>
        <v>644.11949587718891</v>
      </c>
    </row>
    <row r="4566" spans="1:7" x14ac:dyDescent="0.2">
      <c r="A4566" s="6">
        <f ca="1">Model!$F$13+RAND()*(Model!$G$13-Model!$F$13)</f>
        <v>1510.7621099005084</v>
      </c>
      <c r="B4566" s="31">
        <f ca="1">Model!$F$14+RAND()*(Model!$G$14-Model!$F$14)</f>
        <v>0.25077451913038828</v>
      </c>
      <c r="C4566" s="32">
        <f ca="1">Model!$F$15+RAND()*(Model!$G$15-Model!$F$15)</f>
        <v>4.3969513215420419E-2</v>
      </c>
      <c r="D4566" s="33">
        <f ca="1">Model!$F$16+RAND()*(Model!$G$16-Model!$F$16)</f>
        <v>50.074646090679295</v>
      </c>
      <c r="E4566" s="33">
        <f>Model!$D$17</f>
        <v>800</v>
      </c>
      <c r="G4566" s="36">
        <f t="shared" ca="1" si="73"/>
        <v>2147.4716374899822</v>
      </c>
    </row>
    <row r="4567" spans="1:7" x14ac:dyDescent="0.2">
      <c r="A4567" s="6">
        <f ca="1">Model!$F$13+RAND()*(Model!$G$13-Model!$F$13)</f>
        <v>1467.3435675846317</v>
      </c>
      <c r="B4567" s="31">
        <f ca="1">Model!$F$14+RAND()*(Model!$G$14-Model!$F$14)</f>
        <v>0.32122908569418807</v>
      </c>
      <c r="C4567" s="32">
        <f ca="1">Model!$F$15+RAND()*(Model!$G$15-Model!$F$15)</f>
        <v>1.1030500288725431E-2</v>
      </c>
      <c r="D4567" s="33">
        <f ca="1">Model!$F$16+RAND()*(Model!$G$16-Model!$F$16)</f>
        <v>47.66455654807325</v>
      </c>
      <c r="E4567" s="33">
        <f>Model!$D$17</f>
        <v>800</v>
      </c>
      <c r="G4567" s="36">
        <f t="shared" ca="1" si="73"/>
        <v>-499.87714888863616</v>
      </c>
    </row>
    <row r="4568" spans="1:7" x14ac:dyDescent="0.2">
      <c r="A4568" s="6">
        <f ca="1">Model!$F$13+RAND()*(Model!$G$13-Model!$F$13)</f>
        <v>1528.9284984061421</v>
      </c>
      <c r="B4568" s="31">
        <f ca="1">Model!$F$14+RAND()*(Model!$G$14-Model!$F$14)</f>
        <v>0.67351503855597938</v>
      </c>
      <c r="C4568" s="32">
        <f ca="1">Model!$F$15+RAND()*(Model!$G$15-Model!$F$15)</f>
        <v>3.1789235011075084E-2</v>
      </c>
      <c r="D4568" s="33">
        <f ca="1">Model!$F$16+RAND()*(Model!$G$16-Model!$F$16)</f>
        <v>49.38681460967458</v>
      </c>
      <c r="E4568" s="33">
        <f>Model!$D$17</f>
        <v>800</v>
      </c>
      <c r="G4568" s="36">
        <f t="shared" ca="1" si="73"/>
        <v>570.6140948960317</v>
      </c>
    </row>
    <row r="4569" spans="1:7" x14ac:dyDescent="0.2">
      <c r="A4569" s="6">
        <f ca="1">Model!$F$13+RAND()*(Model!$G$13-Model!$F$13)</f>
        <v>1377.7987469002526</v>
      </c>
      <c r="B4569" s="31">
        <f ca="1">Model!$F$14+RAND()*(Model!$G$14-Model!$F$14)</f>
        <v>0.77292478044335411</v>
      </c>
      <c r="C4569" s="32">
        <f ca="1">Model!$F$15+RAND()*(Model!$G$15-Model!$F$15)</f>
        <v>3.6604834932948388E-2</v>
      </c>
      <c r="D4569" s="33">
        <f ca="1">Model!$F$16+RAND()*(Model!$G$16-Model!$F$16)</f>
        <v>49.000288951617442</v>
      </c>
      <c r="E4569" s="33">
        <f>Model!$D$17</f>
        <v>800</v>
      </c>
      <c r="G4569" s="36">
        <f t="shared" ca="1" si="73"/>
        <v>606.35046842475799</v>
      </c>
    </row>
    <row r="4570" spans="1:7" x14ac:dyDescent="0.2">
      <c r="A4570" s="6">
        <f ca="1">Model!$F$13+RAND()*(Model!$G$13-Model!$F$13)</f>
        <v>1570.7524029749779</v>
      </c>
      <c r="B4570" s="31">
        <f ca="1">Model!$F$14+RAND()*(Model!$G$14-Model!$F$14)</f>
        <v>0.75291637971255621</v>
      </c>
      <c r="C4570" s="32">
        <f ca="1">Model!$F$15+RAND()*(Model!$G$15-Model!$F$15)</f>
        <v>4.8468210828485694E-2</v>
      </c>
      <c r="D4570" s="33">
        <f ca="1">Model!$F$16+RAND()*(Model!$G$16-Model!$F$16)</f>
        <v>47.749775413936739</v>
      </c>
      <c r="E4570" s="33">
        <f>Model!$D$17</f>
        <v>800</v>
      </c>
      <c r="G4570" s="36">
        <f t="shared" ca="1" si="73"/>
        <v>1652.6196136671579</v>
      </c>
    </row>
    <row r="4571" spans="1:7" x14ac:dyDescent="0.2">
      <c r="A4571" s="6">
        <f ca="1">Model!$F$13+RAND()*(Model!$G$13-Model!$F$13)</f>
        <v>1734.665404610053</v>
      </c>
      <c r="B4571" s="31">
        <f ca="1">Model!$F$14+RAND()*(Model!$G$14-Model!$F$14)</f>
        <v>0.62739580842302733</v>
      </c>
      <c r="C4571" s="32">
        <f ca="1">Model!$F$15+RAND()*(Model!$G$15-Model!$F$15)</f>
        <v>4.2943068405381132E-2</v>
      </c>
      <c r="D4571" s="33">
        <f ca="1">Model!$F$16+RAND()*(Model!$G$16-Model!$F$16)</f>
        <v>47.412174504137219</v>
      </c>
      <c r="E4571" s="33">
        <f>Model!$D$17</f>
        <v>800</v>
      </c>
      <c r="G4571" s="36">
        <f t="shared" ca="1" si="73"/>
        <v>1643.4990307209714</v>
      </c>
    </row>
    <row r="4572" spans="1:7" x14ac:dyDescent="0.2">
      <c r="A4572" s="6">
        <f ca="1">Model!$F$13+RAND()*(Model!$G$13-Model!$F$13)</f>
        <v>1532.2826449724564</v>
      </c>
      <c r="B4572" s="31">
        <f ca="1">Model!$F$14+RAND()*(Model!$G$14-Model!$F$14)</f>
        <v>0.68745543916681706</v>
      </c>
      <c r="C4572" s="32">
        <f ca="1">Model!$F$15+RAND()*(Model!$G$15-Model!$F$15)</f>
        <v>1.273673342361227E-2</v>
      </c>
      <c r="D4572" s="33">
        <f ca="1">Model!$F$16+RAND()*(Model!$G$16-Model!$F$16)</f>
        <v>51.697599744691523</v>
      </c>
      <c r="E4572" s="33">
        <f>Model!$D$17</f>
        <v>800</v>
      </c>
      <c r="G4572" s="36">
        <f t="shared" ca="1" si="73"/>
        <v>-844.43143525551545</v>
      </c>
    </row>
    <row r="4573" spans="1:7" x14ac:dyDescent="0.2">
      <c r="A4573" s="6">
        <f ca="1">Model!$F$13+RAND()*(Model!$G$13-Model!$F$13)</f>
        <v>1426.0956515127746</v>
      </c>
      <c r="B4573" s="31">
        <f ca="1">Model!$F$14+RAND()*(Model!$G$14-Model!$F$14)</f>
        <v>0.31274998640433199</v>
      </c>
      <c r="C4573" s="32">
        <f ca="1">Model!$F$15+RAND()*(Model!$G$15-Model!$F$15)</f>
        <v>4.1918013403436365E-2</v>
      </c>
      <c r="D4573" s="33">
        <f ca="1">Model!$F$16+RAND()*(Model!$G$16-Model!$F$16)</f>
        <v>48.978697792410443</v>
      </c>
      <c r="E4573" s="33">
        <f>Model!$D$17</f>
        <v>800</v>
      </c>
      <c r="G4573" s="36">
        <f t="shared" ca="1" si="73"/>
        <v>1681.8909127521194</v>
      </c>
    </row>
    <row r="4574" spans="1:7" x14ac:dyDescent="0.2">
      <c r="A4574" s="6">
        <f ca="1">Model!$F$13+RAND()*(Model!$G$13-Model!$F$13)</f>
        <v>1262.0091030180458</v>
      </c>
      <c r="B4574" s="31">
        <f ca="1">Model!$F$14+RAND()*(Model!$G$14-Model!$F$14)</f>
        <v>0.20533725643793377</v>
      </c>
      <c r="C4574" s="32">
        <f ca="1">Model!$F$15+RAND()*(Model!$G$15-Model!$F$15)</f>
        <v>1.4458031814468884E-2</v>
      </c>
      <c r="D4574" s="33">
        <f ca="1">Model!$F$16+RAND()*(Model!$G$16-Model!$F$16)</f>
        <v>52.402788230514055</v>
      </c>
      <c r="E4574" s="33">
        <f>Model!$D$17</f>
        <v>800</v>
      </c>
      <c r="G4574" s="36">
        <f t="shared" ca="1" si="73"/>
        <v>-102.98742158469133</v>
      </c>
    </row>
    <row r="4575" spans="1:7" x14ac:dyDescent="0.2">
      <c r="A4575" s="6">
        <f ca="1">Model!$F$13+RAND()*(Model!$G$13-Model!$F$13)</f>
        <v>1647.6063027284931</v>
      </c>
      <c r="B4575" s="31">
        <f ca="1">Model!$F$14+RAND()*(Model!$G$14-Model!$F$14)</f>
        <v>0.51656836204739354</v>
      </c>
      <c r="C4575" s="32">
        <f ca="1">Model!$F$15+RAND()*(Model!$G$15-Model!$F$15)</f>
        <v>1.8851449612443911E-2</v>
      </c>
      <c r="D4575" s="33">
        <f ca="1">Model!$F$16+RAND()*(Model!$G$16-Model!$F$16)</f>
        <v>52.8356419845517</v>
      </c>
      <c r="E4575" s="33">
        <f>Model!$D$17</f>
        <v>800</v>
      </c>
      <c r="G4575" s="36">
        <f t="shared" ca="1" si="73"/>
        <v>-10.038549353556618</v>
      </c>
    </row>
    <row r="4576" spans="1:7" x14ac:dyDescent="0.2">
      <c r="A4576" s="6">
        <f ca="1">Model!$F$13+RAND()*(Model!$G$13-Model!$F$13)</f>
        <v>1760.6385096159479</v>
      </c>
      <c r="B4576" s="31">
        <f ca="1">Model!$F$14+RAND()*(Model!$G$14-Model!$F$14)</f>
        <v>0.59088539803267093</v>
      </c>
      <c r="C4576" s="32">
        <f ca="1">Model!$F$15+RAND()*(Model!$G$15-Model!$F$15)</f>
        <v>1.4231437764766861E-2</v>
      </c>
      <c r="D4576" s="33">
        <f ca="1">Model!$F$16+RAND()*(Model!$G$16-Model!$F$16)</f>
        <v>47.33230054273713</v>
      </c>
      <c r="E4576" s="33">
        <f>Model!$D$17</f>
        <v>800</v>
      </c>
      <c r="G4576" s="36">
        <f t="shared" ca="1" si="73"/>
        <v>-654.357708788016</v>
      </c>
    </row>
    <row r="4577" spans="1:7" x14ac:dyDescent="0.2">
      <c r="A4577" s="6">
        <f ca="1">Model!$F$13+RAND()*(Model!$G$13-Model!$F$13)</f>
        <v>1782.0403437855391</v>
      </c>
      <c r="B4577" s="31">
        <f ca="1">Model!$F$14+RAND()*(Model!$G$14-Model!$F$14)</f>
        <v>0.59654226305928537</v>
      </c>
      <c r="C4577" s="32">
        <f ca="1">Model!$F$15+RAND()*(Model!$G$15-Model!$F$15)</f>
        <v>2.1571485327424658E-2</v>
      </c>
      <c r="D4577" s="33">
        <f ca="1">Model!$F$16+RAND()*(Model!$G$16-Model!$F$16)</f>
        <v>48.072688506993792</v>
      </c>
      <c r="E4577" s="33">
        <f>Model!$D$17</f>
        <v>800</v>
      </c>
      <c r="G4577" s="36">
        <f t="shared" ca="1" si="73"/>
        <v>-15.087799772381686</v>
      </c>
    </row>
    <row r="4578" spans="1:7" x14ac:dyDescent="0.2">
      <c r="A4578" s="6">
        <f ca="1">Model!$F$13+RAND()*(Model!$G$13-Model!$F$13)</f>
        <v>1265.8602161951155</v>
      </c>
      <c r="B4578" s="31">
        <f ca="1">Model!$F$14+RAND()*(Model!$G$14-Model!$F$14)</f>
        <v>0.56875249900716196</v>
      </c>
      <c r="C4578" s="32">
        <f ca="1">Model!$F$15+RAND()*(Model!$G$15-Model!$F$15)</f>
        <v>4.2902194342234579E-2</v>
      </c>
      <c r="D4578" s="33">
        <f ca="1">Model!$F$16+RAND()*(Model!$G$16-Model!$F$16)</f>
        <v>51.206196660800934</v>
      </c>
      <c r="E4578" s="33">
        <f>Model!$D$17</f>
        <v>800</v>
      </c>
      <c r="G4578" s="36">
        <f t="shared" ca="1" si="73"/>
        <v>1260.954235493351</v>
      </c>
    </row>
    <row r="4579" spans="1:7" x14ac:dyDescent="0.2">
      <c r="A4579" s="6">
        <f ca="1">Model!$F$13+RAND()*(Model!$G$13-Model!$F$13)</f>
        <v>1688.56375409525</v>
      </c>
      <c r="B4579" s="31">
        <f ca="1">Model!$F$14+RAND()*(Model!$G$14-Model!$F$14)</f>
        <v>0.3547230187101863</v>
      </c>
      <c r="C4579" s="32">
        <f ca="1">Model!$F$15+RAND()*(Model!$G$15-Model!$F$15)</f>
        <v>3.4688360756414641E-2</v>
      </c>
      <c r="D4579" s="33">
        <f ca="1">Model!$F$16+RAND()*(Model!$G$16-Model!$F$16)</f>
        <v>49.493708379428639</v>
      </c>
      <c r="E4579" s="33">
        <f>Model!$D$17</f>
        <v>800</v>
      </c>
      <c r="G4579" s="36">
        <f t="shared" ca="1" si="73"/>
        <v>1500.0477243526534</v>
      </c>
    </row>
    <row r="4580" spans="1:7" x14ac:dyDescent="0.2">
      <c r="A4580" s="6">
        <f ca="1">Model!$F$13+RAND()*(Model!$G$13-Model!$F$13)</f>
        <v>1699.6585510175635</v>
      </c>
      <c r="B4580" s="31">
        <f ca="1">Model!$F$14+RAND()*(Model!$G$14-Model!$F$14)</f>
        <v>0.40741201316078585</v>
      </c>
      <c r="C4580" s="32">
        <f ca="1">Model!$F$15+RAND()*(Model!$G$15-Model!$F$15)</f>
        <v>2.1166642484533968E-2</v>
      </c>
      <c r="D4580" s="33">
        <f ca="1">Model!$F$16+RAND()*(Model!$G$16-Model!$F$16)</f>
        <v>48.989808947106823</v>
      </c>
      <c r="E4580" s="33">
        <f>Model!$D$17</f>
        <v>800</v>
      </c>
      <c r="G4580" s="36">
        <f t="shared" ca="1" si="73"/>
        <v>269.99923392707547</v>
      </c>
    </row>
    <row r="4581" spans="1:7" x14ac:dyDescent="0.2">
      <c r="A4581" s="6">
        <f ca="1">Model!$F$13+RAND()*(Model!$G$13-Model!$F$13)</f>
        <v>1608.9176182063554</v>
      </c>
      <c r="B4581" s="31">
        <f ca="1">Model!$F$14+RAND()*(Model!$G$14-Model!$F$14)</f>
        <v>0.57109096418118765</v>
      </c>
      <c r="C4581" s="32">
        <f ca="1">Model!$F$15+RAND()*(Model!$G$15-Model!$F$15)</f>
        <v>3.8028266330033353E-2</v>
      </c>
      <c r="D4581" s="33">
        <f ca="1">Model!$F$16+RAND()*(Model!$G$16-Model!$F$16)</f>
        <v>49.044734016684394</v>
      </c>
      <c r="E4581" s="33">
        <f>Model!$D$17</f>
        <v>800</v>
      </c>
      <c r="G4581" s="36">
        <f t="shared" ca="1" si="73"/>
        <v>1281.9317444842177</v>
      </c>
    </row>
    <row r="4582" spans="1:7" x14ac:dyDescent="0.2">
      <c r="A4582" s="6">
        <f ca="1">Model!$F$13+RAND()*(Model!$G$13-Model!$F$13)</f>
        <v>1643.156688846509</v>
      </c>
      <c r="B4582" s="31">
        <f ca="1">Model!$F$14+RAND()*(Model!$G$14-Model!$F$14)</f>
        <v>0.52186307286713773</v>
      </c>
      <c r="C4582" s="32">
        <f ca="1">Model!$F$15+RAND()*(Model!$G$15-Model!$F$15)</f>
        <v>3.389049251114707E-2</v>
      </c>
      <c r="D4582" s="33">
        <f ca="1">Model!$F$16+RAND()*(Model!$G$16-Model!$F$16)</f>
        <v>48.575606078922242</v>
      </c>
      <c r="E4582" s="33">
        <f>Model!$D$17</f>
        <v>800</v>
      </c>
      <c r="G4582" s="36">
        <f t="shared" ca="1" si="73"/>
        <v>1047.5458950314051</v>
      </c>
    </row>
    <row r="4583" spans="1:7" x14ac:dyDescent="0.2">
      <c r="A4583" s="6">
        <f ca="1">Model!$F$13+RAND()*(Model!$G$13-Model!$F$13)</f>
        <v>1487.4605282524458</v>
      </c>
      <c r="B4583" s="31">
        <f ca="1">Model!$F$14+RAND()*(Model!$G$14-Model!$F$14)</f>
        <v>0.73177223122451385</v>
      </c>
      <c r="C4583" s="32">
        <f ca="1">Model!$F$15+RAND()*(Model!$G$15-Model!$F$15)</f>
        <v>4.9398820689548747E-2</v>
      </c>
      <c r="D4583" s="33">
        <f ca="1">Model!$F$16+RAND()*(Model!$G$16-Model!$F$16)</f>
        <v>52.815804807407382</v>
      </c>
      <c r="E4583" s="33">
        <f>Model!$D$17</f>
        <v>800</v>
      </c>
      <c r="G4583" s="36">
        <f t="shared" ca="1" si="73"/>
        <v>1992.3594330667117</v>
      </c>
    </row>
    <row r="4584" spans="1:7" x14ac:dyDescent="0.2">
      <c r="A4584" s="6">
        <f ca="1">Model!$F$13+RAND()*(Model!$G$13-Model!$F$13)</f>
        <v>1303.3580318682982</v>
      </c>
      <c r="B4584" s="31">
        <f ca="1">Model!$F$14+RAND()*(Model!$G$14-Model!$F$14)</f>
        <v>0.28257425559943017</v>
      </c>
      <c r="C4584" s="32">
        <f ca="1">Model!$F$15+RAND()*(Model!$G$15-Model!$F$15)</f>
        <v>4.7123819111947247E-2</v>
      </c>
      <c r="D4584" s="33">
        <f ca="1">Model!$F$16+RAND()*(Model!$G$16-Model!$F$16)</f>
        <v>47.422069046952402</v>
      </c>
      <c r="E4584" s="33">
        <f>Model!$D$17</f>
        <v>800</v>
      </c>
      <c r="G4584" s="36">
        <f t="shared" ca="1" si="73"/>
        <v>1744.3305032037322</v>
      </c>
    </row>
    <row r="4585" spans="1:7" x14ac:dyDescent="0.2">
      <c r="A4585" s="6">
        <f ca="1">Model!$F$13+RAND()*(Model!$G$13-Model!$F$13)</f>
        <v>1627.3015771711098</v>
      </c>
      <c r="B4585" s="31">
        <f ca="1">Model!$F$14+RAND()*(Model!$G$14-Model!$F$14)</f>
        <v>0.39484473771212297</v>
      </c>
      <c r="C4585" s="32">
        <f ca="1">Model!$F$15+RAND()*(Model!$G$15-Model!$F$15)</f>
        <v>2.5932355189718495E-2</v>
      </c>
      <c r="D4585" s="33">
        <f ca="1">Model!$F$16+RAND()*(Model!$G$16-Model!$F$16)</f>
        <v>50.814247439027042</v>
      </c>
      <c r="E4585" s="33">
        <f>Model!$D$17</f>
        <v>800</v>
      </c>
      <c r="G4585" s="36">
        <f t="shared" ref="G4585:G4648" ca="1" si="74">A4585*C4585*D4585-(E4585+A4585*B4585)</f>
        <v>701.81770912603133</v>
      </c>
    </row>
    <row r="4586" spans="1:7" x14ac:dyDescent="0.2">
      <c r="A4586" s="6">
        <f ca="1">Model!$F$13+RAND()*(Model!$G$13-Model!$F$13)</f>
        <v>1415.1873916764634</v>
      </c>
      <c r="B4586" s="31">
        <f ca="1">Model!$F$14+RAND()*(Model!$G$14-Model!$F$14)</f>
        <v>0.374021803824231</v>
      </c>
      <c r="C4586" s="32">
        <f ca="1">Model!$F$15+RAND()*(Model!$G$15-Model!$F$15)</f>
        <v>4.7725061747462667E-2</v>
      </c>
      <c r="D4586" s="33">
        <f ca="1">Model!$F$16+RAND()*(Model!$G$16-Model!$F$16)</f>
        <v>47.187412889812066</v>
      </c>
      <c r="E4586" s="33">
        <f>Model!$D$17</f>
        <v>800</v>
      </c>
      <c r="G4586" s="36">
        <f t="shared" ca="1" si="74"/>
        <v>1857.7224735552572</v>
      </c>
    </row>
    <row r="4587" spans="1:7" x14ac:dyDescent="0.2">
      <c r="A4587" s="6">
        <f ca="1">Model!$F$13+RAND()*(Model!$G$13-Model!$F$13)</f>
        <v>1317.3715103130123</v>
      </c>
      <c r="B4587" s="31">
        <f ca="1">Model!$F$14+RAND()*(Model!$G$14-Model!$F$14)</f>
        <v>0.64509251169524329</v>
      </c>
      <c r="C4587" s="32">
        <f ca="1">Model!$F$15+RAND()*(Model!$G$15-Model!$F$15)</f>
        <v>1.0407541701867249E-2</v>
      </c>
      <c r="D4587" s="33">
        <f ca="1">Model!$F$16+RAND()*(Model!$G$16-Model!$F$16)</f>
        <v>48.292519895462057</v>
      </c>
      <c r="E4587" s="33">
        <f>Model!$D$17</f>
        <v>800</v>
      </c>
      <c r="G4587" s="36">
        <f t="shared" ca="1" si="74"/>
        <v>-987.70712479686756</v>
      </c>
    </row>
    <row r="4588" spans="1:7" x14ac:dyDescent="0.2">
      <c r="A4588" s="6">
        <f ca="1">Model!$F$13+RAND()*(Model!$G$13-Model!$F$13)</f>
        <v>1481.083209527163</v>
      </c>
      <c r="B4588" s="31">
        <f ca="1">Model!$F$14+RAND()*(Model!$G$14-Model!$F$14)</f>
        <v>0.79501199628480168</v>
      </c>
      <c r="C4588" s="32">
        <f ca="1">Model!$F$15+RAND()*(Model!$G$15-Model!$F$15)</f>
        <v>2.1333665156248731E-2</v>
      </c>
      <c r="D4588" s="33">
        <f ca="1">Model!$F$16+RAND()*(Model!$G$16-Model!$F$16)</f>
        <v>48.006818038073774</v>
      </c>
      <c r="E4588" s="33">
        <f>Model!$D$17</f>
        <v>800</v>
      </c>
      <c r="G4588" s="36">
        <f t="shared" ca="1" si="74"/>
        <v>-460.6106934675613</v>
      </c>
    </row>
    <row r="4589" spans="1:7" x14ac:dyDescent="0.2">
      <c r="A4589" s="6">
        <f ca="1">Model!$F$13+RAND()*(Model!$G$13-Model!$F$13)</f>
        <v>1290.6153327477527</v>
      </c>
      <c r="B4589" s="31">
        <f ca="1">Model!$F$14+RAND()*(Model!$G$14-Model!$F$14)</f>
        <v>0.54630837050119496</v>
      </c>
      <c r="C4589" s="32">
        <f ca="1">Model!$F$15+RAND()*(Model!$G$15-Model!$F$15)</f>
        <v>3.9174948194205764E-2</v>
      </c>
      <c r="D4589" s="33">
        <f ca="1">Model!$F$16+RAND()*(Model!$G$16-Model!$F$16)</f>
        <v>48.111565165292383</v>
      </c>
      <c r="E4589" s="33">
        <f>Model!$D$17</f>
        <v>800</v>
      </c>
      <c r="G4589" s="36">
        <f t="shared" ca="1" si="74"/>
        <v>927.4366141711912</v>
      </c>
    </row>
    <row r="4590" spans="1:7" x14ac:dyDescent="0.2">
      <c r="A4590" s="6">
        <f ca="1">Model!$F$13+RAND()*(Model!$G$13-Model!$F$13)</f>
        <v>1660.5916080474735</v>
      </c>
      <c r="B4590" s="31">
        <f ca="1">Model!$F$14+RAND()*(Model!$G$14-Model!$F$14)</f>
        <v>0.38613551218996439</v>
      </c>
      <c r="C4590" s="32">
        <f ca="1">Model!$F$15+RAND()*(Model!$G$15-Model!$F$15)</f>
        <v>1.397496497205458E-2</v>
      </c>
      <c r="D4590" s="33">
        <f ca="1">Model!$F$16+RAND()*(Model!$G$16-Model!$F$16)</f>
        <v>50.4866339422504</v>
      </c>
      <c r="E4590" s="33">
        <f>Model!$D$17</f>
        <v>800</v>
      </c>
      <c r="G4590" s="36">
        <f t="shared" ca="1" si="74"/>
        <v>-269.58474078662562</v>
      </c>
    </row>
    <row r="4591" spans="1:7" x14ac:dyDescent="0.2">
      <c r="A4591" s="6">
        <f ca="1">Model!$F$13+RAND()*(Model!$G$13-Model!$F$13)</f>
        <v>1461.8938527999437</v>
      </c>
      <c r="B4591" s="31">
        <f ca="1">Model!$F$14+RAND()*(Model!$G$14-Model!$F$14)</f>
        <v>0.64178480366564883</v>
      </c>
      <c r="C4591" s="32">
        <f ca="1">Model!$F$15+RAND()*(Model!$G$15-Model!$F$15)</f>
        <v>1.1713230616519618E-2</v>
      </c>
      <c r="D4591" s="33">
        <f ca="1">Model!$F$16+RAND()*(Model!$G$16-Model!$F$16)</f>
        <v>51.299311641022683</v>
      </c>
      <c r="E4591" s="33">
        <f>Model!$D$17</f>
        <v>800</v>
      </c>
      <c r="G4591" s="36">
        <f t="shared" ca="1" si="74"/>
        <v>-859.79750489302546</v>
      </c>
    </row>
    <row r="4592" spans="1:7" x14ac:dyDescent="0.2">
      <c r="A4592" s="6">
        <f ca="1">Model!$F$13+RAND()*(Model!$G$13-Model!$F$13)</f>
        <v>1451.294669671674</v>
      </c>
      <c r="B4592" s="31">
        <f ca="1">Model!$F$14+RAND()*(Model!$G$14-Model!$F$14)</f>
        <v>0.42096155112309647</v>
      </c>
      <c r="C4592" s="32">
        <f ca="1">Model!$F$15+RAND()*(Model!$G$15-Model!$F$15)</f>
        <v>1.0425438261963045E-2</v>
      </c>
      <c r="D4592" s="33">
        <f ca="1">Model!$F$16+RAND()*(Model!$G$16-Model!$F$16)</f>
        <v>47.802348802025847</v>
      </c>
      <c r="E4592" s="33">
        <f>Model!$D$17</f>
        <v>800</v>
      </c>
      <c r="G4592" s="36">
        <f t="shared" ca="1" si="74"/>
        <v>-687.67141063144527</v>
      </c>
    </row>
    <row r="4593" spans="1:7" x14ac:dyDescent="0.2">
      <c r="A4593" s="6">
        <f ca="1">Model!$F$13+RAND()*(Model!$G$13-Model!$F$13)</f>
        <v>1213.466605249771</v>
      </c>
      <c r="B4593" s="31">
        <f ca="1">Model!$F$14+RAND()*(Model!$G$14-Model!$F$14)</f>
        <v>0.71152089477608915</v>
      </c>
      <c r="C4593" s="32">
        <f ca="1">Model!$F$15+RAND()*(Model!$G$15-Model!$F$15)</f>
        <v>3.3547207603209048E-2</v>
      </c>
      <c r="D4593" s="33">
        <f ca="1">Model!$F$16+RAND()*(Model!$G$16-Model!$F$16)</f>
        <v>50.502136076268314</v>
      </c>
      <c r="E4593" s="33">
        <f>Model!$D$17</f>
        <v>800</v>
      </c>
      <c r="G4593" s="36">
        <f t="shared" ca="1" si="74"/>
        <v>392.45512589009377</v>
      </c>
    </row>
    <row r="4594" spans="1:7" x14ac:dyDescent="0.2">
      <c r="A4594" s="6">
        <f ca="1">Model!$F$13+RAND()*(Model!$G$13-Model!$F$13)</f>
        <v>1202.0688646643946</v>
      </c>
      <c r="B4594" s="31">
        <f ca="1">Model!$F$14+RAND()*(Model!$G$14-Model!$F$14)</f>
        <v>0.20539951321491584</v>
      </c>
      <c r="C4594" s="32">
        <f ca="1">Model!$F$15+RAND()*(Model!$G$15-Model!$F$15)</f>
        <v>3.1747115621658877E-2</v>
      </c>
      <c r="D4594" s="33">
        <f ca="1">Model!$F$16+RAND()*(Model!$G$16-Model!$F$16)</f>
        <v>51.889940015582148</v>
      </c>
      <c r="E4594" s="33">
        <f>Model!$D$17</f>
        <v>800</v>
      </c>
      <c r="G4594" s="36">
        <f t="shared" ca="1" si="74"/>
        <v>933.33090714136688</v>
      </c>
    </row>
    <row r="4595" spans="1:7" x14ac:dyDescent="0.2">
      <c r="A4595" s="6">
        <f ca="1">Model!$F$13+RAND()*(Model!$G$13-Model!$F$13)</f>
        <v>1540.3204010818558</v>
      </c>
      <c r="B4595" s="31">
        <f ca="1">Model!$F$14+RAND()*(Model!$G$14-Model!$F$14)</f>
        <v>0.39066748097709014</v>
      </c>
      <c r="C4595" s="32">
        <f ca="1">Model!$F$15+RAND()*(Model!$G$15-Model!$F$15)</f>
        <v>2.5540727053228872E-2</v>
      </c>
      <c r="D4595" s="33">
        <f ca="1">Model!$F$16+RAND()*(Model!$G$16-Model!$F$16)</f>
        <v>49.210760405582164</v>
      </c>
      <c r="E4595" s="33">
        <f>Model!$D$17</f>
        <v>800</v>
      </c>
      <c r="G4595" s="36">
        <f t="shared" ca="1" si="74"/>
        <v>534.24265766006124</v>
      </c>
    </row>
    <row r="4596" spans="1:7" x14ac:dyDescent="0.2">
      <c r="A4596" s="6">
        <f ca="1">Model!$F$13+RAND()*(Model!$G$13-Model!$F$13)</f>
        <v>1435.1301293932802</v>
      </c>
      <c r="B4596" s="31">
        <f ca="1">Model!$F$14+RAND()*(Model!$G$14-Model!$F$14)</f>
        <v>0.55740815830031121</v>
      </c>
      <c r="C4596" s="32">
        <f ca="1">Model!$F$15+RAND()*(Model!$G$15-Model!$F$15)</f>
        <v>3.7423859994390914E-2</v>
      </c>
      <c r="D4596" s="33">
        <f ca="1">Model!$F$16+RAND()*(Model!$G$16-Model!$F$16)</f>
        <v>52.13848670211928</v>
      </c>
      <c r="E4596" s="33">
        <f>Model!$D$17</f>
        <v>800</v>
      </c>
      <c r="G4596" s="36">
        <f t="shared" ca="1" si="74"/>
        <v>1200.3062864306871</v>
      </c>
    </row>
    <row r="4597" spans="1:7" x14ac:dyDescent="0.2">
      <c r="A4597" s="6">
        <f ca="1">Model!$F$13+RAND()*(Model!$G$13-Model!$F$13)</f>
        <v>1694.4524617582717</v>
      </c>
      <c r="B4597" s="31">
        <f ca="1">Model!$F$14+RAND()*(Model!$G$14-Model!$F$14)</f>
        <v>0.67711210823695978</v>
      </c>
      <c r="C4597" s="32">
        <f ca="1">Model!$F$15+RAND()*(Model!$G$15-Model!$F$15)</f>
        <v>3.5374823658571301E-2</v>
      </c>
      <c r="D4597" s="33">
        <f ca="1">Model!$F$16+RAND()*(Model!$G$16-Model!$F$16)</f>
        <v>52.686262007295596</v>
      </c>
      <c r="E4597" s="33">
        <f>Model!$D$17</f>
        <v>800</v>
      </c>
      <c r="G4597" s="36">
        <f t="shared" ca="1" si="74"/>
        <v>1210.7306884955208</v>
      </c>
    </row>
    <row r="4598" spans="1:7" x14ac:dyDescent="0.2">
      <c r="A4598" s="6">
        <f ca="1">Model!$F$13+RAND()*(Model!$G$13-Model!$F$13)</f>
        <v>1328.6555324452565</v>
      </c>
      <c r="B4598" s="31">
        <f ca="1">Model!$F$14+RAND()*(Model!$G$14-Model!$F$14)</f>
        <v>0.45039066570830238</v>
      </c>
      <c r="C4598" s="32">
        <f ca="1">Model!$F$15+RAND()*(Model!$G$15-Model!$F$15)</f>
        <v>3.729212477673835E-2</v>
      </c>
      <c r="D4598" s="33">
        <f ca="1">Model!$F$16+RAND()*(Model!$G$16-Model!$F$16)</f>
        <v>47.514882669383297</v>
      </c>
      <c r="E4598" s="33">
        <f>Model!$D$17</f>
        <v>800</v>
      </c>
      <c r="G4598" s="36">
        <f t="shared" ca="1" si="74"/>
        <v>955.87178783005311</v>
      </c>
    </row>
    <row r="4599" spans="1:7" x14ac:dyDescent="0.2">
      <c r="A4599" s="6">
        <f ca="1">Model!$F$13+RAND()*(Model!$G$13-Model!$F$13)</f>
        <v>1532.1916395823814</v>
      </c>
      <c r="B4599" s="31">
        <f ca="1">Model!$F$14+RAND()*(Model!$G$14-Model!$F$14)</f>
        <v>0.55856821358243791</v>
      </c>
      <c r="C4599" s="32">
        <f ca="1">Model!$F$15+RAND()*(Model!$G$15-Model!$F$15)</f>
        <v>4.1266463198739924E-2</v>
      </c>
      <c r="D4599" s="33">
        <f ca="1">Model!$F$16+RAND()*(Model!$G$16-Model!$F$16)</f>
        <v>47.671081375770264</v>
      </c>
      <c r="E4599" s="33">
        <f>Model!$D$17</f>
        <v>800</v>
      </c>
      <c r="G4599" s="36">
        <f t="shared" ca="1" si="74"/>
        <v>1358.3197791061639</v>
      </c>
    </row>
    <row r="4600" spans="1:7" x14ac:dyDescent="0.2">
      <c r="A4600" s="6">
        <f ca="1">Model!$F$13+RAND()*(Model!$G$13-Model!$F$13)</f>
        <v>1602.2908097756467</v>
      </c>
      <c r="B4600" s="31">
        <f ca="1">Model!$F$14+RAND()*(Model!$G$14-Model!$F$14)</f>
        <v>0.63670825786351759</v>
      </c>
      <c r="C4600" s="32">
        <f ca="1">Model!$F$15+RAND()*(Model!$G$15-Model!$F$15)</f>
        <v>1.5057988078796894E-2</v>
      </c>
      <c r="D4600" s="33">
        <f ca="1">Model!$F$16+RAND()*(Model!$G$16-Model!$F$16)</f>
        <v>47.773800858714786</v>
      </c>
      <c r="E4600" s="33">
        <f>Model!$D$17</f>
        <v>800</v>
      </c>
      <c r="G4600" s="36">
        <f t="shared" ca="1" si="74"/>
        <v>-667.54011538226541</v>
      </c>
    </row>
    <row r="4601" spans="1:7" x14ac:dyDescent="0.2">
      <c r="A4601" s="6">
        <f ca="1">Model!$F$13+RAND()*(Model!$G$13-Model!$F$13)</f>
        <v>1473.2484966972638</v>
      </c>
      <c r="B4601" s="31">
        <f ca="1">Model!$F$14+RAND()*(Model!$G$14-Model!$F$14)</f>
        <v>0.45577490901700629</v>
      </c>
      <c r="C4601" s="32">
        <f ca="1">Model!$F$15+RAND()*(Model!$G$15-Model!$F$15)</f>
        <v>1.3345567338778168E-2</v>
      </c>
      <c r="D4601" s="33">
        <f ca="1">Model!$F$16+RAND()*(Model!$G$16-Model!$F$16)</f>
        <v>50.390333905963431</v>
      </c>
      <c r="E4601" s="33">
        <f>Model!$D$17</f>
        <v>800</v>
      </c>
      <c r="G4601" s="36">
        <f t="shared" ca="1" si="74"/>
        <v>-480.72836209502816</v>
      </c>
    </row>
    <row r="4602" spans="1:7" x14ac:dyDescent="0.2">
      <c r="A4602" s="6">
        <f ca="1">Model!$F$13+RAND()*(Model!$G$13-Model!$F$13)</f>
        <v>1295.6692682530183</v>
      </c>
      <c r="B4602" s="31">
        <f ca="1">Model!$F$14+RAND()*(Model!$G$14-Model!$F$14)</f>
        <v>0.61431903927247833</v>
      </c>
      <c r="C4602" s="32">
        <f ca="1">Model!$F$15+RAND()*(Model!$G$15-Model!$F$15)</f>
        <v>1.850547966839778E-2</v>
      </c>
      <c r="D4602" s="33">
        <f ca="1">Model!$F$16+RAND()*(Model!$G$16-Model!$F$16)</f>
        <v>49.894996089830784</v>
      </c>
      <c r="E4602" s="33">
        <f>Model!$D$17</f>
        <v>800</v>
      </c>
      <c r="G4602" s="36">
        <f t="shared" ca="1" si="74"/>
        <v>-399.62291184748597</v>
      </c>
    </row>
    <row r="4603" spans="1:7" x14ac:dyDescent="0.2">
      <c r="A4603" s="6">
        <f ca="1">Model!$F$13+RAND()*(Model!$G$13-Model!$F$13)</f>
        <v>1481.3162973404249</v>
      </c>
      <c r="B4603" s="31">
        <f ca="1">Model!$F$14+RAND()*(Model!$G$14-Model!$F$14)</f>
        <v>0.68301625086926432</v>
      </c>
      <c r="C4603" s="32">
        <f ca="1">Model!$F$15+RAND()*(Model!$G$15-Model!$F$15)</f>
        <v>1.3013479716431494E-2</v>
      </c>
      <c r="D4603" s="33">
        <f ca="1">Model!$F$16+RAND()*(Model!$G$16-Model!$F$16)</f>
        <v>47.055788809965179</v>
      </c>
      <c r="E4603" s="33">
        <f>Model!$D$17</f>
        <v>800</v>
      </c>
      <c r="G4603" s="36">
        <f t="shared" ca="1" si="74"/>
        <v>-904.66491774534575</v>
      </c>
    </row>
    <row r="4604" spans="1:7" x14ac:dyDescent="0.2">
      <c r="A4604" s="6">
        <f ca="1">Model!$F$13+RAND()*(Model!$G$13-Model!$F$13)</f>
        <v>1526.592309200563</v>
      </c>
      <c r="B4604" s="31">
        <f ca="1">Model!$F$14+RAND()*(Model!$G$14-Model!$F$14)</f>
        <v>0.37366244194536991</v>
      </c>
      <c r="C4604" s="32">
        <f ca="1">Model!$F$15+RAND()*(Model!$G$15-Model!$F$15)</f>
        <v>3.7749161648559224E-2</v>
      </c>
      <c r="D4604" s="33">
        <f ca="1">Model!$F$16+RAND()*(Model!$G$16-Model!$F$16)</f>
        <v>49.216399047294772</v>
      </c>
      <c r="E4604" s="33">
        <f>Model!$D$17</f>
        <v>800</v>
      </c>
      <c r="G4604" s="36">
        <f t="shared" ca="1" si="74"/>
        <v>1465.7917559883642</v>
      </c>
    </row>
    <row r="4605" spans="1:7" x14ac:dyDescent="0.2">
      <c r="A4605" s="6">
        <f ca="1">Model!$F$13+RAND()*(Model!$G$13-Model!$F$13)</f>
        <v>1375.5439751396329</v>
      </c>
      <c r="B4605" s="31">
        <f ca="1">Model!$F$14+RAND()*(Model!$G$14-Model!$F$14)</f>
        <v>0.78882090244221148</v>
      </c>
      <c r="C4605" s="32">
        <f ca="1">Model!$F$15+RAND()*(Model!$G$15-Model!$F$15)</f>
        <v>1.6281946187950567E-2</v>
      </c>
      <c r="D4605" s="33">
        <f ca="1">Model!$F$16+RAND()*(Model!$G$16-Model!$F$16)</f>
        <v>52.943282070683573</v>
      </c>
      <c r="E4605" s="33">
        <f>Model!$D$17</f>
        <v>800</v>
      </c>
      <c r="G4605" s="36">
        <f t="shared" ca="1" si="74"/>
        <v>-699.31187672691476</v>
      </c>
    </row>
    <row r="4606" spans="1:7" x14ac:dyDescent="0.2">
      <c r="A4606" s="6">
        <f ca="1">Model!$F$13+RAND()*(Model!$G$13-Model!$F$13)</f>
        <v>1345.3666730127688</v>
      </c>
      <c r="B4606" s="31">
        <f ca="1">Model!$F$14+RAND()*(Model!$G$14-Model!$F$14)</f>
        <v>0.36452988250005147</v>
      </c>
      <c r="C4606" s="32">
        <f ca="1">Model!$F$15+RAND()*(Model!$G$15-Model!$F$15)</f>
        <v>4.2142916294766651E-2</v>
      </c>
      <c r="D4606" s="33">
        <f ca="1">Model!$F$16+RAND()*(Model!$G$16-Model!$F$16)</f>
        <v>47.222046259062232</v>
      </c>
      <c r="E4606" s="33">
        <f>Model!$D$17</f>
        <v>800</v>
      </c>
      <c r="G4606" s="36">
        <f t="shared" ca="1" si="74"/>
        <v>1386.9538804853169</v>
      </c>
    </row>
    <row r="4607" spans="1:7" x14ac:dyDescent="0.2">
      <c r="A4607" s="6">
        <f ca="1">Model!$F$13+RAND()*(Model!$G$13-Model!$F$13)</f>
        <v>1616.7656661917763</v>
      </c>
      <c r="B4607" s="31">
        <f ca="1">Model!$F$14+RAND()*(Model!$G$14-Model!$F$14)</f>
        <v>0.4865197483787545</v>
      </c>
      <c r="C4607" s="32">
        <f ca="1">Model!$F$15+RAND()*(Model!$G$15-Model!$F$15)</f>
        <v>1.7359640264405868E-2</v>
      </c>
      <c r="D4607" s="33">
        <f ca="1">Model!$F$16+RAND()*(Model!$G$16-Model!$F$16)</f>
        <v>50.16238611305404</v>
      </c>
      <c r="E4607" s="33">
        <f>Model!$D$17</f>
        <v>800</v>
      </c>
      <c r="G4607" s="36">
        <f t="shared" ca="1" si="74"/>
        <v>-178.70730222803718</v>
      </c>
    </row>
    <row r="4608" spans="1:7" x14ac:dyDescent="0.2">
      <c r="A4608" s="6">
        <f ca="1">Model!$F$13+RAND()*(Model!$G$13-Model!$F$13)</f>
        <v>1358.3140527663522</v>
      </c>
      <c r="B4608" s="31">
        <f ca="1">Model!$F$14+RAND()*(Model!$G$14-Model!$F$14)</f>
        <v>0.28224128010997418</v>
      </c>
      <c r="C4608" s="32">
        <f ca="1">Model!$F$15+RAND()*(Model!$G$15-Model!$F$15)</f>
        <v>3.233103519391068E-2</v>
      </c>
      <c r="D4608" s="33">
        <f ca="1">Model!$F$16+RAND()*(Model!$G$16-Model!$F$16)</f>
        <v>49.638424374388762</v>
      </c>
      <c r="E4608" s="33">
        <f>Model!$D$17</f>
        <v>800</v>
      </c>
      <c r="G4608" s="36">
        <f t="shared" ca="1" si="74"/>
        <v>996.53382867372284</v>
      </c>
    </row>
    <row r="4609" spans="1:7" x14ac:dyDescent="0.2">
      <c r="A4609" s="6">
        <f ca="1">Model!$F$13+RAND()*(Model!$G$13-Model!$F$13)</f>
        <v>1502.8773394442819</v>
      </c>
      <c r="B4609" s="31">
        <f ca="1">Model!$F$14+RAND()*(Model!$G$14-Model!$F$14)</f>
        <v>0.35770982401841578</v>
      </c>
      <c r="C4609" s="32">
        <f ca="1">Model!$F$15+RAND()*(Model!$G$15-Model!$F$15)</f>
        <v>3.7965148751991334E-2</v>
      </c>
      <c r="D4609" s="33">
        <f ca="1">Model!$F$16+RAND()*(Model!$G$16-Model!$F$16)</f>
        <v>47.26811803798882</v>
      </c>
      <c r="E4609" s="33">
        <f>Model!$D$17</f>
        <v>800</v>
      </c>
      <c r="G4609" s="36">
        <f t="shared" ca="1" si="74"/>
        <v>1359.3812141795574</v>
      </c>
    </row>
    <row r="4610" spans="1:7" x14ac:dyDescent="0.2">
      <c r="A4610" s="6">
        <f ca="1">Model!$F$13+RAND()*(Model!$G$13-Model!$F$13)</f>
        <v>1460.5467460870207</v>
      </c>
      <c r="B4610" s="31">
        <f ca="1">Model!$F$14+RAND()*(Model!$G$14-Model!$F$14)</f>
        <v>0.28323085621485661</v>
      </c>
      <c r="C4610" s="32">
        <f ca="1">Model!$F$15+RAND()*(Model!$G$15-Model!$F$15)</f>
        <v>1.4845818150402153E-2</v>
      </c>
      <c r="D4610" s="33">
        <f ca="1">Model!$F$16+RAND()*(Model!$G$16-Model!$F$16)</f>
        <v>49.257191696497053</v>
      </c>
      <c r="E4610" s="33">
        <f>Model!$D$17</f>
        <v>800</v>
      </c>
      <c r="G4610" s="36">
        <f t="shared" ca="1" si="74"/>
        <v>-145.62765671492434</v>
      </c>
    </row>
    <row r="4611" spans="1:7" x14ac:dyDescent="0.2">
      <c r="A4611" s="6">
        <f ca="1">Model!$F$13+RAND()*(Model!$G$13-Model!$F$13)</f>
        <v>1469.409169273338</v>
      </c>
      <c r="B4611" s="31">
        <f ca="1">Model!$F$14+RAND()*(Model!$G$14-Model!$F$14)</f>
        <v>0.52548868518015246</v>
      </c>
      <c r="C4611" s="32">
        <f ca="1">Model!$F$15+RAND()*(Model!$G$15-Model!$F$15)</f>
        <v>2.3485091966963259E-2</v>
      </c>
      <c r="D4611" s="33">
        <f ca="1">Model!$F$16+RAND()*(Model!$G$16-Model!$F$16)</f>
        <v>52.369954931141727</v>
      </c>
      <c r="E4611" s="33">
        <f>Model!$D$17</f>
        <v>800</v>
      </c>
      <c r="G4611" s="36">
        <f t="shared" ca="1" si="74"/>
        <v>235.0878526920294</v>
      </c>
    </row>
    <row r="4612" spans="1:7" x14ac:dyDescent="0.2">
      <c r="A4612" s="6">
        <f ca="1">Model!$F$13+RAND()*(Model!$G$13-Model!$F$13)</f>
        <v>1408.089818361444</v>
      </c>
      <c r="B4612" s="31">
        <f ca="1">Model!$F$14+RAND()*(Model!$G$14-Model!$F$14)</f>
        <v>0.20763661240285483</v>
      </c>
      <c r="C4612" s="32">
        <f ca="1">Model!$F$15+RAND()*(Model!$G$15-Model!$F$15)</f>
        <v>4.3132231875255618E-2</v>
      </c>
      <c r="D4612" s="33">
        <f ca="1">Model!$F$16+RAND()*(Model!$G$16-Model!$F$16)</f>
        <v>49.967197360171475</v>
      </c>
      <c r="E4612" s="33">
        <f>Model!$D$17</f>
        <v>800</v>
      </c>
      <c r="G4612" s="36">
        <f t="shared" ca="1" si="74"/>
        <v>1942.3395901118688</v>
      </c>
    </row>
    <row r="4613" spans="1:7" x14ac:dyDescent="0.2">
      <c r="A4613" s="6">
        <f ca="1">Model!$F$13+RAND()*(Model!$G$13-Model!$F$13)</f>
        <v>1632.2945382284695</v>
      </c>
      <c r="B4613" s="31">
        <f ca="1">Model!$F$14+RAND()*(Model!$G$14-Model!$F$14)</f>
        <v>0.4227073700243289</v>
      </c>
      <c r="C4613" s="32">
        <f ca="1">Model!$F$15+RAND()*(Model!$G$15-Model!$F$15)</f>
        <v>3.9123726148565928E-2</v>
      </c>
      <c r="D4613" s="33">
        <f ca="1">Model!$F$16+RAND()*(Model!$G$16-Model!$F$16)</f>
        <v>52.960858026206473</v>
      </c>
      <c r="E4613" s="33">
        <f>Model!$D$17</f>
        <v>800</v>
      </c>
      <c r="G4613" s="36">
        <f t="shared" ca="1" si="74"/>
        <v>1892.1739645479174</v>
      </c>
    </row>
    <row r="4614" spans="1:7" x14ac:dyDescent="0.2">
      <c r="A4614" s="6">
        <f ca="1">Model!$F$13+RAND()*(Model!$G$13-Model!$F$13)</f>
        <v>1528.0968311503389</v>
      </c>
      <c r="B4614" s="31">
        <f ca="1">Model!$F$14+RAND()*(Model!$G$14-Model!$F$14)</f>
        <v>0.6985160109372005</v>
      </c>
      <c r="C4614" s="32">
        <f ca="1">Model!$F$15+RAND()*(Model!$G$15-Model!$F$15)</f>
        <v>4.9491832603466512E-2</v>
      </c>
      <c r="D4614" s="33">
        <f ca="1">Model!$F$16+RAND()*(Model!$G$16-Model!$F$16)</f>
        <v>52.348892749109055</v>
      </c>
      <c r="E4614" s="33">
        <f>Model!$D$17</f>
        <v>800</v>
      </c>
      <c r="G4614" s="36">
        <f t="shared" ca="1" si="74"/>
        <v>2091.6583206591995</v>
      </c>
    </row>
    <row r="4615" spans="1:7" x14ac:dyDescent="0.2">
      <c r="A4615" s="6">
        <f ca="1">Model!$F$13+RAND()*(Model!$G$13-Model!$F$13)</f>
        <v>1616.4718591937267</v>
      </c>
      <c r="B4615" s="31">
        <f ca="1">Model!$F$14+RAND()*(Model!$G$14-Model!$F$14)</f>
        <v>0.2853346379313057</v>
      </c>
      <c r="C4615" s="32">
        <f ca="1">Model!$F$15+RAND()*(Model!$G$15-Model!$F$15)</f>
        <v>4.3947644992437779E-2</v>
      </c>
      <c r="D4615" s="33">
        <f ca="1">Model!$F$16+RAND()*(Model!$G$16-Model!$F$16)</f>
        <v>52.990394437210654</v>
      </c>
      <c r="E4615" s="33">
        <f>Model!$D$17</f>
        <v>800</v>
      </c>
      <c r="G4615" s="36">
        <f t="shared" ca="1" si="74"/>
        <v>2503.2091715179326</v>
      </c>
    </row>
    <row r="4616" spans="1:7" x14ac:dyDescent="0.2">
      <c r="A4616" s="6">
        <f ca="1">Model!$F$13+RAND()*(Model!$G$13-Model!$F$13)</f>
        <v>1211.1515262202449</v>
      </c>
      <c r="B4616" s="31">
        <f ca="1">Model!$F$14+RAND()*(Model!$G$14-Model!$F$14)</f>
        <v>0.57472354118303892</v>
      </c>
      <c r="C4616" s="32">
        <f ca="1">Model!$F$15+RAND()*(Model!$G$15-Model!$F$15)</f>
        <v>4.5244057377676256E-2</v>
      </c>
      <c r="D4616" s="33">
        <f ca="1">Model!$F$16+RAND()*(Model!$G$16-Model!$F$16)</f>
        <v>47.155157205948974</v>
      </c>
      <c r="E4616" s="33">
        <f>Model!$D$17</f>
        <v>800</v>
      </c>
      <c r="G4616" s="36">
        <f t="shared" ca="1" si="74"/>
        <v>1087.9031486700367</v>
      </c>
    </row>
    <row r="4617" spans="1:7" x14ac:dyDescent="0.2">
      <c r="A4617" s="6">
        <f ca="1">Model!$F$13+RAND()*(Model!$G$13-Model!$F$13)</f>
        <v>1342.0390646464823</v>
      </c>
      <c r="B4617" s="31">
        <f ca="1">Model!$F$14+RAND()*(Model!$G$14-Model!$F$14)</f>
        <v>0.38462194850061648</v>
      </c>
      <c r="C4617" s="32">
        <f ca="1">Model!$F$15+RAND()*(Model!$G$15-Model!$F$15)</f>
        <v>4.2276394792902197E-2</v>
      </c>
      <c r="D4617" s="33">
        <f ca="1">Model!$F$16+RAND()*(Model!$G$16-Model!$F$16)</f>
        <v>51.883379830845108</v>
      </c>
      <c r="E4617" s="33">
        <f>Model!$D$17</f>
        <v>800</v>
      </c>
      <c r="G4617" s="36">
        <f t="shared" ca="1" si="74"/>
        <v>1627.5075040869315</v>
      </c>
    </row>
    <row r="4618" spans="1:7" x14ac:dyDescent="0.2">
      <c r="A4618" s="6">
        <f ca="1">Model!$F$13+RAND()*(Model!$G$13-Model!$F$13)</f>
        <v>1663.1779502389948</v>
      </c>
      <c r="B4618" s="31">
        <f ca="1">Model!$F$14+RAND()*(Model!$G$14-Model!$F$14)</f>
        <v>0.68820073816964822</v>
      </c>
      <c r="C4618" s="32">
        <f ca="1">Model!$F$15+RAND()*(Model!$G$15-Model!$F$15)</f>
        <v>3.0889954140477655E-2</v>
      </c>
      <c r="D4618" s="33">
        <f ca="1">Model!$F$16+RAND()*(Model!$G$16-Model!$F$16)</f>
        <v>47.114213568150369</v>
      </c>
      <c r="E4618" s="33">
        <f>Model!$D$17</f>
        <v>800</v>
      </c>
      <c r="G4618" s="36">
        <f t="shared" ca="1" si="74"/>
        <v>475.91554372192354</v>
      </c>
    </row>
    <row r="4619" spans="1:7" x14ac:dyDescent="0.2">
      <c r="A4619" s="6">
        <f ca="1">Model!$F$13+RAND()*(Model!$G$13-Model!$F$13)</f>
        <v>1411.2505874462533</v>
      </c>
      <c r="B4619" s="31">
        <f ca="1">Model!$F$14+RAND()*(Model!$G$14-Model!$F$14)</f>
        <v>0.55266652913388337</v>
      </c>
      <c r="C4619" s="32">
        <f ca="1">Model!$F$15+RAND()*(Model!$G$15-Model!$F$15)</f>
        <v>2.1961251922030932E-2</v>
      </c>
      <c r="D4619" s="33">
        <f ca="1">Model!$F$16+RAND()*(Model!$G$16-Model!$F$16)</f>
        <v>48.987886333757437</v>
      </c>
      <c r="E4619" s="33">
        <f>Model!$D$17</f>
        <v>800</v>
      </c>
      <c r="G4619" s="36">
        <f t="shared" ca="1" si="74"/>
        <v>-61.677746571638409</v>
      </c>
    </row>
    <row r="4620" spans="1:7" x14ac:dyDescent="0.2">
      <c r="A4620" s="6">
        <f ca="1">Model!$F$13+RAND()*(Model!$G$13-Model!$F$13)</f>
        <v>1260.2668403316968</v>
      </c>
      <c r="B4620" s="31">
        <f ca="1">Model!$F$14+RAND()*(Model!$G$14-Model!$F$14)</f>
        <v>0.70746194823646191</v>
      </c>
      <c r="C4620" s="32">
        <f ca="1">Model!$F$15+RAND()*(Model!$G$15-Model!$F$15)</f>
        <v>2.8138173636739115E-2</v>
      </c>
      <c r="D4620" s="33">
        <f ca="1">Model!$F$16+RAND()*(Model!$G$16-Model!$F$16)</f>
        <v>52.549639916956977</v>
      </c>
      <c r="E4620" s="33">
        <f>Model!$D$17</f>
        <v>800</v>
      </c>
      <c r="G4620" s="36">
        <f t="shared" ca="1" si="74"/>
        <v>171.90385412538421</v>
      </c>
    </row>
    <row r="4621" spans="1:7" x14ac:dyDescent="0.2">
      <c r="A4621" s="6">
        <f ca="1">Model!$F$13+RAND()*(Model!$G$13-Model!$F$13)</f>
        <v>1716.8256613667331</v>
      </c>
      <c r="B4621" s="31">
        <f ca="1">Model!$F$14+RAND()*(Model!$G$14-Model!$F$14)</f>
        <v>0.47683780873411541</v>
      </c>
      <c r="C4621" s="32">
        <f ca="1">Model!$F$15+RAND()*(Model!$G$15-Model!$F$15)</f>
        <v>1.7457221694058618E-2</v>
      </c>
      <c r="D4621" s="33">
        <f ca="1">Model!$F$16+RAND()*(Model!$G$16-Model!$F$16)</f>
        <v>52.09424272177305</v>
      </c>
      <c r="E4621" s="33">
        <f>Model!$D$17</f>
        <v>800</v>
      </c>
      <c r="G4621" s="36">
        <f t="shared" ca="1" si="74"/>
        <v>-57.33051576043249</v>
      </c>
    </row>
    <row r="4622" spans="1:7" x14ac:dyDescent="0.2">
      <c r="A4622" s="6">
        <f ca="1">Model!$F$13+RAND()*(Model!$G$13-Model!$F$13)</f>
        <v>1571.6660095487969</v>
      </c>
      <c r="B4622" s="31">
        <f ca="1">Model!$F$14+RAND()*(Model!$G$14-Model!$F$14)</f>
        <v>0.35317413991650703</v>
      </c>
      <c r="C4622" s="32">
        <f ca="1">Model!$F$15+RAND()*(Model!$G$15-Model!$F$15)</f>
        <v>1.0983715808028155E-2</v>
      </c>
      <c r="D4622" s="33">
        <f ca="1">Model!$F$16+RAND()*(Model!$G$16-Model!$F$16)</f>
        <v>48.032960930334262</v>
      </c>
      <c r="E4622" s="33">
        <f>Model!$D$17</f>
        <v>800</v>
      </c>
      <c r="G4622" s="36">
        <f t="shared" ca="1" si="74"/>
        <v>-525.89162131236333</v>
      </c>
    </row>
    <row r="4623" spans="1:7" x14ac:dyDescent="0.2">
      <c r="A4623" s="6">
        <f ca="1">Model!$F$13+RAND()*(Model!$G$13-Model!$F$13)</f>
        <v>1610.8271159490428</v>
      </c>
      <c r="B4623" s="31">
        <f ca="1">Model!$F$14+RAND()*(Model!$G$14-Model!$F$14)</f>
        <v>0.32845998254698661</v>
      </c>
      <c r="C4623" s="32">
        <f ca="1">Model!$F$15+RAND()*(Model!$G$15-Model!$F$15)</f>
        <v>4.859691374465943E-2</v>
      </c>
      <c r="D4623" s="33">
        <f ca="1">Model!$F$16+RAND()*(Model!$G$16-Model!$F$16)</f>
        <v>52.835511590076877</v>
      </c>
      <c r="E4623" s="33">
        <f>Model!$D$17</f>
        <v>800</v>
      </c>
      <c r="G4623" s="36">
        <f t="shared" ca="1" si="74"/>
        <v>2806.9363989506419</v>
      </c>
    </row>
    <row r="4624" spans="1:7" x14ac:dyDescent="0.2">
      <c r="A4624" s="6">
        <f ca="1">Model!$F$13+RAND()*(Model!$G$13-Model!$F$13)</f>
        <v>1225.4463272479404</v>
      </c>
      <c r="B4624" s="31">
        <f ca="1">Model!$F$14+RAND()*(Model!$G$14-Model!$F$14)</f>
        <v>0.36600348794843818</v>
      </c>
      <c r="C4624" s="32">
        <f ca="1">Model!$F$15+RAND()*(Model!$G$15-Model!$F$15)</f>
        <v>4.7996784143082359E-2</v>
      </c>
      <c r="D4624" s="33">
        <f ca="1">Model!$F$16+RAND()*(Model!$G$16-Model!$F$16)</f>
        <v>51.533780313654937</v>
      </c>
      <c r="E4624" s="33">
        <f>Model!$D$17</f>
        <v>800</v>
      </c>
      <c r="G4624" s="36">
        <f t="shared" ca="1" si="74"/>
        <v>1782.5696096170468</v>
      </c>
    </row>
    <row r="4625" spans="1:7" x14ac:dyDescent="0.2">
      <c r="A4625" s="6">
        <f ca="1">Model!$F$13+RAND()*(Model!$G$13-Model!$F$13)</f>
        <v>1704.217266755129</v>
      </c>
      <c r="B4625" s="31">
        <f ca="1">Model!$F$14+RAND()*(Model!$G$14-Model!$F$14)</f>
        <v>0.69224343433749302</v>
      </c>
      <c r="C4625" s="32">
        <f ca="1">Model!$F$15+RAND()*(Model!$G$15-Model!$F$15)</f>
        <v>2.7479671510185689E-2</v>
      </c>
      <c r="D4625" s="33">
        <f ca="1">Model!$F$16+RAND()*(Model!$G$16-Model!$F$16)</f>
        <v>51.961415832099732</v>
      </c>
      <c r="E4625" s="33">
        <f>Model!$D$17</f>
        <v>800</v>
      </c>
      <c r="G4625" s="36">
        <f t="shared" ca="1" si="74"/>
        <v>453.6890334442237</v>
      </c>
    </row>
    <row r="4626" spans="1:7" x14ac:dyDescent="0.2">
      <c r="A4626" s="6">
        <f ca="1">Model!$F$13+RAND()*(Model!$G$13-Model!$F$13)</f>
        <v>1407.1724040779825</v>
      </c>
      <c r="B4626" s="31">
        <f ca="1">Model!$F$14+RAND()*(Model!$G$14-Model!$F$14)</f>
        <v>0.75838534191263962</v>
      </c>
      <c r="C4626" s="32">
        <f ca="1">Model!$F$15+RAND()*(Model!$G$15-Model!$F$15)</f>
        <v>1.1953079638337215E-2</v>
      </c>
      <c r="D4626" s="33">
        <f ca="1">Model!$F$16+RAND()*(Model!$G$16-Model!$F$16)</f>
        <v>48.853546771521124</v>
      </c>
      <c r="E4626" s="33">
        <f>Model!$D$17</f>
        <v>800</v>
      </c>
      <c r="G4626" s="36">
        <f t="shared" ca="1" si="74"/>
        <v>-1045.4601277860484</v>
      </c>
    </row>
    <row r="4627" spans="1:7" x14ac:dyDescent="0.2">
      <c r="A4627" s="6">
        <f ca="1">Model!$F$13+RAND()*(Model!$G$13-Model!$F$13)</f>
        <v>1689.7513825290844</v>
      </c>
      <c r="B4627" s="31">
        <f ca="1">Model!$F$14+RAND()*(Model!$G$14-Model!$F$14)</f>
        <v>0.69416632813538859</v>
      </c>
      <c r="C4627" s="32">
        <f ca="1">Model!$F$15+RAND()*(Model!$G$15-Model!$F$15)</f>
        <v>4.1870427833822429E-2</v>
      </c>
      <c r="D4627" s="33">
        <f ca="1">Model!$F$16+RAND()*(Model!$G$16-Model!$F$16)</f>
        <v>49.201494158526579</v>
      </c>
      <c r="E4627" s="33">
        <f>Model!$D$17</f>
        <v>800</v>
      </c>
      <c r="G4627" s="36">
        <f t="shared" ca="1" si="74"/>
        <v>1508.0673752690973</v>
      </c>
    </row>
    <row r="4628" spans="1:7" x14ac:dyDescent="0.2">
      <c r="A4628" s="6">
        <f ca="1">Model!$F$13+RAND()*(Model!$G$13-Model!$F$13)</f>
        <v>1584.9357777566279</v>
      </c>
      <c r="B4628" s="31">
        <f ca="1">Model!$F$14+RAND()*(Model!$G$14-Model!$F$14)</f>
        <v>0.48081859419988005</v>
      </c>
      <c r="C4628" s="32">
        <f ca="1">Model!$F$15+RAND()*(Model!$G$15-Model!$F$15)</f>
        <v>4.0481510993381757E-2</v>
      </c>
      <c r="D4628" s="33">
        <f ca="1">Model!$F$16+RAND()*(Model!$G$16-Model!$F$16)</f>
        <v>48.376450175829518</v>
      </c>
      <c r="E4628" s="33">
        <f>Model!$D$17</f>
        <v>800</v>
      </c>
      <c r="G4628" s="36">
        <f t="shared" ca="1" si="74"/>
        <v>1541.7952400836809</v>
      </c>
    </row>
    <row r="4629" spans="1:7" x14ac:dyDescent="0.2">
      <c r="A4629" s="6">
        <f ca="1">Model!$F$13+RAND()*(Model!$G$13-Model!$F$13)</f>
        <v>1456.6162331999089</v>
      </c>
      <c r="B4629" s="31">
        <f ca="1">Model!$F$14+RAND()*(Model!$G$14-Model!$F$14)</f>
        <v>0.57626228914932942</v>
      </c>
      <c r="C4629" s="32">
        <f ca="1">Model!$F$15+RAND()*(Model!$G$15-Model!$F$15)</f>
        <v>2.197178834696464E-2</v>
      </c>
      <c r="D4629" s="33">
        <f ca="1">Model!$F$16+RAND()*(Model!$G$16-Model!$F$16)</f>
        <v>48.752197791587463</v>
      </c>
      <c r="E4629" s="33">
        <f>Model!$D$17</f>
        <v>800</v>
      </c>
      <c r="G4629" s="36">
        <f t="shared" ca="1" si="74"/>
        <v>-79.105066357250735</v>
      </c>
    </row>
    <row r="4630" spans="1:7" x14ac:dyDescent="0.2">
      <c r="A4630" s="6">
        <f ca="1">Model!$F$13+RAND()*(Model!$G$13-Model!$F$13)</f>
        <v>1542.8706138275879</v>
      </c>
      <c r="B4630" s="31">
        <f ca="1">Model!$F$14+RAND()*(Model!$G$14-Model!$F$14)</f>
        <v>0.78539087217429415</v>
      </c>
      <c r="C4630" s="32">
        <f ca="1">Model!$F$15+RAND()*(Model!$G$15-Model!$F$15)</f>
        <v>2.9687889499031325E-2</v>
      </c>
      <c r="D4630" s="33">
        <f ca="1">Model!$F$16+RAND()*(Model!$G$16-Model!$F$16)</f>
        <v>51.688110762611295</v>
      </c>
      <c r="E4630" s="33">
        <f>Model!$D$17</f>
        <v>800</v>
      </c>
      <c r="G4630" s="36">
        <f t="shared" ca="1" si="74"/>
        <v>355.79530915201371</v>
      </c>
    </row>
    <row r="4631" spans="1:7" x14ac:dyDescent="0.2">
      <c r="A4631" s="6">
        <f ca="1">Model!$F$13+RAND()*(Model!$G$13-Model!$F$13)</f>
        <v>1205.1243902710894</v>
      </c>
      <c r="B4631" s="31">
        <f ca="1">Model!$F$14+RAND()*(Model!$G$14-Model!$F$14)</f>
        <v>0.5604077765338713</v>
      </c>
      <c r="C4631" s="32">
        <f ca="1">Model!$F$15+RAND()*(Model!$G$15-Model!$F$15)</f>
        <v>4.5588088848949535E-2</v>
      </c>
      <c r="D4631" s="33">
        <f ca="1">Model!$F$16+RAND()*(Model!$G$16-Model!$F$16)</f>
        <v>51.198069508842543</v>
      </c>
      <c r="E4631" s="33">
        <f>Model!$D$17</f>
        <v>800</v>
      </c>
      <c r="G4631" s="36">
        <f t="shared" ca="1" si="74"/>
        <v>1337.4259303532604</v>
      </c>
    </row>
    <row r="4632" spans="1:7" x14ac:dyDescent="0.2">
      <c r="A4632" s="6">
        <f ca="1">Model!$F$13+RAND()*(Model!$G$13-Model!$F$13)</f>
        <v>1488.5106254071743</v>
      </c>
      <c r="B4632" s="31">
        <f ca="1">Model!$F$14+RAND()*(Model!$G$14-Model!$F$14)</f>
        <v>0.47689700325040624</v>
      </c>
      <c r="C4632" s="32">
        <f ca="1">Model!$F$15+RAND()*(Model!$G$15-Model!$F$15)</f>
        <v>3.1574918971456263E-2</v>
      </c>
      <c r="D4632" s="33">
        <f ca="1">Model!$F$16+RAND()*(Model!$G$16-Model!$F$16)</f>
        <v>51.870964742927647</v>
      </c>
      <c r="E4632" s="33">
        <f>Model!$D$17</f>
        <v>800</v>
      </c>
      <c r="G4632" s="36">
        <f t="shared" ca="1" si="74"/>
        <v>928.04846170076144</v>
      </c>
    </row>
    <row r="4633" spans="1:7" x14ac:dyDescent="0.2">
      <c r="A4633" s="6">
        <f ca="1">Model!$F$13+RAND()*(Model!$G$13-Model!$F$13)</f>
        <v>1230.7372282297174</v>
      </c>
      <c r="B4633" s="31">
        <f ca="1">Model!$F$14+RAND()*(Model!$G$14-Model!$F$14)</f>
        <v>0.79289422288990341</v>
      </c>
      <c r="C4633" s="32">
        <f ca="1">Model!$F$15+RAND()*(Model!$G$15-Model!$F$15)</f>
        <v>2.8376549420454394E-2</v>
      </c>
      <c r="D4633" s="33">
        <f ca="1">Model!$F$16+RAND()*(Model!$G$16-Model!$F$16)</f>
        <v>52.574730548699556</v>
      </c>
      <c r="E4633" s="33">
        <f>Model!$D$17</f>
        <v>800</v>
      </c>
      <c r="G4633" s="36">
        <f t="shared" ca="1" si="74"/>
        <v>60.279435660838317</v>
      </c>
    </row>
    <row r="4634" spans="1:7" x14ac:dyDescent="0.2">
      <c r="A4634" s="6">
        <f ca="1">Model!$F$13+RAND()*(Model!$G$13-Model!$F$13)</f>
        <v>1367.9598809608278</v>
      </c>
      <c r="B4634" s="31">
        <f ca="1">Model!$F$14+RAND()*(Model!$G$14-Model!$F$14)</f>
        <v>0.63474552992104138</v>
      </c>
      <c r="C4634" s="32">
        <f ca="1">Model!$F$15+RAND()*(Model!$G$15-Model!$F$15)</f>
        <v>4.2539739367698143E-2</v>
      </c>
      <c r="D4634" s="33">
        <f ca="1">Model!$F$16+RAND()*(Model!$G$16-Model!$F$16)</f>
        <v>50.771709645162204</v>
      </c>
      <c r="E4634" s="33">
        <f>Model!$D$17</f>
        <v>800</v>
      </c>
      <c r="G4634" s="36">
        <f t="shared" ca="1" si="74"/>
        <v>1286.2342550572073</v>
      </c>
    </row>
    <row r="4635" spans="1:7" x14ac:dyDescent="0.2">
      <c r="A4635" s="6">
        <f ca="1">Model!$F$13+RAND()*(Model!$G$13-Model!$F$13)</f>
        <v>1557.8681526767919</v>
      </c>
      <c r="B4635" s="31">
        <f ca="1">Model!$F$14+RAND()*(Model!$G$14-Model!$F$14)</f>
        <v>0.51849566248459145</v>
      </c>
      <c r="C4635" s="32">
        <f ca="1">Model!$F$15+RAND()*(Model!$G$15-Model!$F$15)</f>
        <v>2.2076727145164836E-2</v>
      </c>
      <c r="D4635" s="33">
        <f ca="1">Model!$F$16+RAND()*(Model!$G$16-Model!$F$16)</f>
        <v>48.642769175230093</v>
      </c>
      <c r="E4635" s="33">
        <f>Model!$D$17</f>
        <v>800</v>
      </c>
      <c r="G4635" s="36">
        <f t="shared" ca="1" si="74"/>
        <v>65.20488908973266</v>
      </c>
    </row>
    <row r="4636" spans="1:7" x14ac:dyDescent="0.2">
      <c r="A4636" s="6">
        <f ca="1">Model!$F$13+RAND()*(Model!$G$13-Model!$F$13)</f>
        <v>1590.2074066325758</v>
      </c>
      <c r="B4636" s="31">
        <f ca="1">Model!$F$14+RAND()*(Model!$G$14-Model!$F$14)</f>
        <v>0.51139073332795904</v>
      </c>
      <c r="C4636" s="32">
        <f ca="1">Model!$F$15+RAND()*(Model!$G$15-Model!$F$15)</f>
        <v>3.0850730819313901E-2</v>
      </c>
      <c r="D4636" s="33">
        <f ca="1">Model!$F$16+RAND()*(Model!$G$16-Model!$F$16)</f>
        <v>51.165856993948005</v>
      </c>
      <c r="E4636" s="33">
        <f>Model!$D$17</f>
        <v>800</v>
      </c>
      <c r="G4636" s="36">
        <f t="shared" ca="1" si="74"/>
        <v>896.93154959769754</v>
      </c>
    </row>
    <row r="4637" spans="1:7" x14ac:dyDescent="0.2">
      <c r="A4637" s="6">
        <f ca="1">Model!$F$13+RAND()*(Model!$G$13-Model!$F$13)</f>
        <v>1393.5593836500668</v>
      </c>
      <c r="B4637" s="31">
        <f ca="1">Model!$F$14+RAND()*(Model!$G$14-Model!$F$14)</f>
        <v>0.65123051007214716</v>
      </c>
      <c r="C4637" s="32">
        <f ca="1">Model!$F$15+RAND()*(Model!$G$15-Model!$F$15)</f>
        <v>3.1905892003475864E-2</v>
      </c>
      <c r="D4637" s="33">
        <f ca="1">Model!$F$16+RAND()*(Model!$G$16-Model!$F$16)</f>
        <v>47.357394331187606</v>
      </c>
      <c r="E4637" s="33">
        <f>Model!$D$17</f>
        <v>800</v>
      </c>
      <c r="G4637" s="36">
        <f t="shared" ca="1" si="74"/>
        <v>398.11184259843867</v>
      </c>
    </row>
    <row r="4638" spans="1:7" x14ac:dyDescent="0.2">
      <c r="A4638" s="6">
        <f ca="1">Model!$F$13+RAND()*(Model!$G$13-Model!$F$13)</f>
        <v>1666.4137778895661</v>
      </c>
      <c r="B4638" s="31">
        <f ca="1">Model!$F$14+RAND()*(Model!$G$14-Model!$F$14)</f>
        <v>0.68664280744786577</v>
      </c>
      <c r="C4638" s="32">
        <f ca="1">Model!$F$15+RAND()*(Model!$G$15-Model!$F$15)</f>
        <v>1.9240939817819387E-2</v>
      </c>
      <c r="D4638" s="33">
        <f ca="1">Model!$F$16+RAND()*(Model!$G$16-Model!$F$16)</f>
        <v>47.344885058218679</v>
      </c>
      <c r="E4638" s="33">
        <f>Model!$D$17</f>
        <v>800</v>
      </c>
      <c r="G4638" s="36">
        <f t="shared" ca="1" si="74"/>
        <v>-426.19459959027813</v>
      </c>
    </row>
    <row r="4639" spans="1:7" x14ac:dyDescent="0.2">
      <c r="A4639" s="6">
        <f ca="1">Model!$F$13+RAND()*(Model!$G$13-Model!$F$13)</f>
        <v>1753.2617549353754</v>
      </c>
      <c r="B4639" s="31">
        <f ca="1">Model!$F$14+RAND()*(Model!$G$14-Model!$F$14)</f>
        <v>0.76789938206068342</v>
      </c>
      <c r="C4639" s="32">
        <f ca="1">Model!$F$15+RAND()*(Model!$G$15-Model!$F$15)</f>
        <v>3.124333805570928E-2</v>
      </c>
      <c r="D4639" s="33">
        <f ca="1">Model!$F$16+RAND()*(Model!$G$16-Model!$F$16)</f>
        <v>50.041525566472551</v>
      </c>
      <c r="E4639" s="33">
        <f>Model!$D$17</f>
        <v>800</v>
      </c>
      <c r="G4639" s="36">
        <f t="shared" ca="1" si="74"/>
        <v>594.83354436088075</v>
      </c>
    </row>
    <row r="4640" spans="1:7" x14ac:dyDescent="0.2">
      <c r="A4640" s="6">
        <f ca="1">Model!$F$13+RAND()*(Model!$G$13-Model!$F$13)</f>
        <v>1306.286539895455</v>
      </c>
      <c r="B4640" s="31">
        <f ca="1">Model!$F$14+RAND()*(Model!$G$14-Model!$F$14)</f>
        <v>0.33546333935559958</v>
      </c>
      <c r="C4640" s="32">
        <f ca="1">Model!$F$15+RAND()*(Model!$G$15-Model!$F$15)</f>
        <v>1.6339075744325735E-2</v>
      </c>
      <c r="D4640" s="33">
        <f ca="1">Model!$F$16+RAND()*(Model!$G$16-Model!$F$16)</f>
        <v>51.510290512557127</v>
      </c>
      <c r="E4640" s="33">
        <f>Model!$D$17</f>
        <v>800</v>
      </c>
      <c r="G4640" s="36">
        <f t="shared" ca="1" si="74"/>
        <v>-138.80060108640191</v>
      </c>
    </row>
    <row r="4641" spans="1:7" x14ac:dyDescent="0.2">
      <c r="A4641" s="6">
        <f ca="1">Model!$F$13+RAND()*(Model!$G$13-Model!$F$13)</f>
        <v>1786.1836079769223</v>
      </c>
      <c r="B4641" s="31">
        <f ca="1">Model!$F$14+RAND()*(Model!$G$14-Model!$F$14)</f>
        <v>0.64026582278205646</v>
      </c>
      <c r="C4641" s="32">
        <f ca="1">Model!$F$15+RAND()*(Model!$G$15-Model!$F$15)</f>
        <v>4.2416689697345598E-2</v>
      </c>
      <c r="D4641" s="33">
        <f ca="1">Model!$F$16+RAND()*(Model!$G$16-Model!$F$16)</f>
        <v>52.271876939127679</v>
      </c>
      <c r="E4641" s="33">
        <f>Model!$D$17</f>
        <v>800</v>
      </c>
      <c r="G4641" s="36">
        <f t="shared" ca="1" si="74"/>
        <v>2016.6939496706505</v>
      </c>
    </row>
    <row r="4642" spans="1:7" x14ac:dyDescent="0.2">
      <c r="A4642" s="6">
        <f ca="1">Model!$F$13+RAND()*(Model!$G$13-Model!$F$13)</f>
        <v>1250.945652215167</v>
      </c>
      <c r="B4642" s="31">
        <f ca="1">Model!$F$14+RAND()*(Model!$G$14-Model!$F$14)</f>
        <v>0.28201858136644015</v>
      </c>
      <c r="C4642" s="32">
        <f ca="1">Model!$F$15+RAND()*(Model!$G$15-Model!$F$15)</f>
        <v>3.0096911444856531E-2</v>
      </c>
      <c r="D4642" s="33">
        <f ca="1">Model!$F$16+RAND()*(Model!$G$16-Model!$F$16)</f>
        <v>52.189702286306421</v>
      </c>
      <c r="E4642" s="33">
        <f>Model!$D$17</f>
        <v>800</v>
      </c>
      <c r="G4642" s="36">
        <f t="shared" ca="1" si="74"/>
        <v>812.13152397887507</v>
      </c>
    </row>
    <row r="4643" spans="1:7" x14ac:dyDescent="0.2">
      <c r="A4643" s="6">
        <f ca="1">Model!$F$13+RAND()*(Model!$G$13-Model!$F$13)</f>
        <v>1416.6406701631599</v>
      </c>
      <c r="B4643" s="31">
        <f ca="1">Model!$F$14+RAND()*(Model!$G$14-Model!$F$14)</f>
        <v>0.61621208404822858</v>
      </c>
      <c r="C4643" s="32">
        <f ca="1">Model!$F$15+RAND()*(Model!$G$15-Model!$F$15)</f>
        <v>2.809337277600945E-2</v>
      </c>
      <c r="D4643" s="33">
        <f ca="1">Model!$F$16+RAND()*(Model!$G$16-Model!$F$16)</f>
        <v>48.553804319870913</v>
      </c>
      <c r="E4643" s="33">
        <f>Model!$D$17</f>
        <v>800</v>
      </c>
      <c r="G4643" s="36">
        <f t="shared" ca="1" si="74"/>
        <v>259.40361632376607</v>
      </c>
    </row>
    <row r="4644" spans="1:7" x14ac:dyDescent="0.2">
      <c r="A4644" s="6">
        <f ca="1">Model!$F$13+RAND()*(Model!$G$13-Model!$F$13)</f>
        <v>1608.6122589749652</v>
      </c>
      <c r="B4644" s="31">
        <f ca="1">Model!$F$14+RAND()*(Model!$G$14-Model!$F$14)</f>
        <v>0.75249819852436328</v>
      </c>
      <c r="C4644" s="32">
        <f ca="1">Model!$F$15+RAND()*(Model!$G$15-Model!$F$15)</f>
        <v>3.5074856024625782E-2</v>
      </c>
      <c r="D4644" s="33">
        <f ca="1">Model!$F$16+RAND()*(Model!$G$16-Model!$F$16)</f>
        <v>51.704290497005566</v>
      </c>
      <c r="E4644" s="33">
        <f>Model!$D$17</f>
        <v>800</v>
      </c>
      <c r="G4644" s="36">
        <f t="shared" ca="1" si="74"/>
        <v>906.77355364805453</v>
      </c>
    </row>
    <row r="4645" spans="1:7" x14ac:dyDescent="0.2">
      <c r="A4645" s="6">
        <f ca="1">Model!$F$13+RAND()*(Model!$G$13-Model!$F$13)</f>
        <v>1751.4333849678294</v>
      </c>
      <c r="B4645" s="31">
        <f ca="1">Model!$F$14+RAND()*(Model!$G$14-Model!$F$14)</f>
        <v>0.70852298624059551</v>
      </c>
      <c r="C4645" s="32">
        <f ca="1">Model!$F$15+RAND()*(Model!$G$15-Model!$F$15)</f>
        <v>3.4747798168712589E-2</v>
      </c>
      <c r="D4645" s="33">
        <f ca="1">Model!$F$16+RAND()*(Model!$G$16-Model!$F$16)</f>
        <v>48.463351254351387</v>
      </c>
      <c r="E4645" s="33">
        <f>Model!$D$17</f>
        <v>800</v>
      </c>
      <c r="G4645" s="36">
        <f t="shared" ca="1" si="74"/>
        <v>908.47380957860196</v>
      </c>
    </row>
    <row r="4646" spans="1:7" x14ac:dyDescent="0.2">
      <c r="A4646" s="6">
        <f ca="1">Model!$F$13+RAND()*(Model!$G$13-Model!$F$13)</f>
        <v>1202.7529785726476</v>
      </c>
      <c r="B4646" s="31">
        <f ca="1">Model!$F$14+RAND()*(Model!$G$14-Model!$F$14)</f>
        <v>0.21019649154775921</v>
      </c>
      <c r="C4646" s="32">
        <f ca="1">Model!$F$15+RAND()*(Model!$G$15-Model!$F$15)</f>
        <v>3.4604256233363599E-2</v>
      </c>
      <c r="D4646" s="33">
        <f ca="1">Model!$F$16+RAND()*(Model!$G$16-Model!$F$16)</f>
        <v>47.2934726178215</v>
      </c>
      <c r="E4646" s="33">
        <f>Model!$D$17</f>
        <v>800</v>
      </c>
      <c r="G4646" s="36">
        <f t="shared" ca="1" si="74"/>
        <v>915.55747933662838</v>
      </c>
    </row>
    <row r="4647" spans="1:7" x14ac:dyDescent="0.2">
      <c r="A4647" s="6">
        <f ca="1">Model!$F$13+RAND()*(Model!$G$13-Model!$F$13)</f>
        <v>1346.3622776099733</v>
      </c>
      <c r="B4647" s="31">
        <f ca="1">Model!$F$14+RAND()*(Model!$G$14-Model!$F$14)</f>
        <v>0.44705930196317695</v>
      </c>
      <c r="C4647" s="32">
        <f ca="1">Model!$F$15+RAND()*(Model!$G$15-Model!$F$15)</f>
        <v>3.7542601835304182E-2</v>
      </c>
      <c r="D4647" s="33">
        <f ca="1">Model!$F$16+RAND()*(Model!$G$16-Model!$F$16)</f>
        <v>49.295729400992954</v>
      </c>
      <c r="E4647" s="33">
        <f>Model!$D$17</f>
        <v>800</v>
      </c>
      <c r="G4647" s="36">
        <f t="shared" ca="1" si="74"/>
        <v>1089.7953442076678</v>
      </c>
    </row>
    <row r="4648" spans="1:7" x14ac:dyDescent="0.2">
      <c r="A4648" s="6">
        <f ca="1">Model!$F$13+RAND()*(Model!$G$13-Model!$F$13)</f>
        <v>1662.5672727539086</v>
      </c>
      <c r="B4648" s="31">
        <f ca="1">Model!$F$14+RAND()*(Model!$G$14-Model!$F$14)</f>
        <v>0.67970450219042555</v>
      </c>
      <c r="C4648" s="32">
        <f ca="1">Model!$F$15+RAND()*(Model!$G$15-Model!$F$15)</f>
        <v>2.5920343731127907E-2</v>
      </c>
      <c r="D4648" s="33">
        <f ca="1">Model!$F$16+RAND()*(Model!$G$16-Model!$F$16)</f>
        <v>48.73182609455791</v>
      </c>
      <c r="E4648" s="33">
        <f>Model!$D$17</f>
        <v>800</v>
      </c>
      <c r="G4648" s="36">
        <f t="shared" ca="1" si="74"/>
        <v>170.0102128183089</v>
      </c>
    </row>
    <row r="4649" spans="1:7" x14ac:dyDescent="0.2">
      <c r="A4649" s="6">
        <f ca="1">Model!$F$13+RAND()*(Model!$G$13-Model!$F$13)</f>
        <v>1516.1513005608156</v>
      </c>
      <c r="B4649" s="31">
        <f ca="1">Model!$F$14+RAND()*(Model!$G$14-Model!$F$14)</f>
        <v>0.7804568047426339</v>
      </c>
      <c r="C4649" s="32">
        <f ca="1">Model!$F$15+RAND()*(Model!$G$15-Model!$F$15)</f>
        <v>1.5170413330245878E-2</v>
      </c>
      <c r="D4649" s="33">
        <f ca="1">Model!$F$16+RAND()*(Model!$G$16-Model!$F$16)</f>
        <v>51.835482799666948</v>
      </c>
      <c r="E4649" s="33">
        <f>Model!$D$17</f>
        <v>800</v>
      </c>
      <c r="G4649" s="36">
        <f t="shared" ref="G4649:G4712" ca="1" si="75">A4649*C4649*D4649-(E4649+A4649*B4649)</f>
        <v>-791.04122191718284</v>
      </c>
    </row>
    <row r="4650" spans="1:7" x14ac:dyDescent="0.2">
      <c r="A4650" s="6">
        <f ca="1">Model!$F$13+RAND()*(Model!$G$13-Model!$F$13)</f>
        <v>1512.8366463370071</v>
      </c>
      <c r="B4650" s="31">
        <f ca="1">Model!$F$14+RAND()*(Model!$G$14-Model!$F$14)</f>
        <v>0.75342427268439716</v>
      </c>
      <c r="C4650" s="32">
        <f ca="1">Model!$F$15+RAND()*(Model!$G$15-Model!$F$15)</f>
        <v>4.7306576378933568E-2</v>
      </c>
      <c r="D4650" s="33">
        <f ca="1">Model!$F$16+RAND()*(Model!$G$16-Model!$F$16)</f>
        <v>51.070305501868262</v>
      </c>
      <c r="E4650" s="33">
        <f>Model!$D$17</f>
        <v>800</v>
      </c>
      <c r="G4650" s="36">
        <f t="shared" ca="1" si="75"/>
        <v>1715.1469527962984</v>
      </c>
    </row>
    <row r="4651" spans="1:7" x14ac:dyDescent="0.2">
      <c r="A4651" s="6">
        <f ca="1">Model!$F$13+RAND()*(Model!$G$13-Model!$F$13)</f>
        <v>1319.7324843414672</v>
      </c>
      <c r="B4651" s="31">
        <f ca="1">Model!$F$14+RAND()*(Model!$G$14-Model!$F$14)</f>
        <v>0.27527692096645745</v>
      </c>
      <c r="C4651" s="32">
        <f ca="1">Model!$F$15+RAND()*(Model!$G$15-Model!$F$15)</f>
        <v>1.5464841146717402E-2</v>
      </c>
      <c r="D4651" s="33">
        <f ca="1">Model!$F$16+RAND()*(Model!$G$16-Model!$F$16)</f>
        <v>52.151267782539321</v>
      </c>
      <c r="E4651" s="33">
        <f>Model!$D$17</f>
        <v>800</v>
      </c>
      <c r="G4651" s="36">
        <f t="shared" ca="1" si="75"/>
        <v>-98.913034278337136</v>
      </c>
    </row>
    <row r="4652" spans="1:7" x14ac:dyDescent="0.2">
      <c r="A4652" s="6">
        <f ca="1">Model!$F$13+RAND()*(Model!$G$13-Model!$F$13)</f>
        <v>1204.3312840132669</v>
      </c>
      <c r="B4652" s="31">
        <f ca="1">Model!$F$14+RAND()*(Model!$G$14-Model!$F$14)</f>
        <v>0.30980932439799391</v>
      </c>
      <c r="C4652" s="32">
        <f ca="1">Model!$F$15+RAND()*(Model!$G$15-Model!$F$15)</f>
        <v>1.2779712120161926E-2</v>
      </c>
      <c r="D4652" s="33">
        <f ca="1">Model!$F$16+RAND()*(Model!$G$16-Model!$F$16)</f>
        <v>52.29542257038095</v>
      </c>
      <c r="E4652" s="33">
        <f>Model!$D$17</f>
        <v>800</v>
      </c>
      <c r="G4652" s="36">
        <f t="shared" ca="1" si="75"/>
        <v>-368.23384100750377</v>
      </c>
    </row>
    <row r="4653" spans="1:7" x14ac:dyDescent="0.2">
      <c r="A4653" s="6">
        <f ca="1">Model!$F$13+RAND()*(Model!$G$13-Model!$F$13)</f>
        <v>1396.8680069245588</v>
      </c>
      <c r="B4653" s="31">
        <f ca="1">Model!$F$14+RAND()*(Model!$G$14-Model!$F$14)</f>
        <v>0.27842117894389168</v>
      </c>
      <c r="C4653" s="32">
        <f ca="1">Model!$F$15+RAND()*(Model!$G$15-Model!$F$15)</f>
        <v>1.7610509493797843E-2</v>
      </c>
      <c r="D4653" s="33">
        <f ca="1">Model!$F$16+RAND()*(Model!$G$16-Model!$F$16)</f>
        <v>49.993720820585409</v>
      </c>
      <c r="E4653" s="33">
        <f>Model!$D$17</f>
        <v>800</v>
      </c>
      <c r="G4653" s="36">
        <f t="shared" ca="1" si="75"/>
        <v>40.905762525640284</v>
      </c>
    </row>
    <row r="4654" spans="1:7" x14ac:dyDescent="0.2">
      <c r="A4654" s="6">
        <f ca="1">Model!$F$13+RAND()*(Model!$G$13-Model!$F$13)</f>
        <v>1364.1617280081803</v>
      </c>
      <c r="B4654" s="31">
        <f ca="1">Model!$F$14+RAND()*(Model!$G$14-Model!$F$14)</f>
        <v>0.71156306600828856</v>
      </c>
      <c r="C4654" s="32">
        <f ca="1">Model!$F$15+RAND()*(Model!$G$15-Model!$F$15)</f>
        <v>3.724646426179172E-2</v>
      </c>
      <c r="D4654" s="33">
        <f ca="1">Model!$F$16+RAND()*(Model!$G$16-Model!$F$16)</f>
        <v>52.678262259816648</v>
      </c>
      <c r="E4654" s="33">
        <f>Model!$D$17</f>
        <v>800</v>
      </c>
      <c r="G4654" s="36">
        <f t="shared" ca="1" si="75"/>
        <v>905.90599465010541</v>
      </c>
    </row>
    <row r="4655" spans="1:7" x14ac:dyDescent="0.2">
      <c r="A4655" s="6">
        <f ca="1">Model!$F$13+RAND()*(Model!$G$13-Model!$F$13)</f>
        <v>1275.9875868954907</v>
      </c>
      <c r="B4655" s="31">
        <f ca="1">Model!$F$14+RAND()*(Model!$G$14-Model!$F$14)</f>
        <v>0.41316900845355586</v>
      </c>
      <c r="C4655" s="32">
        <f ca="1">Model!$F$15+RAND()*(Model!$G$15-Model!$F$15)</f>
        <v>4.2274627235350991E-2</v>
      </c>
      <c r="D4655" s="33">
        <f ca="1">Model!$F$16+RAND()*(Model!$G$16-Model!$F$16)</f>
        <v>52.851597949617101</v>
      </c>
      <c r="E4655" s="33">
        <f>Model!$D$17</f>
        <v>800</v>
      </c>
      <c r="G4655" s="36">
        <f t="shared" ca="1" si="75"/>
        <v>1523.7170638481246</v>
      </c>
    </row>
    <row r="4656" spans="1:7" x14ac:dyDescent="0.2">
      <c r="A4656" s="6">
        <f ca="1">Model!$F$13+RAND()*(Model!$G$13-Model!$F$13)</f>
        <v>1480.4228321143009</v>
      </c>
      <c r="B4656" s="31">
        <f ca="1">Model!$F$14+RAND()*(Model!$G$14-Model!$F$14)</f>
        <v>0.43989524928138501</v>
      </c>
      <c r="C4656" s="32">
        <f ca="1">Model!$F$15+RAND()*(Model!$G$15-Model!$F$15)</f>
        <v>2.2137154613475769E-2</v>
      </c>
      <c r="D4656" s="33">
        <f ca="1">Model!$F$16+RAND()*(Model!$G$16-Model!$F$16)</f>
        <v>49.236725663560016</v>
      </c>
      <c r="E4656" s="33">
        <f>Model!$D$17</f>
        <v>800</v>
      </c>
      <c r="G4656" s="36">
        <f t="shared" ca="1" si="75"/>
        <v>162.37219258279674</v>
      </c>
    </row>
    <row r="4657" spans="1:7" x14ac:dyDescent="0.2">
      <c r="A4657" s="6">
        <f ca="1">Model!$F$13+RAND()*(Model!$G$13-Model!$F$13)</f>
        <v>1635.0524368772672</v>
      </c>
      <c r="B4657" s="31">
        <f ca="1">Model!$F$14+RAND()*(Model!$G$14-Model!$F$14)</f>
        <v>0.54486747922946333</v>
      </c>
      <c r="C4657" s="32">
        <f ca="1">Model!$F$15+RAND()*(Model!$G$15-Model!$F$15)</f>
        <v>1.1627607542967287E-2</v>
      </c>
      <c r="D4657" s="33">
        <f ca="1">Model!$F$16+RAND()*(Model!$G$16-Model!$F$16)</f>
        <v>51.625962553132936</v>
      </c>
      <c r="E4657" s="33">
        <f>Model!$D$17</f>
        <v>800</v>
      </c>
      <c r="G4657" s="36">
        <f t="shared" ca="1" si="75"/>
        <v>-709.38710688430911</v>
      </c>
    </row>
    <row r="4658" spans="1:7" x14ac:dyDescent="0.2">
      <c r="A4658" s="6">
        <f ca="1">Model!$F$13+RAND()*(Model!$G$13-Model!$F$13)</f>
        <v>1797.6688512904457</v>
      </c>
      <c r="B4658" s="31">
        <f ca="1">Model!$F$14+RAND()*(Model!$G$14-Model!$F$14)</f>
        <v>0.60091659834353783</v>
      </c>
      <c r="C4658" s="32">
        <f ca="1">Model!$F$15+RAND()*(Model!$G$15-Model!$F$15)</f>
        <v>2.1105833165151834E-2</v>
      </c>
      <c r="D4658" s="33">
        <f ca="1">Model!$F$16+RAND()*(Model!$G$16-Model!$F$16)</f>
        <v>47.550888579919047</v>
      </c>
      <c r="E4658" s="33">
        <f>Model!$D$17</f>
        <v>800</v>
      </c>
      <c r="G4658" s="36">
        <f t="shared" ca="1" si="75"/>
        <v>-76.106576323743639</v>
      </c>
    </row>
    <row r="4659" spans="1:7" x14ac:dyDescent="0.2">
      <c r="A4659" s="6">
        <f ca="1">Model!$F$13+RAND()*(Model!$G$13-Model!$F$13)</f>
        <v>1407.7135706813731</v>
      </c>
      <c r="B4659" s="31">
        <f ca="1">Model!$F$14+RAND()*(Model!$G$14-Model!$F$14)</f>
        <v>0.39519259437466014</v>
      </c>
      <c r="C4659" s="32">
        <f ca="1">Model!$F$15+RAND()*(Model!$G$15-Model!$F$15)</f>
        <v>4.9276770964093504E-2</v>
      </c>
      <c r="D4659" s="33">
        <f ca="1">Model!$F$16+RAND()*(Model!$G$16-Model!$F$16)</f>
        <v>51.434741825583828</v>
      </c>
      <c r="E4659" s="33">
        <f>Model!$D$17</f>
        <v>800</v>
      </c>
      <c r="G4659" s="36">
        <f t="shared" ca="1" si="75"/>
        <v>2211.5855493672725</v>
      </c>
    </row>
    <row r="4660" spans="1:7" x14ac:dyDescent="0.2">
      <c r="A4660" s="6">
        <f ca="1">Model!$F$13+RAND()*(Model!$G$13-Model!$F$13)</f>
        <v>1316.8939229047091</v>
      </c>
      <c r="B4660" s="31">
        <f ca="1">Model!$F$14+RAND()*(Model!$G$14-Model!$F$14)</f>
        <v>0.57451626755580976</v>
      </c>
      <c r="C4660" s="32">
        <f ca="1">Model!$F$15+RAND()*(Model!$G$15-Model!$F$15)</f>
        <v>1.3485758946684943E-2</v>
      </c>
      <c r="D4660" s="33">
        <f ca="1">Model!$F$16+RAND()*(Model!$G$16-Model!$F$16)</f>
        <v>50.853782561897731</v>
      </c>
      <c r="E4660" s="33">
        <f>Model!$D$17</f>
        <v>800</v>
      </c>
      <c r="G4660" s="36">
        <f t="shared" ca="1" si="75"/>
        <v>-653.44868861505495</v>
      </c>
    </row>
    <row r="4661" spans="1:7" x14ac:dyDescent="0.2">
      <c r="A4661" s="6">
        <f ca="1">Model!$F$13+RAND()*(Model!$G$13-Model!$F$13)</f>
        <v>1535.002769215587</v>
      </c>
      <c r="B4661" s="31">
        <f ca="1">Model!$F$14+RAND()*(Model!$G$14-Model!$F$14)</f>
        <v>0.29265104511606888</v>
      </c>
      <c r="C4661" s="32">
        <f ca="1">Model!$F$15+RAND()*(Model!$G$15-Model!$F$15)</f>
        <v>1.5404409196947001E-2</v>
      </c>
      <c r="D4661" s="33">
        <f ca="1">Model!$F$16+RAND()*(Model!$G$16-Model!$F$16)</f>
        <v>52.784355095594705</v>
      </c>
      <c r="E4661" s="33">
        <f>Model!$D$17</f>
        <v>800</v>
      </c>
      <c r="G4661" s="36">
        <f t="shared" ca="1" si="75"/>
        <v>-1.091292172741305</v>
      </c>
    </row>
    <row r="4662" spans="1:7" x14ac:dyDescent="0.2">
      <c r="A4662" s="6">
        <f ca="1">Model!$F$13+RAND()*(Model!$G$13-Model!$F$13)</f>
        <v>1260.0403242496325</v>
      </c>
      <c r="B4662" s="31">
        <f ca="1">Model!$F$14+RAND()*(Model!$G$14-Model!$F$14)</f>
        <v>0.42216280914638604</v>
      </c>
      <c r="C4662" s="32">
        <f ca="1">Model!$F$15+RAND()*(Model!$G$15-Model!$F$15)</f>
        <v>3.5001703849016338E-2</v>
      </c>
      <c r="D4662" s="33">
        <f ca="1">Model!$F$16+RAND()*(Model!$G$16-Model!$F$16)</f>
        <v>47.962482899128737</v>
      </c>
      <c r="E4662" s="33">
        <f>Model!$D$17</f>
        <v>800</v>
      </c>
      <c r="G4662" s="36">
        <f t="shared" ca="1" si="75"/>
        <v>783.37399625855937</v>
      </c>
    </row>
    <row r="4663" spans="1:7" x14ac:dyDescent="0.2">
      <c r="A4663" s="6">
        <f ca="1">Model!$F$13+RAND()*(Model!$G$13-Model!$F$13)</f>
        <v>1767.9731786611637</v>
      </c>
      <c r="B4663" s="31">
        <f ca="1">Model!$F$14+RAND()*(Model!$G$14-Model!$F$14)</f>
        <v>0.67931671567642393</v>
      </c>
      <c r="C4663" s="32">
        <f ca="1">Model!$F$15+RAND()*(Model!$G$15-Model!$F$15)</f>
        <v>2.5915812100642303E-2</v>
      </c>
      <c r="D4663" s="33">
        <f ca="1">Model!$F$16+RAND()*(Model!$G$16-Model!$F$16)</f>
        <v>52.158403864873051</v>
      </c>
      <c r="E4663" s="33">
        <f>Model!$D$17</f>
        <v>800</v>
      </c>
      <c r="G4663" s="36">
        <f t="shared" ca="1" si="75"/>
        <v>388.80404437707216</v>
      </c>
    </row>
    <row r="4664" spans="1:7" x14ac:dyDescent="0.2">
      <c r="A4664" s="6">
        <f ca="1">Model!$F$13+RAND()*(Model!$G$13-Model!$F$13)</f>
        <v>1798.4036723422273</v>
      </c>
      <c r="B4664" s="31">
        <f ca="1">Model!$F$14+RAND()*(Model!$G$14-Model!$F$14)</f>
        <v>0.52003374705939254</v>
      </c>
      <c r="C4664" s="32">
        <f ca="1">Model!$F$15+RAND()*(Model!$G$15-Model!$F$15)</f>
        <v>3.8870682147775136E-2</v>
      </c>
      <c r="D4664" s="33">
        <f ca="1">Model!$F$16+RAND()*(Model!$G$16-Model!$F$16)</f>
        <v>52.40723385646308</v>
      </c>
      <c r="E4664" s="33">
        <f>Model!$D$17</f>
        <v>800</v>
      </c>
      <c r="G4664" s="36">
        <f t="shared" ca="1" si="75"/>
        <v>1928.306385667441</v>
      </c>
    </row>
    <row r="4665" spans="1:7" x14ac:dyDescent="0.2">
      <c r="A4665" s="6">
        <f ca="1">Model!$F$13+RAND()*(Model!$G$13-Model!$F$13)</f>
        <v>1641.1520442284325</v>
      </c>
      <c r="B4665" s="31">
        <f ca="1">Model!$F$14+RAND()*(Model!$G$14-Model!$F$14)</f>
        <v>0.24983010081188822</v>
      </c>
      <c r="C4665" s="32">
        <f ca="1">Model!$F$15+RAND()*(Model!$G$15-Model!$F$15)</f>
        <v>1.5921068811067536E-2</v>
      </c>
      <c r="D4665" s="33">
        <f ca="1">Model!$F$16+RAND()*(Model!$G$16-Model!$F$16)</f>
        <v>50.943373824199291</v>
      </c>
      <c r="E4665" s="33">
        <f>Model!$D$17</f>
        <v>800</v>
      </c>
      <c r="G4665" s="36">
        <f t="shared" ca="1" si="75"/>
        <v>121.08486586706408</v>
      </c>
    </row>
    <row r="4666" spans="1:7" x14ac:dyDescent="0.2">
      <c r="A4666" s="6">
        <f ca="1">Model!$F$13+RAND()*(Model!$G$13-Model!$F$13)</f>
        <v>1340.3242770539671</v>
      </c>
      <c r="B4666" s="31">
        <f ca="1">Model!$F$14+RAND()*(Model!$G$14-Model!$F$14)</f>
        <v>0.30922056721817126</v>
      </c>
      <c r="C4666" s="32">
        <f ca="1">Model!$F$15+RAND()*(Model!$G$15-Model!$F$15)</f>
        <v>2.7829856667872105E-2</v>
      </c>
      <c r="D4666" s="33">
        <f ca="1">Model!$F$16+RAND()*(Model!$G$16-Model!$F$16)</f>
        <v>51.384924003193802</v>
      </c>
      <c r="E4666" s="33">
        <f>Model!$D$17</f>
        <v>800</v>
      </c>
      <c r="G4666" s="36">
        <f t="shared" ca="1" si="75"/>
        <v>702.25488801645861</v>
      </c>
    </row>
    <row r="4667" spans="1:7" x14ac:dyDescent="0.2">
      <c r="A4667" s="6">
        <f ca="1">Model!$F$13+RAND()*(Model!$G$13-Model!$F$13)</f>
        <v>1286.769631697967</v>
      </c>
      <c r="B4667" s="31">
        <f ca="1">Model!$F$14+RAND()*(Model!$G$14-Model!$F$14)</f>
        <v>0.51591800662909071</v>
      </c>
      <c r="C4667" s="32">
        <f ca="1">Model!$F$15+RAND()*(Model!$G$15-Model!$F$15)</f>
        <v>3.5578753289179255E-2</v>
      </c>
      <c r="D4667" s="33">
        <f ca="1">Model!$F$16+RAND()*(Model!$G$16-Model!$F$16)</f>
        <v>48.143792485282958</v>
      </c>
      <c r="E4667" s="33">
        <f>Model!$D$17</f>
        <v>800</v>
      </c>
      <c r="G4667" s="36">
        <f t="shared" ca="1" si="75"/>
        <v>740.23507996691978</v>
      </c>
    </row>
    <row r="4668" spans="1:7" x14ac:dyDescent="0.2">
      <c r="A4668" s="6">
        <f ca="1">Model!$F$13+RAND()*(Model!$G$13-Model!$F$13)</f>
        <v>1284.9735971637315</v>
      </c>
      <c r="B4668" s="31">
        <f ca="1">Model!$F$14+RAND()*(Model!$G$14-Model!$F$14)</f>
        <v>0.60093265221112513</v>
      </c>
      <c r="C4668" s="32">
        <f ca="1">Model!$F$15+RAND()*(Model!$G$15-Model!$F$15)</f>
        <v>2.6538662136317392E-2</v>
      </c>
      <c r="D4668" s="33">
        <f ca="1">Model!$F$16+RAND()*(Model!$G$16-Model!$F$16)</f>
        <v>51.538875209364058</v>
      </c>
      <c r="E4668" s="33">
        <f>Model!$D$17</f>
        <v>800</v>
      </c>
      <c r="G4668" s="36">
        <f t="shared" ca="1" si="75"/>
        <v>185.36933810021264</v>
      </c>
    </row>
    <row r="4669" spans="1:7" x14ac:dyDescent="0.2">
      <c r="A4669" s="6">
        <f ca="1">Model!$F$13+RAND()*(Model!$G$13-Model!$F$13)</f>
        <v>1709.137968131583</v>
      </c>
      <c r="B4669" s="31">
        <f ca="1">Model!$F$14+RAND()*(Model!$G$14-Model!$F$14)</f>
        <v>0.59824980217079526</v>
      </c>
      <c r="C4669" s="32">
        <f ca="1">Model!$F$15+RAND()*(Model!$G$15-Model!$F$15)</f>
        <v>4.1309257212736789E-2</v>
      </c>
      <c r="D4669" s="33">
        <f ca="1">Model!$F$16+RAND()*(Model!$G$16-Model!$F$16)</f>
        <v>50.94227442363146</v>
      </c>
      <c r="E4669" s="33">
        <f>Model!$D$17</f>
        <v>800</v>
      </c>
      <c r="G4669" s="36">
        <f t="shared" ca="1" si="75"/>
        <v>1774.1971539360093</v>
      </c>
    </row>
    <row r="4670" spans="1:7" x14ac:dyDescent="0.2">
      <c r="A4670" s="6">
        <f ca="1">Model!$F$13+RAND()*(Model!$G$13-Model!$F$13)</f>
        <v>1369.4899389379393</v>
      </c>
      <c r="B4670" s="31">
        <f ca="1">Model!$F$14+RAND()*(Model!$G$14-Model!$F$14)</f>
        <v>0.33081698256205344</v>
      </c>
      <c r="C4670" s="32">
        <f ca="1">Model!$F$15+RAND()*(Model!$G$15-Model!$F$15)</f>
        <v>1.2738697587585541E-2</v>
      </c>
      <c r="D4670" s="33">
        <f ca="1">Model!$F$16+RAND()*(Model!$G$16-Model!$F$16)</f>
        <v>51.540591935882453</v>
      </c>
      <c r="E4670" s="33">
        <f>Model!$D$17</f>
        <v>800</v>
      </c>
      <c r="G4670" s="36">
        <f t="shared" ca="1" si="75"/>
        <v>-353.89819555245856</v>
      </c>
    </row>
    <row r="4671" spans="1:7" x14ac:dyDescent="0.2">
      <c r="A4671" s="6">
        <f ca="1">Model!$F$13+RAND()*(Model!$G$13-Model!$F$13)</f>
        <v>1298.7292384694358</v>
      </c>
      <c r="B4671" s="31">
        <f ca="1">Model!$F$14+RAND()*(Model!$G$14-Model!$F$14)</f>
        <v>0.62888960075776956</v>
      </c>
      <c r="C4671" s="32">
        <f ca="1">Model!$F$15+RAND()*(Model!$G$15-Model!$F$15)</f>
        <v>1.2426053707472332E-2</v>
      </c>
      <c r="D4671" s="33">
        <f ca="1">Model!$F$16+RAND()*(Model!$G$16-Model!$F$16)</f>
        <v>50.387374659362081</v>
      </c>
      <c r="E4671" s="33">
        <f>Model!$D$17</f>
        <v>800</v>
      </c>
      <c r="G4671" s="36">
        <f t="shared" ca="1" si="75"/>
        <v>-803.60186587972771</v>
      </c>
    </row>
    <row r="4672" spans="1:7" x14ac:dyDescent="0.2">
      <c r="A4672" s="6">
        <f ca="1">Model!$F$13+RAND()*(Model!$G$13-Model!$F$13)</f>
        <v>1665.2210794098874</v>
      </c>
      <c r="B4672" s="31">
        <f ca="1">Model!$F$14+RAND()*(Model!$G$14-Model!$F$14)</f>
        <v>0.54900598616502927</v>
      </c>
      <c r="C4672" s="32">
        <f ca="1">Model!$F$15+RAND()*(Model!$G$15-Model!$F$15)</f>
        <v>4.7176901090048975E-2</v>
      </c>
      <c r="D4672" s="33">
        <f ca="1">Model!$F$16+RAND()*(Model!$G$16-Model!$F$16)</f>
        <v>48.070743413071604</v>
      </c>
      <c r="E4672" s="33">
        <f>Model!$D$17</f>
        <v>800</v>
      </c>
      <c r="G4672" s="36">
        <f t="shared" ca="1" si="75"/>
        <v>2062.219827041919</v>
      </c>
    </row>
    <row r="4673" spans="1:7" x14ac:dyDescent="0.2">
      <c r="A4673" s="6">
        <f ca="1">Model!$F$13+RAND()*(Model!$G$13-Model!$F$13)</f>
        <v>1797.4779436971878</v>
      </c>
      <c r="B4673" s="31">
        <f ca="1">Model!$F$14+RAND()*(Model!$G$14-Model!$F$14)</f>
        <v>0.73372878984068346</v>
      </c>
      <c r="C4673" s="32">
        <f ca="1">Model!$F$15+RAND()*(Model!$G$15-Model!$F$15)</f>
        <v>4.0530700186694607E-2</v>
      </c>
      <c r="D4673" s="33">
        <f ca="1">Model!$F$16+RAND()*(Model!$G$16-Model!$F$16)</f>
        <v>48.62307928757707</v>
      </c>
      <c r="E4673" s="33">
        <f>Model!$D$17</f>
        <v>800</v>
      </c>
      <c r="G4673" s="36">
        <f t="shared" ca="1" si="75"/>
        <v>1423.4778057880753</v>
      </c>
    </row>
    <row r="4674" spans="1:7" x14ac:dyDescent="0.2">
      <c r="A4674" s="6">
        <f ca="1">Model!$F$13+RAND()*(Model!$G$13-Model!$F$13)</f>
        <v>1650.6676077700145</v>
      </c>
      <c r="B4674" s="31">
        <f ca="1">Model!$F$14+RAND()*(Model!$G$14-Model!$F$14)</f>
        <v>0.45689349683289693</v>
      </c>
      <c r="C4674" s="32">
        <f ca="1">Model!$F$15+RAND()*(Model!$G$15-Model!$F$15)</f>
        <v>2.9762825502639381E-2</v>
      </c>
      <c r="D4674" s="33">
        <f ca="1">Model!$F$16+RAND()*(Model!$G$16-Model!$F$16)</f>
        <v>47.547545607212058</v>
      </c>
      <c r="E4674" s="33">
        <f>Model!$D$17</f>
        <v>800</v>
      </c>
      <c r="G4674" s="36">
        <f t="shared" ca="1" si="75"/>
        <v>781.76181917486588</v>
      </c>
    </row>
    <row r="4675" spans="1:7" x14ac:dyDescent="0.2">
      <c r="A4675" s="6">
        <f ca="1">Model!$F$13+RAND()*(Model!$G$13-Model!$F$13)</f>
        <v>1239.7528153642422</v>
      </c>
      <c r="B4675" s="31">
        <f ca="1">Model!$F$14+RAND()*(Model!$G$14-Model!$F$14)</f>
        <v>0.30076275352170445</v>
      </c>
      <c r="C4675" s="32">
        <f ca="1">Model!$F$15+RAND()*(Model!$G$15-Model!$F$15)</f>
        <v>2.4930562906351348E-2</v>
      </c>
      <c r="D4675" s="33">
        <f ca="1">Model!$F$16+RAND()*(Model!$G$16-Model!$F$16)</f>
        <v>47.97790709455095</v>
      </c>
      <c r="E4675" s="33">
        <f>Model!$D$17</f>
        <v>800</v>
      </c>
      <c r="G4675" s="36">
        <f t="shared" ca="1" si="75"/>
        <v>310.01699437026855</v>
      </c>
    </row>
    <row r="4676" spans="1:7" x14ac:dyDescent="0.2">
      <c r="A4676" s="6">
        <f ca="1">Model!$F$13+RAND()*(Model!$G$13-Model!$F$13)</f>
        <v>1669.2639876641947</v>
      </c>
      <c r="B4676" s="31">
        <f ca="1">Model!$F$14+RAND()*(Model!$G$14-Model!$F$14)</f>
        <v>0.73527617289566605</v>
      </c>
      <c r="C4676" s="32">
        <f ca="1">Model!$F$15+RAND()*(Model!$G$15-Model!$F$15)</f>
        <v>3.0585825809546822E-2</v>
      </c>
      <c r="D4676" s="33">
        <f ca="1">Model!$F$16+RAND()*(Model!$G$16-Model!$F$16)</f>
        <v>52.299726228715699</v>
      </c>
      <c r="E4676" s="33">
        <f>Model!$D$17</f>
        <v>800</v>
      </c>
      <c r="G4676" s="36">
        <f t="shared" ca="1" si="75"/>
        <v>642.83524420404524</v>
      </c>
    </row>
    <row r="4677" spans="1:7" x14ac:dyDescent="0.2">
      <c r="A4677" s="6">
        <f ca="1">Model!$F$13+RAND()*(Model!$G$13-Model!$F$13)</f>
        <v>1303.356087577338</v>
      </c>
      <c r="B4677" s="31">
        <f ca="1">Model!$F$14+RAND()*(Model!$G$14-Model!$F$14)</f>
        <v>0.62198687054661805</v>
      </c>
      <c r="C4677" s="32">
        <f ca="1">Model!$F$15+RAND()*(Model!$G$15-Model!$F$15)</f>
        <v>4.6039423563299944E-2</v>
      </c>
      <c r="D4677" s="33">
        <f ca="1">Model!$F$16+RAND()*(Model!$G$16-Model!$F$16)</f>
        <v>50.340954526015011</v>
      </c>
      <c r="E4677" s="33">
        <f>Model!$D$17</f>
        <v>800</v>
      </c>
      <c r="G4677" s="36">
        <f t="shared" ca="1" si="75"/>
        <v>1410.077010840344</v>
      </c>
    </row>
    <row r="4678" spans="1:7" x14ac:dyDescent="0.2">
      <c r="A4678" s="6">
        <f ca="1">Model!$F$13+RAND()*(Model!$G$13-Model!$F$13)</f>
        <v>1307.8774863261142</v>
      </c>
      <c r="B4678" s="31">
        <f ca="1">Model!$F$14+RAND()*(Model!$G$14-Model!$F$14)</f>
        <v>0.56925110681399871</v>
      </c>
      <c r="C4678" s="32">
        <f ca="1">Model!$F$15+RAND()*(Model!$G$15-Model!$F$15)</f>
        <v>3.7478549210511955E-2</v>
      </c>
      <c r="D4678" s="33">
        <f ca="1">Model!$F$16+RAND()*(Model!$G$16-Model!$F$16)</f>
        <v>52.605045727645084</v>
      </c>
      <c r="E4678" s="33">
        <f>Model!$D$17</f>
        <v>800</v>
      </c>
      <c r="G4678" s="36">
        <f t="shared" ca="1" si="75"/>
        <v>1034.049270067871</v>
      </c>
    </row>
    <row r="4679" spans="1:7" x14ac:dyDescent="0.2">
      <c r="A4679" s="6">
        <f ca="1">Model!$F$13+RAND()*(Model!$G$13-Model!$F$13)</f>
        <v>1256.245134363854</v>
      </c>
      <c r="B4679" s="31">
        <f ca="1">Model!$F$14+RAND()*(Model!$G$14-Model!$F$14)</f>
        <v>0.54008477065155025</v>
      </c>
      <c r="C4679" s="32">
        <f ca="1">Model!$F$15+RAND()*(Model!$G$15-Model!$F$15)</f>
        <v>4.6132734412810864E-2</v>
      </c>
      <c r="D4679" s="33">
        <f ca="1">Model!$F$16+RAND()*(Model!$G$16-Model!$F$16)</f>
        <v>51.30320972116823</v>
      </c>
      <c r="E4679" s="33">
        <f>Model!$D$17</f>
        <v>800</v>
      </c>
      <c r="G4679" s="36">
        <f t="shared" ca="1" si="75"/>
        <v>1494.7485381128022</v>
      </c>
    </row>
    <row r="4680" spans="1:7" x14ac:dyDescent="0.2">
      <c r="A4680" s="6">
        <f ca="1">Model!$F$13+RAND()*(Model!$G$13-Model!$F$13)</f>
        <v>1210.0815661167483</v>
      </c>
      <c r="B4680" s="31">
        <f ca="1">Model!$F$14+RAND()*(Model!$G$14-Model!$F$14)</f>
        <v>0.74567727901646319</v>
      </c>
      <c r="C4680" s="32">
        <f ca="1">Model!$F$15+RAND()*(Model!$G$15-Model!$F$15)</f>
        <v>2.6195757416639001E-2</v>
      </c>
      <c r="D4680" s="33">
        <f ca="1">Model!$F$16+RAND()*(Model!$G$16-Model!$F$16)</f>
        <v>51.7042973453554</v>
      </c>
      <c r="E4680" s="33">
        <f>Model!$D$17</f>
        <v>800</v>
      </c>
      <c r="G4680" s="36">
        <f t="shared" ca="1" si="75"/>
        <v>-63.355644656288405</v>
      </c>
    </row>
    <row r="4681" spans="1:7" x14ac:dyDescent="0.2">
      <c r="A4681" s="6">
        <f ca="1">Model!$F$13+RAND()*(Model!$G$13-Model!$F$13)</f>
        <v>1396.1689981687662</v>
      </c>
      <c r="B4681" s="31">
        <f ca="1">Model!$F$14+RAND()*(Model!$G$14-Model!$F$14)</f>
        <v>0.44331473828397838</v>
      </c>
      <c r="C4681" s="32">
        <f ca="1">Model!$F$15+RAND()*(Model!$G$15-Model!$F$15)</f>
        <v>3.1428701915519754E-2</v>
      </c>
      <c r="D4681" s="33">
        <f ca="1">Model!$F$16+RAND()*(Model!$G$16-Model!$F$16)</f>
        <v>52.870405610672556</v>
      </c>
      <c r="E4681" s="33">
        <f>Model!$D$17</f>
        <v>800</v>
      </c>
      <c r="G4681" s="36">
        <f t="shared" ca="1" si="75"/>
        <v>900.99943393686954</v>
      </c>
    </row>
    <row r="4682" spans="1:7" x14ac:dyDescent="0.2">
      <c r="A4682" s="6">
        <f ca="1">Model!$F$13+RAND()*(Model!$G$13-Model!$F$13)</f>
        <v>1352.308884651783</v>
      </c>
      <c r="B4682" s="31">
        <f ca="1">Model!$F$14+RAND()*(Model!$G$14-Model!$F$14)</f>
        <v>0.64555537681197483</v>
      </c>
      <c r="C4682" s="32">
        <f ca="1">Model!$F$15+RAND()*(Model!$G$15-Model!$F$15)</f>
        <v>4.1010591175580965E-2</v>
      </c>
      <c r="D4682" s="33">
        <f ca="1">Model!$F$16+RAND()*(Model!$G$16-Model!$F$16)</f>
        <v>52.841715941782141</v>
      </c>
      <c r="E4682" s="33">
        <f>Model!$D$17</f>
        <v>800</v>
      </c>
      <c r="G4682" s="36">
        <f t="shared" ca="1" si="75"/>
        <v>1257.5577559179405</v>
      </c>
    </row>
    <row r="4683" spans="1:7" x14ac:dyDescent="0.2">
      <c r="A4683" s="6">
        <f ca="1">Model!$F$13+RAND()*(Model!$G$13-Model!$F$13)</f>
        <v>1766.6000625903262</v>
      </c>
      <c r="B4683" s="31">
        <f ca="1">Model!$F$14+RAND()*(Model!$G$14-Model!$F$14)</f>
        <v>0.24998977177473888</v>
      </c>
      <c r="C4683" s="32">
        <f ca="1">Model!$F$15+RAND()*(Model!$G$15-Model!$F$15)</f>
        <v>2.779152747472962E-2</v>
      </c>
      <c r="D4683" s="33">
        <f ca="1">Model!$F$16+RAND()*(Model!$G$16-Model!$F$16)</f>
        <v>48.19964974340602</v>
      </c>
      <c r="E4683" s="33">
        <f>Model!$D$17</f>
        <v>800</v>
      </c>
      <c r="G4683" s="36">
        <f t="shared" ca="1" si="75"/>
        <v>1124.8028404574707</v>
      </c>
    </row>
    <row r="4684" spans="1:7" x14ac:dyDescent="0.2">
      <c r="A4684" s="6">
        <f ca="1">Model!$F$13+RAND()*(Model!$G$13-Model!$F$13)</f>
        <v>1352.7089828836408</v>
      </c>
      <c r="B4684" s="31">
        <f ca="1">Model!$F$14+RAND()*(Model!$G$14-Model!$F$14)</f>
        <v>0.71430248485366987</v>
      </c>
      <c r="C4684" s="32">
        <f ca="1">Model!$F$15+RAND()*(Model!$G$15-Model!$F$15)</f>
        <v>2.5940476392238392E-2</v>
      </c>
      <c r="D4684" s="33">
        <f ca="1">Model!$F$16+RAND()*(Model!$G$16-Model!$F$16)</f>
        <v>48.199671940149827</v>
      </c>
      <c r="E4684" s="33">
        <f>Model!$D$17</f>
        <v>800</v>
      </c>
      <c r="G4684" s="36">
        <f t="shared" ca="1" si="75"/>
        <v>-74.920975331882346</v>
      </c>
    </row>
    <row r="4685" spans="1:7" x14ac:dyDescent="0.2">
      <c r="A4685" s="6">
        <f ca="1">Model!$F$13+RAND()*(Model!$G$13-Model!$F$13)</f>
        <v>1595.4165997290438</v>
      </c>
      <c r="B4685" s="31">
        <f ca="1">Model!$F$14+RAND()*(Model!$G$14-Model!$F$14)</f>
        <v>0.56146747811721642</v>
      </c>
      <c r="C4685" s="32">
        <f ca="1">Model!$F$15+RAND()*(Model!$G$15-Model!$F$15)</f>
        <v>2.3057681718805345E-2</v>
      </c>
      <c r="D4685" s="33">
        <f ca="1">Model!$F$16+RAND()*(Model!$G$16-Model!$F$16)</f>
        <v>51.062041479243035</v>
      </c>
      <c r="E4685" s="33">
        <f>Model!$D$17</f>
        <v>800</v>
      </c>
      <c r="G4685" s="36">
        <f t="shared" ca="1" si="75"/>
        <v>182.62477722870631</v>
      </c>
    </row>
    <row r="4686" spans="1:7" x14ac:dyDescent="0.2">
      <c r="A4686" s="6">
        <f ca="1">Model!$F$13+RAND()*(Model!$G$13-Model!$F$13)</f>
        <v>1540.083148892088</v>
      </c>
      <c r="B4686" s="31">
        <f ca="1">Model!$F$14+RAND()*(Model!$G$14-Model!$F$14)</f>
        <v>0.51125694468216176</v>
      </c>
      <c r="C4686" s="32">
        <f ca="1">Model!$F$15+RAND()*(Model!$G$15-Model!$F$15)</f>
        <v>4.3046662503217994E-2</v>
      </c>
      <c r="D4686" s="33">
        <f ca="1">Model!$F$16+RAND()*(Model!$G$16-Model!$F$16)</f>
        <v>48.335132075363944</v>
      </c>
      <c r="E4686" s="33">
        <f>Model!$D$17</f>
        <v>800</v>
      </c>
      <c r="G4686" s="36">
        <f t="shared" ca="1" si="75"/>
        <v>1617.0206207682772</v>
      </c>
    </row>
    <row r="4687" spans="1:7" x14ac:dyDescent="0.2">
      <c r="A4687" s="6">
        <f ca="1">Model!$F$13+RAND()*(Model!$G$13-Model!$F$13)</f>
        <v>1344.3727809561026</v>
      </c>
      <c r="B4687" s="31">
        <f ca="1">Model!$F$14+RAND()*(Model!$G$14-Model!$F$14)</f>
        <v>0.47288357271798165</v>
      </c>
      <c r="C4687" s="32">
        <f ca="1">Model!$F$15+RAND()*(Model!$G$15-Model!$F$15)</f>
        <v>3.187478897160928E-2</v>
      </c>
      <c r="D4687" s="33">
        <f ca="1">Model!$F$16+RAND()*(Model!$G$16-Model!$F$16)</f>
        <v>52.150747602755189</v>
      </c>
      <c r="E4687" s="33">
        <f>Model!$D$17</f>
        <v>800</v>
      </c>
      <c r="G4687" s="36">
        <f t="shared" ca="1" si="75"/>
        <v>799.01110404560541</v>
      </c>
    </row>
    <row r="4688" spans="1:7" x14ac:dyDescent="0.2">
      <c r="A4688" s="6">
        <f ca="1">Model!$F$13+RAND()*(Model!$G$13-Model!$F$13)</f>
        <v>1523.5052694671465</v>
      </c>
      <c r="B4688" s="31">
        <f ca="1">Model!$F$14+RAND()*(Model!$G$14-Model!$F$14)</f>
        <v>0.56226201522862862</v>
      </c>
      <c r="C4688" s="32">
        <f ca="1">Model!$F$15+RAND()*(Model!$G$15-Model!$F$15)</f>
        <v>3.3568066281789835E-2</v>
      </c>
      <c r="D4688" s="33">
        <f ca="1">Model!$F$16+RAND()*(Model!$G$16-Model!$F$16)</f>
        <v>49.29399743230794</v>
      </c>
      <c r="E4688" s="33">
        <f>Model!$D$17</f>
        <v>800</v>
      </c>
      <c r="G4688" s="36">
        <f t="shared" ca="1" si="75"/>
        <v>864.34138410828018</v>
      </c>
    </row>
    <row r="4689" spans="1:7" x14ac:dyDescent="0.2">
      <c r="A4689" s="6">
        <f ca="1">Model!$F$13+RAND()*(Model!$G$13-Model!$F$13)</f>
        <v>1627.7872688208213</v>
      </c>
      <c r="B4689" s="31">
        <f ca="1">Model!$F$14+RAND()*(Model!$G$14-Model!$F$14)</f>
        <v>0.53610981795066071</v>
      </c>
      <c r="C4689" s="32">
        <f ca="1">Model!$F$15+RAND()*(Model!$G$15-Model!$F$15)</f>
        <v>1.3936836760341863E-2</v>
      </c>
      <c r="D4689" s="33">
        <f ca="1">Model!$F$16+RAND()*(Model!$G$16-Model!$F$16)</f>
        <v>50.612032613316899</v>
      </c>
      <c r="E4689" s="33">
        <f>Model!$D$17</f>
        <v>800</v>
      </c>
      <c r="G4689" s="36">
        <f t="shared" ca="1" si="75"/>
        <v>-524.47776643857651</v>
      </c>
    </row>
    <row r="4690" spans="1:7" x14ac:dyDescent="0.2">
      <c r="A4690" s="6">
        <f ca="1">Model!$F$13+RAND()*(Model!$G$13-Model!$F$13)</f>
        <v>1420.2573209258089</v>
      </c>
      <c r="B4690" s="31">
        <f ca="1">Model!$F$14+RAND()*(Model!$G$14-Model!$F$14)</f>
        <v>0.29841683966691729</v>
      </c>
      <c r="C4690" s="32">
        <f ca="1">Model!$F$15+RAND()*(Model!$G$15-Model!$F$15)</f>
        <v>1.0029649316519493E-2</v>
      </c>
      <c r="D4690" s="33">
        <f ca="1">Model!$F$16+RAND()*(Model!$G$16-Model!$F$16)</f>
        <v>49.361027906188532</v>
      </c>
      <c r="E4690" s="33">
        <f>Model!$D$17</f>
        <v>800</v>
      </c>
      <c r="G4690" s="36">
        <f t="shared" ca="1" si="75"/>
        <v>-520.69651265712912</v>
      </c>
    </row>
    <row r="4691" spans="1:7" x14ac:dyDescent="0.2">
      <c r="A4691" s="6">
        <f ca="1">Model!$F$13+RAND()*(Model!$G$13-Model!$F$13)</f>
        <v>1240.283962353263</v>
      </c>
      <c r="B4691" s="31">
        <f ca="1">Model!$F$14+RAND()*(Model!$G$14-Model!$F$14)</f>
        <v>0.35674052988846683</v>
      </c>
      <c r="C4691" s="32">
        <f ca="1">Model!$F$15+RAND()*(Model!$G$15-Model!$F$15)</f>
        <v>2.8124751935254093E-2</v>
      </c>
      <c r="D4691" s="33">
        <f ca="1">Model!$F$16+RAND()*(Model!$G$16-Model!$F$16)</f>
        <v>47.704810593854013</v>
      </c>
      <c r="E4691" s="33">
        <f>Model!$D$17</f>
        <v>800</v>
      </c>
      <c r="G4691" s="36">
        <f t="shared" ca="1" si="75"/>
        <v>421.61202580895497</v>
      </c>
    </row>
    <row r="4692" spans="1:7" x14ac:dyDescent="0.2">
      <c r="A4692" s="6">
        <f ca="1">Model!$F$13+RAND()*(Model!$G$13-Model!$F$13)</f>
        <v>1647.4496607083693</v>
      </c>
      <c r="B4692" s="31">
        <f ca="1">Model!$F$14+RAND()*(Model!$G$14-Model!$F$14)</f>
        <v>0.70317806528023397</v>
      </c>
      <c r="C4692" s="32">
        <f ca="1">Model!$F$15+RAND()*(Model!$G$15-Model!$F$15)</f>
        <v>3.1177207300366917E-2</v>
      </c>
      <c r="D4692" s="33">
        <f ca="1">Model!$F$16+RAND()*(Model!$G$16-Model!$F$16)</f>
        <v>51.682575543407701</v>
      </c>
      <c r="E4692" s="33">
        <f>Model!$D$17</f>
        <v>800</v>
      </c>
      <c r="G4692" s="36">
        <f t="shared" ca="1" si="75"/>
        <v>696.11543941285936</v>
      </c>
    </row>
    <row r="4693" spans="1:7" x14ac:dyDescent="0.2">
      <c r="A4693" s="6">
        <f ca="1">Model!$F$13+RAND()*(Model!$G$13-Model!$F$13)</f>
        <v>1491.927597354837</v>
      </c>
      <c r="B4693" s="31">
        <f ca="1">Model!$F$14+RAND()*(Model!$G$14-Model!$F$14)</f>
        <v>0.61909670281904716</v>
      </c>
      <c r="C4693" s="32">
        <f ca="1">Model!$F$15+RAND()*(Model!$G$15-Model!$F$15)</f>
        <v>2.2387592061165123E-2</v>
      </c>
      <c r="D4693" s="33">
        <f ca="1">Model!$F$16+RAND()*(Model!$G$16-Model!$F$16)</f>
        <v>48.469466737308991</v>
      </c>
      <c r="E4693" s="33">
        <f>Model!$D$17</f>
        <v>800</v>
      </c>
      <c r="G4693" s="36">
        <f t="shared" ca="1" si="75"/>
        <v>-104.73496562226455</v>
      </c>
    </row>
    <row r="4694" spans="1:7" x14ac:dyDescent="0.2">
      <c r="A4694" s="6">
        <f ca="1">Model!$F$13+RAND()*(Model!$G$13-Model!$F$13)</f>
        <v>1652.4839792233943</v>
      </c>
      <c r="B4694" s="31">
        <f ca="1">Model!$F$14+RAND()*(Model!$G$14-Model!$F$14)</f>
        <v>0.52134328801164753</v>
      </c>
      <c r="C4694" s="32">
        <f ca="1">Model!$F$15+RAND()*(Model!$G$15-Model!$F$15)</f>
        <v>4.3679951877068239E-2</v>
      </c>
      <c r="D4694" s="33">
        <f ca="1">Model!$F$16+RAND()*(Model!$G$16-Model!$F$16)</f>
        <v>47.354956312997729</v>
      </c>
      <c r="E4694" s="33">
        <f>Model!$D$17</f>
        <v>800</v>
      </c>
      <c r="G4694" s="36">
        <f t="shared" ca="1" si="75"/>
        <v>1756.5892373187817</v>
      </c>
    </row>
    <row r="4695" spans="1:7" x14ac:dyDescent="0.2">
      <c r="A4695" s="6">
        <f ca="1">Model!$F$13+RAND()*(Model!$G$13-Model!$F$13)</f>
        <v>1378.8888440275541</v>
      </c>
      <c r="B4695" s="31">
        <f ca="1">Model!$F$14+RAND()*(Model!$G$14-Model!$F$14)</f>
        <v>0.64463771251598101</v>
      </c>
      <c r="C4695" s="32">
        <f ca="1">Model!$F$15+RAND()*(Model!$G$15-Model!$F$15)</f>
        <v>2.5153268257788821E-2</v>
      </c>
      <c r="D4695" s="33">
        <f ca="1">Model!$F$16+RAND()*(Model!$G$16-Model!$F$16)</f>
        <v>47.600970565797404</v>
      </c>
      <c r="E4695" s="33">
        <f>Model!$D$17</f>
        <v>800</v>
      </c>
      <c r="G4695" s="36">
        <f t="shared" ca="1" si="75"/>
        <v>-37.912584354421369</v>
      </c>
    </row>
    <row r="4696" spans="1:7" x14ac:dyDescent="0.2">
      <c r="A4696" s="6">
        <f ca="1">Model!$F$13+RAND()*(Model!$G$13-Model!$F$13)</f>
        <v>1360.1273960862184</v>
      </c>
      <c r="B4696" s="31">
        <f ca="1">Model!$F$14+RAND()*(Model!$G$14-Model!$F$14)</f>
        <v>0.58940309052229711</v>
      </c>
      <c r="C4696" s="32">
        <f ca="1">Model!$F$15+RAND()*(Model!$G$15-Model!$F$15)</f>
        <v>3.8334336993078644E-2</v>
      </c>
      <c r="D4696" s="33">
        <f ca="1">Model!$F$16+RAND()*(Model!$G$16-Model!$F$16)</f>
        <v>47.128298675065274</v>
      </c>
      <c r="E4696" s="33">
        <f>Model!$D$17</f>
        <v>800</v>
      </c>
      <c r="G4696" s="36">
        <f t="shared" ca="1" si="75"/>
        <v>855.58650041515284</v>
      </c>
    </row>
    <row r="4697" spans="1:7" x14ac:dyDescent="0.2">
      <c r="A4697" s="6">
        <f ca="1">Model!$F$13+RAND()*(Model!$G$13-Model!$F$13)</f>
        <v>1496.3296294547206</v>
      </c>
      <c r="B4697" s="31">
        <f ca="1">Model!$F$14+RAND()*(Model!$G$14-Model!$F$14)</f>
        <v>0.61425110464230692</v>
      </c>
      <c r="C4697" s="32">
        <f ca="1">Model!$F$15+RAND()*(Model!$G$15-Model!$F$15)</f>
        <v>3.3019464100564291E-2</v>
      </c>
      <c r="D4697" s="33">
        <f ca="1">Model!$F$16+RAND()*(Model!$G$16-Model!$F$16)</f>
        <v>52.780312771422516</v>
      </c>
      <c r="E4697" s="33">
        <f>Model!$D$17</f>
        <v>800</v>
      </c>
      <c r="G4697" s="36">
        <f t="shared" ca="1" si="75"/>
        <v>888.64769663023117</v>
      </c>
    </row>
    <row r="4698" spans="1:7" x14ac:dyDescent="0.2">
      <c r="A4698" s="6">
        <f ca="1">Model!$F$13+RAND()*(Model!$G$13-Model!$F$13)</f>
        <v>1302.2992910903877</v>
      </c>
      <c r="B4698" s="31">
        <f ca="1">Model!$F$14+RAND()*(Model!$G$14-Model!$F$14)</f>
        <v>0.42739803007341559</v>
      </c>
      <c r="C4698" s="32">
        <f ca="1">Model!$F$15+RAND()*(Model!$G$15-Model!$F$15)</f>
        <v>2.6231966624775629E-2</v>
      </c>
      <c r="D4698" s="33">
        <f ca="1">Model!$F$16+RAND()*(Model!$G$16-Model!$F$16)</f>
        <v>47.021668357314383</v>
      </c>
      <c r="E4698" s="33">
        <f>Model!$D$17</f>
        <v>800</v>
      </c>
      <c r="G4698" s="36">
        <f t="shared" ca="1" si="75"/>
        <v>249.74804241055017</v>
      </c>
    </row>
    <row r="4699" spans="1:7" x14ac:dyDescent="0.2">
      <c r="A4699" s="6">
        <f ca="1">Model!$F$13+RAND()*(Model!$G$13-Model!$F$13)</f>
        <v>1509.9166670668119</v>
      </c>
      <c r="B4699" s="31">
        <f ca="1">Model!$F$14+RAND()*(Model!$G$14-Model!$F$14)</f>
        <v>0.49065300451633576</v>
      </c>
      <c r="C4699" s="32">
        <f ca="1">Model!$F$15+RAND()*(Model!$G$15-Model!$F$15)</f>
        <v>1.2365913733409353E-2</v>
      </c>
      <c r="D4699" s="33">
        <f ca="1">Model!$F$16+RAND()*(Model!$G$16-Model!$F$16)</f>
        <v>47.381357352801082</v>
      </c>
      <c r="E4699" s="33">
        <f>Model!$D$17</f>
        <v>800</v>
      </c>
      <c r="G4699" s="36">
        <f t="shared" ca="1" si="75"/>
        <v>-656.16417100847104</v>
      </c>
    </row>
    <row r="4700" spans="1:7" x14ac:dyDescent="0.2">
      <c r="A4700" s="6">
        <f ca="1">Model!$F$13+RAND()*(Model!$G$13-Model!$F$13)</f>
        <v>1671.1036988264593</v>
      </c>
      <c r="B4700" s="31">
        <f ca="1">Model!$F$14+RAND()*(Model!$G$14-Model!$F$14)</f>
        <v>0.55248556707790719</v>
      </c>
      <c r="C4700" s="32">
        <f ca="1">Model!$F$15+RAND()*(Model!$G$15-Model!$F$15)</f>
        <v>2.4822957792049332E-2</v>
      </c>
      <c r="D4700" s="33">
        <f ca="1">Model!$F$16+RAND()*(Model!$G$16-Model!$F$16)</f>
        <v>52.737931872378496</v>
      </c>
      <c r="E4700" s="33">
        <f>Model!$D$17</f>
        <v>800</v>
      </c>
      <c r="G4700" s="36">
        <f t="shared" ca="1" si="75"/>
        <v>464.40032312297035</v>
      </c>
    </row>
    <row r="4701" spans="1:7" x14ac:dyDescent="0.2">
      <c r="A4701" s="6">
        <f ca="1">Model!$F$13+RAND()*(Model!$G$13-Model!$F$13)</f>
        <v>1635.5563713817687</v>
      </c>
      <c r="B4701" s="31">
        <f ca="1">Model!$F$14+RAND()*(Model!$G$14-Model!$F$14)</f>
        <v>0.35221693317736968</v>
      </c>
      <c r="C4701" s="32">
        <f ca="1">Model!$F$15+RAND()*(Model!$G$15-Model!$F$15)</f>
        <v>3.8581935609670465E-2</v>
      </c>
      <c r="D4701" s="33">
        <f ca="1">Model!$F$16+RAND()*(Model!$G$16-Model!$F$16)</f>
        <v>47.862559125487927</v>
      </c>
      <c r="E4701" s="33">
        <f>Model!$D$17</f>
        <v>800</v>
      </c>
      <c r="G4701" s="36">
        <f t="shared" ca="1" si="75"/>
        <v>1644.1970979849634</v>
      </c>
    </row>
    <row r="4702" spans="1:7" x14ac:dyDescent="0.2">
      <c r="A4702" s="6">
        <f ca="1">Model!$F$13+RAND()*(Model!$G$13-Model!$F$13)</f>
        <v>1774.9364896848431</v>
      </c>
      <c r="B4702" s="31">
        <f ca="1">Model!$F$14+RAND()*(Model!$G$14-Model!$F$14)</f>
        <v>0.7539436655567302</v>
      </c>
      <c r="C4702" s="32">
        <f ca="1">Model!$F$15+RAND()*(Model!$G$15-Model!$F$15)</f>
        <v>4.909135071444648E-2</v>
      </c>
      <c r="D4702" s="33">
        <f ca="1">Model!$F$16+RAND()*(Model!$G$16-Model!$F$16)</f>
        <v>48.430702781638338</v>
      </c>
      <c r="E4702" s="33">
        <f>Model!$D$17</f>
        <v>800</v>
      </c>
      <c r="G4702" s="36">
        <f t="shared" ca="1" si="75"/>
        <v>2081.7601719358763</v>
      </c>
    </row>
    <row r="4703" spans="1:7" x14ac:dyDescent="0.2">
      <c r="A4703" s="6">
        <f ca="1">Model!$F$13+RAND()*(Model!$G$13-Model!$F$13)</f>
        <v>1626.8685147174069</v>
      </c>
      <c r="B4703" s="31">
        <f ca="1">Model!$F$14+RAND()*(Model!$G$14-Model!$F$14)</f>
        <v>0.52295825034739329</v>
      </c>
      <c r="C4703" s="32">
        <f ca="1">Model!$F$15+RAND()*(Model!$G$15-Model!$F$15)</f>
        <v>3.1886043148624275E-2</v>
      </c>
      <c r="D4703" s="33">
        <f ca="1">Model!$F$16+RAND()*(Model!$G$16-Model!$F$16)</f>
        <v>51.406302005772176</v>
      </c>
      <c r="E4703" s="33">
        <f>Model!$D$17</f>
        <v>800</v>
      </c>
      <c r="G4703" s="36">
        <f t="shared" ca="1" si="75"/>
        <v>1015.8867431554527</v>
      </c>
    </row>
    <row r="4704" spans="1:7" x14ac:dyDescent="0.2">
      <c r="A4704" s="6">
        <f ca="1">Model!$F$13+RAND()*(Model!$G$13-Model!$F$13)</f>
        <v>1417.5818941313321</v>
      </c>
      <c r="B4704" s="31">
        <f ca="1">Model!$F$14+RAND()*(Model!$G$14-Model!$F$14)</f>
        <v>0.26480998559723823</v>
      </c>
      <c r="C4704" s="32">
        <f ca="1">Model!$F$15+RAND()*(Model!$G$15-Model!$F$15)</f>
        <v>4.5055183914299038E-2</v>
      </c>
      <c r="D4704" s="33">
        <f ca="1">Model!$F$16+RAND()*(Model!$G$16-Model!$F$16)</f>
        <v>51.988929175778921</v>
      </c>
      <c r="E4704" s="33">
        <f>Model!$D$17</f>
        <v>800</v>
      </c>
      <c r="G4704" s="36">
        <f t="shared" ca="1" si="75"/>
        <v>2145.1125455789756</v>
      </c>
    </row>
    <row r="4705" spans="1:7" x14ac:dyDescent="0.2">
      <c r="A4705" s="6">
        <f ca="1">Model!$F$13+RAND()*(Model!$G$13-Model!$F$13)</f>
        <v>1443.5122929198585</v>
      </c>
      <c r="B4705" s="31">
        <f ca="1">Model!$F$14+RAND()*(Model!$G$14-Model!$F$14)</f>
        <v>0.43492490599916794</v>
      </c>
      <c r="C4705" s="32">
        <f ca="1">Model!$F$15+RAND()*(Model!$G$15-Model!$F$15)</f>
        <v>4.1191621638251019E-2</v>
      </c>
      <c r="D4705" s="33">
        <f ca="1">Model!$F$16+RAND()*(Model!$G$16-Model!$F$16)</f>
        <v>51.092772909275801</v>
      </c>
      <c r="E4705" s="33">
        <f>Model!$D$17</f>
        <v>800</v>
      </c>
      <c r="G4705" s="36">
        <f t="shared" ca="1" si="75"/>
        <v>1610.1881078803808</v>
      </c>
    </row>
    <row r="4706" spans="1:7" x14ac:dyDescent="0.2">
      <c r="A4706" s="6">
        <f ca="1">Model!$F$13+RAND()*(Model!$G$13-Model!$F$13)</f>
        <v>1596.3762478337944</v>
      </c>
      <c r="B4706" s="31">
        <f ca="1">Model!$F$14+RAND()*(Model!$G$14-Model!$F$14)</f>
        <v>0.35494790837373424</v>
      </c>
      <c r="C4706" s="32">
        <f ca="1">Model!$F$15+RAND()*(Model!$G$15-Model!$F$15)</f>
        <v>3.785605773421593E-2</v>
      </c>
      <c r="D4706" s="33">
        <f ca="1">Model!$F$16+RAND()*(Model!$G$16-Model!$F$16)</f>
        <v>47.582323769667518</v>
      </c>
      <c r="E4706" s="33">
        <f>Model!$D$17</f>
        <v>800</v>
      </c>
      <c r="G4706" s="36">
        <f t="shared" ca="1" si="75"/>
        <v>1508.8889136706364</v>
      </c>
    </row>
    <row r="4707" spans="1:7" x14ac:dyDescent="0.2">
      <c r="A4707" s="6">
        <f ca="1">Model!$F$13+RAND()*(Model!$G$13-Model!$F$13)</f>
        <v>1338.9734456169369</v>
      </c>
      <c r="B4707" s="31">
        <f ca="1">Model!$F$14+RAND()*(Model!$G$14-Model!$F$14)</f>
        <v>0.62101757951319747</v>
      </c>
      <c r="C4707" s="32">
        <f ca="1">Model!$F$15+RAND()*(Model!$G$15-Model!$F$15)</f>
        <v>1.3821685360321516E-2</v>
      </c>
      <c r="D4707" s="33">
        <f ca="1">Model!$F$16+RAND()*(Model!$G$16-Model!$F$16)</f>
        <v>49.051056921991865</v>
      </c>
      <c r="E4707" s="33">
        <f>Model!$D$17</f>
        <v>800</v>
      </c>
      <c r="G4707" s="36">
        <f t="shared" ca="1" si="75"/>
        <v>-723.7445305423621</v>
      </c>
    </row>
    <row r="4708" spans="1:7" x14ac:dyDescent="0.2">
      <c r="A4708" s="6">
        <f ca="1">Model!$F$13+RAND()*(Model!$G$13-Model!$F$13)</f>
        <v>1479.6958062161334</v>
      </c>
      <c r="B4708" s="31">
        <f ca="1">Model!$F$14+RAND()*(Model!$G$14-Model!$F$14)</f>
        <v>0.73089603340393428</v>
      </c>
      <c r="C4708" s="32">
        <f ca="1">Model!$F$15+RAND()*(Model!$G$15-Model!$F$15)</f>
        <v>4.6690130472818468E-2</v>
      </c>
      <c r="D4708" s="33">
        <f ca="1">Model!$F$16+RAND()*(Model!$G$16-Model!$F$16)</f>
        <v>50.914123281270605</v>
      </c>
      <c r="E4708" s="33">
        <f>Model!$D$17</f>
        <v>800</v>
      </c>
      <c r="G4708" s="36">
        <f t="shared" ca="1" si="75"/>
        <v>1636.0099262550816</v>
      </c>
    </row>
    <row r="4709" spans="1:7" x14ac:dyDescent="0.2">
      <c r="A4709" s="6">
        <f ca="1">Model!$F$13+RAND()*(Model!$G$13-Model!$F$13)</f>
        <v>1224.8886449358838</v>
      </c>
      <c r="B4709" s="31">
        <f ca="1">Model!$F$14+RAND()*(Model!$G$14-Model!$F$14)</f>
        <v>0.72604595131093452</v>
      </c>
      <c r="C4709" s="32">
        <f ca="1">Model!$F$15+RAND()*(Model!$G$15-Model!$F$15)</f>
        <v>1.4952414778583948E-2</v>
      </c>
      <c r="D4709" s="33">
        <f ca="1">Model!$F$16+RAND()*(Model!$G$16-Model!$F$16)</f>
        <v>52.480748552255911</v>
      </c>
      <c r="E4709" s="33">
        <f>Model!$D$17</f>
        <v>800</v>
      </c>
      <c r="G4709" s="36">
        <f t="shared" ca="1" si="75"/>
        <v>-728.13827103256017</v>
      </c>
    </row>
    <row r="4710" spans="1:7" x14ac:dyDescent="0.2">
      <c r="A4710" s="6">
        <f ca="1">Model!$F$13+RAND()*(Model!$G$13-Model!$F$13)</f>
        <v>1739.5181521706795</v>
      </c>
      <c r="B4710" s="31">
        <f ca="1">Model!$F$14+RAND()*(Model!$G$14-Model!$F$14)</f>
        <v>0.35130792909150133</v>
      </c>
      <c r="C4710" s="32">
        <f ca="1">Model!$F$15+RAND()*(Model!$G$15-Model!$F$15)</f>
        <v>3.0974705679210568E-2</v>
      </c>
      <c r="D4710" s="33">
        <f ca="1">Model!$F$16+RAND()*(Model!$G$16-Model!$F$16)</f>
        <v>50.727332507567752</v>
      </c>
      <c r="E4710" s="33">
        <f>Model!$D$17</f>
        <v>800</v>
      </c>
      <c r="G4710" s="36">
        <f t="shared" ca="1" si="75"/>
        <v>1322.1360682077741</v>
      </c>
    </row>
    <row r="4711" spans="1:7" x14ac:dyDescent="0.2">
      <c r="A4711" s="6">
        <f ca="1">Model!$F$13+RAND()*(Model!$G$13-Model!$F$13)</f>
        <v>1688.5653297448227</v>
      </c>
      <c r="B4711" s="31">
        <f ca="1">Model!$F$14+RAND()*(Model!$G$14-Model!$F$14)</f>
        <v>0.60436964529194759</v>
      </c>
      <c r="C4711" s="32">
        <f ca="1">Model!$F$15+RAND()*(Model!$G$15-Model!$F$15)</f>
        <v>1.1334809133427473E-2</v>
      </c>
      <c r="D4711" s="33">
        <f ca="1">Model!$F$16+RAND()*(Model!$G$16-Model!$F$16)</f>
        <v>47.445755828475718</v>
      </c>
      <c r="E4711" s="33">
        <f>Model!$D$17</f>
        <v>800</v>
      </c>
      <c r="G4711" s="36">
        <f t="shared" ca="1" si="75"/>
        <v>-912.42646748200434</v>
      </c>
    </row>
    <row r="4712" spans="1:7" x14ac:dyDescent="0.2">
      <c r="A4712" s="6">
        <f ca="1">Model!$F$13+RAND()*(Model!$G$13-Model!$F$13)</f>
        <v>1647.4590107714685</v>
      </c>
      <c r="B4712" s="31">
        <f ca="1">Model!$F$14+RAND()*(Model!$G$14-Model!$F$14)</f>
        <v>0.75921459433379312</v>
      </c>
      <c r="C4712" s="32">
        <f ca="1">Model!$F$15+RAND()*(Model!$G$15-Model!$F$15)</f>
        <v>1.1744694775969591E-2</v>
      </c>
      <c r="D4712" s="33">
        <f ca="1">Model!$F$16+RAND()*(Model!$G$16-Model!$F$16)</f>
        <v>47.723617575877761</v>
      </c>
      <c r="E4712" s="33">
        <f>Model!$D$17</f>
        <v>800</v>
      </c>
      <c r="G4712" s="36">
        <f t="shared" ca="1" si="75"/>
        <v>-1127.3752659285592</v>
      </c>
    </row>
    <row r="4713" spans="1:7" x14ac:dyDescent="0.2">
      <c r="A4713" s="6">
        <f ca="1">Model!$F$13+RAND()*(Model!$G$13-Model!$F$13)</f>
        <v>1360.0422000399435</v>
      </c>
      <c r="B4713" s="31">
        <f ca="1">Model!$F$14+RAND()*(Model!$G$14-Model!$F$14)</f>
        <v>0.64731507512092057</v>
      </c>
      <c r="C4713" s="32">
        <f ca="1">Model!$F$15+RAND()*(Model!$G$15-Model!$F$15)</f>
        <v>4.4079438771293875E-2</v>
      </c>
      <c r="D4713" s="33">
        <f ca="1">Model!$F$16+RAND()*(Model!$G$16-Model!$F$16)</f>
        <v>50.244756972721753</v>
      </c>
      <c r="E4713" s="33">
        <f>Model!$D$17</f>
        <v>800</v>
      </c>
      <c r="G4713" s="36">
        <f t="shared" ref="G4713:G4776" ca="1" si="76">A4713*C4713*D4713-(E4713+A4713*B4713)</f>
        <v>1331.7921805414207</v>
      </c>
    </row>
    <row r="4714" spans="1:7" x14ac:dyDescent="0.2">
      <c r="A4714" s="6">
        <f ca="1">Model!$F$13+RAND()*(Model!$G$13-Model!$F$13)</f>
        <v>1600.0991250967545</v>
      </c>
      <c r="B4714" s="31">
        <f ca="1">Model!$F$14+RAND()*(Model!$G$14-Model!$F$14)</f>
        <v>0.49060585472898499</v>
      </c>
      <c r="C4714" s="32">
        <f ca="1">Model!$F$15+RAND()*(Model!$G$15-Model!$F$15)</f>
        <v>4.2433584280949989E-2</v>
      </c>
      <c r="D4714" s="33">
        <f ca="1">Model!$F$16+RAND()*(Model!$G$16-Model!$F$16)</f>
        <v>51.326947383230518</v>
      </c>
      <c r="E4714" s="33">
        <f>Model!$D$17</f>
        <v>800</v>
      </c>
      <c r="G4714" s="36">
        <f t="shared" ca="1" si="76"/>
        <v>1899.9760504605647</v>
      </c>
    </row>
    <row r="4715" spans="1:7" x14ac:dyDescent="0.2">
      <c r="A4715" s="6">
        <f ca="1">Model!$F$13+RAND()*(Model!$G$13-Model!$F$13)</f>
        <v>1300.2500981821538</v>
      </c>
      <c r="B4715" s="31">
        <f ca="1">Model!$F$14+RAND()*(Model!$G$14-Model!$F$14)</f>
        <v>0.72120276892930568</v>
      </c>
      <c r="C4715" s="32">
        <f ca="1">Model!$F$15+RAND()*(Model!$G$15-Model!$F$15)</f>
        <v>1.5466563645726681E-2</v>
      </c>
      <c r="D4715" s="33">
        <f ca="1">Model!$F$16+RAND()*(Model!$G$16-Model!$F$16)</f>
        <v>47.748200747355519</v>
      </c>
      <c r="E4715" s="33">
        <f>Model!$D$17</f>
        <v>800</v>
      </c>
      <c r="G4715" s="36">
        <f t="shared" ca="1" si="76"/>
        <v>-777.50851187925468</v>
      </c>
    </row>
    <row r="4716" spans="1:7" x14ac:dyDescent="0.2">
      <c r="A4716" s="6">
        <f ca="1">Model!$F$13+RAND()*(Model!$G$13-Model!$F$13)</f>
        <v>1503.6576843253602</v>
      </c>
      <c r="B4716" s="31">
        <f ca="1">Model!$F$14+RAND()*(Model!$G$14-Model!$F$14)</f>
        <v>0.20775858789531204</v>
      </c>
      <c r="C4716" s="32">
        <f ca="1">Model!$F$15+RAND()*(Model!$G$15-Model!$F$15)</f>
        <v>4.8978267610457697E-2</v>
      </c>
      <c r="D4716" s="33">
        <f ca="1">Model!$F$16+RAND()*(Model!$G$16-Model!$F$16)</f>
        <v>50.878224259818211</v>
      </c>
      <c r="E4716" s="33">
        <f>Model!$D$17</f>
        <v>800</v>
      </c>
      <c r="G4716" s="36">
        <f t="shared" ca="1" si="76"/>
        <v>2634.6078112042328</v>
      </c>
    </row>
    <row r="4717" spans="1:7" x14ac:dyDescent="0.2">
      <c r="A4717" s="6">
        <f ca="1">Model!$F$13+RAND()*(Model!$G$13-Model!$F$13)</f>
        <v>1697.9184865260224</v>
      </c>
      <c r="B4717" s="31">
        <f ca="1">Model!$F$14+RAND()*(Model!$G$14-Model!$F$14)</f>
        <v>0.62241420237972278</v>
      </c>
      <c r="C4717" s="32">
        <f ca="1">Model!$F$15+RAND()*(Model!$G$15-Model!$F$15)</f>
        <v>4.1371992430754533E-2</v>
      </c>
      <c r="D4717" s="33">
        <f ca="1">Model!$F$16+RAND()*(Model!$G$16-Model!$F$16)</f>
        <v>47.645772196192198</v>
      </c>
      <c r="E4717" s="33">
        <f>Model!$D$17</f>
        <v>800</v>
      </c>
      <c r="G4717" s="36">
        <f t="shared" ca="1" si="76"/>
        <v>1490.12923436611</v>
      </c>
    </row>
    <row r="4718" spans="1:7" x14ac:dyDescent="0.2">
      <c r="A4718" s="6">
        <f ca="1">Model!$F$13+RAND()*(Model!$G$13-Model!$F$13)</f>
        <v>1644.6985961828193</v>
      </c>
      <c r="B4718" s="31">
        <f ca="1">Model!$F$14+RAND()*(Model!$G$14-Model!$F$14)</f>
        <v>0.53402353741837294</v>
      </c>
      <c r="C4718" s="32">
        <f ca="1">Model!$F$15+RAND()*(Model!$G$15-Model!$F$15)</f>
        <v>3.2476243541967258E-2</v>
      </c>
      <c r="D4718" s="33">
        <f ca="1">Model!$F$16+RAND()*(Model!$G$16-Model!$F$16)</f>
        <v>47.96394752668737</v>
      </c>
      <c r="E4718" s="33">
        <f>Model!$D$17</f>
        <v>800</v>
      </c>
      <c r="G4718" s="36">
        <f t="shared" ca="1" si="76"/>
        <v>883.62088794405508</v>
      </c>
    </row>
    <row r="4719" spans="1:7" x14ac:dyDescent="0.2">
      <c r="A4719" s="6">
        <f ca="1">Model!$F$13+RAND()*(Model!$G$13-Model!$F$13)</f>
        <v>1248.2524382913828</v>
      </c>
      <c r="B4719" s="31">
        <f ca="1">Model!$F$14+RAND()*(Model!$G$14-Model!$F$14)</f>
        <v>0.2798630345441096</v>
      </c>
      <c r="C4719" s="32">
        <f ca="1">Model!$F$15+RAND()*(Model!$G$15-Model!$F$15)</f>
        <v>3.4891926236507623E-2</v>
      </c>
      <c r="D4719" s="33">
        <f ca="1">Model!$F$16+RAND()*(Model!$G$16-Model!$F$16)</f>
        <v>52.868634882393486</v>
      </c>
      <c r="E4719" s="33">
        <f>Model!$D$17</f>
        <v>800</v>
      </c>
      <c r="G4719" s="36">
        <f t="shared" ca="1" si="76"/>
        <v>1153.2972134174956</v>
      </c>
    </row>
    <row r="4720" spans="1:7" x14ac:dyDescent="0.2">
      <c r="A4720" s="6">
        <f ca="1">Model!$F$13+RAND()*(Model!$G$13-Model!$F$13)</f>
        <v>1696.3042413738724</v>
      </c>
      <c r="B4720" s="31">
        <f ca="1">Model!$F$14+RAND()*(Model!$G$14-Model!$F$14)</f>
        <v>0.32707655322872287</v>
      </c>
      <c r="C4720" s="32">
        <f ca="1">Model!$F$15+RAND()*(Model!$G$15-Model!$F$15)</f>
        <v>4.2658377631491141E-2</v>
      </c>
      <c r="D4720" s="33">
        <f ca="1">Model!$F$16+RAND()*(Model!$G$16-Model!$F$16)</f>
        <v>48.507146170847939</v>
      </c>
      <c r="E4720" s="33">
        <f>Model!$D$17</f>
        <v>800</v>
      </c>
      <c r="G4720" s="36">
        <f t="shared" ca="1" si="76"/>
        <v>2155.2327287287289</v>
      </c>
    </row>
    <row r="4721" spans="1:7" x14ac:dyDescent="0.2">
      <c r="A4721" s="6">
        <f ca="1">Model!$F$13+RAND()*(Model!$G$13-Model!$F$13)</f>
        <v>1451.1946853598893</v>
      </c>
      <c r="B4721" s="31">
        <f ca="1">Model!$F$14+RAND()*(Model!$G$14-Model!$F$14)</f>
        <v>0.46066643516834183</v>
      </c>
      <c r="C4721" s="32">
        <f ca="1">Model!$F$15+RAND()*(Model!$G$15-Model!$F$15)</f>
        <v>3.8257737042827283E-2</v>
      </c>
      <c r="D4721" s="33">
        <f ca="1">Model!$F$16+RAND()*(Model!$G$16-Model!$F$16)</f>
        <v>49.87178560546819</v>
      </c>
      <c r="E4721" s="33">
        <f>Model!$D$17</f>
        <v>800</v>
      </c>
      <c r="G4721" s="36">
        <f t="shared" ca="1" si="76"/>
        <v>1300.3361616634968</v>
      </c>
    </row>
    <row r="4722" spans="1:7" x14ac:dyDescent="0.2">
      <c r="A4722" s="6">
        <f ca="1">Model!$F$13+RAND()*(Model!$G$13-Model!$F$13)</f>
        <v>1589.1242095586667</v>
      </c>
      <c r="B4722" s="31">
        <f ca="1">Model!$F$14+RAND()*(Model!$G$14-Model!$F$14)</f>
        <v>0.78414899350648026</v>
      </c>
      <c r="C4722" s="32">
        <f ca="1">Model!$F$15+RAND()*(Model!$G$15-Model!$F$15)</f>
        <v>4.7329383427347063E-2</v>
      </c>
      <c r="D4722" s="33">
        <f ca="1">Model!$F$16+RAND()*(Model!$G$16-Model!$F$16)</f>
        <v>51.930350223272917</v>
      </c>
      <c r="E4722" s="33">
        <f>Model!$D$17</f>
        <v>800</v>
      </c>
      <c r="G4722" s="36">
        <f t="shared" ca="1" si="76"/>
        <v>1859.6893222227231</v>
      </c>
    </row>
    <row r="4723" spans="1:7" x14ac:dyDescent="0.2">
      <c r="A4723" s="6">
        <f ca="1">Model!$F$13+RAND()*(Model!$G$13-Model!$F$13)</f>
        <v>1688.8675138500121</v>
      </c>
      <c r="B4723" s="31">
        <f ca="1">Model!$F$14+RAND()*(Model!$G$14-Model!$F$14)</f>
        <v>0.76544643585411065</v>
      </c>
      <c r="C4723" s="32">
        <f ca="1">Model!$F$15+RAND()*(Model!$G$15-Model!$F$15)</f>
        <v>3.3165047199842153E-2</v>
      </c>
      <c r="D4723" s="33">
        <f ca="1">Model!$F$16+RAND()*(Model!$G$16-Model!$F$16)</f>
        <v>50.126983192063832</v>
      </c>
      <c r="E4723" s="33">
        <f>Model!$D$17</f>
        <v>800</v>
      </c>
      <c r="G4723" s="36">
        <f t="shared" ca="1" si="76"/>
        <v>714.94342410696754</v>
      </c>
    </row>
    <row r="4724" spans="1:7" x14ac:dyDescent="0.2">
      <c r="A4724" s="6">
        <f ca="1">Model!$F$13+RAND()*(Model!$G$13-Model!$F$13)</f>
        <v>1707.1506345815135</v>
      </c>
      <c r="B4724" s="31">
        <f ca="1">Model!$F$14+RAND()*(Model!$G$14-Model!$F$14)</f>
        <v>0.39118511054387406</v>
      </c>
      <c r="C4724" s="32">
        <f ca="1">Model!$F$15+RAND()*(Model!$G$15-Model!$F$15)</f>
        <v>3.6466990781185621E-2</v>
      </c>
      <c r="D4724" s="33">
        <f ca="1">Model!$F$16+RAND()*(Model!$G$16-Model!$F$16)</f>
        <v>51.354639287840058</v>
      </c>
      <c r="E4724" s="33">
        <f>Model!$D$17</f>
        <v>800</v>
      </c>
      <c r="G4724" s="36">
        <f t="shared" ca="1" si="76"/>
        <v>1729.2530029014881</v>
      </c>
    </row>
    <row r="4725" spans="1:7" x14ac:dyDescent="0.2">
      <c r="A4725" s="6">
        <f ca="1">Model!$F$13+RAND()*(Model!$G$13-Model!$F$13)</f>
        <v>1208.8562091198303</v>
      </c>
      <c r="B4725" s="31">
        <f ca="1">Model!$F$14+RAND()*(Model!$G$14-Model!$F$14)</f>
        <v>0.26450068492408801</v>
      </c>
      <c r="C4725" s="32">
        <f ca="1">Model!$F$15+RAND()*(Model!$G$15-Model!$F$15)</f>
        <v>1.8265807547145792E-2</v>
      </c>
      <c r="D4725" s="33">
        <f ca="1">Model!$F$16+RAND()*(Model!$G$16-Model!$F$16)</f>
        <v>49.201271067778265</v>
      </c>
      <c r="E4725" s="33">
        <f>Model!$D$17</f>
        <v>800</v>
      </c>
      <c r="G4725" s="36">
        <f t="shared" ca="1" si="76"/>
        <v>-33.343073672932178</v>
      </c>
    </row>
    <row r="4726" spans="1:7" x14ac:dyDescent="0.2">
      <c r="A4726" s="6">
        <f ca="1">Model!$F$13+RAND()*(Model!$G$13-Model!$F$13)</f>
        <v>1423.9140777648247</v>
      </c>
      <c r="B4726" s="31">
        <f ca="1">Model!$F$14+RAND()*(Model!$G$14-Model!$F$14)</f>
        <v>0.78038572092714453</v>
      </c>
      <c r="C4726" s="32">
        <f ca="1">Model!$F$15+RAND()*(Model!$G$15-Model!$F$15)</f>
        <v>1.2088743637890236E-2</v>
      </c>
      <c r="D4726" s="33">
        <f ca="1">Model!$F$16+RAND()*(Model!$G$16-Model!$F$16)</f>
        <v>49.143834836168921</v>
      </c>
      <c r="E4726" s="33">
        <f>Model!$D$17</f>
        <v>800</v>
      </c>
      <c r="G4726" s="36">
        <f t="shared" ca="1" si="76"/>
        <v>-1065.2730571153197</v>
      </c>
    </row>
    <row r="4727" spans="1:7" x14ac:dyDescent="0.2">
      <c r="A4727" s="6">
        <f ca="1">Model!$F$13+RAND()*(Model!$G$13-Model!$F$13)</f>
        <v>1289.9030968859483</v>
      </c>
      <c r="B4727" s="31">
        <f ca="1">Model!$F$14+RAND()*(Model!$G$14-Model!$F$14)</f>
        <v>0.25309296626343558</v>
      </c>
      <c r="C4727" s="32">
        <f ca="1">Model!$F$15+RAND()*(Model!$G$15-Model!$F$15)</f>
        <v>2.6982135553391171E-2</v>
      </c>
      <c r="D4727" s="33">
        <f ca="1">Model!$F$16+RAND()*(Model!$G$16-Model!$F$16)</f>
        <v>48.580882542459634</v>
      </c>
      <c r="E4727" s="33">
        <f>Model!$D$17</f>
        <v>800</v>
      </c>
      <c r="G4727" s="36">
        <f t="shared" ca="1" si="76"/>
        <v>564.36016277104522</v>
      </c>
    </row>
    <row r="4728" spans="1:7" x14ac:dyDescent="0.2">
      <c r="A4728" s="6">
        <f ca="1">Model!$F$13+RAND()*(Model!$G$13-Model!$F$13)</f>
        <v>1532.4308182381405</v>
      </c>
      <c r="B4728" s="31">
        <f ca="1">Model!$F$14+RAND()*(Model!$G$14-Model!$F$14)</f>
        <v>0.40182875891005032</v>
      </c>
      <c r="C4728" s="32">
        <f ca="1">Model!$F$15+RAND()*(Model!$G$15-Model!$F$15)</f>
        <v>3.1273901179671632E-2</v>
      </c>
      <c r="D4728" s="33">
        <f ca="1">Model!$F$16+RAND()*(Model!$G$16-Model!$F$16)</f>
        <v>52.267785085958089</v>
      </c>
      <c r="E4728" s="33">
        <f>Model!$D$17</f>
        <v>800</v>
      </c>
      <c r="G4728" s="36">
        <f t="shared" ca="1" si="76"/>
        <v>1089.1635291918356</v>
      </c>
    </row>
    <row r="4729" spans="1:7" x14ac:dyDescent="0.2">
      <c r="A4729" s="6">
        <f ca="1">Model!$F$13+RAND()*(Model!$G$13-Model!$F$13)</f>
        <v>1363.2763022161239</v>
      </c>
      <c r="B4729" s="31">
        <f ca="1">Model!$F$14+RAND()*(Model!$G$14-Model!$F$14)</f>
        <v>0.79803052656156814</v>
      </c>
      <c r="C4729" s="32">
        <f ca="1">Model!$F$15+RAND()*(Model!$G$15-Model!$F$15)</f>
        <v>1.3721217342666372E-2</v>
      </c>
      <c r="D4729" s="33">
        <f ca="1">Model!$F$16+RAND()*(Model!$G$16-Model!$F$16)</f>
        <v>47.047420652378385</v>
      </c>
      <c r="E4729" s="33">
        <f>Model!$D$17</f>
        <v>800</v>
      </c>
      <c r="G4729" s="36">
        <f t="shared" ca="1" si="76"/>
        <v>-1007.8759728538148</v>
      </c>
    </row>
    <row r="4730" spans="1:7" x14ac:dyDescent="0.2">
      <c r="A4730" s="6">
        <f ca="1">Model!$F$13+RAND()*(Model!$G$13-Model!$F$13)</f>
        <v>1707.9794881960693</v>
      </c>
      <c r="B4730" s="31">
        <f ca="1">Model!$F$14+RAND()*(Model!$G$14-Model!$F$14)</f>
        <v>0.73458914335209013</v>
      </c>
      <c r="C4730" s="32">
        <f ca="1">Model!$F$15+RAND()*(Model!$G$15-Model!$F$15)</f>
        <v>1.8219052703014479E-2</v>
      </c>
      <c r="D4730" s="33">
        <f ca="1">Model!$F$16+RAND()*(Model!$G$16-Model!$F$16)</f>
        <v>52.059419329041326</v>
      </c>
      <c r="E4730" s="33">
        <f>Model!$D$17</f>
        <v>800</v>
      </c>
      <c r="G4730" s="36">
        <f t="shared" ca="1" si="76"/>
        <v>-434.69024000476429</v>
      </c>
    </row>
    <row r="4731" spans="1:7" x14ac:dyDescent="0.2">
      <c r="A4731" s="6">
        <f ca="1">Model!$F$13+RAND()*(Model!$G$13-Model!$F$13)</f>
        <v>1478.386521029056</v>
      </c>
      <c r="B4731" s="31">
        <f ca="1">Model!$F$14+RAND()*(Model!$G$14-Model!$F$14)</f>
        <v>0.51711059011191429</v>
      </c>
      <c r="C4731" s="32">
        <f ca="1">Model!$F$15+RAND()*(Model!$G$15-Model!$F$15)</f>
        <v>4.9112029050972159E-2</v>
      </c>
      <c r="D4731" s="33">
        <f ca="1">Model!$F$16+RAND()*(Model!$G$16-Model!$F$16)</f>
        <v>48.002788807375588</v>
      </c>
      <c r="E4731" s="33">
        <f>Model!$D$17</f>
        <v>800</v>
      </c>
      <c r="G4731" s="36">
        <f t="shared" ca="1" si="76"/>
        <v>1920.8281243406873</v>
      </c>
    </row>
    <row r="4732" spans="1:7" x14ac:dyDescent="0.2">
      <c r="A4732" s="6">
        <f ca="1">Model!$F$13+RAND()*(Model!$G$13-Model!$F$13)</f>
        <v>1724.2995202127731</v>
      </c>
      <c r="B4732" s="31">
        <f ca="1">Model!$F$14+RAND()*(Model!$G$14-Model!$F$14)</f>
        <v>0.66240874167262742</v>
      </c>
      <c r="C4732" s="32">
        <f ca="1">Model!$F$15+RAND()*(Model!$G$15-Model!$F$15)</f>
        <v>2.6606552260411857E-2</v>
      </c>
      <c r="D4732" s="33">
        <f ca="1">Model!$F$16+RAND()*(Model!$G$16-Model!$F$16)</f>
        <v>50.721392776397657</v>
      </c>
      <c r="E4732" s="33">
        <f>Model!$D$17</f>
        <v>800</v>
      </c>
      <c r="G4732" s="36">
        <f t="shared" ca="1" si="76"/>
        <v>384.78800574970296</v>
      </c>
    </row>
    <row r="4733" spans="1:7" x14ac:dyDescent="0.2">
      <c r="A4733" s="6">
        <f ca="1">Model!$F$13+RAND()*(Model!$G$13-Model!$F$13)</f>
        <v>1532.9357422739033</v>
      </c>
      <c r="B4733" s="31">
        <f ca="1">Model!$F$14+RAND()*(Model!$G$14-Model!$F$14)</f>
        <v>0.55567738342574502</v>
      </c>
      <c r="C4733" s="32">
        <f ca="1">Model!$F$15+RAND()*(Model!$G$15-Model!$F$15)</f>
        <v>3.0841968092369977E-2</v>
      </c>
      <c r="D4733" s="33">
        <f ca="1">Model!$F$16+RAND()*(Model!$G$16-Model!$F$16)</f>
        <v>49.646687445593543</v>
      </c>
      <c r="E4733" s="33">
        <f>Model!$D$17</f>
        <v>800</v>
      </c>
      <c r="G4733" s="36">
        <f t="shared" ca="1" si="76"/>
        <v>695.41586252985462</v>
      </c>
    </row>
    <row r="4734" spans="1:7" x14ac:dyDescent="0.2">
      <c r="A4734" s="6">
        <f ca="1">Model!$F$13+RAND()*(Model!$G$13-Model!$F$13)</f>
        <v>1611.393711705909</v>
      </c>
      <c r="B4734" s="31">
        <f ca="1">Model!$F$14+RAND()*(Model!$G$14-Model!$F$14)</f>
        <v>0.79224506882981238</v>
      </c>
      <c r="C4734" s="32">
        <f ca="1">Model!$F$15+RAND()*(Model!$G$15-Model!$F$15)</f>
        <v>3.7775601531823612E-2</v>
      </c>
      <c r="D4734" s="33">
        <f ca="1">Model!$F$16+RAND()*(Model!$G$16-Model!$F$16)</f>
        <v>48.91332881991066</v>
      </c>
      <c r="E4734" s="33">
        <f>Model!$D$17</f>
        <v>800</v>
      </c>
      <c r="G4734" s="36">
        <f t="shared" ca="1" si="76"/>
        <v>900.80245621665881</v>
      </c>
    </row>
    <row r="4735" spans="1:7" x14ac:dyDescent="0.2">
      <c r="A4735" s="6">
        <f ca="1">Model!$F$13+RAND()*(Model!$G$13-Model!$F$13)</f>
        <v>1593.7120106645834</v>
      </c>
      <c r="B4735" s="31">
        <f ca="1">Model!$F$14+RAND()*(Model!$G$14-Model!$F$14)</f>
        <v>0.37156215219395039</v>
      </c>
      <c r="C4735" s="32">
        <f ca="1">Model!$F$15+RAND()*(Model!$G$15-Model!$F$15)</f>
        <v>4.2543176964633993E-2</v>
      </c>
      <c r="D4735" s="33">
        <f ca="1">Model!$F$16+RAND()*(Model!$G$16-Model!$F$16)</f>
        <v>48.954098512259044</v>
      </c>
      <c r="E4735" s="33">
        <f>Model!$D$17</f>
        <v>800</v>
      </c>
      <c r="G4735" s="36">
        <f t="shared" ca="1" si="76"/>
        <v>1927.0017752274725</v>
      </c>
    </row>
    <row r="4736" spans="1:7" x14ac:dyDescent="0.2">
      <c r="A4736" s="6">
        <f ca="1">Model!$F$13+RAND()*(Model!$G$13-Model!$F$13)</f>
        <v>1225.4392581998638</v>
      </c>
      <c r="B4736" s="31">
        <f ca="1">Model!$F$14+RAND()*(Model!$G$14-Model!$F$14)</f>
        <v>0.32690285873223834</v>
      </c>
      <c r="C4736" s="32">
        <f ca="1">Model!$F$15+RAND()*(Model!$G$15-Model!$F$15)</f>
        <v>3.226841330885169E-2</v>
      </c>
      <c r="D4736" s="33">
        <f ca="1">Model!$F$16+RAND()*(Model!$G$16-Model!$F$16)</f>
        <v>47.730954832514072</v>
      </c>
      <c r="E4736" s="33">
        <f>Model!$D$17</f>
        <v>800</v>
      </c>
      <c r="G4736" s="36">
        <f t="shared" ca="1" si="76"/>
        <v>686.82461797603423</v>
      </c>
    </row>
    <row r="4737" spans="1:7" x14ac:dyDescent="0.2">
      <c r="A4737" s="6">
        <f ca="1">Model!$F$13+RAND()*(Model!$G$13-Model!$F$13)</f>
        <v>1618.8670602780062</v>
      </c>
      <c r="B4737" s="31">
        <f ca="1">Model!$F$14+RAND()*(Model!$G$14-Model!$F$14)</f>
        <v>0.54488864083090183</v>
      </c>
      <c r="C4737" s="32">
        <f ca="1">Model!$F$15+RAND()*(Model!$G$15-Model!$F$15)</f>
        <v>4.8316168257702269E-2</v>
      </c>
      <c r="D4737" s="33">
        <f ca="1">Model!$F$16+RAND()*(Model!$G$16-Model!$F$16)</f>
        <v>47.67539176277598</v>
      </c>
      <c r="E4737" s="33">
        <f>Model!$D$17</f>
        <v>800</v>
      </c>
      <c r="G4737" s="36">
        <f t="shared" ca="1" si="76"/>
        <v>2046.94545523238</v>
      </c>
    </row>
    <row r="4738" spans="1:7" x14ac:dyDescent="0.2">
      <c r="A4738" s="6">
        <f ca="1">Model!$F$13+RAND()*(Model!$G$13-Model!$F$13)</f>
        <v>1236.9603484484514</v>
      </c>
      <c r="B4738" s="31">
        <f ca="1">Model!$F$14+RAND()*(Model!$G$14-Model!$F$14)</f>
        <v>0.58686601697808449</v>
      </c>
      <c r="C4738" s="32">
        <f ca="1">Model!$F$15+RAND()*(Model!$G$15-Model!$F$15)</f>
        <v>1.1697324864282139E-2</v>
      </c>
      <c r="D4738" s="33">
        <f ca="1">Model!$F$16+RAND()*(Model!$G$16-Model!$F$16)</f>
        <v>50.182233279045541</v>
      </c>
      <c r="E4738" s="33">
        <f>Model!$D$17</f>
        <v>800</v>
      </c>
      <c r="G4738" s="36">
        <f t="shared" ca="1" si="76"/>
        <v>-799.83688438647516</v>
      </c>
    </row>
    <row r="4739" spans="1:7" x14ac:dyDescent="0.2">
      <c r="A4739" s="6">
        <f ca="1">Model!$F$13+RAND()*(Model!$G$13-Model!$F$13)</f>
        <v>1587.9563363294719</v>
      </c>
      <c r="B4739" s="31">
        <f ca="1">Model!$F$14+RAND()*(Model!$G$14-Model!$F$14)</f>
        <v>0.2114399033993041</v>
      </c>
      <c r="C4739" s="32">
        <f ca="1">Model!$F$15+RAND()*(Model!$G$15-Model!$F$15)</f>
        <v>1.1285073384783054E-2</v>
      </c>
      <c r="D4739" s="33">
        <f ca="1">Model!$F$16+RAND()*(Model!$G$16-Model!$F$16)</f>
        <v>52.716313247202308</v>
      </c>
      <c r="E4739" s="33">
        <f>Model!$D$17</f>
        <v>800</v>
      </c>
      <c r="G4739" s="36">
        <f t="shared" ca="1" si="76"/>
        <v>-191.07025805031651</v>
      </c>
    </row>
    <row r="4740" spans="1:7" x14ac:dyDescent="0.2">
      <c r="A4740" s="6">
        <f ca="1">Model!$F$13+RAND()*(Model!$G$13-Model!$F$13)</f>
        <v>1395.4134143378278</v>
      </c>
      <c r="B4740" s="31">
        <f ca="1">Model!$F$14+RAND()*(Model!$G$14-Model!$F$14)</f>
        <v>0.47054127015637909</v>
      </c>
      <c r="C4740" s="32">
        <f ca="1">Model!$F$15+RAND()*(Model!$G$15-Model!$F$15)</f>
        <v>2.7631157643340273E-2</v>
      </c>
      <c r="D4740" s="33">
        <f ca="1">Model!$F$16+RAND()*(Model!$G$16-Model!$F$16)</f>
        <v>51.739878588432433</v>
      </c>
      <c r="E4740" s="33">
        <f>Model!$D$17</f>
        <v>800</v>
      </c>
      <c r="G4740" s="36">
        <f t="shared" ca="1" si="76"/>
        <v>538.32910500283197</v>
      </c>
    </row>
    <row r="4741" spans="1:7" x14ac:dyDescent="0.2">
      <c r="A4741" s="6">
        <f ca="1">Model!$F$13+RAND()*(Model!$G$13-Model!$F$13)</f>
        <v>1430.5628985735509</v>
      </c>
      <c r="B4741" s="31">
        <f ca="1">Model!$F$14+RAND()*(Model!$G$14-Model!$F$14)</f>
        <v>0.45875310129453262</v>
      </c>
      <c r="C4741" s="32">
        <f ca="1">Model!$F$15+RAND()*(Model!$G$15-Model!$F$15)</f>
        <v>2.9702986323226668E-2</v>
      </c>
      <c r="D4741" s="33">
        <f ca="1">Model!$F$16+RAND()*(Model!$G$16-Model!$F$16)</f>
        <v>48.714337768902922</v>
      </c>
      <c r="E4741" s="33">
        <f>Model!$D$17</f>
        <v>800</v>
      </c>
      <c r="G4741" s="36">
        <f t="shared" ca="1" si="76"/>
        <v>613.69399728654116</v>
      </c>
    </row>
    <row r="4742" spans="1:7" x14ac:dyDescent="0.2">
      <c r="A4742" s="6">
        <f ca="1">Model!$F$13+RAND()*(Model!$G$13-Model!$F$13)</f>
        <v>1654.1738575463871</v>
      </c>
      <c r="B4742" s="31">
        <f ca="1">Model!$F$14+RAND()*(Model!$G$14-Model!$F$14)</f>
        <v>0.65955112290622986</v>
      </c>
      <c r="C4742" s="32">
        <f ca="1">Model!$F$15+RAND()*(Model!$G$15-Model!$F$15)</f>
        <v>4.9061892695171035E-2</v>
      </c>
      <c r="D4742" s="33">
        <f ca="1">Model!$F$16+RAND()*(Model!$G$16-Model!$F$16)</f>
        <v>50.336622521388463</v>
      </c>
      <c r="E4742" s="33">
        <f>Model!$D$17</f>
        <v>800</v>
      </c>
      <c r="G4742" s="36">
        <f t="shared" ca="1" si="76"/>
        <v>2194.1520300844677</v>
      </c>
    </row>
    <row r="4743" spans="1:7" x14ac:dyDescent="0.2">
      <c r="A4743" s="6">
        <f ca="1">Model!$F$13+RAND()*(Model!$G$13-Model!$F$13)</f>
        <v>1450.8949598266472</v>
      </c>
      <c r="B4743" s="31">
        <f ca="1">Model!$F$14+RAND()*(Model!$G$14-Model!$F$14)</f>
        <v>0.21282677750827853</v>
      </c>
      <c r="C4743" s="32">
        <f ca="1">Model!$F$15+RAND()*(Model!$G$15-Model!$F$15)</f>
        <v>4.9727518262856964E-2</v>
      </c>
      <c r="D4743" s="33">
        <f ca="1">Model!$F$16+RAND()*(Model!$G$16-Model!$F$16)</f>
        <v>47.578275827463294</v>
      </c>
      <c r="E4743" s="33">
        <f>Model!$D$17</f>
        <v>800</v>
      </c>
      <c r="G4743" s="36">
        <f t="shared" ca="1" si="76"/>
        <v>2323.9550222050457</v>
      </c>
    </row>
    <row r="4744" spans="1:7" x14ac:dyDescent="0.2">
      <c r="A4744" s="6">
        <f ca="1">Model!$F$13+RAND()*(Model!$G$13-Model!$F$13)</f>
        <v>1681.148941034957</v>
      </c>
      <c r="B4744" s="31">
        <f ca="1">Model!$F$14+RAND()*(Model!$G$14-Model!$F$14)</f>
        <v>0.40618568539123101</v>
      </c>
      <c r="C4744" s="32">
        <f ca="1">Model!$F$15+RAND()*(Model!$G$15-Model!$F$15)</f>
        <v>2.4390198945151188E-2</v>
      </c>
      <c r="D4744" s="33">
        <f ca="1">Model!$F$16+RAND()*(Model!$G$16-Model!$F$16)</f>
        <v>48.414385238036502</v>
      </c>
      <c r="E4744" s="33">
        <f>Model!$D$17</f>
        <v>800</v>
      </c>
      <c r="G4744" s="36">
        <f t="shared" ca="1" si="76"/>
        <v>502.30337607901311</v>
      </c>
    </row>
    <row r="4745" spans="1:7" x14ac:dyDescent="0.2">
      <c r="A4745" s="6">
        <f ca="1">Model!$F$13+RAND()*(Model!$G$13-Model!$F$13)</f>
        <v>1268.4857070613778</v>
      </c>
      <c r="B4745" s="31">
        <f ca="1">Model!$F$14+RAND()*(Model!$G$14-Model!$F$14)</f>
        <v>0.38228072054676376</v>
      </c>
      <c r="C4745" s="32">
        <f ca="1">Model!$F$15+RAND()*(Model!$G$15-Model!$F$15)</f>
        <v>2.8254141748079262E-2</v>
      </c>
      <c r="D4745" s="33">
        <f ca="1">Model!$F$16+RAND()*(Model!$G$16-Model!$F$16)</f>
        <v>52.838047310580336</v>
      </c>
      <c r="E4745" s="33">
        <f>Model!$D$17</f>
        <v>800</v>
      </c>
      <c r="G4745" s="36">
        <f t="shared" ca="1" si="76"/>
        <v>608.79666312014888</v>
      </c>
    </row>
    <row r="4746" spans="1:7" x14ac:dyDescent="0.2">
      <c r="A4746" s="6">
        <f ca="1">Model!$F$13+RAND()*(Model!$G$13-Model!$F$13)</f>
        <v>1393.0773831514118</v>
      </c>
      <c r="B4746" s="31">
        <f ca="1">Model!$F$14+RAND()*(Model!$G$14-Model!$F$14)</f>
        <v>0.62683021511672155</v>
      </c>
      <c r="C4746" s="32">
        <f ca="1">Model!$F$15+RAND()*(Model!$G$15-Model!$F$15)</f>
        <v>3.2774256563479626E-2</v>
      </c>
      <c r="D4746" s="33">
        <f ca="1">Model!$F$16+RAND()*(Model!$G$16-Model!$F$16)</f>
        <v>52.541403369223758</v>
      </c>
      <c r="E4746" s="33">
        <f>Model!$D$17</f>
        <v>800</v>
      </c>
      <c r="G4746" s="36">
        <f t="shared" ca="1" si="76"/>
        <v>725.66382833210946</v>
      </c>
    </row>
    <row r="4747" spans="1:7" x14ac:dyDescent="0.2">
      <c r="A4747" s="6">
        <f ca="1">Model!$F$13+RAND()*(Model!$G$13-Model!$F$13)</f>
        <v>1566.7712430323181</v>
      </c>
      <c r="B4747" s="31">
        <f ca="1">Model!$F$14+RAND()*(Model!$G$14-Model!$F$14)</f>
        <v>0.6589358616894585</v>
      </c>
      <c r="C4747" s="32">
        <f ca="1">Model!$F$15+RAND()*(Model!$G$15-Model!$F$15)</f>
        <v>1.0626334451903117E-2</v>
      </c>
      <c r="D4747" s="33">
        <f ca="1">Model!$F$16+RAND()*(Model!$G$16-Model!$F$16)</f>
        <v>47.571433061352813</v>
      </c>
      <c r="E4747" s="33">
        <f>Model!$D$17</f>
        <v>800</v>
      </c>
      <c r="G4747" s="36">
        <f t="shared" ca="1" si="76"/>
        <v>-1040.3832937330812</v>
      </c>
    </row>
    <row r="4748" spans="1:7" x14ac:dyDescent="0.2">
      <c r="A4748" s="6">
        <f ca="1">Model!$F$13+RAND()*(Model!$G$13-Model!$F$13)</f>
        <v>1753.0960565228911</v>
      </c>
      <c r="B4748" s="31">
        <f ca="1">Model!$F$14+RAND()*(Model!$G$14-Model!$F$14)</f>
        <v>0.79897828993540743</v>
      </c>
      <c r="C4748" s="32">
        <f ca="1">Model!$F$15+RAND()*(Model!$G$15-Model!$F$15)</f>
        <v>2.6931680336670143E-2</v>
      </c>
      <c r="D4748" s="33">
        <f ca="1">Model!$F$16+RAND()*(Model!$G$16-Model!$F$16)</f>
        <v>48.109208942457549</v>
      </c>
      <c r="E4748" s="33">
        <f>Model!$D$17</f>
        <v>800</v>
      </c>
      <c r="G4748" s="36">
        <f t="shared" ca="1" si="76"/>
        <v>70.73396680174892</v>
      </c>
    </row>
    <row r="4749" spans="1:7" x14ac:dyDescent="0.2">
      <c r="A4749" s="6">
        <f ca="1">Model!$F$13+RAND()*(Model!$G$13-Model!$F$13)</f>
        <v>1368.8625763201944</v>
      </c>
      <c r="B4749" s="31">
        <f ca="1">Model!$F$14+RAND()*(Model!$G$14-Model!$F$14)</f>
        <v>0.53430840517488343</v>
      </c>
      <c r="C4749" s="32">
        <f ca="1">Model!$F$15+RAND()*(Model!$G$15-Model!$F$15)</f>
        <v>1.0618840770479143E-2</v>
      </c>
      <c r="D4749" s="33">
        <f ca="1">Model!$F$16+RAND()*(Model!$G$16-Model!$F$16)</f>
        <v>47.354102377418144</v>
      </c>
      <c r="E4749" s="33">
        <f>Model!$D$17</f>
        <v>800</v>
      </c>
      <c r="G4749" s="36">
        <f t="shared" ca="1" si="76"/>
        <v>-843.0681566575181</v>
      </c>
    </row>
    <row r="4750" spans="1:7" x14ac:dyDescent="0.2">
      <c r="A4750" s="6">
        <f ca="1">Model!$F$13+RAND()*(Model!$G$13-Model!$F$13)</f>
        <v>1774.2739568218476</v>
      </c>
      <c r="B4750" s="31">
        <f ca="1">Model!$F$14+RAND()*(Model!$G$14-Model!$F$14)</f>
        <v>0.59425541907139334</v>
      </c>
      <c r="C4750" s="32">
        <f ca="1">Model!$F$15+RAND()*(Model!$G$15-Model!$F$15)</f>
        <v>2.1068905934038137E-2</v>
      </c>
      <c r="D4750" s="33">
        <f ca="1">Model!$F$16+RAND()*(Model!$G$16-Model!$F$16)</f>
        <v>51.996707301292389</v>
      </c>
      <c r="E4750" s="33">
        <f>Model!$D$17</f>
        <v>800</v>
      </c>
      <c r="G4750" s="36">
        <f t="shared" ca="1" si="76"/>
        <v>89.369575611388882</v>
      </c>
    </row>
    <row r="4751" spans="1:7" x14ac:dyDescent="0.2">
      <c r="A4751" s="6">
        <f ca="1">Model!$F$13+RAND()*(Model!$G$13-Model!$F$13)</f>
        <v>1472.2181305879194</v>
      </c>
      <c r="B4751" s="31">
        <f ca="1">Model!$F$14+RAND()*(Model!$G$14-Model!$F$14)</f>
        <v>0.55092208820171362</v>
      </c>
      <c r="C4751" s="32">
        <f ca="1">Model!$F$15+RAND()*(Model!$G$15-Model!$F$15)</f>
        <v>2.2270820296099805E-2</v>
      </c>
      <c r="D4751" s="33">
        <f ca="1">Model!$F$16+RAND()*(Model!$G$16-Model!$F$16)</f>
        <v>52.441330952533733</v>
      </c>
      <c r="E4751" s="33">
        <f>Model!$D$17</f>
        <v>800</v>
      </c>
      <c r="G4751" s="36">
        <f t="shared" ca="1" si="76"/>
        <v>108.34293620275525</v>
      </c>
    </row>
    <row r="4752" spans="1:7" x14ac:dyDescent="0.2">
      <c r="A4752" s="6">
        <f ca="1">Model!$F$13+RAND()*(Model!$G$13-Model!$F$13)</f>
        <v>1707.6939107258295</v>
      </c>
      <c r="B4752" s="31">
        <f ca="1">Model!$F$14+RAND()*(Model!$G$14-Model!$F$14)</f>
        <v>0.3334540667327629</v>
      </c>
      <c r="C4752" s="32">
        <f ca="1">Model!$F$15+RAND()*(Model!$G$15-Model!$F$15)</f>
        <v>1.1995205371197675E-2</v>
      </c>
      <c r="D4752" s="33">
        <f ca="1">Model!$F$16+RAND()*(Model!$G$16-Model!$F$16)</f>
        <v>48.853125584703491</v>
      </c>
      <c r="E4752" s="33">
        <f>Model!$D$17</f>
        <v>800</v>
      </c>
      <c r="G4752" s="36">
        <f t="shared" ca="1" si="76"/>
        <v>-368.72325588509216</v>
      </c>
    </row>
    <row r="4753" spans="1:7" x14ac:dyDescent="0.2">
      <c r="A4753" s="6">
        <f ca="1">Model!$F$13+RAND()*(Model!$G$13-Model!$F$13)</f>
        <v>1550.6996191220171</v>
      </c>
      <c r="B4753" s="31">
        <f ca="1">Model!$F$14+RAND()*(Model!$G$14-Model!$F$14)</f>
        <v>0.5580947721554812</v>
      </c>
      <c r="C4753" s="32">
        <f ca="1">Model!$F$15+RAND()*(Model!$G$15-Model!$F$15)</f>
        <v>4.919070711217774E-2</v>
      </c>
      <c r="D4753" s="33">
        <f ca="1">Model!$F$16+RAND()*(Model!$G$16-Model!$F$16)</f>
        <v>50.233916756353253</v>
      </c>
      <c r="E4753" s="33">
        <f>Model!$D$17</f>
        <v>800</v>
      </c>
      <c r="G4753" s="36">
        <f t="shared" ca="1" si="76"/>
        <v>2166.4063612413383</v>
      </c>
    </row>
    <row r="4754" spans="1:7" x14ac:dyDescent="0.2">
      <c r="A4754" s="6">
        <f ca="1">Model!$F$13+RAND()*(Model!$G$13-Model!$F$13)</f>
        <v>1365.553664569986</v>
      </c>
      <c r="B4754" s="31">
        <f ca="1">Model!$F$14+RAND()*(Model!$G$14-Model!$F$14)</f>
        <v>0.31571446420638627</v>
      </c>
      <c r="C4754" s="32">
        <f ca="1">Model!$F$15+RAND()*(Model!$G$15-Model!$F$15)</f>
        <v>3.1571590763155376E-2</v>
      </c>
      <c r="D4754" s="33">
        <f ca="1">Model!$F$16+RAND()*(Model!$G$16-Model!$F$16)</f>
        <v>49.83335940674511</v>
      </c>
      <c r="E4754" s="33">
        <f>Model!$D$17</f>
        <v>800</v>
      </c>
      <c r="G4754" s="36">
        <f t="shared" ca="1" si="76"/>
        <v>917.32570344315309</v>
      </c>
    </row>
    <row r="4755" spans="1:7" x14ac:dyDescent="0.2">
      <c r="A4755" s="6">
        <f ca="1">Model!$F$13+RAND()*(Model!$G$13-Model!$F$13)</f>
        <v>1521.4176967672295</v>
      </c>
      <c r="B4755" s="31">
        <f ca="1">Model!$F$14+RAND()*(Model!$G$14-Model!$F$14)</f>
        <v>0.72643316000620461</v>
      </c>
      <c r="C4755" s="32">
        <f ca="1">Model!$F$15+RAND()*(Model!$G$15-Model!$F$15)</f>
        <v>4.4569766894488057E-2</v>
      </c>
      <c r="D4755" s="33">
        <f ca="1">Model!$F$16+RAND()*(Model!$G$16-Model!$F$16)</f>
        <v>50.351393697343099</v>
      </c>
      <c r="E4755" s="33">
        <f>Model!$D$17</f>
        <v>800</v>
      </c>
      <c r="G4755" s="36">
        <f t="shared" ca="1" si="76"/>
        <v>1509.0810763307657</v>
      </c>
    </row>
    <row r="4756" spans="1:7" x14ac:dyDescent="0.2">
      <c r="A4756" s="6">
        <f ca="1">Model!$F$13+RAND()*(Model!$G$13-Model!$F$13)</f>
        <v>1420.0598889385042</v>
      </c>
      <c r="B4756" s="31">
        <f ca="1">Model!$F$14+RAND()*(Model!$G$14-Model!$F$14)</f>
        <v>0.62689484821031272</v>
      </c>
      <c r="C4756" s="32">
        <f ca="1">Model!$F$15+RAND()*(Model!$G$15-Model!$F$15)</f>
        <v>2.9033136093869559E-2</v>
      </c>
      <c r="D4756" s="33">
        <f ca="1">Model!$F$16+RAND()*(Model!$G$16-Model!$F$16)</f>
        <v>52.22371060783621</v>
      </c>
      <c r="E4756" s="33">
        <f>Model!$D$17</f>
        <v>800</v>
      </c>
      <c r="G4756" s="36">
        <f t="shared" ca="1" si="76"/>
        <v>462.89227448065594</v>
      </c>
    </row>
    <row r="4757" spans="1:7" x14ac:dyDescent="0.2">
      <c r="A4757" s="6">
        <f ca="1">Model!$F$13+RAND()*(Model!$G$13-Model!$F$13)</f>
        <v>1745.6297794668003</v>
      </c>
      <c r="B4757" s="31">
        <f ca="1">Model!$F$14+RAND()*(Model!$G$14-Model!$F$14)</f>
        <v>0.31527617409093311</v>
      </c>
      <c r="C4757" s="32">
        <f ca="1">Model!$F$15+RAND()*(Model!$G$15-Model!$F$15)</f>
        <v>1.9879136028494761E-2</v>
      </c>
      <c r="D4757" s="33">
        <f ca="1">Model!$F$16+RAND()*(Model!$G$16-Model!$F$16)</f>
        <v>48.811846398284757</v>
      </c>
      <c r="E4757" s="33">
        <f>Model!$D$17</f>
        <v>800</v>
      </c>
      <c r="G4757" s="36">
        <f t="shared" ca="1" si="76"/>
        <v>343.49426872640174</v>
      </c>
    </row>
    <row r="4758" spans="1:7" x14ac:dyDescent="0.2">
      <c r="A4758" s="6">
        <f ca="1">Model!$F$13+RAND()*(Model!$G$13-Model!$F$13)</f>
        <v>1555.8286563897466</v>
      </c>
      <c r="B4758" s="31">
        <f ca="1">Model!$F$14+RAND()*(Model!$G$14-Model!$F$14)</f>
        <v>0.4486977465633698</v>
      </c>
      <c r="C4758" s="32">
        <f ca="1">Model!$F$15+RAND()*(Model!$G$15-Model!$F$15)</f>
        <v>3.2669602163071639E-2</v>
      </c>
      <c r="D4758" s="33">
        <f ca="1">Model!$F$16+RAND()*(Model!$G$16-Model!$F$16)</f>
        <v>52.471827761555836</v>
      </c>
      <c r="E4758" s="33">
        <f>Model!$D$17</f>
        <v>800</v>
      </c>
      <c r="G4758" s="36">
        <f t="shared" ca="1" si="76"/>
        <v>1168.957160764031</v>
      </c>
    </row>
    <row r="4759" spans="1:7" x14ac:dyDescent="0.2">
      <c r="A4759" s="6">
        <f ca="1">Model!$F$13+RAND()*(Model!$G$13-Model!$F$13)</f>
        <v>1241.282010175963</v>
      </c>
      <c r="B4759" s="31">
        <f ca="1">Model!$F$14+RAND()*(Model!$G$14-Model!$F$14)</f>
        <v>0.51085793946134106</v>
      </c>
      <c r="C4759" s="32">
        <f ca="1">Model!$F$15+RAND()*(Model!$G$15-Model!$F$15)</f>
        <v>4.4913495404118521E-2</v>
      </c>
      <c r="D4759" s="33">
        <f ca="1">Model!$F$16+RAND()*(Model!$G$16-Model!$F$16)</f>
        <v>50.70442471735408</v>
      </c>
      <c r="E4759" s="33">
        <f>Model!$D$17</f>
        <v>800</v>
      </c>
      <c r="G4759" s="36">
        <f t="shared" ca="1" si="76"/>
        <v>1392.6688220364372</v>
      </c>
    </row>
    <row r="4760" spans="1:7" x14ac:dyDescent="0.2">
      <c r="A4760" s="6">
        <f ca="1">Model!$F$13+RAND()*(Model!$G$13-Model!$F$13)</f>
        <v>1730.7422991305614</v>
      </c>
      <c r="B4760" s="31">
        <f ca="1">Model!$F$14+RAND()*(Model!$G$14-Model!$F$14)</f>
        <v>0.5617043159223889</v>
      </c>
      <c r="C4760" s="32">
        <f ca="1">Model!$F$15+RAND()*(Model!$G$15-Model!$F$15)</f>
        <v>4.9091730303815147E-2</v>
      </c>
      <c r="D4760" s="33">
        <f ca="1">Model!$F$16+RAND()*(Model!$G$16-Model!$F$16)</f>
        <v>49.144787140061894</v>
      </c>
      <c r="E4760" s="33">
        <f>Model!$D$17</f>
        <v>800</v>
      </c>
      <c r="G4760" s="36">
        <f t="shared" ca="1" si="76"/>
        <v>2403.4280141528029</v>
      </c>
    </row>
    <row r="4761" spans="1:7" x14ac:dyDescent="0.2">
      <c r="A4761" s="6">
        <f ca="1">Model!$F$13+RAND()*(Model!$G$13-Model!$F$13)</f>
        <v>1340.3763310456839</v>
      </c>
      <c r="B4761" s="31">
        <f ca="1">Model!$F$14+RAND()*(Model!$G$14-Model!$F$14)</f>
        <v>0.27308984466576391</v>
      </c>
      <c r="C4761" s="32">
        <f ca="1">Model!$F$15+RAND()*(Model!$G$15-Model!$F$15)</f>
        <v>4.3471064331879791E-2</v>
      </c>
      <c r="D4761" s="33">
        <f ca="1">Model!$F$16+RAND()*(Model!$G$16-Model!$F$16)</f>
        <v>49.409878148434274</v>
      </c>
      <c r="E4761" s="33">
        <f>Model!$D$17</f>
        <v>800</v>
      </c>
      <c r="G4761" s="36">
        <f t="shared" ca="1" si="76"/>
        <v>1712.951146182982</v>
      </c>
    </row>
    <row r="4762" spans="1:7" x14ac:dyDescent="0.2">
      <c r="A4762" s="6">
        <f ca="1">Model!$F$13+RAND()*(Model!$G$13-Model!$F$13)</f>
        <v>1697.3241609462493</v>
      </c>
      <c r="B4762" s="31">
        <f ca="1">Model!$F$14+RAND()*(Model!$G$14-Model!$F$14)</f>
        <v>0.38831823536689181</v>
      </c>
      <c r="C4762" s="32">
        <f ca="1">Model!$F$15+RAND()*(Model!$G$15-Model!$F$15)</f>
        <v>1.4299684653555494E-2</v>
      </c>
      <c r="D4762" s="33">
        <f ca="1">Model!$F$16+RAND()*(Model!$G$16-Model!$F$16)</f>
        <v>50.723678236843284</v>
      </c>
      <c r="E4762" s="33">
        <f>Model!$D$17</f>
        <v>800</v>
      </c>
      <c r="G4762" s="36">
        <f t="shared" ca="1" si="76"/>
        <v>-227.97737079701983</v>
      </c>
    </row>
    <row r="4763" spans="1:7" x14ac:dyDescent="0.2">
      <c r="A4763" s="6">
        <f ca="1">Model!$F$13+RAND()*(Model!$G$13-Model!$F$13)</f>
        <v>1740.2117684245263</v>
      </c>
      <c r="B4763" s="31">
        <f ca="1">Model!$F$14+RAND()*(Model!$G$14-Model!$F$14)</f>
        <v>0.29342993693883146</v>
      </c>
      <c r="C4763" s="32">
        <f ca="1">Model!$F$15+RAND()*(Model!$G$15-Model!$F$15)</f>
        <v>4.9408272408589554E-2</v>
      </c>
      <c r="D4763" s="33">
        <f ca="1">Model!$F$16+RAND()*(Model!$G$16-Model!$F$16)</f>
        <v>48.465670670667592</v>
      </c>
      <c r="E4763" s="33">
        <f>Model!$D$17</f>
        <v>800</v>
      </c>
      <c r="G4763" s="36">
        <f t="shared" ca="1" si="76"/>
        <v>2856.4896748643978</v>
      </c>
    </row>
    <row r="4764" spans="1:7" x14ac:dyDescent="0.2">
      <c r="A4764" s="6">
        <f ca="1">Model!$F$13+RAND()*(Model!$G$13-Model!$F$13)</f>
        <v>1585.4545971670464</v>
      </c>
      <c r="B4764" s="31">
        <f ca="1">Model!$F$14+RAND()*(Model!$G$14-Model!$F$14)</f>
        <v>0.27706551398279</v>
      </c>
      <c r="C4764" s="32">
        <f ca="1">Model!$F$15+RAND()*(Model!$G$15-Model!$F$15)</f>
        <v>1.0769513420985146E-2</v>
      </c>
      <c r="D4764" s="33">
        <f ca="1">Model!$F$16+RAND()*(Model!$G$16-Model!$F$16)</f>
        <v>49.758357311341761</v>
      </c>
      <c r="E4764" s="33">
        <f>Model!$D$17</f>
        <v>800</v>
      </c>
      <c r="G4764" s="36">
        <f t="shared" ca="1" si="76"/>
        <v>-389.67201083780071</v>
      </c>
    </row>
    <row r="4765" spans="1:7" x14ac:dyDescent="0.2">
      <c r="A4765" s="6">
        <f ca="1">Model!$F$13+RAND()*(Model!$G$13-Model!$F$13)</f>
        <v>1267.2764769357273</v>
      </c>
      <c r="B4765" s="31">
        <f ca="1">Model!$F$14+RAND()*(Model!$G$14-Model!$F$14)</f>
        <v>0.22269212479795356</v>
      </c>
      <c r="C4765" s="32">
        <f ca="1">Model!$F$15+RAND()*(Model!$G$15-Model!$F$15)</f>
        <v>4.6973679168543871E-2</v>
      </c>
      <c r="D4765" s="33">
        <f ca="1">Model!$F$16+RAND()*(Model!$G$16-Model!$F$16)</f>
        <v>49.09922088423172</v>
      </c>
      <c r="E4765" s="33">
        <f>Model!$D$17</f>
        <v>800</v>
      </c>
      <c r="G4765" s="36">
        <f t="shared" ca="1" si="76"/>
        <v>1840.597286433878</v>
      </c>
    </row>
    <row r="4766" spans="1:7" x14ac:dyDescent="0.2">
      <c r="A4766" s="6">
        <f ca="1">Model!$F$13+RAND()*(Model!$G$13-Model!$F$13)</f>
        <v>1554.0259060750739</v>
      </c>
      <c r="B4766" s="31">
        <f ca="1">Model!$F$14+RAND()*(Model!$G$14-Model!$F$14)</f>
        <v>0.77869547350626589</v>
      </c>
      <c r="C4766" s="32">
        <f ca="1">Model!$F$15+RAND()*(Model!$G$15-Model!$F$15)</f>
        <v>4.3173090388133058E-2</v>
      </c>
      <c r="D4766" s="33">
        <f ca="1">Model!$F$16+RAND()*(Model!$G$16-Model!$F$16)</f>
        <v>52.600146199454812</v>
      </c>
      <c r="E4766" s="33">
        <f>Model!$D$17</f>
        <v>800</v>
      </c>
      <c r="G4766" s="36">
        <f t="shared" ca="1" si="76"/>
        <v>1518.941377842465</v>
      </c>
    </row>
    <row r="4767" spans="1:7" x14ac:dyDescent="0.2">
      <c r="A4767" s="6">
        <f ca="1">Model!$F$13+RAND()*(Model!$G$13-Model!$F$13)</f>
        <v>1572.6000796566977</v>
      </c>
      <c r="B4767" s="31">
        <f ca="1">Model!$F$14+RAND()*(Model!$G$14-Model!$F$14)</f>
        <v>0.53640649239620197</v>
      </c>
      <c r="C4767" s="32">
        <f ca="1">Model!$F$15+RAND()*(Model!$G$15-Model!$F$15)</f>
        <v>2.0786342341997152E-2</v>
      </c>
      <c r="D4767" s="33">
        <f ca="1">Model!$F$16+RAND()*(Model!$G$16-Model!$F$16)</f>
        <v>47.532986018183308</v>
      </c>
      <c r="E4767" s="33">
        <f>Model!$D$17</f>
        <v>800</v>
      </c>
      <c r="G4767" s="36">
        <f t="shared" ca="1" si="76"/>
        <v>-89.765953714333364</v>
      </c>
    </row>
    <row r="4768" spans="1:7" x14ac:dyDescent="0.2">
      <c r="A4768" s="6">
        <f ca="1">Model!$F$13+RAND()*(Model!$G$13-Model!$F$13)</f>
        <v>1693.3652691651207</v>
      </c>
      <c r="B4768" s="31">
        <f ca="1">Model!$F$14+RAND()*(Model!$G$14-Model!$F$14)</f>
        <v>0.21630744376819153</v>
      </c>
      <c r="C4768" s="32">
        <f ca="1">Model!$F$15+RAND()*(Model!$G$15-Model!$F$15)</f>
        <v>3.9725929249615814E-2</v>
      </c>
      <c r="D4768" s="33">
        <f ca="1">Model!$F$16+RAND()*(Model!$G$16-Model!$F$16)</f>
        <v>50.206102810752029</v>
      </c>
      <c r="E4768" s="33">
        <f>Model!$D$17</f>
        <v>800</v>
      </c>
      <c r="G4768" s="36">
        <f t="shared" ca="1" si="76"/>
        <v>2211.1025720517569</v>
      </c>
    </row>
    <row r="4769" spans="1:7" x14ac:dyDescent="0.2">
      <c r="A4769" s="6">
        <f ca="1">Model!$F$13+RAND()*(Model!$G$13-Model!$F$13)</f>
        <v>1383.7374919660308</v>
      </c>
      <c r="B4769" s="31">
        <f ca="1">Model!$F$14+RAND()*(Model!$G$14-Model!$F$14)</f>
        <v>0.34386916145785995</v>
      </c>
      <c r="C4769" s="32">
        <f ca="1">Model!$F$15+RAND()*(Model!$G$15-Model!$F$15)</f>
        <v>3.8604385853880999E-2</v>
      </c>
      <c r="D4769" s="33">
        <f ca="1">Model!$F$16+RAND()*(Model!$G$16-Model!$F$16)</f>
        <v>48.923306777434824</v>
      </c>
      <c r="E4769" s="33">
        <f>Model!$D$17</f>
        <v>800</v>
      </c>
      <c r="G4769" s="36">
        <f t="shared" ca="1" si="76"/>
        <v>1337.5769915798742</v>
      </c>
    </row>
    <row r="4770" spans="1:7" x14ac:dyDescent="0.2">
      <c r="A4770" s="6">
        <f ca="1">Model!$F$13+RAND()*(Model!$G$13-Model!$F$13)</f>
        <v>1314.4316767039836</v>
      </c>
      <c r="B4770" s="31">
        <f ca="1">Model!$F$14+RAND()*(Model!$G$14-Model!$F$14)</f>
        <v>0.52475656184777386</v>
      </c>
      <c r="C4770" s="32">
        <f ca="1">Model!$F$15+RAND()*(Model!$G$15-Model!$F$15)</f>
        <v>2.404158280249118E-2</v>
      </c>
      <c r="D4770" s="33">
        <f ca="1">Model!$F$16+RAND()*(Model!$G$16-Model!$F$16)</f>
        <v>51.738724769550977</v>
      </c>
      <c r="E4770" s="33">
        <f>Model!$D$17</f>
        <v>800</v>
      </c>
      <c r="G4770" s="36">
        <f t="shared" ca="1" si="76"/>
        <v>145.2397249624853</v>
      </c>
    </row>
    <row r="4771" spans="1:7" x14ac:dyDescent="0.2">
      <c r="A4771" s="6">
        <f ca="1">Model!$F$13+RAND()*(Model!$G$13-Model!$F$13)</f>
        <v>1644.0983511370191</v>
      </c>
      <c r="B4771" s="31">
        <f ca="1">Model!$F$14+RAND()*(Model!$G$14-Model!$F$14)</f>
        <v>0.61179476162852042</v>
      </c>
      <c r="C4771" s="32">
        <f ca="1">Model!$F$15+RAND()*(Model!$G$15-Model!$F$15)</f>
        <v>1.5085866792877711E-2</v>
      </c>
      <c r="D4771" s="33">
        <f ca="1">Model!$F$16+RAND()*(Model!$G$16-Model!$F$16)</f>
        <v>49.517142316157837</v>
      </c>
      <c r="E4771" s="33">
        <f>Model!$D$17</f>
        <v>800</v>
      </c>
      <c r="G4771" s="36">
        <f t="shared" ca="1" si="76"/>
        <v>-577.69447235948587</v>
      </c>
    </row>
    <row r="4772" spans="1:7" x14ac:dyDescent="0.2">
      <c r="A4772" s="6">
        <f ca="1">Model!$F$13+RAND()*(Model!$G$13-Model!$F$13)</f>
        <v>1570.5971076571514</v>
      </c>
      <c r="B4772" s="31">
        <f ca="1">Model!$F$14+RAND()*(Model!$G$14-Model!$F$14)</f>
        <v>0.72715890960442864</v>
      </c>
      <c r="C4772" s="32">
        <f ca="1">Model!$F$15+RAND()*(Model!$G$15-Model!$F$15)</f>
        <v>4.7519873390367735E-2</v>
      </c>
      <c r="D4772" s="33">
        <f ca="1">Model!$F$16+RAND()*(Model!$G$16-Model!$F$16)</f>
        <v>50.314853067982554</v>
      </c>
      <c r="E4772" s="33">
        <f>Model!$D$17</f>
        <v>800</v>
      </c>
      <c r="G4772" s="36">
        <f t="shared" ca="1" si="76"/>
        <v>1813.154030063148</v>
      </c>
    </row>
    <row r="4773" spans="1:7" x14ac:dyDescent="0.2">
      <c r="A4773" s="6">
        <f ca="1">Model!$F$13+RAND()*(Model!$G$13-Model!$F$13)</f>
        <v>1279.7432679795963</v>
      </c>
      <c r="B4773" s="31">
        <f ca="1">Model!$F$14+RAND()*(Model!$G$14-Model!$F$14)</f>
        <v>0.63718550531395568</v>
      </c>
      <c r="C4773" s="32">
        <f ca="1">Model!$F$15+RAND()*(Model!$G$15-Model!$F$15)</f>
        <v>3.3308717282242391E-2</v>
      </c>
      <c r="D4773" s="33">
        <f ca="1">Model!$F$16+RAND()*(Model!$G$16-Model!$F$16)</f>
        <v>48.871693681906542</v>
      </c>
      <c r="E4773" s="33">
        <f>Model!$D$17</f>
        <v>800</v>
      </c>
      <c r="G4773" s="36">
        <f t="shared" ca="1" si="76"/>
        <v>467.80060480317843</v>
      </c>
    </row>
    <row r="4774" spans="1:7" x14ac:dyDescent="0.2">
      <c r="A4774" s="6">
        <f ca="1">Model!$F$13+RAND()*(Model!$G$13-Model!$F$13)</f>
        <v>1325.9867585515203</v>
      </c>
      <c r="B4774" s="31">
        <f ca="1">Model!$F$14+RAND()*(Model!$G$14-Model!$F$14)</f>
        <v>0.38397864335032172</v>
      </c>
      <c r="C4774" s="32">
        <f ca="1">Model!$F$15+RAND()*(Model!$G$15-Model!$F$15)</f>
        <v>4.9995640045039383E-2</v>
      </c>
      <c r="D4774" s="33">
        <f ca="1">Model!$F$16+RAND()*(Model!$G$16-Model!$F$16)</f>
        <v>49.407323974226614</v>
      </c>
      <c r="E4774" s="33">
        <f>Model!$D$17</f>
        <v>800</v>
      </c>
      <c r="G4774" s="36">
        <f t="shared" ca="1" si="76"/>
        <v>1966.2366358919478</v>
      </c>
    </row>
    <row r="4775" spans="1:7" x14ac:dyDescent="0.2">
      <c r="A4775" s="6">
        <f ca="1">Model!$F$13+RAND()*(Model!$G$13-Model!$F$13)</f>
        <v>1639.7804075531312</v>
      </c>
      <c r="B4775" s="31">
        <f ca="1">Model!$F$14+RAND()*(Model!$G$14-Model!$F$14)</f>
        <v>0.51440341228013664</v>
      </c>
      <c r="C4775" s="32">
        <f ca="1">Model!$F$15+RAND()*(Model!$G$15-Model!$F$15)</f>
        <v>3.4679474028341546E-2</v>
      </c>
      <c r="D4775" s="33">
        <f ca="1">Model!$F$16+RAND()*(Model!$G$16-Model!$F$16)</f>
        <v>48.856626951922813</v>
      </c>
      <c r="E4775" s="33">
        <f>Model!$D$17</f>
        <v>800</v>
      </c>
      <c r="G4775" s="36">
        <f t="shared" ca="1" si="76"/>
        <v>1134.8075884294249</v>
      </c>
    </row>
    <row r="4776" spans="1:7" x14ac:dyDescent="0.2">
      <c r="A4776" s="6">
        <f ca="1">Model!$F$13+RAND()*(Model!$G$13-Model!$F$13)</f>
        <v>1238.2887318368839</v>
      </c>
      <c r="B4776" s="31">
        <f ca="1">Model!$F$14+RAND()*(Model!$G$14-Model!$F$14)</f>
        <v>0.38673622970396337</v>
      </c>
      <c r="C4776" s="32">
        <f ca="1">Model!$F$15+RAND()*(Model!$G$15-Model!$F$15)</f>
        <v>1.2220731765203956E-2</v>
      </c>
      <c r="D4776" s="33">
        <f ca="1">Model!$F$16+RAND()*(Model!$G$16-Model!$F$16)</f>
        <v>51.620879081112484</v>
      </c>
      <c r="E4776" s="33">
        <f>Model!$D$17</f>
        <v>800</v>
      </c>
      <c r="G4776" s="36">
        <f t="shared" ca="1" si="76"/>
        <v>-497.72296350683314</v>
      </c>
    </row>
    <row r="4777" spans="1:7" x14ac:dyDescent="0.2">
      <c r="A4777" s="6">
        <f ca="1">Model!$F$13+RAND()*(Model!$G$13-Model!$F$13)</f>
        <v>1560.7448985851674</v>
      </c>
      <c r="B4777" s="31">
        <f ca="1">Model!$F$14+RAND()*(Model!$G$14-Model!$F$14)</f>
        <v>0.70668899312548183</v>
      </c>
      <c r="C4777" s="32">
        <f ca="1">Model!$F$15+RAND()*(Model!$G$15-Model!$F$15)</f>
        <v>3.481015238502469E-2</v>
      </c>
      <c r="D4777" s="33">
        <f ca="1">Model!$F$16+RAND()*(Model!$G$16-Model!$F$16)</f>
        <v>48.756116263872421</v>
      </c>
      <c r="E4777" s="33">
        <f>Model!$D$17</f>
        <v>800</v>
      </c>
      <c r="G4777" s="36">
        <f t="shared" ref="G4777:G4840" ca="1" si="77">A4777*C4777*D4777-(E4777+A4777*B4777)</f>
        <v>745.94723229143051</v>
      </c>
    </row>
    <row r="4778" spans="1:7" x14ac:dyDescent="0.2">
      <c r="A4778" s="6">
        <f ca="1">Model!$F$13+RAND()*(Model!$G$13-Model!$F$13)</f>
        <v>1479.2768861494105</v>
      </c>
      <c r="B4778" s="31">
        <f ca="1">Model!$F$14+RAND()*(Model!$G$14-Model!$F$14)</f>
        <v>0.74710666511912338</v>
      </c>
      <c r="C4778" s="32">
        <f ca="1">Model!$F$15+RAND()*(Model!$G$15-Model!$F$15)</f>
        <v>1.7690664352514623E-2</v>
      </c>
      <c r="D4778" s="33">
        <f ca="1">Model!$F$16+RAND()*(Model!$G$16-Model!$F$16)</f>
        <v>47.179976744560015</v>
      </c>
      <c r="E4778" s="33">
        <f>Model!$D$17</f>
        <v>800</v>
      </c>
      <c r="G4778" s="36">
        <f t="shared" ca="1" si="77"/>
        <v>-670.50636818846806</v>
      </c>
    </row>
    <row r="4779" spans="1:7" x14ac:dyDescent="0.2">
      <c r="A4779" s="6">
        <f ca="1">Model!$F$13+RAND()*(Model!$G$13-Model!$F$13)</f>
        <v>1749.0320607980484</v>
      </c>
      <c r="B4779" s="31">
        <f ca="1">Model!$F$14+RAND()*(Model!$G$14-Model!$F$14)</f>
        <v>0.36711528860762166</v>
      </c>
      <c r="C4779" s="32">
        <f ca="1">Model!$F$15+RAND()*(Model!$G$15-Model!$F$15)</f>
        <v>1.6628798182221696E-2</v>
      </c>
      <c r="D4779" s="33">
        <f ca="1">Model!$F$16+RAND()*(Model!$G$16-Model!$F$16)</f>
        <v>51.043842264274495</v>
      </c>
      <c r="E4779" s="33">
        <f>Model!$D$17</f>
        <v>800</v>
      </c>
      <c r="G4779" s="36">
        <f t="shared" ca="1" si="77"/>
        <v>42.478070649089887</v>
      </c>
    </row>
    <row r="4780" spans="1:7" x14ac:dyDescent="0.2">
      <c r="A4780" s="6">
        <f ca="1">Model!$F$13+RAND()*(Model!$G$13-Model!$F$13)</f>
        <v>1254.3801081264792</v>
      </c>
      <c r="B4780" s="31">
        <f ca="1">Model!$F$14+RAND()*(Model!$G$14-Model!$F$14)</f>
        <v>0.6638563870493559</v>
      </c>
      <c r="C4780" s="32">
        <f ca="1">Model!$F$15+RAND()*(Model!$G$15-Model!$F$15)</f>
        <v>4.4665826377576399E-2</v>
      </c>
      <c r="D4780" s="33">
        <f ca="1">Model!$F$16+RAND()*(Model!$G$16-Model!$F$16)</f>
        <v>48.544059742312555</v>
      </c>
      <c r="E4780" s="33">
        <f>Model!$D$17</f>
        <v>800</v>
      </c>
      <c r="G4780" s="36">
        <f t="shared" ca="1" si="77"/>
        <v>1087.094649203204</v>
      </c>
    </row>
    <row r="4781" spans="1:7" x14ac:dyDescent="0.2">
      <c r="A4781" s="6">
        <f ca="1">Model!$F$13+RAND()*(Model!$G$13-Model!$F$13)</f>
        <v>1410.9603062655042</v>
      </c>
      <c r="B4781" s="31">
        <f ca="1">Model!$F$14+RAND()*(Model!$G$14-Model!$F$14)</f>
        <v>0.21223400022919936</v>
      </c>
      <c r="C4781" s="32">
        <f ca="1">Model!$F$15+RAND()*(Model!$G$15-Model!$F$15)</f>
        <v>1.7521780187427366E-2</v>
      </c>
      <c r="D4781" s="33">
        <f ca="1">Model!$F$16+RAND()*(Model!$G$16-Model!$F$16)</f>
        <v>52.535529586923545</v>
      </c>
      <c r="E4781" s="33">
        <f>Model!$D$17</f>
        <v>800</v>
      </c>
      <c r="G4781" s="36">
        <f t="shared" ca="1" si="77"/>
        <v>199.35778936789438</v>
      </c>
    </row>
    <row r="4782" spans="1:7" x14ac:dyDescent="0.2">
      <c r="A4782" s="6">
        <f ca="1">Model!$F$13+RAND()*(Model!$G$13-Model!$F$13)</f>
        <v>1449.7632815086868</v>
      </c>
      <c r="B4782" s="31">
        <f ca="1">Model!$F$14+RAND()*(Model!$G$14-Model!$F$14)</f>
        <v>0.2912693940753841</v>
      </c>
      <c r="C4782" s="32">
        <f ca="1">Model!$F$15+RAND()*(Model!$G$15-Model!$F$15)</f>
        <v>2.8575482765138244E-2</v>
      </c>
      <c r="D4782" s="33">
        <f ca="1">Model!$F$16+RAND()*(Model!$G$16-Model!$F$16)</f>
        <v>50.817558677633492</v>
      </c>
      <c r="E4782" s="33">
        <f>Model!$D$17</f>
        <v>800</v>
      </c>
      <c r="G4782" s="36">
        <f t="shared" ca="1" si="77"/>
        <v>882.98217456541761</v>
      </c>
    </row>
    <row r="4783" spans="1:7" x14ac:dyDescent="0.2">
      <c r="A4783" s="6">
        <f ca="1">Model!$F$13+RAND()*(Model!$G$13-Model!$F$13)</f>
        <v>1709.4359764322735</v>
      </c>
      <c r="B4783" s="31">
        <f ca="1">Model!$F$14+RAND()*(Model!$G$14-Model!$F$14)</f>
        <v>0.71571054222624553</v>
      </c>
      <c r="C4783" s="32">
        <f ca="1">Model!$F$15+RAND()*(Model!$G$15-Model!$F$15)</f>
        <v>4.3307204392287295E-2</v>
      </c>
      <c r="D4783" s="33">
        <f ca="1">Model!$F$16+RAND()*(Model!$G$16-Model!$F$16)</f>
        <v>52.937192215728821</v>
      </c>
      <c r="E4783" s="33">
        <f>Model!$D$17</f>
        <v>800</v>
      </c>
      <c r="G4783" s="36">
        <f t="shared" ca="1" si="77"/>
        <v>1895.526275060138</v>
      </c>
    </row>
    <row r="4784" spans="1:7" x14ac:dyDescent="0.2">
      <c r="A4784" s="6">
        <f ca="1">Model!$F$13+RAND()*(Model!$G$13-Model!$F$13)</f>
        <v>1210.393186087814</v>
      </c>
      <c r="B4784" s="31">
        <f ca="1">Model!$F$14+RAND()*(Model!$G$14-Model!$F$14)</f>
        <v>0.41085275748808608</v>
      </c>
      <c r="C4784" s="32">
        <f ca="1">Model!$F$15+RAND()*(Model!$G$15-Model!$F$15)</f>
        <v>2.2139295462288971E-2</v>
      </c>
      <c r="D4784" s="33">
        <f ca="1">Model!$F$16+RAND()*(Model!$G$16-Model!$F$16)</f>
        <v>51.619649423889825</v>
      </c>
      <c r="E4784" s="33">
        <f>Model!$D$17</f>
        <v>800</v>
      </c>
      <c r="G4784" s="36">
        <f t="shared" ca="1" si="77"/>
        <v>85.971394834692774</v>
      </c>
    </row>
    <row r="4785" spans="1:7" x14ac:dyDescent="0.2">
      <c r="A4785" s="6">
        <f ca="1">Model!$F$13+RAND()*(Model!$G$13-Model!$F$13)</f>
        <v>1782.493468244051</v>
      </c>
      <c r="B4785" s="31">
        <f ca="1">Model!$F$14+RAND()*(Model!$G$14-Model!$F$14)</f>
        <v>0.75186063826763538</v>
      </c>
      <c r="C4785" s="32">
        <f ca="1">Model!$F$15+RAND()*(Model!$G$15-Model!$F$15)</f>
        <v>4.9065861043773799E-2</v>
      </c>
      <c r="D4785" s="33">
        <f ca="1">Model!$F$16+RAND()*(Model!$G$16-Model!$F$16)</f>
        <v>51.563494896912772</v>
      </c>
      <c r="E4785" s="33">
        <f>Model!$D$17</f>
        <v>800</v>
      </c>
      <c r="G4785" s="36">
        <f t="shared" ca="1" si="77"/>
        <v>2369.5347665239269</v>
      </c>
    </row>
    <row r="4786" spans="1:7" x14ac:dyDescent="0.2">
      <c r="A4786" s="6">
        <f ca="1">Model!$F$13+RAND()*(Model!$G$13-Model!$F$13)</f>
        <v>1410.7236606529179</v>
      </c>
      <c r="B4786" s="31">
        <f ca="1">Model!$F$14+RAND()*(Model!$G$14-Model!$F$14)</f>
        <v>0.67595937041545318</v>
      </c>
      <c r="C4786" s="32">
        <f ca="1">Model!$F$15+RAND()*(Model!$G$15-Model!$F$15)</f>
        <v>1.2963402859337335E-2</v>
      </c>
      <c r="D4786" s="33">
        <f ca="1">Model!$F$16+RAND()*(Model!$G$16-Model!$F$16)</f>
        <v>52.644416689882185</v>
      </c>
      <c r="E4786" s="33">
        <f>Model!$D$17</f>
        <v>800</v>
      </c>
      <c r="G4786" s="36">
        <f t="shared" ca="1" si="77"/>
        <v>-790.84241230422651</v>
      </c>
    </row>
    <row r="4787" spans="1:7" x14ac:dyDescent="0.2">
      <c r="A4787" s="6">
        <f ca="1">Model!$F$13+RAND()*(Model!$G$13-Model!$F$13)</f>
        <v>1526.2932445184033</v>
      </c>
      <c r="B4787" s="31">
        <f ca="1">Model!$F$14+RAND()*(Model!$G$14-Model!$F$14)</f>
        <v>0.42700972947856491</v>
      </c>
      <c r="C4787" s="32">
        <f ca="1">Model!$F$15+RAND()*(Model!$G$15-Model!$F$15)</f>
        <v>1.8323558728608722E-2</v>
      </c>
      <c r="D4787" s="33">
        <f ca="1">Model!$F$16+RAND()*(Model!$G$16-Model!$F$16)</f>
        <v>49.778709605228485</v>
      </c>
      <c r="E4787" s="33">
        <f>Model!$D$17</f>
        <v>800</v>
      </c>
      <c r="G4787" s="36">
        <f t="shared" ca="1" si="77"/>
        <v>-59.574726185300278</v>
      </c>
    </row>
    <row r="4788" spans="1:7" x14ac:dyDescent="0.2">
      <c r="A4788" s="6">
        <f ca="1">Model!$F$13+RAND()*(Model!$G$13-Model!$F$13)</f>
        <v>1782.8101971117694</v>
      </c>
      <c r="B4788" s="31">
        <f ca="1">Model!$F$14+RAND()*(Model!$G$14-Model!$F$14)</f>
        <v>0.5022884619270418</v>
      </c>
      <c r="C4788" s="32">
        <f ca="1">Model!$F$15+RAND()*(Model!$G$15-Model!$F$15)</f>
        <v>1.9941636677313343E-2</v>
      </c>
      <c r="D4788" s="33">
        <f ca="1">Model!$F$16+RAND()*(Model!$G$16-Model!$F$16)</f>
        <v>51.584051306032016</v>
      </c>
      <c r="E4788" s="33">
        <f>Model!$D$17</f>
        <v>800</v>
      </c>
      <c r="G4788" s="36">
        <f t="shared" ca="1" si="77"/>
        <v>138.43910368862203</v>
      </c>
    </row>
    <row r="4789" spans="1:7" x14ac:dyDescent="0.2">
      <c r="A4789" s="6">
        <f ca="1">Model!$F$13+RAND()*(Model!$G$13-Model!$F$13)</f>
        <v>1711.6552728570032</v>
      </c>
      <c r="B4789" s="31">
        <f ca="1">Model!$F$14+RAND()*(Model!$G$14-Model!$F$14)</f>
        <v>0.21874666970569995</v>
      </c>
      <c r="C4789" s="32">
        <f ca="1">Model!$F$15+RAND()*(Model!$G$15-Model!$F$15)</f>
        <v>4.6354123409977785E-2</v>
      </c>
      <c r="D4789" s="33">
        <f ca="1">Model!$F$16+RAND()*(Model!$G$16-Model!$F$16)</f>
        <v>50.68846928981862</v>
      </c>
      <c r="E4789" s="33">
        <f>Model!$D$17</f>
        <v>800</v>
      </c>
      <c r="G4789" s="36">
        <f t="shared" ca="1" si="77"/>
        <v>2847.3198200403467</v>
      </c>
    </row>
    <row r="4790" spans="1:7" x14ac:dyDescent="0.2">
      <c r="A4790" s="6">
        <f ca="1">Model!$F$13+RAND()*(Model!$G$13-Model!$F$13)</f>
        <v>1527.2653295110033</v>
      </c>
      <c r="B4790" s="31">
        <f ca="1">Model!$F$14+RAND()*(Model!$G$14-Model!$F$14)</f>
        <v>0.70002864476576421</v>
      </c>
      <c r="C4790" s="32">
        <f ca="1">Model!$F$15+RAND()*(Model!$G$15-Model!$F$15)</f>
        <v>3.0018099038390138E-2</v>
      </c>
      <c r="D4790" s="33">
        <f ca="1">Model!$F$16+RAND()*(Model!$G$16-Model!$F$16)</f>
        <v>49.011329979401722</v>
      </c>
      <c r="E4790" s="33">
        <f>Model!$D$17</f>
        <v>800</v>
      </c>
      <c r="G4790" s="36">
        <f t="shared" ca="1" si="77"/>
        <v>377.8244449489589</v>
      </c>
    </row>
    <row r="4791" spans="1:7" x14ac:dyDescent="0.2">
      <c r="A4791" s="6">
        <f ca="1">Model!$F$13+RAND()*(Model!$G$13-Model!$F$13)</f>
        <v>1251.5931685617738</v>
      </c>
      <c r="B4791" s="31">
        <f ca="1">Model!$F$14+RAND()*(Model!$G$14-Model!$F$14)</f>
        <v>0.30439445603857745</v>
      </c>
      <c r="C4791" s="32">
        <f ca="1">Model!$F$15+RAND()*(Model!$G$15-Model!$F$15)</f>
        <v>4.4602150408771316E-2</v>
      </c>
      <c r="D4791" s="33">
        <f ca="1">Model!$F$16+RAND()*(Model!$G$16-Model!$F$16)</f>
        <v>51.772729752705295</v>
      </c>
      <c r="E4791" s="33">
        <f>Model!$D$17</f>
        <v>800</v>
      </c>
      <c r="G4791" s="36">
        <f t="shared" ca="1" si="77"/>
        <v>1709.1697327928741</v>
      </c>
    </row>
    <row r="4792" spans="1:7" x14ac:dyDescent="0.2">
      <c r="A4792" s="6">
        <f ca="1">Model!$F$13+RAND()*(Model!$G$13-Model!$F$13)</f>
        <v>1516.5887753230143</v>
      </c>
      <c r="B4792" s="31">
        <f ca="1">Model!$F$14+RAND()*(Model!$G$14-Model!$F$14)</f>
        <v>0.36196047099354978</v>
      </c>
      <c r="C4792" s="32">
        <f ca="1">Model!$F$15+RAND()*(Model!$G$15-Model!$F$15)</f>
        <v>4.7512169513320053E-2</v>
      </c>
      <c r="D4792" s="33">
        <f ca="1">Model!$F$16+RAND()*(Model!$G$16-Model!$F$16)</f>
        <v>50.157088719749467</v>
      </c>
      <c r="E4792" s="33">
        <f>Model!$D$17</f>
        <v>800</v>
      </c>
      <c r="G4792" s="36">
        <f t="shared" ca="1" si="77"/>
        <v>2265.195212572718</v>
      </c>
    </row>
    <row r="4793" spans="1:7" x14ac:dyDescent="0.2">
      <c r="A4793" s="6">
        <f ca="1">Model!$F$13+RAND()*(Model!$G$13-Model!$F$13)</f>
        <v>1221.0607428707833</v>
      </c>
      <c r="B4793" s="31">
        <f ca="1">Model!$F$14+RAND()*(Model!$G$14-Model!$F$14)</f>
        <v>0.38735742811436991</v>
      </c>
      <c r="C4793" s="32">
        <f ca="1">Model!$F$15+RAND()*(Model!$G$15-Model!$F$15)</f>
        <v>1.5775896973857062E-2</v>
      </c>
      <c r="D4793" s="33">
        <f ca="1">Model!$F$16+RAND()*(Model!$G$16-Model!$F$16)</f>
        <v>48.174216078540319</v>
      </c>
      <c r="E4793" s="33">
        <f>Model!$D$17</f>
        <v>800</v>
      </c>
      <c r="G4793" s="36">
        <f t="shared" ca="1" si="77"/>
        <v>-344.99120042187553</v>
      </c>
    </row>
    <row r="4794" spans="1:7" x14ac:dyDescent="0.2">
      <c r="A4794" s="6">
        <f ca="1">Model!$F$13+RAND()*(Model!$G$13-Model!$F$13)</f>
        <v>1736.9071238122426</v>
      </c>
      <c r="B4794" s="31">
        <f ca="1">Model!$F$14+RAND()*(Model!$G$14-Model!$F$14)</f>
        <v>0.41873329621827665</v>
      </c>
      <c r="C4794" s="32">
        <f ca="1">Model!$F$15+RAND()*(Model!$G$15-Model!$F$15)</f>
        <v>4.0452687775859239E-2</v>
      </c>
      <c r="D4794" s="33">
        <f ca="1">Model!$F$16+RAND()*(Model!$G$16-Model!$F$16)</f>
        <v>51.550249641088115</v>
      </c>
      <c r="E4794" s="33">
        <f>Model!$D$17</f>
        <v>800</v>
      </c>
      <c r="G4794" s="36">
        <f t="shared" ca="1" si="77"/>
        <v>2094.7517444471605</v>
      </c>
    </row>
    <row r="4795" spans="1:7" x14ac:dyDescent="0.2">
      <c r="A4795" s="6">
        <f ca="1">Model!$F$13+RAND()*(Model!$G$13-Model!$F$13)</f>
        <v>1276.8766621776799</v>
      </c>
      <c r="B4795" s="31">
        <f ca="1">Model!$F$14+RAND()*(Model!$G$14-Model!$F$14)</f>
        <v>0.62893977009604218</v>
      </c>
      <c r="C4795" s="32">
        <f ca="1">Model!$F$15+RAND()*(Model!$G$15-Model!$F$15)</f>
        <v>4.9459609817002335E-2</v>
      </c>
      <c r="D4795" s="33">
        <f ca="1">Model!$F$16+RAND()*(Model!$G$16-Model!$F$16)</f>
        <v>49.273811596562943</v>
      </c>
      <c r="E4795" s="33">
        <f>Model!$D$17</f>
        <v>800</v>
      </c>
      <c r="G4795" s="36">
        <f t="shared" ca="1" si="77"/>
        <v>1508.7509876332424</v>
      </c>
    </row>
    <row r="4796" spans="1:7" x14ac:dyDescent="0.2">
      <c r="A4796" s="6">
        <f ca="1">Model!$F$13+RAND()*(Model!$G$13-Model!$F$13)</f>
        <v>1322.1684494505903</v>
      </c>
      <c r="B4796" s="31">
        <f ca="1">Model!$F$14+RAND()*(Model!$G$14-Model!$F$14)</f>
        <v>0.43521104220984874</v>
      </c>
      <c r="C4796" s="32">
        <f ca="1">Model!$F$15+RAND()*(Model!$G$15-Model!$F$15)</f>
        <v>1.365136147266759E-2</v>
      </c>
      <c r="D4796" s="33">
        <f ca="1">Model!$F$16+RAND()*(Model!$G$16-Model!$F$16)</f>
        <v>47.659995419520968</v>
      </c>
      <c r="E4796" s="33">
        <f>Model!$D$17</f>
        <v>800</v>
      </c>
      <c r="G4796" s="36">
        <f t="shared" ca="1" si="77"/>
        <v>-515.18801464596811</v>
      </c>
    </row>
    <row r="4797" spans="1:7" x14ac:dyDescent="0.2">
      <c r="A4797" s="6">
        <f ca="1">Model!$F$13+RAND()*(Model!$G$13-Model!$F$13)</f>
        <v>1530.5711602102128</v>
      </c>
      <c r="B4797" s="31">
        <f ca="1">Model!$F$14+RAND()*(Model!$G$14-Model!$F$14)</f>
        <v>0.32051136711843492</v>
      </c>
      <c r="C4797" s="32">
        <f ca="1">Model!$F$15+RAND()*(Model!$G$15-Model!$F$15)</f>
        <v>3.2912533715191247E-2</v>
      </c>
      <c r="D4797" s="33">
        <f ca="1">Model!$F$16+RAND()*(Model!$G$16-Model!$F$16)</f>
        <v>50.65030441362714</v>
      </c>
      <c r="E4797" s="33">
        <f>Model!$D$17</f>
        <v>800</v>
      </c>
      <c r="G4797" s="36">
        <f t="shared" ca="1" si="77"/>
        <v>1260.9423591877537</v>
      </c>
    </row>
    <row r="4798" spans="1:7" x14ac:dyDescent="0.2">
      <c r="A4798" s="6">
        <f ca="1">Model!$F$13+RAND()*(Model!$G$13-Model!$F$13)</f>
        <v>1212.3807454174937</v>
      </c>
      <c r="B4798" s="31">
        <f ca="1">Model!$F$14+RAND()*(Model!$G$14-Model!$F$14)</f>
        <v>0.70869974579198636</v>
      </c>
      <c r="C4798" s="32">
        <f ca="1">Model!$F$15+RAND()*(Model!$G$15-Model!$F$15)</f>
        <v>3.3859898815573129E-2</v>
      </c>
      <c r="D4798" s="33">
        <f ca="1">Model!$F$16+RAND()*(Model!$G$16-Model!$F$16)</f>
        <v>48.55042619852874</v>
      </c>
      <c r="E4798" s="33">
        <f>Model!$D$17</f>
        <v>800</v>
      </c>
      <c r="G4798" s="36">
        <f t="shared" ca="1" si="77"/>
        <v>333.83395854229843</v>
      </c>
    </row>
    <row r="4799" spans="1:7" x14ac:dyDescent="0.2">
      <c r="A4799" s="6">
        <f ca="1">Model!$F$13+RAND()*(Model!$G$13-Model!$F$13)</f>
        <v>1607.7437846798225</v>
      </c>
      <c r="B4799" s="31">
        <f ca="1">Model!$F$14+RAND()*(Model!$G$14-Model!$F$14)</f>
        <v>0.50201938471479957</v>
      </c>
      <c r="C4799" s="32">
        <f ca="1">Model!$F$15+RAND()*(Model!$G$15-Model!$F$15)</f>
        <v>4.1683326194780913E-2</v>
      </c>
      <c r="D4799" s="33">
        <f ca="1">Model!$F$16+RAND()*(Model!$G$16-Model!$F$16)</f>
        <v>50.045488144286445</v>
      </c>
      <c r="E4799" s="33">
        <f>Model!$D$17</f>
        <v>800</v>
      </c>
      <c r="G4799" s="36">
        <f t="shared" ca="1" si="77"/>
        <v>1746.7353235761946</v>
      </c>
    </row>
    <row r="4800" spans="1:7" x14ac:dyDescent="0.2">
      <c r="A4800" s="6">
        <f ca="1">Model!$F$13+RAND()*(Model!$G$13-Model!$F$13)</f>
        <v>1601.7012145981193</v>
      </c>
      <c r="B4800" s="31">
        <f ca="1">Model!$F$14+RAND()*(Model!$G$14-Model!$F$14)</f>
        <v>0.72133057029967573</v>
      </c>
      <c r="C4800" s="32">
        <f ca="1">Model!$F$15+RAND()*(Model!$G$15-Model!$F$15)</f>
        <v>2.0758524003919067E-2</v>
      </c>
      <c r="D4800" s="33">
        <f ca="1">Model!$F$16+RAND()*(Model!$G$16-Model!$F$16)</f>
        <v>51.638312009891507</v>
      </c>
      <c r="E4800" s="33">
        <f>Model!$D$17</f>
        <v>800</v>
      </c>
      <c r="G4800" s="36">
        <f t="shared" ca="1" si="77"/>
        <v>-238.43623586168383</v>
      </c>
    </row>
    <row r="4801" spans="1:7" x14ac:dyDescent="0.2">
      <c r="A4801" s="6">
        <f ca="1">Model!$F$13+RAND()*(Model!$G$13-Model!$F$13)</f>
        <v>1743.3648385710451</v>
      </c>
      <c r="B4801" s="31">
        <f ca="1">Model!$F$14+RAND()*(Model!$G$14-Model!$F$14)</f>
        <v>0.31383777669241369</v>
      </c>
      <c r="C4801" s="32">
        <f ca="1">Model!$F$15+RAND()*(Model!$G$15-Model!$F$15)</f>
        <v>4.3993496025670632E-2</v>
      </c>
      <c r="D4801" s="33">
        <f ca="1">Model!$F$16+RAND()*(Model!$G$16-Model!$F$16)</f>
        <v>47.49305259688861</v>
      </c>
      <c r="E4801" s="33">
        <f>Model!$D$17</f>
        <v>800</v>
      </c>
      <c r="G4801" s="36">
        <f t="shared" ca="1" si="77"/>
        <v>2295.42733171502</v>
      </c>
    </row>
    <row r="4802" spans="1:7" x14ac:dyDescent="0.2">
      <c r="A4802" s="6">
        <f ca="1">Model!$F$13+RAND()*(Model!$G$13-Model!$F$13)</f>
        <v>1223.8172347878372</v>
      </c>
      <c r="B4802" s="31">
        <f ca="1">Model!$F$14+RAND()*(Model!$G$14-Model!$F$14)</f>
        <v>0.76455487808547695</v>
      </c>
      <c r="C4802" s="32">
        <f ca="1">Model!$F$15+RAND()*(Model!$G$15-Model!$F$15)</f>
        <v>1.5470540784631451E-2</v>
      </c>
      <c r="D4802" s="33">
        <f ca="1">Model!$F$16+RAND()*(Model!$G$16-Model!$F$16)</f>
        <v>48.224389414563582</v>
      </c>
      <c r="E4802" s="33">
        <f>Model!$D$17</f>
        <v>800</v>
      </c>
      <c r="G4802" s="36">
        <f t="shared" ca="1" si="77"/>
        <v>-822.63755297766306</v>
      </c>
    </row>
    <row r="4803" spans="1:7" x14ac:dyDescent="0.2">
      <c r="A4803" s="6">
        <f ca="1">Model!$F$13+RAND()*(Model!$G$13-Model!$F$13)</f>
        <v>1780.1925858771729</v>
      </c>
      <c r="B4803" s="31">
        <f ca="1">Model!$F$14+RAND()*(Model!$G$14-Model!$F$14)</f>
        <v>0.49649492750790986</v>
      </c>
      <c r="C4803" s="32">
        <f ca="1">Model!$F$15+RAND()*(Model!$G$15-Model!$F$15)</f>
        <v>2.0668280677976103E-2</v>
      </c>
      <c r="D4803" s="33">
        <f ca="1">Model!$F$16+RAND()*(Model!$G$16-Model!$F$16)</f>
        <v>52.759865446231032</v>
      </c>
      <c r="E4803" s="33">
        <f>Model!$D$17</f>
        <v>800</v>
      </c>
      <c r="G4803" s="36">
        <f t="shared" ca="1" si="77"/>
        <v>257.36457697717765</v>
      </c>
    </row>
    <row r="4804" spans="1:7" x14ac:dyDescent="0.2">
      <c r="A4804" s="6">
        <f ca="1">Model!$F$13+RAND()*(Model!$G$13-Model!$F$13)</f>
        <v>1268.9398910901161</v>
      </c>
      <c r="B4804" s="31">
        <f ca="1">Model!$F$14+RAND()*(Model!$G$14-Model!$F$14)</f>
        <v>0.42381327772758787</v>
      </c>
      <c r="C4804" s="32">
        <f ca="1">Model!$F$15+RAND()*(Model!$G$15-Model!$F$15)</f>
        <v>2.1074458362431804E-2</v>
      </c>
      <c r="D4804" s="33">
        <f ca="1">Model!$F$16+RAND()*(Model!$G$16-Model!$F$16)</f>
        <v>48.08719020849113</v>
      </c>
      <c r="E4804" s="33">
        <f>Model!$D$17</f>
        <v>800</v>
      </c>
      <c r="G4804" s="36">
        <f t="shared" ca="1" si="77"/>
        <v>-51.835311504517449</v>
      </c>
    </row>
    <row r="4805" spans="1:7" x14ac:dyDescent="0.2">
      <c r="A4805" s="6">
        <f ca="1">Model!$F$13+RAND()*(Model!$G$13-Model!$F$13)</f>
        <v>1519.9687125549676</v>
      </c>
      <c r="B4805" s="31">
        <f ca="1">Model!$F$14+RAND()*(Model!$G$14-Model!$F$14)</f>
        <v>0.43414197733230375</v>
      </c>
      <c r="C4805" s="32">
        <f ca="1">Model!$F$15+RAND()*(Model!$G$15-Model!$F$15)</f>
        <v>3.388738001629376E-2</v>
      </c>
      <c r="D4805" s="33">
        <f ca="1">Model!$F$16+RAND()*(Model!$G$16-Model!$F$16)</f>
        <v>49.316136212101526</v>
      </c>
      <c r="E4805" s="33">
        <f>Model!$D$17</f>
        <v>800</v>
      </c>
      <c r="G4805" s="36">
        <f t="shared" ca="1" si="77"/>
        <v>1080.2813563447203</v>
      </c>
    </row>
    <row r="4806" spans="1:7" x14ac:dyDescent="0.2">
      <c r="A4806" s="6">
        <f ca="1">Model!$F$13+RAND()*(Model!$G$13-Model!$F$13)</f>
        <v>1241.595259202589</v>
      </c>
      <c r="B4806" s="31">
        <f ca="1">Model!$F$14+RAND()*(Model!$G$14-Model!$F$14)</f>
        <v>0.2627010191280903</v>
      </c>
      <c r="C4806" s="32">
        <f ca="1">Model!$F$15+RAND()*(Model!$G$15-Model!$F$15)</f>
        <v>4.4672798940248296E-2</v>
      </c>
      <c r="D4806" s="33">
        <f ca="1">Model!$F$16+RAND()*(Model!$G$16-Model!$F$16)</f>
        <v>48.234234005368286</v>
      </c>
      <c r="E4806" s="33">
        <f>Model!$D$17</f>
        <v>800</v>
      </c>
      <c r="G4806" s="36">
        <f t="shared" ca="1" si="77"/>
        <v>1549.1692727918075</v>
      </c>
    </row>
    <row r="4807" spans="1:7" x14ac:dyDescent="0.2">
      <c r="A4807" s="6">
        <f ca="1">Model!$F$13+RAND()*(Model!$G$13-Model!$F$13)</f>
        <v>1351.6834682744461</v>
      </c>
      <c r="B4807" s="31">
        <f ca="1">Model!$F$14+RAND()*(Model!$G$14-Model!$F$14)</f>
        <v>0.52732510555389811</v>
      </c>
      <c r="C4807" s="32">
        <f ca="1">Model!$F$15+RAND()*(Model!$G$15-Model!$F$15)</f>
        <v>4.590903607766475E-2</v>
      </c>
      <c r="D4807" s="33">
        <f ca="1">Model!$F$16+RAND()*(Model!$G$16-Model!$F$16)</f>
        <v>52.709498141037045</v>
      </c>
      <c r="E4807" s="33">
        <f>Model!$D$17</f>
        <v>800</v>
      </c>
      <c r="G4807" s="36">
        <f t="shared" ca="1" si="77"/>
        <v>1758.0841399966139</v>
      </c>
    </row>
    <row r="4808" spans="1:7" x14ac:dyDescent="0.2">
      <c r="A4808" s="6">
        <f ca="1">Model!$F$13+RAND()*(Model!$G$13-Model!$F$13)</f>
        <v>1630.9368790989859</v>
      </c>
      <c r="B4808" s="31">
        <f ca="1">Model!$F$14+RAND()*(Model!$G$14-Model!$F$14)</f>
        <v>0.60352750196922655</v>
      </c>
      <c r="C4808" s="32">
        <f ca="1">Model!$F$15+RAND()*(Model!$G$15-Model!$F$15)</f>
        <v>1.3908140103060941E-2</v>
      </c>
      <c r="D4808" s="33">
        <f ca="1">Model!$F$16+RAND()*(Model!$G$16-Model!$F$16)</f>
        <v>49.580729457955712</v>
      </c>
      <c r="E4808" s="33">
        <f>Model!$D$17</f>
        <v>800</v>
      </c>
      <c r="G4808" s="36">
        <f t="shared" ca="1" si="77"/>
        <v>-659.66076872935696</v>
      </c>
    </row>
    <row r="4809" spans="1:7" x14ac:dyDescent="0.2">
      <c r="A4809" s="6">
        <f ca="1">Model!$F$13+RAND()*(Model!$G$13-Model!$F$13)</f>
        <v>1576.246612596964</v>
      </c>
      <c r="B4809" s="31">
        <f ca="1">Model!$F$14+RAND()*(Model!$G$14-Model!$F$14)</f>
        <v>0.74815813411927823</v>
      </c>
      <c r="C4809" s="32">
        <f ca="1">Model!$F$15+RAND()*(Model!$G$15-Model!$F$15)</f>
        <v>3.5667758779540412E-2</v>
      </c>
      <c r="D4809" s="33">
        <f ca="1">Model!$F$16+RAND()*(Model!$G$16-Model!$F$16)</f>
        <v>52.508453656779963</v>
      </c>
      <c r="E4809" s="33">
        <f>Model!$D$17</f>
        <v>800</v>
      </c>
      <c r="G4809" s="36">
        <f t="shared" ca="1" si="77"/>
        <v>972.80570764729327</v>
      </c>
    </row>
    <row r="4810" spans="1:7" x14ac:dyDescent="0.2">
      <c r="A4810" s="6">
        <f ca="1">Model!$F$13+RAND()*(Model!$G$13-Model!$F$13)</f>
        <v>1493.2904271102382</v>
      </c>
      <c r="B4810" s="31">
        <f ca="1">Model!$F$14+RAND()*(Model!$G$14-Model!$F$14)</f>
        <v>0.64709880819075583</v>
      </c>
      <c r="C4810" s="32">
        <f ca="1">Model!$F$15+RAND()*(Model!$G$15-Model!$F$15)</f>
        <v>3.4939815028728775E-2</v>
      </c>
      <c r="D4810" s="33">
        <f ca="1">Model!$F$16+RAND()*(Model!$G$16-Model!$F$16)</f>
        <v>51.235893859051188</v>
      </c>
      <c r="E4810" s="33">
        <f>Model!$D$17</f>
        <v>800</v>
      </c>
      <c r="G4810" s="36">
        <f t="shared" ca="1" si="77"/>
        <v>906.94123182548219</v>
      </c>
    </row>
    <row r="4811" spans="1:7" x14ac:dyDescent="0.2">
      <c r="A4811" s="6">
        <f ca="1">Model!$F$13+RAND()*(Model!$G$13-Model!$F$13)</f>
        <v>1639.1952865359635</v>
      </c>
      <c r="B4811" s="31">
        <f ca="1">Model!$F$14+RAND()*(Model!$G$14-Model!$F$14)</f>
        <v>0.67610078939307039</v>
      </c>
      <c r="C4811" s="32">
        <f ca="1">Model!$F$15+RAND()*(Model!$G$15-Model!$F$15)</f>
        <v>2.6305827294250198E-2</v>
      </c>
      <c r="D4811" s="33">
        <f ca="1">Model!$F$16+RAND()*(Model!$G$16-Model!$F$16)</f>
        <v>51.85769806103719</v>
      </c>
      <c r="E4811" s="33">
        <f>Model!$D$17</f>
        <v>800</v>
      </c>
      <c r="G4811" s="36">
        <f t="shared" ca="1" si="77"/>
        <v>327.86283964340123</v>
      </c>
    </row>
    <row r="4812" spans="1:7" x14ac:dyDescent="0.2">
      <c r="A4812" s="6">
        <f ca="1">Model!$F$13+RAND()*(Model!$G$13-Model!$F$13)</f>
        <v>1355.1184347426108</v>
      </c>
      <c r="B4812" s="31">
        <f ca="1">Model!$F$14+RAND()*(Model!$G$14-Model!$F$14)</f>
        <v>0.42338400020692507</v>
      </c>
      <c r="C4812" s="32">
        <f ca="1">Model!$F$15+RAND()*(Model!$G$15-Model!$F$15)</f>
        <v>3.0249353952906004E-2</v>
      </c>
      <c r="D4812" s="33">
        <f ca="1">Model!$F$16+RAND()*(Model!$G$16-Model!$F$16)</f>
        <v>51.86242301149975</v>
      </c>
      <c r="E4812" s="33">
        <f>Model!$D$17</f>
        <v>800</v>
      </c>
      <c r="G4812" s="36">
        <f t="shared" ca="1" si="77"/>
        <v>752.18082850451151</v>
      </c>
    </row>
    <row r="4813" spans="1:7" x14ac:dyDescent="0.2">
      <c r="A4813" s="6">
        <f ca="1">Model!$F$13+RAND()*(Model!$G$13-Model!$F$13)</f>
        <v>1695.8955749310148</v>
      </c>
      <c r="B4813" s="31">
        <f ca="1">Model!$F$14+RAND()*(Model!$G$14-Model!$F$14)</f>
        <v>0.74133335890947927</v>
      </c>
      <c r="C4813" s="32">
        <f ca="1">Model!$F$15+RAND()*(Model!$G$15-Model!$F$15)</f>
        <v>3.2126712404365633E-2</v>
      </c>
      <c r="D4813" s="33">
        <f ca="1">Model!$F$16+RAND()*(Model!$G$16-Model!$F$16)</f>
        <v>52.830944430917768</v>
      </c>
      <c r="E4813" s="33">
        <f>Model!$D$17</f>
        <v>800</v>
      </c>
      <c r="G4813" s="36">
        <f t="shared" ca="1" si="77"/>
        <v>821.19340801980115</v>
      </c>
    </row>
    <row r="4814" spans="1:7" x14ac:dyDescent="0.2">
      <c r="A4814" s="6">
        <f ca="1">Model!$F$13+RAND()*(Model!$G$13-Model!$F$13)</f>
        <v>1708.5277672947307</v>
      </c>
      <c r="B4814" s="31">
        <f ca="1">Model!$F$14+RAND()*(Model!$G$14-Model!$F$14)</f>
        <v>0.35608606079697236</v>
      </c>
      <c r="C4814" s="32">
        <f ca="1">Model!$F$15+RAND()*(Model!$G$15-Model!$F$15)</f>
        <v>1.1286622586858459E-2</v>
      </c>
      <c r="D4814" s="33">
        <f ca="1">Model!$F$16+RAND()*(Model!$G$16-Model!$F$16)</f>
        <v>52.910980916790677</v>
      </c>
      <c r="E4814" s="33">
        <f>Model!$D$17</f>
        <v>800</v>
      </c>
      <c r="G4814" s="36">
        <f t="shared" ca="1" si="77"/>
        <v>-388.07359393228705</v>
      </c>
    </row>
    <row r="4815" spans="1:7" x14ac:dyDescent="0.2">
      <c r="A4815" s="6">
        <f ca="1">Model!$F$13+RAND()*(Model!$G$13-Model!$F$13)</f>
        <v>1487.9551796962839</v>
      </c>
      <c r="B4815" s="31">
        <f ca="1">Model!$F$14+RAND()*(Model!$G$14-Model!$F$14)</f>
        <v>0.62978058053915809</v>
      </c>
      <c r="C4815" s="32">
        <f ca="1">Model!$F$15+RAND()*(Model!$G$15-Model!$F$15)</f>
        <v>4.9977838814363268E-2</v>
      </c>
      <c r="D4815" s="33">
        <f ca="1">Model!$F$16+RAND()*(Model!$G$16-Model!$F$16)</f>
        <v>47.798546007922347</v>
      </c>
      <c r="E4815" s="33">
        <f>Model!$D$17</f>
        <v>800</v>
      </c>
      <c r="G4815" s="36">
        <f t="shared" ca="1" si="77"/>
        <v>1817.4432789060434</v>
      </c>
    </row>
    <row r="4816" spans="1:7" x14ac:dyDescent="0.2">
      <c r="A4816" s="6">
        <f ca="1">Model!$F$13+RAND()*(Model!$G$13-Model!$F$13)</f>
        <v>1477.6442445129328</v>
      </c>
      <c r="B4816" s="31">
        <f ca="1">Model!$F$14+RAND()*(Model!$G$14-Model!$F$14)</f>
        <v>0.551720173043448</v>
      </c>
      <c r="C4816" s="32">
        <f ca="1">Model!$F$15+RAND()*(Model!$G$15-Model!$F$15)</f>
        <v>2.14982172769419E-2</v>
      </c>
      <c r="D4816" s="33">
        <f ca="1">Model!$F$16+RAND()*(Model!$G$16-Model!$F$16)</f>
        <v>50.514113848338425</v>
      </c>
      <c r="E4816" s="33">
        <f>Model!$D$17</f>
        <v>800</v>
      </c>
      <c r="G4816" s="36">
        <f t="shared" ca="1" si="77"/>
        <v>-10.57857781164239</v>
      </c>
    </row>
    <row r="4817" spans="1:7" x14ac:dyDescent="0.2">
      <c r="A4817" s="6">
        <f ca="1">Model!$F$13+RAND()*(Model!$G$13-Model!$F$13)</f>
        <v>1286.340720131363</v>
      </c>
      <c r="B4817" s="31">
        <f ca="1">Model!$F$14+RAND()*(Model!$G$14-Model!$F$14)</f>
        <v>0.34439181572565342</v>
      </c>
      <c r="C4817" s="32">
        <f ca="1">Model!$F$15+RAND()*(Model!$G$15-Model!$F$15)</f>
        <v>3.0106924851740442E-2</v>
      </c>
      <c r="D4817" s="33">
        <f ca="1">Model!$F$16+RAND()*(Model!$G$16-Model!$F$16)</f>
        <v>52.127946580103405</v>
      </c>
      <c r="E4817" s="33">
        <f>Model!$D$17</f>
        <v>800</v>
      </c>
      <c r="G4817" s="36">
        <f t="shared" ca="1" si="77"/>
        <v>775.79356515941367</v>
      </c>
    </row>
    <row r="4818" spans="1:7" x14ac:dyDescent="0.2">
      <c r="A4818" s="6">
        <f ca="1">Model!$F$13+RAND()*(Model!$G$13-Model!$F$13)</f>
        <v>1686.9099358224626</v>
      </c>
      <c r="B4818" s="31">
        <f ca="1">Model!$F$14+RAND()*(Model!$G$14-Model!$F$14)</f>
        <v>0.72131716755944097</v>
      </c>
      <c r="C4818" s="32">
        <f ca="1">Model!$F$15+RAND()*(Model!$G$15-Model!$F$15)</f>
        <v>4.2512721909439742E-2</v>
      </c>
      <c r="D4818" s="33">
        <f ca="1">Model!$F$16+RAND()*(Model!$G$16-Model!$F$16)</f>
        <v>52.920284739997435</v>
      </c>
      <c r="E4818" s="33">
        <f>Model!$D$17</f>
        <v>800</v>
      </c>
      <c r="G4818" s="36">
        <f t="shared" ca="1" si="77"/>
        <v>1778.3881610506483</v>
      </c>
    </row>
    <row r="4819" spans="1:7" x14ac:dyDescent="0.2">
      <c r="A4819" s="6">
        <f ca="1">Model!$F$13+RAND()*(Model!$G$13-Model!$F$13)</f>
        <v>1265.0140645264271</v>
      </c>
      <c r="B4819" s="31">
        <f ca="1">Model!$F$14+RAND()*(Model!$G$14-Model!$F$14)</f>
        <v>0.20575982884323563</v>
      </c>
      <c r="C4819" s="32">
        <f ca="1">Model!$F$15+RAND()*(Model!$G$15-Model!$F$15)</f>
        <v>3.6390029734226247E-2</v>
      </c>
      <c r="D4819" s="33">
        <f ca="1">Model!$F$16+RAND()*(Model!$G$16-Model!$F$16)</f>
        <v>48.043968334968639</v>
      </c>
      <c r="E4819" s="33">
        <f>Model!$D$17</f>
        <v>800</v>
      </c>
      <c r="G4819" s="36">
        <f t="shared" ca="1" si="77"/>
        <v>1151.3621287803621</v>
      </c>
    </row>
    <row r="4820" spans="1:7" x14ac:dyDescent="0.2">
      <c r="A4820" s="6">
        <f ca="1">Model!$F$13+RAND()*(Model!$G$13-Model!$F$13)</f>
        <v>1727.7517935032904</v>
      </c>
      <c r="B4820" s="31">
        <f ca="1">Model!$F$14+RAND()*(Model!$G$14-Model!$F$14)</f>
        <v>0.60553758829085014</v>
      </c>
      <c r="C4820" s="32">
        <f ca="1">Model!$F$15+RAND()*(Model!$G$15-Model!$F$15)</f>
        <v>2.6280303781601067E-2</v>
      </c>
      <c r="D4820" s="33">
        <f ca="1">Model!$F$16+RAND()*(Model!$G$16-Model!$F$16)</f>
        <v>52.539360979856035</v>
      </c>
      <c r="E4820" s="33">
        <f>Model!$D$17</f>
        <v>800</v>
      </c>
      <c r="G4820" s="36">
        <f t="shared" ca="1" si="77"/>
        <v>539.3752688336474</v>
      </c>
    </row>
    <row r="4821" spans="1:7" x14ac:dyDescent="0.2">
      <c r="A4821" s="6">
        <f ca="1">Model!$F$13+RAND()*(Model!$G$13-Model!$F$13)</f>
        <v>1444.9482437994609</v>
      </c>
      <c r="B4821" s="31">
        <f ca="1">Model!$F$14+RAND()*(Model!$G$14-Model!$F$14)</f>
        <v>0.70227733224150835</v>
      </c>
      <c r="C4821" s="32">
        <f ca="1">Model!$F$15+RAND()*(Model!$G$15-Model!$F$15)</f>
        <v>1.64028736337983E-2</v>
      </c>
      <c r="D4821" s="33">
        <f ca="1">Model!$F$16+RAND()*(Model!$G$16-Model!$F$16)</f>
        <v>51.725857035363489</v>
      </c>
      <c r="E4821" s="33">
        <f>Model!$D$17</f>
        <v>800</v>
      </c>
      <c r="G4821" s="36">
        <f t="shared" ca="1" si="77"/>
        <v>-588.78416405427652</v>
      </c>
    </row>
    <row r="4822" spans="1:7" x14ac:dyDescent="0.2">
      <c r="A4822" s="6">
        <f ca="1">Model!$F$13+RAND()*(Model!$G$13-Model!$F$13)</f>
        <v>1425.6187574949679</v>
      </c>
      <c r="B4822" s="31">
        <f ca="1">Model!$F$14+RAND()*(Model!$G$14-Model!$F$14)</f>
        <v>0.31796911946744466</v>
      </c>
      <c r="C4822" s="32">
        <f ca="1">Model!$F$15+RAND()*(Model!$G$15-Model!$F$15)</f>
        <v>1.3323636345483711E-2</v>
      </c>
      <c r="D4822" s="33">
        <f ca="1">Model!$F$16+RAND()*(Model!$G$16-Model!$F$16)</f>
        <v>48.58278067313146</v>
      </c>
      <c r="E4822" s="33">
        <f>Model!$D$17</f>
        <v>800</v>
      </c>
      <c r="G4822" s="36">
        <f t="shared" ca="1" si="77"/>
        <v>-330.50071388592949</v>
      </c>
    </row>
    <row r="4823" spans="1:7" x14ac:dyDescent="0.2">
      <c r="A4823" s="6">
        <f ca="1">Model!$F$13+RAND()*(Model!$G$13-Model!$F$13)</f>
        <v>1242.6571400459006</v>
      </c>
      <c r="B4823" s="31">
        <f ca="1">Model!$F$14+RAND()*(Model!$G$14-Model!$F$14)</f>
        <v>0.79836461181076657</v>
      </c>
      <c r="C4823" s="32">
        <f ca="1">Model!$F$15+RAND()*(Model!$G$15-Model!$F$15)</f>
        <v>1.0677480582687995E-2</v>
      </c>
      <c r="D4823" s="33">
        <f ca="1">Model!$F$16+RAND()*(Model!$G$16-Model!$F$16)</f>
        <v>50.97998526801728</v>
      </c>
      <c r="E4823" s="33">
        <f>Model!$D$17</f>
        <v>800</v>
      </c>
      <c r="G4823" s="36">
        <f t="shared" ca="1" si="77"/>
        <v>-1115.6682279741235</v>
      </c>
    </row>
    <row r="4824" spans="1:7" x14ac:dyDescent="0.2">
      <c r="A4824" s="6">
        <f ca="1">Model!$F$13+RAND()*(Model!$G$13-Model!$F$13)</f>
        <v>1776.8594579756486</v>
      </c>
      <c r="B4824" s="31">
        <f ca="1">Model!$F$14+RAND()*(Model!$G$14-Model!$F$14)</f>
        <v>0.31099714080474355</v>
      </c>
      <c r="C4824" s="32">
        <f ca="1">Model!$F$15+RAND()*(Model!$G$15-Model!$F$15)</f>
        <v>1.678787675631311E-2</v>
      </c>
      <c r="D4824" s="33">
        <f ca="1">Model!$F$16+RAND()*(Model!$G$16-Model!$F$16)</f>
        <v>51.43706452477506</v>
      </c>
      <c r="E4824" s="33">
        <f>Model!$D$17</f>
        <v>800</v>
      </c>
      <c r="G4824" s="36">
        <f t="shared" ca="1" si="77"/>
        <v>181.75386884372779</v>
      </c>
    </row>
    <row r="4825" spans="1:7" x14ac:dyDescent="0.2">
      <c r="A4825" s="6">
        <f ca="1">Model!$F$13+RAND()*(Model!$G$13-Model!$F$13)</f>
        <v>1570.3310595658336</v>
      </c>
      <c r="B4825" s="31">
        <f ca="1">Model!$F$14+RAND()*(Model!$G$14-Model!$F$14)</f>
        <v>0.49107409337824887</v>
      </c>
      <c r="C4825" s="32">
        <f ca="1">Model!$F$15+RAND()*(Model!$G$15-Model!$F$15)</f>
        <v>1.4288690584588516E-2</v>
      </c>
      <c r="D4825" s="33">
        <f ca="1">Model!$F$16+RAND()*(Model!$G$16-Model!$F$16)</f>
        <v>49.337415316705595</v>
      </c>
      <c r="E4825" s="33">
        <f>Model!$D$17</f>
        <v>800</v>
      </c>
      <c r="G4825" s="36">
        <f t="shared" ca="1" si="77"/>
        <v>-464.11722841574328</v>
      </c>
    </row>
    <row r="4826" spans="1:7" x14ac:dyDescent="0.2">
      <c r="A4826" s="6">
        <f ca="1">Model!$F$13+RAND()*(Model!$G$13-Model!$F$13)</f>
        <v>1676.9090972049753</v>
      </c>
      <c r="B4826" s="31">
        <f ca="1">Model!$F$14+RAND()*(Model!$G$14-Model!$F$14)</f>
        <v>0.7604563937740032</v>
      </c>
      <c r="C4826" s="32">
        <f ca="1">Model!$F$15+RAND()*(Model!$G$15-Model!$F$15)</f>
        <v>2.260267609938385E-2</v>
      </c>
      <c r="D4826" s="33">
        <f ca="1">Model!$F$16+RAND()*(Model!$G$16-Model!$F$16)</f>
        <v>48.304655072564671</v>
      </c>
      <c r="E4826" s="33">
        <f>Model!$D$17</f>
        <v>800</v>
      </c>
      <c r="G4826" s="36">
        <f t="shared" ca="1" si="77"/>
        <v>-244.34262302059165</v>
      </c>
    </row>
    <row r="4827" spans="1:7" x14ac:dyDescent="0.2">
      <c r="A4827" s="6">
        <f ca="1">Model!$F$13+RAND()*(Model!$G$13-Model!$F$13)</f>
        <v>1377.4679466470866</v>
      </c>
      <c r="B4827" s="31">
        <f ca="1">Model!$F$14+RAND()*(Model!$G$14-Model!$F$14)</f>
        <v>0.54700962434821276</v>
      </c>
      <c r="C4827" s="32">
        <f ca="1">Model!$F$15+RAND()*(Model!$G$15-Model!$F$15)</f>
        <v>3.3894924705645639E-2</v>
      </c>
      <c r="D4827" s="33">
        <f ca="1">Model!$F$16+RAND()*(Model!$G$16-Model!$F$16)</f>
        <v>50.72914774863046</v>
      </c>
      <c r="E4827" s="33">
        <f>Model!$D$17</f>
        <v>800</v>
      </c>
      <c r="G4827" s="36">
        <f t="shared" ca="1" si="77"/>
        <v>815.01369764928427</v>
      </c>
    </row>
    <row r="4828" spans="1:7" x14ac:dyDescent="0.2">
      <c r="A4828" s="6">
        <f ca="1">Model!$F$13+RAND()*(Model!$G$13-Model!$F$13)</f>
        <v>1655.5738994135086</v>
      </c>
      <c r="B4828" s="31">
        <f ca="1">Model!$F$14+RAND()*(Model!$G$14-Model!$F$14)</f>
        <v>0.43613401148915865</v>
      </c>
      <c r="C4828" s="32">
        <f ca="1">Model!$F$15+RAND()*(Model!$G$15-Model!$F$15)</f>
        <v>3.9355809718729748E-2</v>
      </c>
      <c r="D4828" s="33">
        <f ca="1">Model!$F$16+RAND()*(Model!$G$16-Model!$F$16)</f>
        <v>47.986034468494552</v>
      </c>
      <c r="E4828" s="33">
        <f>Model!$D$17</f>
        <v>800</v>
      </c>
      <c r="G4828" s="36">
        <f t="shared" ca="1" si="77"/>
        <v>1604.5476347672241</v>
      </c>
    </row>
    <row r="4829" spans="1:7" x14ac:dyDescent="0.2">
      <c r="A4829" s="6">
        <f ca="1">Model!$F$13+RAND()*(Model!$G$13-Model!$F$13)</f>
        <v>1418.4195178119053</v>
      </c>
      <c r="B4829" s="31">
        <f ca="1">Model!$F$14+RAND()*(Model!$G$14-Model!$F$14)</f>
        <v>0.23598158191331253</v>
      </c>
      <c r="C4829" s="32">
        <f ca="1">Model!$F$15+RAND()*(Model!$G$15-Model!$F$15)</f>
        <v>4.757554277970899E-2</v>
      </c>
      <c r="D4829" s="33">
        <f ca="1">Model!$F$16+RAND()*(Model!$G$16-Model!$F$16)</f>
        <v>48.122492191231956</v>
      </c>
      <c r="E4829" s="33">
        <f>Model!$D$17</f>
        <v>800</v>
      </c>
      <c r="G4829" s="36">
        <f t="shared" ca="1" si="77"/>
        <v>2112.6849115914174</v>
      </c>
    </row>
    <row r="4830" spans="1:7" x14ac:dyDescent="0.2">
      <c r="A4830" s="6">
        <f ca="1">Model!$F$13+RAND()*(Model!$G$13-Model!$F$13)</f>
        <v>1517.7828279353027</v>
      </c>
      <c r="B4830" s="31">
        <f ca="1">Model!$F$14+RAND()*(Model!$G$14-Model!$F$14)</f>
        <v>0.25844136501287018</v>
      </c>
      <c r="C4830" s="32">
        <f ca="1">Model!$F$15+RAND()*(Model!$G$15-Model!$F$15)</f>
        <v>1.8376216675546293E-2</v>
      </c>
      <c r="D4830" s="33">
        <f ca="1">Model!$F$16+RAND()*(Model!$G$16-Model!$F$16)</f>
        <v>48.704226234392159</v>
      </c>
      <c r="E4830" s="33">
        <f>Model!$D$17</f>
        <v>800</v>
      </c>
      <c r="G4830" s="36">
        <f t="shared" ca="1" si="77"/>
        <v>166.15687618898914</v>
      </c>
    </row>
    <row r="4831" spans="1:7" x14ac:dyDescent="0.2">
      <c r="A4831" s="6">
        <f ca="1">Model!$F$13+RAND()*(Model!$G$13-Model!$F$13)</f>
        <v>1360.3974325883451</v>
      </c>
      <c r="B4831" s="31">
        <f ca="1">Model!$F$14+RAND()*(Model!$G$14-Model!$F$14)</f>
        <v>0.39457798446306935</v>
      </c>
      <c r="C4831" s="32">
        <f ca="1">Model!$F$15+RAND()*(Model!$G$15-Model!$F$15)</f>
        <v>1.7726989186287144E-2</v>
      </c>
      <c r="D4831" s="33">
        <f ca="1">Model!$F$16+RAND()*(Model!$G$16-Model!$F$16)</f>
        <v>52.494415637964423</v>
      </c>
      <c r="E4831" s="33">
        <f>Model!$D$17</f>
        <v>800</v>
      </c>
      <c r="G4831" s="36">
        <f t="shared" ca="1" si="77"/>
        <v>-70.840642832737331</v>
      </c>
    </row>
    <row r="4832" spans="1:7" x14ac:dyDescent="0.2">
      <c r="A4832" s="6">
        <f ca="1">Model!$F$13+RAND()*(Model!$G$13-Model!$F$13)</f>
        <v>1618.4582163148129</v>
      </c>
      <c r="B4832" s="31">
        <f ca="1">Model!$F$14+RAND()*(Model!$G$14-Model!$F$14)</f>
        <v>0.398565505846046</v>
      </c>
      <c r="C4832" s="32">
        <f ca="1">Model!$F$15+RAND()*(Model!$G$15-Model!$F$15)</f>
        <v>2.162783563972703E-2</v>
      </c>
      <c r="D4832" s="33">
        <f ca="1">Model!$F$16+RAND()*(Model!$G$16-Model!$F$16)</f>
        <v>52.764072912988055</v>
      </c>
      <c r="E4832" s="33">
        <f>Model!$D$17</f>
        <v>800</v>
      </c>
      <c r="G4832" s="36">
        <f t="shared" ca="1" si="77"/>
        <v>401.87870944250881</v>
      </c>
    </row>
    <row r="4833" spans="1:7" x14ac:dyDescent="0.2">
      <c r="A4833" s="6">
        <f ca="1">Model!$F$13+RAND()*(Model!$G$13-Model!$F$13)</f>
        <v>1257.8133043946482</v>
      </c>
      <c r="B4833" s="31">
        <f ca="1">Model!$F$14+RAND()*(Model!$G$14-Model!$F$14)</f>
        <v>0.26744000984373784</v>
      </c>
      <c r="C4833" s="32">
        <f ca="1">Model!$F$15+RAND()*(Model!$G$15-Model!$F$15)</f>
        <v>1.6275534084471709E-2</v>
      </c>
      <c r="D4833" s="33">
        <f ca="1">Model!$F$16+RAND()*(Model!$G$16-Model!$F$16)</f>
        <v>51.210968072693269</v>
      </c>
      <c r="E4833" s="33">
        <f>Model!$D$17</f>
        <v>800</v>
      </c>
      <c r="G4833" s="36">
        <f t="shared" ca="1" si="77"/>
        <v>-88.0200033470785</v>
      </c>
    </row>
    <row r="4834" spans="1:7" x14ac:dyDescent="0.2">
      <c r="A4834" s="6">
        <f ca="1">Model!$F$13+RAND()*(Model!$G$13-Model!$F$13)</f>
        <v>1238.6332002212357</v>
      </c>
      <c r="B4834" s="31">
        <f ca="1">Model!$F$14+RAND()*(Model!$G$14-Model!$F$14)</f>
        <v>0.68406235003769211</v>
      </c>
      <c r="C4834" s="32">
        <f ca="1">Model!$F$15+RAND()*(Model!$G$15-Model!$F$15)</f>
        <v>2.5889111321306391E-2</v>
      </c>
      <c r="D4834" s="33">
        <f ca="1">Model!$F$16+RAND()*(Model!$G$16-Model!$F$16)</f>
        <v>51.357249789885998</v>
      </c>
      <c r="E4834" s="33">
        <f>Model!$D$17</f>
        <v>800</v>
      </c>
      <c r="G4834" s="36">
        <f t="shared" ca="1" si="77"/>
        <v>-0.42361531909659789</v>
      </c>
    </row>
    <row r="4835" spans="1:7" x14ac:dyDescent="0.2">
      <c r="A4835" s="6">
        <f ca="1">Model!$F$13+RAND()*(Model!$G$13-Model!$F$13)</f>
        <v>1752.7925214293409</v>
      </c>
      <c r="B4835" s="31">
        <f ca="1">Model!$F$14+RAND()*(Model!$G$14-Model!$F$14)</f>
        <v>0.30553658670400685</v>
      </c>
      <c r="C4835" s="32">
        <f ca="1">Model!$F$15+RAND()*(Model!$G$15-Model!$F$15)</f>
        <v>1.3981186391587817E-2</v>
      </c>
      <c r="D4835" s="33">
        <f ca="1">Model!$F$16+RAND()*(Model!$G$16-Model!$F$16)</f>
        <v>50.251178029074524</v>
      </c>
      <c r="E4835" s="33">
        <f>Model!$D$17</f>
        <v>800</v>
      </c>
      <c r="G4835" s="36">
        <f t="shared" ca="1" si="77"/>
        <v>-104.08089814599521</v>
      </c>
    </row>
    <row r="4836" spans="1:7" x14ac:dyDescent="0.2">
      <c r="A4836" s="6">
        <f ca="1">Model!$F$13+RAND()*(Model!$G$13-Model!$F$13)</f>
        <v>1715.3118941551793</v>
      </c>
      <c r="B4836" s="31">
        <f ca="1">Model!$F$14+RAND()*(Model!$G$14-Model!$F$14)</f>
        <v>0.31572234695276186</v>
      </c>
      <c r="C4836" s="32">
        <f ca="1">Model!$F$15+RAND()*(Model!$G$15-Model!$F$15)</f>
        <v>4.0181475415878978E-2</v>
      </c>
      <c r="D4836" s="33">
        <f ca="1">Model!$F$16+RAND()*(Model!$G$16-Model!$F$16)</f>
        <v>51.127738397658582</v>
      </c>
      <c r="E4836" s="33">
        <f>Model!$D$17</f>
        <v>800</v>
      </c>
      <c r="G4836" s="36">
        <f t="shared" ca="1" si="77"/>
        <v>2182.3538120135668</v>
      </c>
    </row>
    <row r="4837" spans="1:7" x14ac:dyDescent="0.2">
      <c r="A4837" s="6">
        <f ca="1">Model!$F$13+RAND()*(Model!$G$13-Model!$F$13)</f>
        <v>1460.0641300347581</v>
      </c>
      <c r="B4837" s="31">
        <f ca="1">Model!$F$14+RAND()*(Model!$G$14-Model!$F$14)</f>
        <v>0.50861048814754173</v>
      </c>
      <c r="C4837" s="32">
        <f ca="1">Model!$F$15+RAND()*(Model!$G$15-Model!$F$15)</f>
        <v>1.4990619529254127E-2</v>
      </c>
      <c r="D4837" s="33">
        <f ca="1">Model!$F$16+RAND()*(Model!$G$16-Model!$F$16)</f>
        <v>49.366254844147903</v>
      </c>
      <c r="E4837" s="33">
        <f>Model!$D$17</f>
        <v>800</v>
      </c>
      <c r="G4837" s="36">
        <f t="shared" ca="1" si="77"/>
        <v>-462.11158553524569</v>
      </c>
    </row>
    <row r="4838" spans="1:7" x14ac:dyDescent="0.2">
      <c r="A4838" s="6">
        <f ca="1">Model!$F$13+RAND()*(Model!$G$13-Model!$F$13)</f>
        <v>1212.5612513422127</v>
      </c>
      <c r="B4838" s="31">
        <f ca="1">Model!$F$14+RAND()*(Model!$G$14-Model!$F$14)</f>
        <v>0.46420127372111225</v>
      </c>
      <c r="C4838" s="32">
        <f ca="1">Model!$F$15+RAND()*(Model!$G$15-Model!$F$15)</f>
        <v>4.9875928349615579E-2</v>
      </c>
      <c r="D4838" s="33">
        <f ca="1">Model!$F$16+RAND()*(Model!$G$16-Model!$F$16)</f>
        <v>48.081564190930493</v>
      </c>
      <c r="E4838" s="33">
        <f>Model!$D$17</f>
        <v>800</v>
      </c>
      <c r="G4838" s="36">
        <f t="shared" ca="1" si="77"/>
        <v>1544.9859990414043</v>
      </c>
    </row>
    <row r="4839" spans="1:7" x14ac:dyDescent="0.2">
      <c r="A4839" s="6">
        <f ca="1">Model!$F$13+RAND()*(Model!$G$13-Model!$F$13)</f>
        <v>1745.0784625822123</v>
      </c>
      <c r="B4839" s="31">
        <f ca="1">Model!$F$14+RAND()*(Model!$G$14-Model!$F$14)</f>
        <v>0.21313101412645738</v>
      </c>
      <c r="C4839" s="32">
        <f ca="1">Model!$F$15+RAND()*(Model!$G$15-Model!$F$15)</f>
        <v>2.2628896961735062E-2</v>
      </c>
      <c r="D4839" s="33">
        <f ca="1">Model!$F$16+RAND()*(Model!$G$16-Model!$F$16)</f>
        <v>47.613856715212663</v>
      </c>
      <c r="E4839" s="33">
        <f>Model!$D$17</f>
        <v>800</v>
      </c>
      <c r="G4839" s="36">
        <f t="shared" ca="1" si="77"/>
        <v>708.30280241596324</v>
      </c>
    </row>
    <row r="4840" spans="1:7" x14ac:dyDescent="0.2">
      <c r="A4840" s="6">
        <f ca="1">Model!$F$13+RAND()*(Model!$G$13-Model!$F$13)</f>
        <v>1203.6523740856092</v>
      </c>
      <c r="B4840" s="31">
        <f ca="1">Model!$F$14+RAND()*(Model!$G$14-Model!$F$14)</f>
        <v>0.53722788328935234</v>
      </c>
      <c r="C4840" s="32">
        <f ca="1">Model!$F$15+RAND()*(Model!$G$15-Model!$F$15)</f>
        <v>4.7546257752133017E-2</v>
      </c>
      <c r="D4840" s="33">
        <f ca="1">Model!$F$16+RAND()*(Model!$G$16-Model!$F$16)</f>
        <v>49.290264959033664</v>
      </c>
      <c r="E4840" s="33">
        <f>Model!$D$17</f>
        <v>800</v>
      </c>
      <c r="G4840" s="36">
        <f t="shared" ca="1" si="77"/>
        <v>1374.2051394745802</v>
      </c>
    </row>
    <row r="4841" spans="1:7" x14ac:dyDescent="0.2">
      <c r="A4841" s="6">
        <f ca="1">Model!$F$13+RAND()*(Model!$G$13-Model!$F$13)</f>
        <v>1268.7461327571509</v>
      </c>
      <c r="B4841" s="31">
        <f ca="1">Model!$F$14+RAND()*(Model!$G$14-Model!$F$14)</f>
        <v>0.2676343317020427</v>
      </c>
      <c r="C4841" s="32">
        <f ca="1">Model!$F$15+RAND()*(Model!$G$15-Model!$F$15)</f>
        <v>4.8680888339925905E-2</v>
      </c>
      <c r="D4841" s="33">
        <f ca="1">Model!$F$16+RAND()*(Model!$G$16-Model!$F$16)</f>
        <v>48.274894892275881</v>
      </c>
      <c r="E4841" s="33">
        <f>Model!$D$17</f>
        <v>800</v>
      </c>
      <c r="G4841" s="36">
        <f t="shared" ref="G4841:G4904" ca="1" si="78">A4841*C4841*D4841-(E4841+A4841*B4841)</f>
        <v>1842.0755626271073</v>
      </c>
    </row>
    <row r="4842" spans="1:7" x14ac:dyDescent="0.2">
      <c r="A4842" s="6">
        <f ca="1">Model!$F$13+RAND()*(Model!$G$13-Model!$F$13)</f>
        <v>1691.2834118758583</v>
      </c>
      <c r="B4842" s="31">
        <f ca="1">Model!$F$14+RAND()*(Model!$G$14-Model!$F$14)</f>
        <v>0.22562831136515682</v>
      </c>
      <c r="C4842" s="32">
        <f ca="1">Model!$F$15+RAND()*(Model!$G$15-Model!$F$15)</f>
        <v>4.1956938841068894E-2</v>
      </c>
      <c r="D4842" s="33">
        <f ca="1">Model!$F$16+RAND()*(Model!$G$16-Model!$F$16)</f>
        <v>51.468995811791245</v>
      </c>
      <c r="E4842" s="33">
        <f>Model!$D$17</f>
        <v>800</v>
      </c>
      <c r="G4842" s="36">
        <f t="shared" ca="1" si="78"/>
        <v>2470.6938349858005</v>
      </c>
    </row>
    <row r="4843" spans="1:7" x14ac:dyDescent="0.2">
      <c r="A4843" s="6">
        <f ca="1">Model!$F$13+RAND()*(Model!$G$13-Model!$F$13)</f>
        <v>1770.3010869910872</v>
      </c>
      <c r="B4843" s="31">
        <f ca="1">Model!$F$14+RAND()*(Model!$G$14-Model!$F$14)</f>
        <v>0.3073598422598347</v>
      </c>
      <c r="C4843" s="32">
        <f ca="1">Model!$F$15+RAND()*(Model!$G$15-Model!$F$15)</f>
        <v>1.7614563581095102E-2</v>
      </c>
      <c r="D4843" s="33">
        <f ca="1">Model!$F$16+RAND()*(Model!$G$16-Model!$F$16)</f>
        <v>50.905506094875783</v>
      </c>
      <c r="E4843" s="33">
        <f>Model!$D$17</f>
        <v>800</v>
      </c>
      <c r="G4843" s="36">
        <f t="shared" ca="1" si="78"/>
        <v>243.27105982616217</v>
      </c>
    </row>
    <row r="4844" spans="1:7" x14ac:dyDescent="0.2">
      <c r="A4844" s="6">
        <f ca="1">Model!$F$13+RAND()*(Model!$G$13-Model!$F$13)</f>
        <v>1377.1703934182649</v>
      </c>
      <c r="B4844" s="31">
        <f ca="1">Model!$F$14+RAND()*(Model!$G$14-Model!$F$14)</f>
        <v>0.55367474114131032</v>
      </c>
      <c r="C4844" s="32">
        <f ca="1">Model!$F$15+RAND()*(Model!$G$15-Model!$F$15)</f>
        <v>4.2955288348386939E-2</v>
      </c>
      <c r="D4844" s="33">
        <f ca="1">Model!$F$16+RAND()*(Model!$G$16-Model!$F$16)</f>
        <v>47.10105896893576</v>
      </c>
      <c r="E4844" s="33">
        <f>Model!$D$17</f>
        <v>800</v>
      </c>
      <c r="G4844" s="36">
        <f t="shared" ca="1" si="78"/>
        <v>1223.8411728588276</v>
      </c>
    </row>
    <row r="4845" spans="1:7" x14ac:dyDescent="0.2">
      <c r="A4845" s="6">
        <f ca="1">Model!$F$13+RAND()*(Model!$G$13-Model!$F$13)</f>
        <v>1782.0306612631384</v>
      </c>
      <c r="B4845" s="31">
        <f ca="1">Model!$F$14+RAND()*(Model!$G$14-Model!$F$14)</f>
        <v>0.60885981990729099</v>
      </c>
      <c r="C4845" s="32">
        <f ca="1">Model!$F$15+RAND()*(Model!$G$15-Model!$F$15)</f>
        <v>1.7922004346224298E-2</v>
      </c>
      <c r="D4845" s="33">
        <f ca="1">Model!$F$16+RAND()*(Model!$G$16-Model!$F$16)</f>
        <v>49.006165748250766</v>
      </c>
      <c r="E4845" s="33">
        <f>Model!$D$17</f>
        <v>800</v>
      </c>
      <c r="G4845" s="36">
        <f t="shared" ca="1" si="78"/>
        <v>-319.86944696661226</v>
      </c>
    </row>
    <row r="4846" spans="1:7" x14ac:dyDescent="0.2">
      <c r="A4846" s="6">
        <f ca="1">Model!$F$13+RAND()*(Model!$G$13-Model!$F$13)</f>
        <v>1274.4138481683526</v>
      </c>
      <c r="B4846" s="31">
        <f ca="1">Model!$F$14+RAND()*(Model!$G$14-Model!$F$14)</f>
        <v>0.50275158681509313</v>
      </c>
      <c r="C4846" s="32">
        <f ca="1">Model!$F$15+RAND()*(Model!$G$15-Model!$F$15)</f>
        <v>3.4362896689017791E-2</v>
      </c>
      <c r="D4846" s="33">
        <f ca="1">Model!$F$16+RAND()*(Model!$G$16-Model!$F$16)</f>
        <v>52.284621197105238</v>
      </c>
      <c r="E4846" s="33">
        <f>Model!$D$17</f>
        <v>800</v>
      </c>
      <c r="G4846" s="36">
        <f t="shared" ca="1" si="78"/>
        <v>848.96337696949536</v>
      </c>
    </row>
    <row r="4847" spans="1:7" x14ac:dyDescent="0.2">
      <c r="A4847" s="6">
        <f ca="1">Model!$F$13+RAND()*(Model!$G$13-Model!$F$13)</f>
        <v>1211.2450152450208</v>
      </c>
      <c r="B4847" s="31">
        <f ca="1">Model!$F$14+RAND()*(Model!$G$14-Model!$F$14)</f>
        <v>0.34019850446006755</v>
      </c>
      <c r="C4847" s="32">
        <f ca="1">Model!$F$15+RAND()*(Model!$G$15-Model!$F$15)</f>
        <v>2.4036791479465393E-2</v>
      </c>
      <c r="D4847" s="33">
        <f ca="1">Model!$F$16+RAND()*(Model!$G$16-Model!$F$16)</f>
        <v>49.825778678061788</v>
      </c>
      <c r="E4847" s="33">
        <f>Model!$D$17</f>
        <v>800</v>
      </c>
      <c r="G4847" s="36">
        <f t="shared" ca="1" si="78"/>
        <v>238.5860934811235</v>
      </c>
    </row>
    <row r="4848" spans="1:7" x14ac:dyDescent="0.2">
      <c r="A4848" s="6">
        <f ca="1">Model!$F$13+RAND()*(Model!$G$13-Model!$F$13)</f>
        <v>1365.4824305078992</v>
      </c>
      <c r="B4848" s="31">
        <f ca="1">Model!$F$14+RAND()*(Model!$G$14-Model!$F$14)</f>
        <v>0.52291304802596539</v>
      </c>
      <c r="C4848" s="32">
        <f ca="1">Model!$F$15+RAND()*(Model!$G$15-Model!$F$15)</f>
        <v>4.4990479437067563E-2</v>
      </c>
      <c r="D4848" s="33">
        <f ca="1">Model!$F$16+RAND()*(Model!$G$16-Model!$F$16)</f>
        <v>49.805930214356955</v>
      </c>
      <c r="E4848" s="33">
        <f>Model!$D$17</f>
        <v>800</v>
      </c>
      <c r="G4848" s="36">
        <f t="shared" ca="1" si="78"/>
        <v>1545.734454031423</v>
      </c>
    </row>
    <row r="4849" spans="1:7" x14ac:dyDescent="0.2">
      <c r="A4849" s="6">
        <f ca="1">Model!$F$13+RAND()*(Model!$G$13-Model!$F$13)</f>
        <v>1394.6606310662519</v>
      </c>
      <c r="B4849" s="31">
        <f ca="1">Model!$F$14+RAND()*(Model!$G$14-Model!$F$14)</f>
        <v>0.5675919329645247</v>
      </c>
      <c r="C4849" s="32">
        <f ca="1">Model!$F$15+RAND()*(Model!$G$15-Model!$F$15)</f>
        <v>2.1683412024743502E-2</v>
      </c>
      <c r="D4849" s="33">
        <f ca="1">Model!$F$16+RAND()*(Model!$G$16-Model!$F$16)</f>
        <v>48.294447234327457</v>
      </c>
      <c r="E4849" s="33">
        <f>Model!$D$17</f>
        <v>800</v>
      </c>
      <c r="G4849" s="36">
        <f t="shared" ca="1" si="78"/>
        <v>-131.12569157106941</v>
      </c>
    </row>
    <row r="4850" spans="1:7" x14ac:dyDescent="0.2">
      <c r="A4850" s="6">
        <f ca="1">Model!$F$13+RAND()*(Model!$G$13-Model!$F$13)</f>
        <v>1679.844822862347</v>
      </c>
      <c r="B4850" s="31">
        <f ca="1">Model!$F$14+RAND()*(Model!$G$14-Model!$F$14)</f>
        <v>0.34641780295873298</v>
      </c>
      <c r="C4850" s="32">
        <f ca="1">Model!$F$15+RAND()*(Model!$G$15-Model!$F$15)</f>
        <v>2.0657422983339706E-2</v>
      </c>
      <c r="D4850" s="33">
        <f ca="1">Model!$F$16+RAND()*(Model!$G$16-Model!$F$16)</f>
        <v>50.895159199567161</v>
      </c>
      <c r="E4850" s="33">
        <f>Model!$D$17</f>
        <v>800</v>
      </c>
      <c r="G4850" s="36">
        <f t="shared" ca="1" si="78"/>
        <v>384.19825641259877</v>
      </c>
    </row>
    <row r="4851" spans="1:7" x14ac:dyDescent="0.2">
      <c r="A4851" s="6">
        <f ca="1">Model!$F$13+RAND()*(Model!$G$13-Model!$F$13)</f>
        <v>1795.8292587810408</v>
      </c>
      <c r="B4851" s="31">
        <f ca="1">Model!$F$14+RAND()*(Model!$G$14-Model!$F$14)</f>
        <v>0.50059100815072188</v>
      </c>
      <c r="C4851" s="32">
        <f ca="1">Model!$F$15+RAND()*(Model!$G$15-Model!$F$15)</f>
        <v>3.6049294743627287E-2</v>
      </c>
      <c r="D4851" s="33">
        <f ca="1">Model!$F$16+RAND()*(Model!$G$16-Model!$F$16)</f>
        <v>51.367471892007018</v>
      </c>
      <c r="E4851" s="33">
        <f>Model!$D$17</f>
        <v>800</v>
      </c>
      <c r="G4851" s="36">
        <f t="shared" ca="1" si="78"/>
        <v>1626.4708464349465</v>
      </c>
    </row>
    <row r="4852" spans="1:7" x14ac:dyDescent="0.2">
      <c r="A4852" s="6">
        <f ca="1">Model!$F$13+RAND()*(Model!$G$13-Model!$F$13)</f>
        <v>1739.793366049571</v>
      </c>
      <c r="B4852" s="31">
        <f ca="1">Model!$F$14+RAND()*(Model!$G$14-Model!$F$14)</f>
        <v>0.57458754280285629</v>
      </c>
      <c r="C4852" s="32">
        <f ca="1">Model!$F$15+RAND()*(Model!$G$15-Model!$F$15)</f>
        <v>2.0684165360121194E-2</v>
      </c>
      <c r="D4852" s="33">
        <f ca="1">Model!$F$16+RAND()*(Model!$G$16-Model!$F$16)</f>
        <v>51.078649228252651</v>
      </c>
      <c r="E4852" s="33">
        <f>Model!$D$17</f>
        <v>800</v>
      </c>
      <c r="G4852" s="36">
        <f t="shared" ca="1" si="78"/>
        <v>38.461547070605548</v>
      </c>
    </row>
    <row r="4853" spans="1:7" x14ac:dyDescent="0.2">
      <c r="A4853" s="6">
        <f ca="1">Model!$F$13+RAND()*(Model!$G$13-Model!$F$13)</f>
        <v>1704.6354867549519</v>
      </c>
      <c r="B4853" s="31">
        <f ca="1">Model!$F$14+RAND()*(Model!$G$14-Model!$F$14)</f>
        <v>0.24318336017778741</v>
      </c>
      <c r="C4853" s="32">
        <f ca="1">Model!$F$15+RAND()*(Model!$G$15-Model!$F$15)</f>
        <v>1.3723829530978176E-2</v>
      </c>
      <c r="D4853" s="33">
        <f ca="1">Model!$F$16+RAND()*(Model!$G$16-Model!$F$16)</f>
        <v>50.880190208616568</v>
      </c>
      <c r="E4853" s="33">
        <f>Model!$D$17</f>
        <v>800</v>
      </c>
      <c r="G4853" s="36">
        <f t="shared" ca="1" si="78"/>
        <v>-24.241362536059114</v>
      </c>
    </row>
    <row r="4854" spans="1:7" x14ac:dyDescent="0.2">
      <c r="A4854" s="6">
        <f ca="1">Model!$F$13+RAND()*(Model!$G$13-Model!$F$13)</f>
        <v>1780.9112619537364</v>
      </c>
      <c r="B4854" s="31">
        <f ca="1">Model!$F$14+RAND()*(Model!$G$14-Model!$F$14)</f>
        <v>0.70756970451791124</v>
      </c>
      <c r="C4854" s="32">
        <f ca="1">Model!$F$15+RAND()*(Model!$G$15-Model!$F$15)</f>
        <v>1.8079124781316822E-2</v>
      </c>
      <c r="D4854" s="33">
        <f ca="1">Model!$F$16+RAND()*(Model!$G$16-Model!$F$16)</f>
        <v>47.685690624443481</v>
      </c>
      <c r="E4854" s="33">
        <f>Model!$D$17</f>
        <v>800</v>
      </c>
      <c r="G4854" s="36">
        <f t="shared" ca="1" si="78"/>
        <v>-524.76756136480094</v>
      </c>
    </row>
    <row r="4855" spans="1:7" x14ac:dyDescent="0.2">
      <c r="A4855" s="6">
        <f ca="1">Model!$F$13+RAND()*(Model!$G$13-Model!$F$13)</f>
        <v>1736.6725663088387</v>
      </c>
      <c r="B4855" s="31">
        <f ca="1">Model!$F$14+RAND()*(Model!$G$14-Model!$F$14)</f>
        <v>0.66919257105461627</v>
      </c>
      <c r="C4855" s="32">
        <f ca="1">Model!$F$15+RAND()*(Model!$G$15-Model!$F$15)</f>
        <v>3.6016551904375235E-2</v>
      </c>
      <c r="D4855" s="33">
        <f ca="1">Model!$F$16+RAND()*(Model!$G$16-Model!$F$16)</f>
        <v>49.930081104549245</v>
      </c>
      <c r="E4855" s="33">
        <f>Model!$D$17</f>
        <v>800</v>
      </c>
      <c r="G4855" s="36">
        <f t="shared" ca="1" si="78"/>
        <v>1160.9061475113494</v>
      </c>
    </row>
    <row r="4856" spans="1:7" x14ac:dyDescent="0.2">
      <c r="A4856" s="6">
        <f ca="1">Model!$F$13+RAND()*(Model!$G$13-Model!$F$13)</f>
        <v>1324.2729720383502</v>
      </c>
      <c r="B4856" s="31">
        <f ca="1">Model!$F$14+RAND()*(Model!$G$14-Model!$F$14)</f>
        <v>0.31133851947379254</v>
      </c>
      <c r="C4856" s="32">
        <f ca="1">Model!$F$15+RAND()*(Model!$G$15-Model!$F$15)</f>
        <v>4.1227257608759942E-2</v>
      </c>
      <c r="D4856" s="33">
        <f ca="1">Model!$F$16+RAND()*(Model!$G$16-Model!$F$16)</f>
        <v>50.57593271401354</v>
      </c>
      <c r="E4856" s="33">
        <f>Model!$D$17</f>
        <v>800</v>
      </c>
      <c r="G4856" s="36">
        <f t="shared" ca="1" si="78"/>
        <v>1548.9536664246702</v>
      </c>
    </row>
    <row r="4857" spans="1:7" x14ac:dyDescent="0.2">
      <c r="A4857" s="6">
        <f ca="1">Model!$F$13+RAND()*(Model!$G$13-Model!$F$13)</f>
        <v>1503.7024805261026</v>
      </c>
      <c r="B4857" s="31">
        <f ca="1">Model!$F$14+RAND()*(Model!$G$14-Model!$F$14)</f>
        <v>0.3030536515317116</v>
      </c>
      <c r="C4857" s="32">
        <f ca="1">Model!$F$15+RAND()*(Model!$G$15-Model!$F$15)</f>
        <v>1.5719038622682535E-2</v>
      </c>
      <c r="D4857" s="33">
        <f ca="1">Model!$F$16+RAND()*(Model!$G$16-Model!$F$16)</f>
        <v>48.6292449404583</v>
      </c>
      <c r="E4857" s="33">
        <f>Model!$D$17</f>
        <v>800</v>
      </c>
      <c r="G4857" s="36">
        <f t="shared" ca="1" si="78"/>
        <v>-106.2648638739729</v>
      </c>
    </row>
    <row r="4858" spans="1:7" x14ac:dyDescent="0.2">
      <c r="A4858" s="6">
        <f ca="1">Model!$F$13+RAND()*(Model!$G$13-Model!$F$13)</f>
        <v>1412.0332374447837</v>
      </c>
      <c r="B4858" s="31">
        <f ca="1">Model!$F$14+RAND()*(Model!$G$14-Model!$F$14)</f>
        <v>0.60479219005433915</v>
      </c>
      <c r="C4858" s="32">
        <f ca="1">Model!$F$15+RAND()*(Model!$G$15-Model!$F$15)</f>
        <v>1.681254999540685E-2</v>
      </c>
      <c r="D4858" s="33">
        <f ca="1">Model!$F$16+RAND()*(Model!$G$16-Model!$F$16)</f>
        <v>49.633961447959621</v>
      </c>
      <c r="E4858" s="33">
        <f>Model!$D$17</f>
        <v>800</v>
      </c>
      <c r="G4858" s="36">
        <f t="shared" ca="1" si="78"/>
        <v>-475.68241519900403</v>
      </c>
    </row>
    <row r="4859" spans="1:7" x14ac:dyDescent="0.2">
      <c r="A4859" s="6">
        <f ca="1">Model!$F$13+RAND()*(Model!$G$13-Model!$F$13)</f>
        <v>1575.3687726146723</v>
      </c>
      <c r="B4859" s="31">
        <f ca="1">Model!$F$14+RAND()*(Model!$G$14-Model!$F$14)</f>
        <v>0.4123230711976944</v>
      </c>
      <c r="C4859" s="32">
        <f ca="1">Model!$F$15+RAND()*(Model!$G$15-Model!$F$15)</f>
        <v>3.2217320869077394E-2</v>
      </c>
      <c r="D4859" s="33">
        <f ca="1">Model!$F$16+RAND()*(Model!$G$16-Model!$F$16)</f>
        <v>50.022590689252795</v>
      </c>
      <c r="E4859" s="33">
        <f>Model!$D$17</f>
        <v>800</v>
      </c>
      <c r="G4859" s="36">
        <f t="shared" ca="1" si="78"/>
        <v>1089.2937426138856</v>
      </c>
    </row>
    <row r="4860" spans="1:7" x14ac:dyDescent="0.2">
      <c r="A4860" s="6">
        <f ca="1">Model!$F$13+RAND()*(Model!$G$13-Model!$F$13)</f>
        <v>1379.1333603743183</v>
      </c>
      <c r="B4860" s="31">
        <f ca="1">Model!$F$14+RAND()*(Model!$G$14-Model!$F$14)</f>
        <v>0.34987578592321605</v>
      </c>
      <c r="C4860" s="32">
        <f ca="1">Model!$F$15+RAND()*(Model!$G$15-Model!$F$15)</f>
        <v>2.4759040035776447E-2</v>
      </c>
      <c r="D4860" s="33">
        <f ca="1">Model!$F$16+RAND()*(Model!$G$16-Model!$F$16)</f>
        <v>47.117456823821328</v>
      </c>
      <c r="E4860" s="33">
        <f>Model!$D$17</f>
        <v>800</v>
      </c>
      <c r="G4860" s="36">
        <f t="shared" ca="1" si="78"/>
        <v>326.3481644330077</v>
      </c>
    </row>
    <row r="4861" spans="1:7" x14ac:dyDescent="0.2">
      <c r="A4861" s="6">
        <f ca="1">Model!$F$13+RAND()*(Model!$G$13-Model!$F$13)</f>
        <v>1740.4523115151583</v>
      </c>
      <c r="B4861" s="31">
        <f ca="1">Model!$F$14+RAND()*(Model!$G$14-Model!$F$14)</f>
        <v>0.35731556416075272</v>
      </c>
      <c r="C4861" s="32">
        <f ca="1">Model!$F$15+RAND()*(Model!$G$15-Model!$F$15)</f>
        <v>1.7045168486737178E-2</v>
      </c>
      <c r="D4861" s="33">
        <f ca="1">Model!$F$16+RAND()*(Model!$G$16-Model!$F$16)</f>
        <v>51.373172789377499</v>
      </c>
      <c r="E4861" s="33">
        <f>Model!$D$17</f>
        <v>800</v>
      </c>
      <c r="G4861" s="36">
        <f t="shared" ca="1" si="78"/>
        <v>102.16140495539867</v>
      </c>
    </row>
    <row r="4862" spans="1:7" x14ac:dyDescent="0.2">
      <c r="A4862" s="6">
        <f ca="1">Model!$F$13+RAND()*(Model!$G$13-Model!$F$13)</f>
        <v>1361.7264437693323</v>
      </c>
      <c r="B4862" s="31">
        <f ca="1">Model!$F$14+RAND()*(Model!$G$14-Model!$F$14)</f>
        <v>0.31756008430751825</v>
      </c>
      <c r="C4862" s="32">
        <f ca="1">Model!$F$15+RAND()*(Model!$G$15-Model!$F$15)</f>
        <v>1.1709743772748223E-2</v>
      </c>
      <c r="D4862" s="33">
        <f ca="1">Model!$F$16+RAND()*(Model!$G$16-Model!$F$16)</f>
        <v>47.687615314502594</v>
      </c>
      <c r="E4862" s="33">
        <f>Model!$D$17</f>
        <v>800</v>
      </c>
      <c r="G4862" s="36">
        <f t="shared" ca="1" si="78"/>
        <v>-472.02863244833566</v>
      </c>
    </row>
    <row r="4863" spans="1:7" x14ac:dyDescent="0.2">
      <c r="A4863" s="6">
        <f ca="1">Model!$F$13+RAND()*(Model!$G$13-Model!$F$13)</f>
        <v>1224.6181253892355</v>
      </c>
      <c r="B4863" s="31">
        <f ca="1">Model!$F$14+RAND()*(Model!$G$14-Model!$F$14)</f>
        <v>0.64759854224341828</v>
      </c>
      <c r="C4863" s="32">
        <f ca="1">Model!$F$15+RAND()*(Model!$G$15-Model!$F$15)</f>
        <v>3.9237041367185491E-2</v>
      </c>
      <c r="D4863" s="33">
        <f ca="1">Model!$F$16+RAND()*(Model!$G$16-Model!$F$16)</f>
        <v>51.564215437785549</v>
      </c>
      <c r="E4863" s="33">
        <f>Model!$D$17</f>
        <v>800</v>
      </c>
      <c r="G4863" s="36">
        <f t="shared" ca="1" si="78"/>
        <v>884.61985446647691</v>
      </c>
    </row>
    <row r="4864" spans="1:7" x14ac:dyDescent="0.2">
      <c r="A4864" s="6">
        <f ca="1">Model!$F$13+RAND()*(Model!$G$13-Model!$F$13)</f>
        <v>1398.7451007913096</v>
      </c>
      <c r="B4864" s="31">
        <f ca="1">Model!$F$14+RAND()*(Model!$G$14-Model!$F$14)</f>
        <v>0.3979280755624976</v>
      </c>
      <c r="C4864" s="32">
        <f ca="1">Model!$F$15+RAND()*(Model!$G$15-Model!$F$15)</f>
        <v>3.712537618440824E-2</v>
      </c>
      <c r="D4864" s="33">
        <f ca="1">Model!$F$16+RAND()*(Model!$G$16-Model!$F$16)</f>
        <v>51.483473518693437</v>
      </c>
      <c r="E4864" s="33">
        <f>Model!$D$17</f>
        <v>800</v>
      </c>
      <c r="G4864" s="36">
        <f t="shared" ca="1" si="78"/>
        <v>1316.8821609438726</v>
      </c>
    </row>
    <row r="4865" spans="1:7" x14ac:dyDescent="0.2">
      <c r="A4865" s="6">
        <f ca="1">Model!$F$13+RAND()*(Model!$G$13-Model!$F$13)</f>
        <v>1205.8484334181633</v>
      </c>
      <c r="B4865" s="31">
        <f ca="1">Model!$F$14+RAND()*(Model!$G$14-Model!$F$14)</f>
        <v>0.22825555755930313</v>
      </c>
      <c r="C4865" s="32">
        <f ca="1">Model!$F$15+RAND()*(Model!$G$15-Model!$F$15)</f>
        <v>1.8494197485214706E-2</v>
      </c>
      <c r="D4865" s="33">
        <f ca="1">Model!$F$16+RAND()*(Model!$G$16-Model!$F$16)</f>
        <v>48.811066788805107</v>
      </c>
      <c r="E4865" s="33">
        <f>Model!$D$17</f>
        <v>800</v>
      </c>
      <c r="G4865" s="36">
        <f t="shared" ca="1" si="78"/>
        <v>13.303710524043936</v>
      </c>
    </row>
    <row r="4866" spans="1:7" x14ac:dyDescent="0.2">
      <c r="A4866" s="6">
        <f ca="1">Model!$F$13+RAND()*(Model!$G$13-Model!$F$13)</f>
        <v>1392.5404558447965</v>
      </c>
      <c r="B4866" s="31">
        <f ca="1">Model!$F$14+RAND()*(Model!$G$14-Model!$F$14)</f>
        <v>0.61366442271368815</v>
      </c>
      <c r="C4866" s="32">
        <f ca="1">Model!$F$15+RAND()*(Model!$G$15-Model!$F$15)</f>
        <v>4.6162712077627087E-2</v>
      </c>
      <c r="D4866" s="33">
        <f ca="1">Model!$F$16+RAND()*(Model!$G$16-Model!$F$16)</f>
        <v>49.217444285476354</v>
      </c>
      <c r="E4866" s="33">
        <f>Model!$D$17</f>
        <v>800</v>
      </c>
      <c r="G4866" s="36">
        <f t="shared" ca="1" si="78"/>
        <v>1509.3142944940298</v>
      </c>
    </row>
    <row r="4867" spans="1:7" x14ac:dyDescent="0.2">
      <c r="A4867" s="6">
        <f ca="1">Model!$F$13+RAND()*(Model!$G$13-Model!$F$13)</f>
        <v>1513.0237007598655</v>
      </c>
      <c r="B4867" s="31">
        <f ca="1">Model!$F$14+RAND()*(Model!$G$14-Model!$F$14)</f>
        <v>0.32728230716966139</v>
      </c>
      <c r="C4867" s="32">
        <f ca="1">Model!$F$15+RAND()*(Model!$G$15-Model!$F$15)</f>
        <v>2.4071025811298084E-2</v>
      </c>
      <c r="D4867" s="33">
        <f ca="1">Model!$F$16+RAND()*(Model!$G$16-Model!$F$16)</f>
        <v>50.091934486792653</v>
      </c>
      <c r="E4867" s="33">
        <f>Model!$D$17</f>
        <v>800</v>
      </c>
      <c r="G4867" s="36">
        <f t="shared" ca="1" si="78"/>
        <v>529.1639971195882</v>
      </c>
    </row>
    <row r="4868" spans="1:7" x14ac:dyDescent="0.2">
      <c r="A4868" s="6">
        <f ca="1">Model!$F$13+RAND()*(Model!$G$13-Model!$F$13)</f>
        <v>1741.073928240048</v>
      </c>
      <c r="B4868" s="31">
        <f ca="1">Model!$F$14+RAND()*(Model!$G$14-Model!$F$14)</f>
        <v>0.77786021831947649</v>
      </c>
      <c r="C4868" s="32">
        <f ca="1">Model!$F$15+RAND()*(Model!$G$15-Model!$F$15)</f>
        <v>1.1303538840494074E-2</v>
      </c>
      <c r="D4868" s="33">
        <f ca="1">Model!$F$16+RAND()*(Model!$G$16-Model!$F$16)</f>
        <v>49.250732453319216</v>
      </c>
      <c r="E4868" s="33">
        <f>Model!$D$17</f>
        <v>800</v>
      </c>
      <c r="G4868" s="36">
        <f t="shared" ca="1" si="78"/>
        <v>-1185.0431150098345</v>
      </c>
    </row>
    <row r="4869" spans="1:7" x14ac:dyDescent="0.2">
      <c r="A4869" s="6">
        <f ca="1">Model!$F$13+RAND()*(Model!$G$13-Model!$F$13)</f>
        <v>1707.3130058973452</v>
      </c>
      <c r="B4869" s="31">
        <f ca="1">Model!$F$14+RAND()*(Model!$G$14-Model!$F$14)</f>
        <v>0.23529217387718659</v>
      </c>
      <c r="C4869" s="32">
        <f ca="1">Model!$F$15+RAND()*(Model!$G$15-Model!$F$15)</f>
        <v>4.4952096577968462E-2</v>
      </c>
      <c r="D4869" s="33">
        <f ca="1">Model!$F$16+RAND()*(Model!$G$16-Model!$F$16)</f>
        <v>48.389322957553773</v>
      </c>
      <c r="E4869" s="33">
        <f>Model!$D$17</f>
        <v>800</v>
      </c>
      <c r="G4869" s="36">
        <f t="shared" ca="1" si="78"/>
        <v>2512.0324550712608</v>
      </c>
    </row>
    <row r="4870" spans="1:7" x14ac:dyDescent="0.2">
      <c r="A4870" s="6">
        <f ca="1">Model!$F$13+RAND()*(Model!$G$13-Model!$F$13)</f>
        <v>1279.4043472671569</v>
      </c>
      <c r="B4870" s="31">
        <f ca="1">Model!$F$14+RAND()*(Model!$G$14-Model!$F$14)</f>
        <v>0.73114891074563149</v>
      </c>
      <c r="C4870" s="32">
        <f ca="1">Model!$F$15+RAND()*(Model!$G$15-Model!$F$15)</f>
        <v>4.9105441196904742E-2</v>
      </c>
      <c r="D4870" s="33">
        <f ca="1">Model!$F$16+RAND()*(Model!$G$16-Model!$F$16)</f>
        <v>48.105438169316791</v>
      </c>
      <c r="E4870" s="33">
        <f>Model!$D$17</f>
        <v>800</v>
      </c>
      <c r="G4870" s="36">
        <f t="shared" ca="1" si="78"/>
        <v>1286.8234506678737</v>
      </c>
    </row>
    <row r="4871" spans="1:7" x14ac:dyDescent="0.2">
      <c r="A4871" s="6">
        <f ca="1">Model!$F$13+RAND()*(Model!$G$13-Model!$F$13)</f>
        <v>1384.7496600699001</v>
      </c>
      <c r="B4871" s="31">
        <f ca="1">Model!$F$14+RAND()*(Model!$G$14-Model!$F$14)</f>
        <v>0.52813691588970846</v>
      </c>
      <c r="C4871" s="32">
        <f ca="1">Model!$F$15+RAND()*(Model!$G$15-Model!$F$15)</f>
        <v>4.4550876636012759E-2</v>
      </c>
      <c r="D4871" s="33">
        <f ca="1">Model!$F$16+RAND()*(Model!$G$16-Model!$F$16)</f>
        <v>48.734509234789172</v>
      </c>
      <c r="E4871" s="33">
        <f>Model!$D$17</f>
        <v>800</v>
      </c>
      <c r="G4871" s="36">
        <f t="shared" ca="1" si="78"/>
        <v>1475.1827316672475</v>
      </c>
    </row>
    <row r="4872" spans="1:7" x14ac:dyDescent="0.2">
      <c r="A4872" s="6">
        <f ca="1">Model!$F$13+RAND()*(Model!$G$13-Model!$F$13)</f>
        <v>1662.6763211563552</v>
      </c>
      <c r="B4872" s="31">
        <f ca="1">Model!$F$14+RAND()*(Model!$G$14-Model!$F$14)</f>
        <v>0.37120619212935213</v>
      </c>
      <c r="C4872" s="32">
        <f ca="1">Model!$F$15+RAND()*(Model!$G$15-Model!$F$15)</f>
        <v>3.5066679005347441E-2</v>
      </c>
      <c r="D4872" s="33">
        <f ca="1">Model!$F$16+RAND()*(Model!$G$16-Model!$F$16)</f>
        <v>48.754921757664683</v>
      </c>
      <c r="E4872" s="33">
        <f>Model!$D$17</f>
        <v>800</v>
      </c>
      <c r="G4872" s="36">
        <f t="shared" ca="1" si="78"/>
        <v>1425.4373860153732</v>
      </c>
    </row>
    <row r="4873" spans="1:7" x14ac:dyDescent="0.2">
      <c r="A4873" s="6">
        <f ca="1">Model!$F$13+RAND()*(Model!$G$13-Model!$F$13)</f>
        <v>1399.3993661617408</v>
      </c>
      <c r="B4873" s="31">
        <f ca="1">Model!$F$14+RAND()*(Model!$G$14-Model!$F$14)</f>
        <v>0.46118409734451488</v>
      </c>
      <c r="C4873" s="32">
        <f ca="1">Model!$F$15+RAND()*(Model!$G$15-Model!$F$15)</f>
        <v>3.44767524818511E-2</v>
      </c>
      <c r="D4873" s="33">
        <f ca="1">Model!$F$16+RAND()*(Model!$G$16-Model!$F$16)</f>
        <v>50.432709024773544</v>
      </c>
      <c r="E4873" s="33">
        <f>Model!$D$17</f>
        <v>800</v>
      </c>
      <c r="G4873" s="36">
        <f t="shared" ca="1" si="78"/>
        <v>987.83334723736652</v>
      </c>
    </row>
    <row r="4874" spans="1:7" x14ac:dyDescent="0.2">
      <c r="A4874" s="6">
        <f ca="1">Model!$F$13+RAND()*(Model!$G$13-Model!$F$13)</f>
        <v>1376.6225285874075</v>
      </c>
      <c r="B4874" s="31">
        <f ca="1">Model!$F$14+RAND()*(Model!$G$14-Model!$F$14)</f>
        <v>0.45457861185900794</v>
      </c>
      <c r="C4874" s="32">
        <f ca="1">Model!$F$15+RAND()*(Model!$G$15-Model!$F$15)</f>
        <v>2.5798242708837515E-2</v>
      </c>
      <c r="D4874" s="33">
        <f ca="1">Model!$F$16+RAND()*(Model!$G$16-Model!$F$16)</f>
        <v>52.770447610225112</v>
      </c>
      <c r="E4874" s="33">
        <f>Model!$D$17</f>
        <v>800</v>
      </c>
      <c r="G4874" s="36">
        <f t="shared" ca="1" si="78"/>
        <v>448.32984872324005</v>
      </c>
    </row>
    <row r="4875" spans="1:7" x14ac:dyDescent="0.2">
      <c r="A4875" s="6">
        <f ca="1">Model!$F$13+RAND()*(Model!$G$13-Model!$F$13)</f>
        <v>1599.8206656146526</v>
      </c>
      <c r="B4875" s="31">
        <f ca="1">Model!$F$14+RAND()*(Model!$G$14-Model!$F$14)</f>
        <v>0.23679930642598668</v>
      </c>
      <c r="C4875" s="32">
        <f ca="1">Model!$F$15+RAND()*(Model!$G$15-Model!$F$15)</f>
        <v>3.238228341449674E-2</v>
      </c>
      <c r="D4875" s="33">
        <f ca="1">Model!$F$16+RAND()*(Model!$G$16-Model!$F$16)</f>
        <v>51.525479990281823</v>
      </c>
      <c r="E4875" s="33">
        <f>Model!$D$17</f>
        <v>800</v>
      </c>
      <c r="G4875" s="36">
        <f t="shared" ca="1" si="78"/>
        <v>1490.4846680589471</v>
      </c>
    </row>
    <row r="4876" spans="1:7" x14ac:dyDescent="0.2">
      <c r="A4876" s="6">
        <f ca="1">Model!$F$13+RAND()*(Model!$G$13-Model!$F$13)</f>
        <v>1538.0518030207782</v>
      </c>
      <c r="B4876" s="31">
        <f ca="1">Model!$F$14+RAND()*(Model!$G$14-Model!$F$14)</f>
        <v>0.24588292059662997</v>
      </c>
      <c r="C4876" s="32">
        <f ca="1">Model!$F$15+RAND()*(Model!$G$15-Model!$F$15)</f>
        <v>2.7252466929900521E-2</v>
      </c>
      <c r="D4876" s="33">
        <f ca="1">Model!$F$16+RAND()*(Model!$G$16-Model!$F$16)</f>
        <v>49.663595003867115</v>
      </c>
      <c r="E4876" s="33">
        <f>Model!$D$17</f>
        <v>800</v>
      </c>
      <c r="G4876" s="36">
        <f t="shared" ca="1" si="78"/>
        <v>903.50397267859557</v>
      </c>
    </row>
    <row r="4877" spans="1:7" x14ac:dyDescent="0.2">
      <c r="A4877" s="6">
        <f ca="1">Model!$F$13+RAND()*(Model!$G$13-Model!$F$13)</f>
        <v>1693.4561928442856</v>
      </c>
      <c r="B4877" s="31">
        <f ca="1">Model!$F$14+RAND()*(Model!$G$14-Model!$F$14)</f>
        <v>0.21102010344132238</v>
      </c>
      <c r="C4877" s="32">
        <f ca="1">Model!$F$15+RAND()*(Model!$G$15-Model!$F$15)</f>
        <v>4.8619235612843377E-2</v>
      </c>
      <c r="D4877" s="33">
        <f ca="1">Model!$F$16+RAND()*(Model!$G$16-Model!$F$16)</f>
        <v>52.594313376160734</v>
      </c>
      <c r="E4877" s="33">
        <f>Model!$D$17</f>
        <v>800</v>
      </c>
      <c r="G4877" s="36">
        <f t="shared" ca="1" si="78"/>
        <v>3172.9755940826781</v>
      </c>
    </row>
    <row r="4878" spans="1:7" x14ac:dyDescent="0.2">
      <c r="A4878" s="6">
        <f ca="1">Model!$F$13+RAND()*(Model!$G$13-Model!$F$13)</f>
        <v>1615.5383096762223</v>
      </c>
      <c r="B4878" s="31">
        <f ca="1">Model!$F$14+RAND()*(Model!$G$14-Model!$F$14)</f>
        <v>0.22140041325011045</v>
      </c>
      <c r="C4878" s="32">
        <f ca="1">Model!$F$15+RAND()*(Model!$G$15-Model!$F$15)</f>
        <v>3.8562469905912895E-2</v>
      </c>
      <c r="D4878" s="33">
        <f ca="1">Model!$F$16+RAND()*(Model!$G$16-Model!$F$16)</f>
        <v>49.814295933904766</v>
      </c>
      <c r="E4878" s="33">
        <f>Model!$D$17</f>
        <v>800</v>
      </c>
      <c r="G4878" s="36">
        <f t="shared" ca="1" si="78"/>
        <v>1945.7073180577377</v>
      </c>
    </row>
    <row r="4879" spans="1:7" x14ac:dyDescent="0.2">
      <c r="A4879" s="6">
        <f ca="1">Model!$F$13+RAND()*(Model!$G$13-Model!$F$13)</f>
        <v>1770.0841301560401</v>
      </c>
      <c r="B4879" s="31">
        <f ca="1">Model!$F$14+RAND()*(Model!$G$14-Model!$F$14)</f>
        <v>0.75201941045357601</v>
      </c>
      <c r="C4879" s="32">
        <f ca="1">Model!$F$15+RAND()*(Model!$G$15-Model!$F$15)</f>
        <v>2.8343169304525552E-2</v>
      </c>
      <c r="D4879" s="33">
        <f ca="1">Model!$F$16+RAND()*(Model!$G$16-Model!$F$16)</f>
        <v>52.470749638039599</v>
      </c>
      <c r="E4879" s="33">
        <f>Model!$D$17</f>
        <v>800</v>
      </c>
      <c r="G4879" s="36">
        <f t="shared" ca="1" si="78"/>
        <v>501.30908602144564</v>
      </c>
    </row>
    <row r="4880" spans="1:7" x14ac:dyDescent="0.2">
      <c r="A4880" s="6">
        <f ca="1">Model!$F$13+RAND()*(Model!$G$13-Model!$F$13)</f>
        <v>1491.2782780769112</v>
      </c>
      <c r="B4880" s="31">
        <f ca="1">Model!$F$14+RAND()*(Model!$G$14-Model!$F$14)</f>
        <v>0.29794486839357531</v>
      </c>
      <c r="C4880" s="32">
        <f ca="1">Model!$F$15+RAND()*(Model!$G$15-Model!$F$15)</f>
        <v>1.0583773852150263E-2</v>
      </c>
      <c r="D4880" s="33">
        <f ca="1">Model!$F$16+RAND()*(Model!$G$16-Model!$F$16)</f>
        <v>49.901922230875293</v>
      </c>
      <c r="E4880" s="33">
        <f>Model!$D$17</f>
        <v>800</v>
      </c>
      <c r="G4880" s="36">
        <f t="shared" ca="1" si="78"/>
        <v>-456.69910396827981</v>
      </c>
    </row>
    <row r="4881" spans="1:7" x14ac:dyDescent="0.2">
      <c r="A4881" s="6">
        <f ca="1">Model!$F$13+RAND()*(Model!$G$13-Model!$F$13)</f>
        <v>1204.2039210695129</v>
      </c>
      <c r="B4881" s="31">
        <f ca="1">Model!$F$14+RAND()*(Model!$G$14-Model!$F$14)</f>
        <v>0.35540774506265332</v>
      </c>
      <c r="C4881" s="32">
        <f ca="1">Model!$F$15+RAND()*(Model!$G$15-Model!$F$15)</f>
        <v>3.0215038790981842E-2</v>
      </c>
      <c r="D4881" s="33">
        <f ca="1">Model!$F$16+RAND()*(Model!$G$16-Model!$F$16)</f>
        <v>52.710510604830127</v>
      </c>
      <c r="E4881" s="33">
        <f>Model!$D$17</f>
        <v>800</v>
      </c>
      <c r="G4881" s="36">
        <f t="shared" ca="1" si="78"/>
        <v>689.89212236479534</v>
      </c>
    </row>
    <row r="4882" spans="1:7" x14ac:dyDescent="0.2">
      <c r="A4882" s="6">
        <f ca="1">Model!$F$13+RAND()*(Model!$G$13-Model!$F$13)</f>
        <v>1602.221235506739</v>
      </c>
      <c r="B4882" s="31">
        <f ca="1">Model!$F$14+RAND()*(Model!$G$14-Model!$F$14)</f>
        <v>0.33933409915675428</v>
      </c>
      <c r="C4882" s="32">
        <f ca="1">Model!$F$15+RAND()*(Model!$G$15-Model!$F$15)</f>
        <v>2.4175735486167672E-2</v>
      </c>
      <c r="D4882" s="33">
        <f ca="1">Model!$F$16+RAND()*(Model!$G$16-Model!$F$16)</f>
        <v>48.660771356244339</v>
      </c>
      <c r="E4882" s="33">
        <f>Model!$D$17</f>
        <v>800</v>
      </c>
      <c r="G4882" s="36">
        <f t="shared" ca="1" si="78"/>
        <v>541.18068290005249</v>
      </c>
    </row>
    <row r="4883" spans="1:7" x14ac:dyDescent="0.2">
      <c r="A4883" s="6">
        <f ca="1">Model!$F$13+RAND()*(Model!$G$13-Model!$F$13)</f>
        <v>1660.1369405918263</v>
      </c>
      <c r="B4883" s="31">
        <f ca="1">Model!$F$14+RAND()*(Model!$G$14-Model!$F$14)</f>
        <v>0.35501778336538214</v>
      </c>
      <c r="C4883" s="32">
        <f ca="1">Model!$F$15+RAND()*(Model!$G$15-Model!$F$15)</f>
        <v>3.9417634327796318E-2</v>
      </c>
      <c r="D4883" s="33">
        <f ca="1">Model!$F$16+RAND()*(Model!$G$16-Model!$F$16)</f>
        <v>52.716775834699945</v>
      </c>
      <c r="E4883" s="33">
        <f>Model!$D$17</f>
        <v>800</v>
      </c>
      <c r="G4883" s="36">
        <f t="shared" ca="1" si="78"/>
        <v>2060.3376058266131</v>
      </c>
    </row>
    <row r="4884" spans="1:7" x14ac:dyDescent="0.2">
      <c r="A4884" s="6">
        <f ca="1">Model!$F$13+RAND()*(Model!$G$13-Model!$F$13)</f>
        <v>1492.4243568486354</v>
      </c>
      <c r="B4884" s="31">
        <f ca="1">Model!$F$14+RAND()*(Model!$G$14-Model!$F$14)</f>
        <v>0.68073288509634433</v>
      </c>
      <c r="C4884" s="32">
        <f ca="1">Model!$F$15+RAND()*(Model!$G$15-Model!$F$15)</f>
        <v>3.1458429409576813E-2</v>
      </c>
      <c r="D4884" s="33">
        <f ca="1">Model!$F$16+RAND()*(Model!$G$16-Model!$F$16)</f>
        <v>52.984774358879925</v>
      </c>
      <c r="E4884" s="33">
        <f>Model!$D$17</f>
        <v>800</v>
      </c>
      <c r="G4884" s="36">
        <f t="shared" ca="1" si="78"/>
        <v>671.65712097157939</v>
      </c>
    </row>
    <row r="4885" spans="1:7" x14ac:dyDescent="0.2">
      <c r="A4885" s="6">
        <f ca="1">Model!$F$13+RAND()*(Model!$G$13-Model!$F$13)</f>
        <v>1712.5906031791994</v>
      </c>
      <c r="B4885" s="31">
        <f ca="1">Model!$F$14+RAND()*(Model!$G$14-Model!$F$14)</f>
        <v>0.66779930691518596</v>
      </c>
      <c r="C4885" s="32">
        <f ca="1">Model!$F$15+RAND()*(Model!$G$15-Model!$F$15)</f>
        <v>1.3261362551866234E-2</v>
      </c>
      <c r="D4885" s="33">
        <f ca="1">Model!$F$16+RAND()*(Model!$G$16-Model!$F$16)</f>
        <v>51.542537805818796</v>
      </c>
      <c r="E4885" s="33">
        <f>Model!$D$17</f>
        <v>800</v>
      </c>
      <c r="G4885" s="36">
        <f t="shared" ca="1" si="78"/>
        <v>-773.0695576844621</v>
      </c>
    </row>
    <row r="4886" spans="1:7" x14ac:dyDescent="0.2">
      <c r="A4886" s="6">
        <f ca="1">Model!$F$13+RAND()*(Model!$G$13-Model!$F$13)</f>
        <v>1789.8353242336943</v>
      </c>
      <c r="B4886" s="31">
        <f ca="1">Model!$F$14+RAND()*(Model!$G$14-Model!$F$14)</f>
        <v>0.36736855707542626</v>
      </c>
      <c r="C4886" s="32">
        <f ca="1">Model!$F$15+RAND()*(Model!$G$15-Model!$F$15)</f>
        <v>2.8498472902974942E-2</v>
      </c>
      <c r="D4886" s="33">
        <f ca="1">Model!$F$16+RAND()*(Model!$G$16-Model!$F$16)</f>
        <v>50.010806270381856</v>
      </c>
      <c r="E4886" s="33">
        <f>Model!$D$17</f>
        <v>800</v>
      </c>
      <c r="G4886" s="36">
        <f t="shared" ca="1" si="78"/>
        <v>1093.4006555873439</v>
      </c>
    </row>
    <row r="4887" spans="1:7" x14ac:dyDescent="0.2">
      <c r="A4887" s="6">
        <f ca="1">Model!$F$13+RAND()*(Model!$G$13-Model!$F$13)</f>
        <v>1500.3541883089179</v>
      </c>
      <c r="B4887" s="31">
        <f ca="1">Model!$F$14+RAND()*(Model!$G$14-Model!$F$14)</f>
        <v>0.50268847093153146</v>
      </c>
      <c r="C4887" s="32">
        <f ca="1">Model!$F$15+RAND()*(Model!$G$15-Model!$F$15)</f>
        <v>3.420260474639289E-2</v>
      </c>
      <c r="D4887" s="33">
        <f ca="1">Model!$F$16+RAND()*(Model!$G$16-Model!$F$16)</f>
        <v>50.007973593872755</v>
      </c>
      <c r="E4887" s="33">
        <f>Model!$D$17</f>
        <v>800</v>
      </c>
      <c r="G4887" s="36">
        <f t="shared" ca="1" si="78"/>
        <v>1011.9994844523944</v>
      </c>
    </row>
    <row r="4888" spans="1:7" x14ac:dyDescent="0.2">
      <c r="A4888" s="6">
        <f ca="1">Model!$F$13+RAND()*(Model!$G$13-Model!$F$13)</f>
        <v>1273.0807792681235</v>
      </c>
      <c r="B4888" s="31">
        <f ca="1">Model!$F$14+RAND()*(Model!$G$14-Model!$F$14)</f>
        <v>0.60609659820646411</v>
      </c>
      <c r="C4888" s="32">
        <f ca="1">Model!$F$15+RAND()*(Model!$G$15-Model!$F$15)</f>
        <v>1.097067611251128E-2</v>
      </c>
      <c r="D4888" s="33">
        <f ca="1">Model!$F$16+RAND()*(Model!$G$16-Model!$F$16)</f>
        <v>52.190677665375944</v>
      </c>
      <c r="E4888" s="33">
        <f>Model!$D$17</f>
        <v>800</v>
      </c>
      <c r="G4888" s="36">
        <f t="shared" ca="1" si="78"/>
        <v>-842.68586058494645</v>
      </c>
    </row>
    <row r="4889" spans="1:7" x14ac:dyDescent="0.2">
      <c r="A4889" s="6">
        <f ca="1">Model!$F$13+RAND()*(Model!$G$13-Model!$F$13)</f>
        <v>1535.440091246536</v>
      </c>
      <c r="B4889" s="31">
        <f ca="1">Model!$F$14+RAND()*(Model!$G$14-Model!$F$14)</f>
        <v>0.61296332758457561</v>
      </c>
      <c r="C4889" s="32">
        <f ca="1">Model!$F$15+RAND()*(Model!$G$15-Model!$F$15)</f>
        <v>1.9492388211353816E-2</v>
      </c>
      <c r="D4889" s="33">
        <f ca="1">Model!$F$16+RAND()*(Model!$G$16-Model!$F$16)</f>
        <v>52.670197011369737</v>
      </c>
      <c r="E4889" s="33">
        <f>Model!$D$17</f>
        <v>800</v>
      </c>
      <c r="G4889" s="36">
        <f t="shared" ca="1" si="78"/>
        <v>-164.78137164217742</v>
      </c>
    </row>
    <row r="4890" spans="1:7" x14ac:dyDescent="0.2">
      <c r="A4890" s="6">
        <f ca="1">Model!$F$13+RAND()*(Model!$G$13-Model!$F$13)</f>
        <v>1739.1513232731891</v>
      </c>
      <c r="B4890" s="31">
        <f ca="1">Model!$F$14+RAND()*(Model!$G$14-Model!$F$14)</f>
        <v>0.54513596729123392</v>
      </c>
      <c r="C4890" s="32">
        <f ca="1">Model!$F$15+RAND()*(Model!$G$15-Model!$F$15)</f>
        <v>3.3952869878867448E-2</v>
      </c>
      <c r="D4890" s="33">
        <f ca="1">Model!$F$16+RAND()*(Model!$G$16-Model!$F$16)</f>
        <v>52.767096012018705</v>
      </c>
      <c r="E4890" s="33">
        <f>Model!$D$17</f>
        <v>800</v>
      </c>
      <c r="G4890" s="36">
        <f t="shared" ca="1" si="78"/>
        <v>1367.7797366176292</v>
      </c>
    </row>
    <row r="4891" spans="1:7" x14ac:dyDescent="0.2">
      <c r="A4891" s="6">
        <f ca="1">Model!$F$13+RAND()*(Model!$G$13-Model!$F$13)</f>
        <v>1628.0728754326931</v>
      </c>
      <c r="B4891" s="31">
        <f ca="1">Model!$F$14+RAND()*(Model!$G$14-Model!$F$14)</f>
        <v>0.43776395338585672</v>
      </c>
      <c r="C4891" s="32">
        <f ca="1">Model!$F$15+RAND()*(Model!$G$15-Model!$F$15)</f>
        <v>2.868223157657878E-2</v>
      </c>
      <c r="D4891" s="33">
        <f ca="1">Model!$F$16+RAND()*(Model!$G$16-Model!$F$16)</f>
        <v>51.05302919636766</v>
      </c>
      <c r="E4891" s="33">
        <f>Model!$D$17</f>
        <v>800</v>
      </c>
      <c r="G4891" s="36">
        <f t="shared" ca="1" si="78"/>
        <v>871.29959854977551</v>
      </c>
    </row>
    <row r="4892" spans="1:7" x14ac:dyDescent="0.2">
      <c r="A4892" s="6">
        <f ca="1">Model!$F$13+RAND()*(Model!$G$13-Model!$F$13)</f>
        <v>1518.766815914367</v>
      </c>
      <c r="B4892" s="31">
        <f ca="1">Model!$F$14+RAND()*(Model!$G$14-Model!$F$14)</f>
        <v>0.43291954162552115</v>
      </c>
      <c r="C4892" s="32">
        <f ca="1">Model!$F$15+RAND()*(Model!$G$15-Model!$F$15)</f>
        <v>1.4612304774419386E-2</v>
      </c>
      <c r="D4892" s="33">
        <f ca="1">Model!$F$16+RAND()*(Model!$G$16-Model!$F$16)</f>
        <v>50.046007850911884</v>
      </c>
      <c r="E4892" s="33">
        <f>Model!$D$17</f>
        <v>800</v>
      </c>
      <c r="G4892" s="36">
        <f t="shared" ca="1" si="78"/>
        <v>-346.84861633274591</v>
      </c>
    </row>
    <row r="4893" spans="1:7" x14ac:dyDescent="0.2">
      <c r="A4893" s="6">
        <f ca="1">Model!$F$13+RAND()*(Model!$G$13-Model!$F$13)</f>
        <v>1619.8370023565226</v>
      </c>
      <c r="B4893" s="31">
        <f ca="1">Model!$F$14+RAND()*(Model!$G$14-Model!$F$14)</f>
        <v>0.49925119743477853</v>
      </c>
      <c r="C4893" s="32">
        <f ca="1">Model!$F$15+RAND()*(Model!$G$15-Model!$F$15)</f>
        <v>2.2625420580902847E-2</v>
      </c>
      <c r="D4893" s="33">
        <f ca="1">Model!$F$16+RAND()*(Model!$G$16-Model!$F$16)</f>
        <v>51.806948166553184</v>
      </c>
      <c r="E4893" s="33">
        <f>Model!$D$17</f>
        <v>800</v>
      </c>
      <c r="G4893" s="36">
        <f t="shared" ca="1" si="78"/>
        <v>289.99284446167758</v>
      </c>
    </row>
    <row r="4894" spans="1:7" x14ac:dyDescent="0.2">
      <c r="A4894" s="6">
        <f ca="1">Model!$F$13+RAND()*(Model!$G$13-Model!$F$13)</f>
        <v>1636.0108747909885</v>
      </c>
      <c r="B4894" s="31">
        <f ca="1">Model!$F$14+RAND()*(Model!$G$14-Model!$F$14)</f>
        <v>0.76186237530220979</v>
      </c>
      <c r="C4894" s="32">
        <f ca="1">Model!$F$15+RAND()*(Model!$G$15-Model!$F$15)</f>
        <v>2.4777418258553157E-2</v>
      </c>
      <c r="D4894" s="33">
        <f ca="1">Model!$F$16+RAND()*(Model!$G$16-Model!$F$16)</f>
        <v>51.234120656063581</v>
      </c>
      <c r="E4894" s="33">
        <f>Model!$D$17</f>
        <v>800</v>
      </c>
      <c r="G4894" s="36">
        <f t="shared" ca="1" si="78"/>
        <v>30.417624991515368</v>
      </c>
    </row>
    <row r="4895" spans="1:7" x14ac:dyDescent="0.2">
      <c r="A4895" s="6">
        <f ca="1">Model!$F$13+RAND()*(Model!$G$13-Model!$F$13)</f>
        <v>1525.4776042356143</v>
      </c>
      <c r="B4895" s="31">
        <f ca="1">Model!$F$14+RAND()*(Model!$G$14-Model!$F$14)</f>
        <v>0.68929291420621475</v>
      </c>
      <c r="C4895" s="32">
        <f ca="1">Model!$F$15+RAND()*(Model!$G$15-Model!$F$15)</f>
        <v>3.6719476030070336E-2</v>
      </c>
      <c r="D4895" s="33">
        <f ca="1">Model!$F$16+RAND()*(Model!$G$16-Model!$F$16)</f>
        <v>52.747255380593693</v>
      </c>
      <c r="E4895" s="33">
        <f>Model!$D$17</f>
        <v>800</v>
      </c>
      <c r="G4895" s="36">
        <f t="shared" ca="1" si="78"/>
        <v>1103.1228040278477</v>
      </c>
    </row>
    <row r="4896" spans="1:7" x14ac:dyDescent="0.2">
      <c r="A4896" s="6">
        <f ca="1">Model!$F$13+RAND()*(Model!$G$13-Model!$F$13)</f>
        <v>1785.24683590936</v>
      </c>
      <c r="B4896" s="31">
        <f ca="1">Model!$F$14+RAND()*(Model!$G$14-Model!$F$14)</f>
        <v>0.47244046294273162</v>
      </c>
      <c r="C4896" s="32">
        <f ca="1">Model!$F$15+RAND()*(Model!$G$15-Model!$F$15)</f>
        <v>4.1084873566942924E-2</v>
      </c>
      <c r="D4896" s="33">
        <f ca="1">Model!$F$16+RAND()*(Model!$G$16-Model!$F$16)</f>
        <v>47.311405204302062</v>
      </c>
      <c r="E4896" s="33">
        <f>Model!$D$17</f>
        <v>800</v>
      </c>
      <c r="G4896" s="36">
        <f t="shared" ca="1" si="78"/>
        <v>1826.7097892965749</v>
      </c>
    </row>
    <row r="4897" spans="1:7" x14ac:dyDescent="0.2">
      <c r="A4897" s="6">
        <f ca="1">Model!$F$13+RAND()*(Model!$G$13-Model!$F$13)</f>
        <v>1330.1782969596345</v>
      </c>
      <c r="B4897" s="31">
        <f ca="1">Model!$F$14+RAND()*(Model!$G$14-Model!$F$14)</f>
        <v>0.53230379833493779</v>
      </c>
      <c r="C4897" s="32">
        <f ca="1">Model!$F$15+RAND()*(Model!$G$15-Model!$F$15)</f>
        <v>3.2904443759403622E-2</v>
      </c>
      <c r="D4897" s="33">
        <f ca="1">Model!$F$16+RAND()*(Model!$G$16-Model!$F$16)</f>
        <v>50.630309177327348</v>
      </c>
      <c r="E4897" s="33">
        <f>Model!$D$17</f>
        <v>800</v>
      </c>
      <c r="G4897" s="36">
        <f t="shared" ca="1" si="78"/>
        <v>707.9677499797906</v>
      </c>
    </row>
    <row r="4898" spans="1:7" x14ac:dyDescent="0.2">
      <c r="A4898" s="6">
        <f ca="1">Model!$F$13+RAND()*(Model!$G$13-Model!$F$13)</f>
        <v>1700.5647232405593</v>
      </c>
      <c r="B4898" s="31">
        <f ca="1">Model!$F$14+RAND()*(Model!$G$14-Model!$F$14)</f>
        <v>0.35379017277542235</v>
      </c>
      <c r="C4898" s="32">
        <f ca="1">Model!$F$15+RAND()*(Model!$G$15-Model!$F$15)</f>
        <v>1.4686399058638461E-2</v>
      </c>
      <c r="D4898" s="33">
        <f ca="1">Model!$F$16+RAND()*(Model!$G$16-Model!$F$16)</f>
        <v>52.325046546366224</v>
      </c>
      <c r="E4898" s="33">
        <f>Model!$D$17</f>
        <v>800</v>
      </c>
      <c r="G4898" s="36">
        <f t="shared" ca="1" si="78"/>
        <v>-94.816041969822209</v>
      </c>
    </row>
    <row r="4899" spans="1:7" x14ac:dyDescent="0.2">
      <c r="A4899" s="6">
        <f ca="1">Model!$F$13+RAND()*(Model!$G$13-Model!$F$13)</f>
        <v>1390.8667580317572</v>
      </c>
      <c r="B4899" s="31">
        <f ca="1">Model!$F$14+RAND()*(Model!$G$14-Model!$F$14)</f>
        <v>0.42616898675879933</v>
      </c>
      <c r="C4899" s="32">
        <f ca="1">Model!$F$15+RAND()*(Model!$G$15-Model!$F$15)</f>
        <v>4.4077243613048621E-2</v>
      </c>
      <c r="D4899" s="33">
        <f ca="1">Model!$F$16+RAND()*(Model!$G$16-Model!$F$16)</f>
        <v>49.169784099171956</v>
      </c>
      <c r="E4899" s="33">
        <f>Model!$D$17</f>
        <v>800</v>
      </c>
      <c r="G4899" s="36">
        <f t="shared" ca="1" si="78"/>
        <v>1621.6375079125394</v>
      </c>
    </row>
    <row r="4900" spans="1:7" x14ac:dyDescent="0.2">
      <c r="A4900" s="6">
        <f ca="1">Model!$F$13+RAND()*(Model!$G$13-Model!$F$13)</f>
        <v>1350.3527132694212</v>
      </c>
      <c r="B4900" s="31">
        <f ca="1">Model!$F$14+RAND()*(Model!$G$14-Model!$F$14)</f>
        <v>0.34880709277206468</v>
      </c>
      <c r="C4900" s="32">
        <f ca="1">Model!$F$15+RAND()*(Model!$G$15-Model!$F$15)</f>
        <v>3.4602088582643652E-2</v>
      </c>
      <c r="D4900" s="33">
        <f ca="1">Model!$F$16+RAND()*(Model!$G$16-Model!$F$16)</f>
        <v>50.271610372574742</v>
      </c>
      <c r="E4900" s="33">
        <f>Model!$D$17</f>
        <v>800</v>
      </c>
      <c r="G4900" s="36">
        <f t="shared" ca="1" si="78"/>
        <v>1077.929607217877</v>
      </c>
    </row>
    <row r="4901" spans="1:7" x14ac:dyDescent="0.2">
      <c r="A4901" s="6">
        <f ca="1">Model!$F$13+RAND()*(Model!$G$13-Model!$F$13)</f>
        <v>1645.9836736772709</v>
      </c>
      <c r="B4901" s="31">
        <f ca="1">Model!$F$14+RAND()*(Model!$G$14-Model!$F$14)</f>
        <v>0.58212911150023738</v>
      </c>
      <c r="C4901" s="32">
        <f ca="1">Model!$F$15+RAND()*(Model!$G$15-Model!$F$15)</f>
        <v>4.7410685325220824E-2</v>
      </c>
      <c r="D4901" s="33">
        <f ca="1">Model!$F$16+RAND()*(Model!$G$16-Model!$F$16)</f>
        <v>52.824588101449763</v>
      </c>
      <c r="E4901" s="33">
        <f>Model!$D$17</f>
        <v>800</v>
      </c>
      <c r="G4901" s="36">
        <f t="shared" ca="1" si="78"/>
        <v>2364.1086728001819</v>
      </c>
    </row>
    <row r="4902" spans="1:7" x14ac:dyDescent="0.2">
      <c r="A4902" s="6">
        <f ca="1">Model!$F$13+RAND()*(Model!$G$13-Model!$F$13)</f>
        <v>1464.2495237757644</v>
      </c>
      <c r="B4902" s="31">
        <f ca="1">Model!$F$14+RAND()*(Model!$G$14-Model!$F$14)</f>
        <v>0.47086480670649145</v>
      </c>
      <c r="C4902" s="32">
        <f ca="1">Model!$F$15+RAND()*(Model!$G$15-Model!$F$15)</f>
        <v>2.0421728086749486E-2</v>
      </c>
      <c r="D4902" s="33">
        <f ca="1">Model!$F$16+RAND()*(Model!$G$16-Model!$F$16)</f>
        <v>48.738230572604145</v>
      </c>
      <c r="E4902" s="33">
        <f>Model!$D$17</f>
        <v>800</v>
      </c>
      <c r="G4902" s="36">
        <f t="shared" ca="1" si="78"/>
        <v>-32.06835509873531</v>
      </c>
    </row>
    <row r="4903" spans="1:7" x14ac:dyDescent="0.2">
      <c r="A4903" s="6">
        <f ca="1">Model!$F$13+RAND()*(Model!$G$13-Model!$F$13)</f>
        <v>1760.1464356349331</v>
      </c>
      <c r="B4903" s="31">
        <f ca="1">Model!$F$14+RAND()*(Model!$G$14-Model!$F$14)</f>
        <v>0.55189923490656045</v>
      </c>
      <c r="C4903" s="32">
        <f ca="1">Model!$F$15+RAND()*(Model!$G$15-Model!$F$15)</f>
        <v>4.6685259076130553E-2</v>
      </c>
      <c r="D4903" s="33">
        <f ca="1">Model!$F$16+RAND()*(Model!$G$16-Model!$F$16)</f>
        <v>50.977523305828626</v>
      </c>
      <c r="E4903" s="33">
        <f>Model!$D$17</f>
        <v>800</v>
      </c>
      <c r="G4903" s="36">
        <f t="shared" ca="1" si="78"/>
        <v>2417.5470642156029</v>
      </c>
    </row>
    <row r="4904" spans="1:7" x14ac:dyDescent="0.2">
      <c r="A4904" s="6">
        <f ca="1">Model!$F$13+RAND()*(Model!$G$13-Model!$F$13)</f>
        <v>1476.0315039114087</v>
      </c>
      <c r="B4904" s="31">
        <f ca="1">Model!$F$14+RAND()*(Model!$G$14-Model!$F$14)</f>
        <v>0.79807356094584403</v>
      </c>
      <c r="C4904" s="32">
        <f ca="1">Model!$F$15+RAND()*(Model!$G$15-Model!$F$15)</f>
        <v>2.6814706283722449E-2</v>
      </c>
      <c r="D4904" s="33">
        <f ca="1">Model!$F$16+RAND()*(Model!$G$16-Model!$F$16)</f>
        <v>50.927092819001707</v>
      </c>
      <c r="E4904" s="33">
        <f>Model!$D$17</f>
        <v>800</v>
      </c>
      <c r="G4904" s="36">
        <f t="shared" ca="1" si="78"/>
        <v>37.679576068494043</v>
      </c>
    </row>
    <row r="4905" spans="1:7" x14ac:dyDescent="0.2">
      <c r="A4905" s="6">
        <f ca="1">Model!$F$13+RAND()*(Model!$G$13-Model!$F$13)</f>
        <v>1481.9978783000806</v>
      </c>
      <c r="B4905" s="31">
        <f ca="1">Model!$F$14+RAND()*(Model!$G$14-Model!$F$14)</f>
        <v>0.26647055411171922</v>
      </c>
      <c r="C4905" s="32">
        <f ca="1">Model!$F$15+RAND()*(Model!$G$15-Model!$F$15)</f>
        <v>3.5511562514198368E-2</v>
      </c>
      <c r="D4905" s="33">
        <f ca="1">Model!$F$16+RAND()*(Model!$G$16-Model!$F$16)</f>
        <v>51.744515067617854</v>
      </c>
      <c r="E4905" s="33">
        <f>Model!$D$17</f>
        <v>800</v>
      </c>
      <c r="G4905" s="36">
        <f t="shared" ref="G4905:G4968" ca="1" si="79">A4905*C4905*D4905-(E4905+A4905*B4905)</f>
        <v>1528.3046634099974</v>
      </c>
    </row>
    <row r="4906" spans="1:7" x14ac:dyDescent="0.2">
      <c r="A4906" s="6">
        <f ca="1">Model!$F$13+RAND()*(Model!$G$13-Model!$F$13)</f>
        <v>1497.1442359595403</v>
      </c>
      <c r="B4906" s="31">
        <f ca="1">Model!$F$14+RAND()*(Model!$G$14-Model!$F$14)</f>
        <v>0.51587233983119507</v>
      </c>
      <c r="C4906" s="32">
        <f ca="1">Model!$F$15+RAND()*(Model!$G$15-Model!$F$15)</f>
        <v>4.488003975505938E-2</v>
      </c>
      <c r="D4906" s="33">
        <f ca="1">Model!$F$16+RAND()*(Model!$G$16-Model!$F$16)</f>
        <v>52.624488355500148</v>
      </c>
      <c r="E4906" s="33">
        <f>Model!$D$17</f>
        <v>800</v>
      </c>
      <c r="G4906" s="36">
        <f t="shared" ca="1" si="79"/>
        <v>1963.6036816903934</v>
      </c>
    </row>
    <row r="4907" spans="1:7" x14ac:dyDescent="0.2">
      <c r="A4907" s="6">
        <f ca="1">Model!$F$13+RAND()*(Model!$G$13-Model!$F$13)</f>
        <v>1286.1965735155663</v>
      </c>
      <c r="B4907" s="31">
        <f ca="1">Model!$F$14+RAND()*(Model!$G$14-Model!$F$14)</f>
        <v>0.74042284784377355</v>
      </c>
      <c r="C4907" s="32">
        <f ca="1">Model!$F$15+RAND()*(Model!$G$15-Model!$F$15)</f>
        <v>3.7603333217349579E-2</v>
      </c>
      <c r="D4907" s="33">
        <f ca="1">Model!$F$16+RAND()*(Model!$G$16-Model!$F$16)</f>
        <v>50.226592557139959</v>
      </c>
      <c r="E4907" s="33">
        <f>Model!$D$17</f>
        <v>800</v>
      </c>
      <c r="G4907" s="36">
        <f t="shared" ca="1" si="79"/>
        <v>676.89379909180434</v>
      </c>
    </row>
    <row r="4908" spans="1:7" x14ac:dyDescent="0.2">
      <c r="A4908" s="6">
        <f ca="1">Model!$F$13+RAND()*(Model!$G$13-Model!$F$13)</f>
        <v>1424.4767831459721</v>
      </c>
      <c r="B4908" s="31">
        <f ca="1">Model!$F$14+RAND()*(Model!$G$14-Model!$F$14)</f>
        <v>0.50973958553070031</v>
      </c>
      <c r="C4908" s="32">
        <f ca="1">Model!$F$15+RAND()*(Model!$G$15-Model!$F$15)</f>
        <v>3.1871593186346706E-2</v>
      </c>
      <c r="D4908" s="33">
        <f ca="1">Model!$F$16+RAND()*(Model!$G$16-Model!$F$16)</f>
        <v>50.528827708103151</v>
      </c>
      <c r="E4908" s="33">
        <f>Model!$D$17</f>
        <v>800</v>
      </c>
      <c r="G4908" s="36">
        <f t="shared" ca="1" si="79"/>
        <v>767.91398190025211</v>
      </c>
    </row>
    <row r="4909" spans="1:7" x14ac:dyDescent="0.2">
      <c r="A4909" s="6">
        <f ca="1">Model!$F$13+RAND()*(Model!$G$13-Model!$F$13)</f>
        <v>1439.7366056649157</v>
      </c>
      <c r="B4909" s="31">
        <f ca="1">Model!$F$14+RAND()*(Model!$G$14-Model!$F$14)</f>
        <v>0.66768317013124334</v>
      </c>
      <c r="C4909" s="32">
        <f ca="1">Model!$F$15+RAND()*(Model!$G$15-Model!$F$15)</f>
        <v>1.5430307583287117E-2</v>
      </c>
      <c r="D4909" s="33">
        <f ca="1">Model!$F$16+RAND()*(Model!$G$16-Model!$F$16)</f>
        <v>52.967740781974939</v>
      </c>
      <c r="E4909" s="33">
        <f>Model!$D$17</f>
        <v>800</v>
      </c>
      <c r="G4909" s="36">
        <f t="shared" ca="1" si="79"/>
        <v>-584.57888901067986</v>
      </c>
    </row>
    <row r="4910" spans="1:7" x14ac:dyDescent="0.2">
      <c r="A4910" s="6">
        <f ca="1">Model!$F$13+RAND()*(Model!$G$13-Model!$F$13)</f>
        <v>1688.0980562940688</v>
      </c>
      <c r="B4910" s="31">
        <f ca="1">Model!$F$14+RAND()*(Model!$G$14-Model!$F$14)</f>
        <v>0.25187228012131291</v>
      </c>
      <c r="C4910" s="32">
        <f ca="1">Model!$F$15+RAND()*(Model!$G$15-Model!$F$15)</f>
        <v>2.8558380696400015E-2</v>
      </c>
      <c r="D4910" s="33">
        <f ca="1">Model!$F$16+RAND()*(Model!$G$16-Model!$F$16)</f>
        <v>52.331898169592634</v>
      </c>
      <c r="E4910" s="33">
        <f>Model!$D$17</f>
        <v>800</v>
      </c>
      <c r="G4910" s="36">
        <f t="shared" ca="1" si="79"/>
        <v>1297.7015286149356</v>
      </c>
    </row>
    <row r="4911" spans="1:7" x14ac:dyDescent="0.2">
      <c r="A4911" s="6">
        <f ca="1">Model!$F$13+RAND()*(Model!$G$13-Model!$F$13)</f>
        <v>1201.7604950875186</v>
      </c>
      <c r="B4911" s="31">
        <f ca="1">Model!$F$14+RAND()*(Model!$G$14-Model!$F$14)</f>
        <v>0.32314926036616193</v>
      </c>
      <c r="C4911" s="32">
        <f ca="1">Model!$F$15+RAND()*(Model!$G$15-Model!$F$15)</f>
        <v>4.4130538739046141E-2</v>
      </c>
      <c r="D4911" s="33">
        <f ca="1">Model!$F$16+RAND()*(Model!$G$16-Model!$F$16)</f>
        <v>49.278020399414501</v>
      </c>
      <c r="E4911" s="33">
        <f>Model!$D$17</f>
        <v>800</v>
      </c>
      <c r="G4911" s="36">
        <f t="shared" ca="1" si="79"/>
        <v>1425.079178824094</v>
      </c>
    </row>
    <row r="4912" spans="1:7" x14ac:dyDescent="0.2">
      <c r="A4912" s="6">
        <f ca="1">Model!$F$13+RAND()*(Model!$G$13-Model!$F$13)</f>
        <v>1398.581678085508</v>
      </c>
      <c r="B4912" s="31">
        <f ca="1">Model!$F$14+RAND()*(Model!$G$14-Model!$F$14)</f>
        <v>0.28343136739171687</v>
      </c>
      <c r="C4912" s="32">
        <f ca="1">Model!$F$15+RAND()*(Model!$G$15-Model!$F$15)</f>
        <v>2.7989894099144735E-2</v>
      </c>
      <c r="D4912" s="33">
        <f ca="1">Model!$F$16+RAND()*(Model!$G$16-Model!$F$16)</f>
        <v>47.09164147778332</v>
      </c>
      <c r="E4912" s="33">
        <f>Model!$D$17</f>
        <v>800</v>
      </c>
      <c r="G4912" s="36">
        <f t="shared" ca="1" si="79"/>
        <v>647.05468764206876</v>
      </c>
    </row>
    <row r="4913" spans="1:7" x14ac:dyDescent="0.2">
      <c r="A4913" s="6">
        <f ca="1">Model!$F$13+RAND()*(Model!$G$13-Model!$F$13)</f>
        <v>1529.2054444503601</v>
      </c>
      <c r="B4913" s="31">
        <f ca="1">Model!$F$14+RAND()*(Model!$G$14-Model!$F$14)</f>
        <v>0.56663465752673581</v>
      </c>
      <c r="C4913" s="32">
        <f ca="1">Model!$F$15+RAND()*(Model!$G$15-Model!$F$15)</f>
        <v>1.3772584854770722E-2</v>
      </c>
      <c r="D4913" s="33">
        <f ca="1">Model!$F$16+RAND()*(Model!$G$16-Model!$F$16)</f>
        <v>52.284541975291319</v>
      </c>
      <c r="E4913" s="33">
        <f>Model!$D$17</f>
        <v>800</v>
      </c>
      <c r="G4913" s="36">
        <f t="shared" ca="1" si="79"/>
        <v>-565.33022227502261</v>
      </c>
    </row>
    <row r="4914" spans="1:7" x14ac:dyDescent="0.2">
      <c r="A4914" s="6">
        <f ca="1">Model!$F$13+RAND()*(Model!$G$13-Model!$F$13)</f>
        <v>1739.0389945445263</v>
      </c>
      <c r="B4914" s="31">
        <f ca="1">Model!$F$14+RAND()*(Model!$G$14-Model!$F$14)</f>
        <v>0.30895479922008362</v>
      </c>
      <c r="C4914" s="32">
        <f ca="1">Model!$F$15+RAND()*(Model!$G$15-Model!$F$15)</f>
        <v>2.3309632575741982E-2</v>
      </c>
      <c r="D4914" s="33">
        <f ca="1">Model!$F$16+RAND()*(Model!$G$16-Model!$F$16)</f>
        <v>50.901334458548099</v>
      </c>
      <c r="E4914" s="33">
        <f>Model!$D$17</f>
        <v>800</v>
      </c>
      <c r="G4914" s="36">
        <f t="shared" ca="1" si="79"/>
        <v>726.07037458068999</v>
      </c>
    </row>
    <row r="4915" spans="1:7" x14ac:dyDescent="0.2">
      <c r="A4915" s="6">
        <f ca="1">Model!$F$13+RAND()*(Model!$G$13-Model!$F$13)</f>
        <v>1624.8974731920171</v>
      </c>
      <c r="B4915" s="31">
        <f ca="1">Model!$F$14+RAND()*(Model!$G$14-Model!$F$14)</f>
        <v>0.79029585287428361</v>
      </c>
      <c r="C4915" s="32">
        <f ca="1">Model!$F$15+RAND()*(Model!$G$15-Model!$F$15)</f>
        <v>3.6970274162336052E-2</v>
      </c>
      <c r="D4915" s="33">
        <f ca="1">Model!$F$16+RAND()*(Model!$G$16-Model!$F$16)</f>
        <v>50.887947028786606</v>
      </c>
      <c r="E4915" s="33">
        <f>Model!$D$17</f>
        <v>800</v>
      </c>
      <c r="G4915" s="36">
        <f t="shared" ca="1" si="79"/>
        <v>972.83707663737277</v>
      </c>
    </row>
    <row r="4916" spans="1:7" x14ac:dyDescent="0.2">
      <c r="A4916" s="6">
        <f ca="1">Model!$F$13+RAND()*(Model!$G$13-Model!$F$13)</f>
        <v>1557.2945519438297</v>
      </c>
      <c r="B4916" s="31">
        <f ca="1">Model!$F$14+RAND()*(Model!$G$14-Model!$F$14)</f>
        <v>0.42901613445841569</v>
      </c>
      <c r="C4916" s="32">
        <f ca="1">Model!$F$15+RAND()*(Model!$G$15-Model!$F$15)</f>
        <v>2.5368121164096782E-2</v>
      </c>
      <c r="D4916" s="33">
        <f ca="1">Model!$F$16+RAND()*(Model!$G$16-Model!$F$16)</f>
        <v>49.146481077906863</v>
      </c>
      <c r="E4916" s="33">
        <f>Model!$D$17</f>
        <v>800</v>
      </c>
      <c r="G4916" s="36">
        <f t="shared" ca="1" si="79"/>
        <v>473.4585465988107</v>
      </c>
    </row>
    <row r="4917" spans="1:7" x14ac:dyDescent="0.2">
      <c r="A4917" s="6">
        <f ca="1">Model!$F$13+RAND()*(Model!$G$13-Model!$F$13)</f>
        <v>1343.8496436583296</v>
      </c>
      <c r="B4917" s="31">
        <f ca="1">Model!$F$14+RAND()*(Model!$G$14-Model!$F$14)</f>
        <v>0.20685685319489264</v>
      </c>
      <c r="C4917" s="32">
        <f ca="1">Model!$F$15+RAND()*(Model!$G$15-Model!$F$15)</f>
        <v>4.7121661557107862E-2</v>
      </c>
      <c r="D4917" s="33">
        <f ca="1">Model!$F$16+RAND()*(Model!$G$16-Model!$F$16)</f>
        <v>51.563740504380391</v>
      </c>
      <c r="E4917" s="33">
        <f>Model!$D$17</f>
        <v>800</v>
      </c>
      <c r="G4917" s="36">
        <f t="shared" ca="1" si="79"/>
        <v>2187.2598692755032</v>
      </c>
    </row>
    <row r="4918" spans="1:7" x14ac:dyDescent="0.2">
      <c r="A4918" s="6">
        <f ca="1">Model!$F$13+RAND()*(Model!$G$13-Model!$F$13)</f>
        <v>1322.7440983521024</v>
      </c>
      <c r="B4918" s="31">
        <f ca="1">Model!$F$14+RAND()*(Model!$G$14-Model!$F$14)</f>
        <v>0.34267906701354089</v>
      </c>
      <c r="C4918" s="32">
        <f ca="1">Model!$F$15+RAND()*(Model!$G$15-Model!$F$15)</f>
        <v>1.1999050936790608E-2</v>
      </c>
      <c r="D4918" s="33">
        <f ca="1">Model!$F$16+RAND()*(Model!$G$16-Model!$F$16)</f>
        <v>51.959406988607256</v>
      </c>
      <c r="E4918" s="33">
        <f>Model!$D$17</f>
        <v>800</v>
      </c>
      <c r="G4918" s="36">
        <f t="shared" ca="1" si="79"/>
        <v>-428.5939543086231</v>
      </c>
    </row>
    <row r="4919" spans="1:7" x14ac:dyDescent="0.2">
      <c r="A4919" s="6">
        <f ca="1">Model!$F$13+RAND()*(Model!$G$13-Model!$F$13)</f>
        <v>1787.8323391510278</v>
      </c>
      <c r="B4919" s="31">
        <f ca="1">Model!$F$14+RAND()*(Model!$G$14-Model!$F$14)</f>
        <v>0.70684899747195518</v>
      </c>
      <c r="C4919" s="32">
        <f ca="1">Model!$F$15+RAND()*(Model!$G$15-Model!$F$15)</f>
        <v>3.1938503846680157E-2</v>
      </c>
      <c r="D4919" s="33">
        <f ca="1">Model!$F$16+RAND()*(Model!$G$16-Model!$F$16)</f>
        <v>48.142956038034235</v>
      </c>
      <c r="E4919" s="33">
        <f>Model!$D$17</f>
        <v>800</v>
      </c>
      <c r="G4919" s="36">
        <f t="shared" ca="1" si="79"/>
        <v>685.26851381779079</v>
      </c>
    </row>
    <row r="4920" spans="1:7" x14ac:dyDescent="0.2">
      <c r="A4920" s="6">
        <f ca="1">Model!$F$13+RAND()*(Model!$G$13-Model!$F$13)</f>
        <v>1241.9854492152024</v>
      </c>
      <c r="B4920" s="31">
        <f ca="1">Model!$F$14+RAND()*(Model!$G$14-Model!$F$14)</f>
        <v>0.2723049562493034</v>
      </c>
      <c r="C4920" s="32">
        <f ca="1">Model!$F$15+RAND()*(Model!$G$15-Model!$F$15)</f>
        <v>3.646787344948877E-2</v>
      </c>
      <c r="D4920" s="33">
        <f ca="1">Model!$F$16+RAND()*(Model!$G$16-Model!$F$16)</f>
        <v>48.270282636217715</v>
      </c>
      <c r="E4920" s="33">
        <f>Model!$D$17</f>
        <v>800</v>
      </c>
      <c r="G4920" s="36">
        <f t="shared" ca="1" si="79"/>
        <v>1048.0862743482796</v>
      </c>
    </row>
    <row r="4921" spans="1:7" x14ac:dyDescent="0.2">
      <c r="A4921" s="6">
        <f ca="1">Model!$F$13+RAND()*(Model!$G$13-Model!$F$13)</f>
        <v>1358.2417639343375</v>
      </c>
      <c r="B4921" s="31">
        <f ca="1">Model!$F$14+RAND()*(Model!$G$14-Model!$F$14)</f>
        <v>0.46809046369937241</v>
      </c>
      <c r="C4921" s="32">
        <f ca="1">Model!$F$15+RAND()*(Model!$G$15-Model!$F$15)</f>
        <v>3.1448287900601807E-2</v>
      </c>
      <c r="D4921" s="33">
        <f ca="1">Model!$F$16+RAND()*(Model!$G$16-Model!$F$16)</f>
        <v>52.441780428170773</v>
      </c>
      <c r="E4921" s="33">
        <f>Model!$D$17</f>
        <v>800</v>
      </c>
      <c r="G4921" s="36">
        <f t="shared" ca="1" si="79"/>
        <v>804.23801672270065</v>
      </c>
    </row>
    <row r="4922" spans="1:7" x14ac:dyDescent="0.2">
      <c r="A4922" s="6">
        <f ca="1">Model!$F$13+RAND()*(Model!$G$13-Model!$F$13)</f>
        <v>1707.4264358485093</v>
      </c>
      <c r="B4922" s="31">
        <f ca="1">Model!$F$14+RAND()*(Model!$G$14-Model!$F$14)</f>
        <v>0.68461163070766928</v>
      </c>
      <c r="C4922" s="32">
        <f ca="1">Model!$F$15+RAND()*(Model!$G$15-Model!$F$15)</f>
        <v>3.7093280823204934E-2</v>
      </c>
      <c r="D4922" s="33">
        <f ca="1">Model!$F$16+RAND()*(Model!$G$16-Model!$F$16)</f>
        <v>49.171715765082531</v>
      </c>
      <c r="E4922" s="33">
        <f>Model!$D$17</f>
        <v>800</v>
      </c>
      <c r="G4922" s="36">
        <f t="shared" ca="1" si="79"/>
        <v>1145.3198232195473</v>
      </c>
    </row>
    <row r="4923" spans="1:7" x14ac:dyDescent="0.2">
      <c r="A4923" s="6">
        <f ca="1">Model!$F$13+RAND()*(Model!$G$13-Model!$F$13)</f>
        <v>1776.0379642336832</v>
      </c>
      <c r="B4923" s="31">
        <f ca="1">Model!$F$14+RAND()*(Model!$G$14-Model!$F$14)</f>
        <v>0.6800905929094081</v>
      </c>
      <c r="C4923" s="32">
        <f ca="1">Model!$F$15+RAND()*(Model!$G$15-Model!$F$15)</f>
        <v>1.8759285453417127E-2</v>
      </c>
      <c r="D4923" s="33">
        <f ca="1">Model!$F$16+RAND()*(Model!$G$16-Model!$F$16)</f>
        <v>51.867497965287612</v>
      </c>
      <c r="E4923" s="33">
        <f>Model!$D$17</f>
        <v>800</v>
      </c>
      <c r="G4923" s="36">
        <f t="shared" ca="1" si="79"/>
        <v>-279.7867456806232</v>
      </c>
    </row>
    <row r="4924" spans="1:7" x14ac:dyDescent="0.2">
      <c r="A4924" s="6">
        <f ca="1">Model!$F$13+RAND()*(Model!$G$13-Model!$F$13)</f>
        <v>1602.0249190420905</v>
      </c>
      <c r="B4924" s="31">
        <f ca="1">Model!$F$14+RAND()*(Model!$G$14-Model!$F$14)</f>
        <v>0.67390988452223755</v>
      </c>
      <c r="C4924" s="32">
        <f ca="1">Model!$F$15+RAND()*(Model!$G$15-Model!$F$15)</f>
        <v>3.7891803323344277E-2</v>
      </c>
      <c r="D4924" s="33">
        <f ca="1">Model!$F$16+RAND()*(Model!$G$16-Model!$F$16)</f>
        <v>52.5624208776579</v>
      </c>
      <c r="E4924" s="33">
        <f>Model!$D$17</f>
        <v>800</v>
      </c>
      <c r="G4924" s="36">
        <f t="shared" ca="1" si="79"/>
        <v>1311.108435067086</v>
      </c>
    </row>
    <row r="4925" spans="1:7" x14ac:dyDescent="0.2">
      <c r="A4925" s="6">
        <f ca="1">Model!$F$13+RAND()*(Model!$G$13-Model!$F$13)</f>
        <v>1535.2479868699481</v>
      </c>
      <c r="B4925" s="31">
        <f ca="1">Model!$F$14+RAND()*(Model!$G$14-Model!$F$14)</f>
        <v>0.39789605744876433</v>
      </c>
      <c r="C4925" s="32">
        <f ca="1">Model!$F$15+RAND()*(Model!$G$15-Model!$F$15)</f>
        <v>3.4171728330540975E-2</v>
      </c>
      <c r="D4925" s="33">
        <f ca="1">Model!$F$16+RAND()*(Model!$G$16-Model!$F$16)</f>
        <v>48.956909574304632</v>
      </c>
      <c r="E4925" s="33">
        <f>Model!$D$17</f>
        <v>800</v>
      </c>
      <c r="G4925" s="36">
        <f t="shared" ca="1" si="79"/>
        <v>1157.5120448211758</v>
      </c>
    </row>
    <row r="4926" spans="1:7" x14ac:dyDescent="0.2">
      <c r="A4926" s="6">
        <f ca="1">Model!$F$13+RAND()*(Model!$G$13-Model!$F$13)</f>
        <v>1504.6831426622641</v>
      </c>
      <c r="B4926" s="31">
        <f ca="1">Model!$F$14+RAND()*(Model!$G$14-Model!$F$14)</f>
        <v>0.39981006812250192</v>
      </c>
      <c r="C4926" s="32">
        <f ca="1">Model!$F$15+RAND()*(Model!$G$15-Model!$F$15)</f>
        <v>2.7713230906022138E-2</v>
      </c>
      <c r="D4926" s="33">
        <f ca="1">Model!$F$16+RAND()*(Model!$G$16-Model!$F$16)</f>
        <v>51.935655949647753</v>
      </c>
      <c r="E4926" s="33">
        <f>Model!$D$17</f>
        <v>800</v>
      </c>
      <c r="G4926" s="36">
        <f t="shared" ca="1" si="79"/>
        <v>764.11023844460101</v>
      </c>
    </row>
    <row r="4927" spans="1:7" x14ac:dyDescent="0.2">
      <c r="A4927" s="6">
        <f ca="1">Model!$F$13+RAND()*(Model!$G$13-Model!$F$13)</f>
        <v>1643.539144015323</v>
      </c>
      <c r="B4927" s="31">
        <f ca="1">Model!$F$14+RAND()*(Model!$G$14-Model!$F$14)</f>
        <v>0.49196253607769813</v>
      </c>
      <c r="C4927" s="32">
        <f ca="1">Model!$F$15+RAND()*(Model!$G$15-Model!$F$15)</f>
        <v>4.6279057907759269E-2</v>
      </c>
      <c r="D4927" s="33">
        <f ca="1">Model!$F$16+RAND()*(Model!$G$16-Model!$F$16)</f>
        <v>49.697121119253659</v>
      </c>
      <c r="E4927" s="33">
        <f>Model!$D$17</f>
        <v>800</v>
      </c>
      <c r="G4927" s="36">
        <f t="shared" ca="1" si="79"/>
        <v>2171.4750707546746</v>
      </c>
    </row>
    <row r="4928" spans="1:7" x14ac:dyDescent="0.2">
      <c r="A4928" s="6">
        <f ca="1">Model!$F$13+RAND()*(Model!$G$13-Model!$F$13)</f>
        <v>1619.6338872709825</v>
      </c>
      <c r="B4928" s="31">
        <f ca="1">Model!$F$14+RAND()*(Model!$G$14-Model!$F$14)</f>
        <v>0.65724425165508549</v>
      </c>
      <c r="C4928" s="32">
        <f ca="1">Model!$F$15+RAND()*(Model!$G$15-Model!$F$15)</f>
        <v>4.3147794280713393E-2</v>
      </c>
      <c r="D4928" s="33">
        <f ca="1">Model!$F$16+RAND()*(Model!$G$16-Model!$F$16)</f>
        <v>50.25419308367681</v>
      </c>
      <c r="E4928" s="33">
        <f>Model!$D$17</f>
        <v>800</v>
      </c>
      <c r="G4928" s="36">
        <f t="shared" ca="1" si="79"/>
        <v>1647.4503620591995</v>
      </c>
    </row>
    <row r="4929" spans="1:7" x14ac:dyDescent="0.2">
      <c r="A4929" s="6">
        <f ca="1">Model!$F$13+RAND()*(Model!$G$13-Model!$F$13)</f>
        <v>1421.1531994366439</v>
      </c>
      <c r="B4929" s="31">
        <f ca="1">Model!$F$14+RAND()*(Model!$G$14-Model!$F$14)</f>
        <v>0.23494946889438081</v>
      </c>
      <c r="C4929" s="32">
        <f ca="1">Model!$F$15+RAND()*(Model!$G$15-Model!$F$15)</f>
        <v>1.554987947508844E-2</v>
      </c>
      <c r="D4929" s="33">
        <f ca="1">Model!$F$16+RAND()*(Model!$G$16-Model!$F$16)</f>
        <v>49.394637932208532</v>
      </c>
      <c r="E4929" s="33">
        <f>Model!$D$17</f>
        <v>800</v>
      </c>
      <c r="G4929" s="36">
        <f t="shared" ca="1" si="79"/>
        <v>-42.33889271592011</v>
      </c>
    </row>
    <row r="4930" spans="1:7" x14ac:dyDescent="0.2">
      <c r="A4930" s="6">
        <f ca="1">Model!$F$13+RAND()*(Model!$G$13-Model!$F$13)</f>
        <v>1242.7764657825783</v>
      </c>
      <c r="B4930" s="31">
        <f ca="1">Model!$F$14+RAND()*(Model!$G$14-Model!$F$14)</f>
        <v>0.22330721065786005</v>
      </c>
      <c r="C4930" s="32">
        <f ca="1">Model!$F$15+RAND()*(Model!$G$15-Model!$F$15)</f>
        <v>4.5107801166949776E-2</v>
      </c>
      <c r="D4930" s="33">
        <f ca="1">Model!$F$16+RAND()*(Model!$G$16-Model!$F$16)</f>
        <v>48.520771949511065</v>
      </c>
      <c r="E4930" s="33">
        <f>Model!$D$17</f>
        <v>800</v>
      </c>
      <c r="G4930" s="36">
        <f t="shared" ca="1" si="79"/>
        <v>1642.5008219841884</v>
      </c>
    </row>
    <row r="4931" spans="1:7" x14ac:dyDescent="0.2">
      <c r="A4931" s="6">
        <f ca="1">Model!$F$13+RAND()*(Model!$G$13-Model!$F$13)</f>
        <v>1600.9851309567402</v>
      </c>
      <c r="B4931" s="31">
        <f ca="1">Model!$F$14+RAND()*(Model!$G$14-Model!$F$14)</f>
        <v>0.20592571035070684</v>
      </c>
      <c r="C4931" s="32">
        <f ca="1">Model!$F$15+RAND()*(Model!$G$15-Model!$F$15)</f>
        <v>2.6047289743980968E-2</v>
      </c>
      <c r="D4931" s="33">
        <f ca="1">Model!$F$16+RAND()*(Model!$G$16-Model!$F$16)</f>
        <v>48.162963177091633</v>
      </c>
      <c r="E4931" s="33">
        <f>Model!$D$17</f>
        <v>800</v>
      </c>
      <c r="G4931" s="36">
        <f t="shared" ca="1" si="79"/>
        <v>878.77531175474155</v>
      </c>
    </row>
    <row r="4932" spans="1:7" x14ac:dyDescent="0.2">
      <c r="A4932" s="6">
        <f ca="1">Model!$F$13+RAND()*(Model!$G$13-Model!$F$13)</f>
        <v>1359.4115525058321</v>
      </c>
      <c r="B4932" s="31">
        <f ca="1">Model!$F$14+RAND()*(Model!$G$14-Model!$F$14)</f>
        <v>0.77652279368102239</v>
      </c>
      <c r="C4932" s="32">
        <f ca="1">Model!$F$15+RAND()*(Model!$G$15-Model!$F$15)</f>
        <v>2.860793285574495E-2</v>
      </c>
      <c r="D4932" s="33">
        <f ca="1">Model!$F$16+RAND()*(Model!$G$16-Model!$F$16)</f>
        <v>50.336943160379043</v>
      </c>
      <c r="E4932" s="33">
        <f>Model!$D$17</f>
        <v>800</v>
      </c>
      <c r="G4932" s="36">
        <f t="shared" ca="1" si="79"/>
        <v>101.98736850485716</v>
      </c>
    </row>
    <row r="4933" spans="1:7" x14ac:dyDescent="0.2">
      <c r="A4933" s="6">
        <f ca="1">Model!$F$13+RAND()*(Model!$G$13-Model!$F$13)</f>
        <v>1678.8986076795156</v>
      </c>
      <c r="B4933" s="31">
        <f ca="1">Model!$F$14+RAND()*(Model!$G$14-Model!$F$14)</f>
        <v>0.53364716228237874</v>
      </c>
      <c r="C4933" s="32">
        <f ca="1">Model!$F$15+RAND()*(Model!$G$15-Model!$F$15)</f>
        <v>3.8365862812414046E-2</v>
      </c>
      <c r="D4933" s="33">
        <f ca="1">Model!$F$16+RAND()*(Model!$G$16-Model!$F$16)</f>
        <v>49.046068984910924</v>
      </c>
      <c r="E4933" s="33">
        <f>Model!$D$17</f>
        <v>800</v>
      </c>
      <c r="G4933" s="36">
        <f t="shared" ca="1" si="79"/>
        <v>1463.2352250945828</v>
      </c>
    </row>
    <row r="4934" spans="1:7" x14ac:dyDescent="0.2">
      <c r="A4934" s="6">
        <f ca="1">Model!$F$13+RAND()*(Model!$G$13-Model!$F$13)</f>
        <v>1297.093172533956</v>
      </c>
      <c r="B4934" s="31">
        <f ca="1">Model!$F$14+RAND()*(Model!$G$14-Model!$F$14)</f>
        <v>0.31716247237671691</v>
      </c>
      <c r="C4934" s="32">
        <f ca="1">Model!$F$15+RAND()*(Model!$G$15-Model!$F$15)</f>
        <v>4.9924453725609524E-2</v>
      </c>
      <c r="D4934" s="33">
        <f ca="1">Model!$F$16+RAND()*(Model!$G$16-Model!$F$16)</f>
        <v>48.365515856862231</v>
      </c>
      <c r="E4934" s="33">
        <f>Model!$D$17</f>
        <v>800</v>
      </c>
      <c r="G4934" s="36">
        <f t="shared" ca="1" si="79"/>
        <v>1920.6003788721368</v>
      </c>
    </row>
    <row r="4935" spans="1:7" x14ac:dyDescent="0.2">
      <c r="A4935" s="6">
        <f ca="1">Model!$F$13+RAND()*(Model!$G$13-Model!$F$13)</f>
        <v>1296.1976327035845</v>
      </c>
      <c r="B4935" s="31">
        <f ca="1">Model!$F$14+RAND()*(Model!$G$14-Model!$F$14)</f>
        <v>0.21473593180339826</v>
      </c>
      <c r="C4935" s="32">
        <f ca="1">Model!$F$15+RAND()*(Model!$G$15-Model!$F$15)</f>
        <v>2.6390249468961832E-2</v>
      </c>
      <c r="D4935" s="33">
        <f ca="1">Model!$F$16+RAND()*(Model!$G$16-Model!$F$16)</f>
        <v>47.457213725231504</v>
      </c>
      <c r="E4935" s="33">
        <f>Model!$D$17</f>
        <v>800</v>
      </c>
      <c r="G4935" s="36">
        <f t="shared" ca="1" si="79"/>
        <v>545.02770152828384</v>
      </c>
    </row>
    <row r="4936" spans="1:7" x14ac:dyDescent="0.2">
      <c r="A4936" s="6">
        <f ca="1">Model!$F$13+RAND()*(Model!$G$13-Model!$F$13)</f>
        <v>1796.1329792086551</v>
      </c>
      <c r="B4936" s="31">
        <f ca="1">Model!$F$14+RAND()*(Model!$G$14-Model!$F$14)</f>
        <v>0.27826202325929528</v>
      </c>
      <c r="C4936" s="32">
        <f ca="1">Model!$F$15+RAND()*(Model!$G$15-Model!$F$15)</f>
        <v>3.7102182658037573E-2</v>
      </c>
      <c r="D4936" s="33">
        <f ca="1">Model!$F$16+RAND()*(Model!$G$16-Model!$F$16)</f>
        <v>49.897284968525348</v>
      </c>
      <c r="E4936" s="33">
        <f>Model!$D$17</f>
        <v>800</v>
      </c>
      <c r="G4936" s="36">
        <f t="shared" ca="1" si="79"/>
        <v>2025.3821204818678</v>
      </c>
    </row>
    <row r="4937" spans="1:7" x14ac:dyDescent="0.2">
      <c r="A4937" s="6">
        <f ca="1">Model!$F$13+RAND()*(Model!$G$13-Model!$F$13)</f>
        <v>1675.3081447938466</v>
      </c>
      <c r="B4937" s="31">
        <f ca="1">Model!$F$14+RAND()*(Model!$G$14-Model!$F$14)</f>
        <v>0.29988082506970498</v>
      </c>
      <c r="C4937" s="32">
        <f ca="1">Model!$F$15+RAND()*(Model!$G$15-Model!$F$15)</f>
        <v>4.2563487504257182E-2</v>
      </c>
      <c r="D4937" s="33">
        <f ca="1">Model!$F$16+RAND()*(Model!$G$16-Model!$F$16)</f>
        <v>51.624463025308401</v>
      </c>
      <c r="E4937" s="33">
        <f>Model!$D$17</f>
        <v>800</v>
      </c>
      <c r="G4937" s="36">
        <f t="shared" ca="1" si="79"/>
        <v>2378.7905911883945</v>
      </c>
    </row>
    <row r="4938" spans="1:7" x14ac:dyDescent="0.2">
      <c r="A4938" s="6">
        <f ca="1">Model!$F$13+RAND()*(Model!$G$13-Model!$F$13)</f>
        <v>1592.7786094459386</v>
      </c>
      <c r="B4938" s="31">
        <f ca="1">Model!$F$14+RAND()*(Model!$G$14-Model!$F$14)</f>
        <v>0.52484861247590486</v>
      </c>
      <c r="C4938" s="32">
        <f ca="1">Model!$F$15+RAND()*(Model!$G$15-Model!$F$15)</f>
        <v>2.1087607608099607E-2</v>
      </c>
      <c r="D4938" s="33">
        <f ca="1">Model!$F$16+RAND()*(Model!$G$16-Model!$F$16)</f>
        <v>49.018761558768077</v>
      </c>
      <c r="E4938" s="33">
        <f>Model!$D$17</f>
        <v>800</v>
      </c>
      <c r="G4938" s="36">
        <f t="shared" ca="1" si="79"/>
        <v>10.469143835134446</v>
      </c>
    </row>
    <row r="4939" spans="1:7" x14ac:dyDescent="0.2">
      <c r="A4939" s="6">
        <f ca="1">Model!$F$13+RAND()*(Model!$G$13-Model!$F$13)</f>
        <v>1372.3736454420036</v>
      </c>
      <c r="B4939" s="31">
        <f ca="1">Model!$F$14+RAND()*(Model!$G$14-Model!$F$14)</f>
        <v>0.39718640764414115</v>
      </c>
      <c r="C4939" s="32">
        <f ca="1">Model!$F$15+RAND()*(Model!$G$15-Model!$F$15)</f>
        <v>2.9289667420102548E-2</v>
      </c>
      <c r="D4939" s="33">
        <f ca="1">Model!$F$16+RAND()*(Model!$G$16-Model!$F$16)</f>
        <v>49.47611893666884</v>
      </c>
      <c r="E4939" s="33">
        <f>Model!$D$17</f>
        <v>800</v>
      </c>
      <c r="G4939" s="36">
        <f t="shared" ca="1" si="79"/>
        <v>643.67210854978384</v>
      </c>
    </row>
    <row r="4940" spans="1:7" x14ac:dyDescent="0.2">
      <c r="A4940" s="6">
        <f ca="1">Model!$F$13+RAND()*(Model!$G$13-Model!$F$13)</f>
        <v>1347.1047483947077</v>
      </c>
      <c r="B4940" s="31">
        <f ca="1">Model!$F$14+RAND()*(Model!$G$14-Model!$F$14)</f>
        <v>0.27273642421823774</v>
      </c>
      <c r="C4940" s="32">
        <f ca="1">Model!$F$15+RAND()*(Model!$G$15-Model!$F$15)</f>
        <v>4.6952233289374902E-2</v>
      </c>
      <c r="D4940" s="33">
        <f ca="1">Model!$F$16+RAND()*(Model!$G$16-Model!$F$16)</f>
        <v>48.428170416935671</v>
      </c>
      <c r="E4940" s="33">
        <f>Model!$D$17</f>
        <v>800</v>
      </c>
      <c r="G4940" s="36">
        <f t="shared" ca="1" si="79"/>
        <v>1895.6567331476301</v>
      </c>
    </row>
    <row r="4941" spans="1:7" x14ac:dyDescent="0.2">
      <c r="A4941" s="6">
        <f ca="1">Model!$F$13+RAND()*(Model!$G$13-Model!$F$13)</f>
        <v>1425.8719813053324</v>
      </c>
      <c r="B4941" s="31">
        <f ca="1">Model!$F$14+RAND()*(Model!$G$14-Model!$F$14)</f>
        <v>0.79188929178242518</v>
      </c>
      <c r="C4941" s="32">
        <f ca="1">Model!$F$15+RAND()*(Model!$G$15-Model!$F$15)</f>
        <v>3.5099260359297467E-2</v>
      </c>
      <c r="D4941" s="33">
        <f ca="1">Model!$F$16+RAND()*(Model!$G$16-Model!$F$16)</f>
        <v>48.034248484734981</v>
      </c>
      <c r="E4941" s="33">
        <f>Model!$D$17</f>
        <v>800</v>
      </c>
      <c r="G4941" s="36">
        <f t="shared" ca="1" si="79"/>
        <v>474.83977396655018</v>
      </c>
    </row>
    <row r="4942" spans="1:7" x14ac:dyDescent="0.2">
      <c r="A4942" s="6">
        <f ca="1">Model!$F$13+RAND()*(Model!$G$13-Model!$F$13)</f>
        <v>1581.1350101703124</v>
      </c>
      <c r="B4942" s="31">
        <f ca="1">Model!$F$14+RAND()*(Model!$G$14-Model!$F$14)</f>
        <v>0.42566669054086931</v>
      </c>
      <c r="C4942" s="32">
        <f ca="1">Model!$F$15+RAND()*(Model!$G$15-Model!$F$15)</f>
        <v>2.7626834959680435E-2</v>
      </c>
      <c r="D4942" s="33">
        <f ca="1">Model!$F$16+RAND()*(Model!$G$16-Model!$F$16)</f>
        <v>49.66381158047156</v>
      </c>
      <c r="E4942" s="33">
        <f>Model!$D$17</f>
        <v>800</v>
      </c>
      <c r="G4942" s="36">
        <f t="shared" ca="1" si="79"/>
        <v>696.36599116644811</v>
      </c>
    </row>
    <row r="4943" spans="1:7" x14ac:dyDescent="0.2">
      <c r="A4943" s="6">
        <f ca="1">Model!$F$13+RAND()*(Model!$G$13-Model!$F$13)</f>
        <v>1349.3131075101348</v>
      </c>
      <c r="B4943" s="31">
        <f ca="1">Model!$F$14+RAND()*(Model!$G$14-Model!$F$14)</f>
        <v>0.62205082944296008</v>
      </c>
      <c r="C4943" s="32">
        <f ca="1">Model!$F$15+RAND()*(Model!$G$15-Model!$F$15)</f>
        <v>1.7148006029912049E-2</v>
      </c>
      <c r="D4943" s="33">
        <f ca="1">Model!$F$16+RAND()*(Model!$G$16-Model!$F$16)</f>
        <v>52.929701129238083</v>
      </c>
      <c r="E4943" s="33">
        <f>Model!$D$17</f>
        <v>800</v>
      </c>
      <c r="G4943" s="36">
        <f t="shared" ca="1" si="79"/>
        <v>-414.65236193402507</v>
      </c>
    </row>
    <row r="4944" spans="1:7" x14ac:dyDescent="0.2">
      <c r="A4944" s="6">
        <f ca="1">Model!$F$13+RAND()*(Model!$G$13-Model!$F$13)</f>
        <v>1728.0525165261661</v>
      </c>
      <c r="B4944" s="31">
        <f ca="1">Model!$F$14+RAND()*(Model!$G$14-Model!$F$14)</f>
        <v>0.26869165267853901</v>
      </c>
      <c r="C4944" s="32">
        <f ca="1">Model!$F$15+RAND()*(Model!$G$15-Model!$F$15)</f>
        <v>1.2665013748166176E-2</v>
      </c>
      <c r="D4944" s="33">
        <f ca="1">Model!$F$16+RAND()*(Model!$G$16-Model!$F$16)</f>
        <v>52.390246500772925</v>
      </c>
      <c r="E4944" s="33">
        <f>Model!$D$17</f>
        <v>800</v>
      </c>
      <c r="G4944" s="36">
        <f t="shared" ca="1" si="79"/>
        <v>-117.7103645224031</v>
      </c>
    </row>
    <row r="4945" spans="1:7" x14ac:dyDescent="0.2">
      <c r="A4945" s="6">
        <f ca="1">Model!$F$13+RAND()*(Model!$G$13-Model!$F$13)</f>
        <v>1425.8196014920059</v>
      </c>
      <c r="B4945" s="31">
        <f ca="1">Model!$F$14+RAND()*(Model!$G$14-Model!$F$14)</f>
        <v>0.20486436080340112</v>
      </c>
      <c r="C4945" s="32">
        <f ca="1">Model!$F$15+RAND()*(Model!$G$15-Model!$F$15)</f>
        <v>4.2130172304448474E-2</v>
      </c>
      <c r="D4945" s="33">
        <f ca="1">Model!$F$16+RAND()*(Model!$G$16-Model!$F$16)</f>
        <v>47.611734364942691</v>
      </c>
      <c r="E4945" s="33">
        <f>Model!$D$17</f>
        <v>800</v>
      </c>
      <c r="G4945" s="36">
        <f t="shared" ca="1" si="79"/>
        <v>1767.938475450258</v>
      </c>
    </row>
    <row r="4946" spans="1:7" x14ac:dyDescent="0.2">
      <c r="A4946" s="6">
        <f ca="1">Model!$F$13+RAND()*(Model!$G$13-Model!$F$13)</f>
        <v>1397.4212420826718</v>
      </c>
      <c r="B4946" s="31">
        <f ca="1">Model!$F$14+RAND()*(Model!$G$14-Model!$F$14)</f>
        <v>0.58744411005692931</v>
      </c>
      <c r="C4946" s="32">
        <f ca="1">Model!$F$15+RAND()*(Model!$G$15-Model!$F$15)</f>
        <v>2.166673909052387E-2</v>
      </c>
      <c r="D4946" s="33">
        <f ca="1">Model!$F$16+RAND()*(Model!$G$16-Model!$F$16)</f>
        <v>47.499341361496334</v>
      </c>
      <c r="E4946" s="33">
        <f>Model!$D$17</f>
        <v>800</v>
      </c>
      <c r="G4946" s="36">
        <f t="shared" ca="1" si="79"/>
        <v>-182.74265093902341</v>
      </c>
    </row>
    <row r="4947" spans="1:7" x14ac:dyDescent="0.2">
      <c r="A4947" s="6">
        <f ca="1">Model!$F$13+RAND()*(Model!$G$13-Model!$F$13)</f>
        <v>1222.8066859059954</v>
      </c>
      <c r="B4947" s="31">
        <f ca="1">Model!$F$14+RAND()*(Model!$G$14-Model!$F$14)</f>
        <v>0.64136761934559372</v>
      </c>
      <c r="C4947" s="32">
        <f ca="1">Model!$F$15+RAND()*(Model!$G$15-Model!$F$15)</f>
        <v>4.0902419631211384E-2</v>
      </c>
      <c r="D4947" s="33">
        <f ca="1">Model!$F$16+RAND()*(Model!$G$16-Model!$F$16)</f>
        <v>49.552553630373119</v>
      </c>
      <c r="E4947" s="33">
        <f>Model!$D$17</f>
        <v>800</v>
      </c>
      <c r="G4947" s="36">
        <f t="shared" ca="1" si="79"/>
        <v>894.13962993578161</v>
      </c>
    </row>
    <row r="4948" spans="1:7" x14ac:dyDescent="0.2">
      <c r="A4948" s="6">
        <f ca="1">Model!$F$13+RAND()*(Model!$G$13-Model!$F$13)</f>
        <v>1238.7333200210148</v>
      </c>
      <c r="B4948" s="31">
        <f ca="1">Model!$F$14+RAND()*(Model!$G$14-Model!$F$14)</f>
        <v>0.66641409583981193</v>
      </c>
      <c r="C4948" s="32">
        <f ca="1">Model!$F$15+RAND()*(Model!$G$15-Model!$F$15)</f>
        <v>3.3301131587502336E-2</v>
      </c>
      <c r="D4948" s="33">
        <f ca="1">Model!$F$16+RAND()*(Model!$G$16-Model!$F$16)</f>
        <v>50.946310578859674</v>
      </c>
      <c r="E4948" s="33">
        <f>Model!$D$17</f>
        <v>800</v>
      </c>
      <c r="G4948" s="36">
        <f t="shared" ca="1" si="79"/>
        <v>476.08818624307241</v>
      </c>
    </row>
    <row r="4949" spans="1:7" x14ac:dyDescent="0.2">
      <c r="A4949" s="6">
        <f ca="1">Model!$F$13+RAND()*(Model!$G$13-Model!$F$13)</f>
        <v>1534.4611606949391</v>
      </c>
      <c r="B4949" s="31">
        <f ca="1">Model!$F$14+RAND()*(Model!$G$14-Model!$F$14)</f>
        <v>0.66249240858466818</v>
      </c>
      <c r="C4949" s="32">
        <f ca="1">Model!$F$15+RAND()*(Model!$G$15-Model!$F$15)</f>
        <v>1.7826957300448323E-2</v>
      </c>
      <c r="D4949" s="33">
        <f ca="1">Model!$F$16+RAND()*(Model!$G$16-Model!$F$16)</f>
        <v>50.161807704239415</v>
      </c>
      <c r="E4949" s="33">
        <f>Model!$D$17</f>
        <v>800</v>
      </c>
      <c r="G4949" s="36">
        <f t="shared" ca="1" si="79"/>
        <v>-444.40397756843004</v>
      </c>
    </row>
    <row r="4950" spans="1:7" x14ac:dyDescent="0.2">
      <c r="A4950" s="6">
        <f ca="1">Model!$F$13+RAND()*(Model!$G$13-Model!$F$13)</f>
        <v>1725.0495226105256</v>
      </c>
      <c r="B4950" s="31">
        <f ca="1">Model!$F$14+RAND()*(Model!$G$14-Model!$F$14)</f>
        <v>0.51840246530037515</v>
      </c>
      <c r="C4950" s="32">
        <f ca="1">Model!$F$15+RAND()*(Model!$G$15-Model!$F$15)</f>
        <v>1.128875326409212E-2</v>
      </c>
      <c r="D4950" s="33">
        <f ca="1">Model!$F$16+RAND()*(Model!$G$16-Model!$F$16)</f>
        <v>49.563157777027087</v>
      </c>
      <c r="E4950" s="33">
        <f>Model!$D$17</f>
        <v>800</v>
      </c>
      <c r="G4950" s="36">
        <f t="shared" ca="1" si="79"/>
        <v>-729.09392006960445</v>
      </c>
    </row>
    <row r="4951" spans="1:7" x14ac:dyDescent="0.2">
      <c r="A4951" s="6">
        <f ca="1">Model!$F$13+RAND()*(Model!$G$13-Model!$F$13)</f>
        <v>1582.3831455096488</v>
      </c>
      <c r="B4951" s="31">
        <f ca="1">Model!$F$14+RAND()*(Model!$G$14-Model!$F$14)</f>
        <v>0.66644791534045544</v>
      </c>
      <c r="C4951" s="32">
        <f ca="1">Model!$F$15+RAND()*(Model!$G$15-Model!$F$15)</f>
        <v>3.0619223405272164E-2</v>
      </c>
      <c r="D4951" s="33">
        <f ca="1">Model!$F$16+RAND()*(Model!$G$16-Model!$F$16)</f>
        <v>49.622403013354869</v>
      </c>
      <c r="E4951" s="33">
        <f>Model!$D$17</f>
        <v>800</v>
      </c>
      <c r="G4951" s="36">
        <f t="shared" ca="1" si="79"/>
        <v>549.6961225273451</v>
      </c>
    </row>
    <row r="4952" spans="1:7" x14ac:dyDescent="0.2">
      <c r="A4952" s="6">
        <f ca="1">Model!$F$13+RAND()*(Model!$G$13-Model!$F$13)</f>
        <v>1399.8969438504275</v>
      </c>
      <c r="B4952" s="31">
        <f ca="1">Model!$F$14+RAND()*(Model!$G$14-Model!$F$14)</f>
        <v>0.31943276129869957</v>
      </c>
      <c r="C4952" s="32">
        <f ca="1">Model!$F$15+RAND()*(Model!$G$15-Model!$F$15)</f>
        <v>4.089107840531904E-2</v>
      </c>
      <c r="D4952" s="33">
        <f ca="1">Model!$F$16+RAND()*(Model!$G$16-Model!$F$16)</f>
        <v>49.018657367931382</v>
      </c>
      <c r="E4952" s="33">
        <f>Model!$D$17</f>
        <v>800</v>
      </c>
      <c r="G4952" s="36">
        <f t="shared" ca="1" si="79"/>
        <v>1558.8165517489097</v>
      </c>
    </row>
    <row r="4953" spans="1:7" x14ac:dyDescent="0.2">
      <c r="A4953" s="6">
        <f ca="1">Model!$F$13+RAND()*(Model!$G$13-Model!$F$13)</f>
        <v>1767.4097900815973</v>
      </c>
      <c r="B4953" s="31">
        <f ca="1">Model!$F$14+RAND()*(Model!$G$14-Model!$F$14)</f>
        <v>0.65087964120479835</v>
      </c>
      <c r="C4953" s="32">
        <f ca="1">Model!$F$15+RAND()*(Model!$G$15-Model!$F$15)</f>
        <v>4.4206187769021237E-2</v>
      </c>
      <c r="D4953" s="33">
        <f ca="1">Model!$F$16+RAND()*(Model!$G$16-Model!$F$16)</f>
        <v>52.926542807445863</v>
      </c>
      <c r="E4953" s="33">
        <f>Model!$D$17</f>
        <v>800</v>
      </c>
      <c r="G4953" s="36">
        <f t="shared" ca="1" si="79"/>
        <v>2184.8035059231265</v>
      </c>
    </row>
    <row r="4954" spans="1:7" x14ac:dyDescent="0.2">
      <c r="A4954" s="6">
        <f ca="1">Model!$F$13+RAND()*(Model!$G$13-Model!$F$13)</f>
        <v>1748.5868547717128</v>
      </c>
      <c r="B4954" s="31">
        <f ca="1">Model!$F$14+RAND()*(Model!$G$14-Model!$F$14)</f>
        <v>0.59549581249286865</v>
      </c>
      <c r="C4954" s="32">
        <f ca="1">Model!$F$15+RAND()*(Model!$G$15-Model!$F$15)</f>
        <v>4.4897547280236247E-2</v>
      </c>
      <c r="D4954" s="33">
        <f ca="1">Model!$F$16+RAND()*(Model!$G$16-Model!$F$16)</f>
        <v>48.822657184584813</v>
      </c>
      <c r="E4954" s="33">
        <f>Model!$D$17</f>
        <v>800</v>
      </c>
      <c r="G4954" s="36">
        <f t="shared" ca="1" si="79"/>
        <v>1991.6569398095435</v>
      </c>
    </row>
    <row r="4955" spans="1:7" x14ac:dyDescent="0.2">
      <c r="A4955" s="6">
        <f ca="1">Model!$F$13+RAND()*(Model!$G$13-Model!$F$13)</f>
        <v>1741.7271944193421</v>
      </c>
      <c r="B4955" s="31">
        <f ca="1">Model!$F$14+RAND()*(Model!$G$14-Model!$F$14)</f>
        <v>0.6850584737551898</v>
      </c>
      <c r="C4955" s="32">
        <f ca="1">Model!$F$15+RAND()*(Model!$G$15-Model!$F$15)</f>
        <v>3.1651462635451252E-2</v>
      </c>
      <c r="D4955" s="33">
        <f ca="1">Model!$F$16+RAND()*(Model!$G$16-Model!$F$16)</f>
        <v>49.082660200165869</v>
      </c>
      <c r="E4955" s="33">
        <f>Model!$D$17</f>
        <v>800</v>
      </c>
      <c r="G4955" s="36">
        <f t="shared" ca="1" si="79"/>
        <v>712.65438318268548</v>
      </c>
    </row>
    <row r="4956" spans="1:7" x14ac:dyDescent="0.2">
      <c r="A4956" s="6">
        <f ca="1">Model!$F$13+RAND()*(Model!$G$13-Model!$F$13)</f>
        <v>1746.591496208646</v>
      </c>
      <c r="B4956" s="31">
        <f ca="1">Model!$F$14+RAND()*(Model!$G$14-Model!$F$14)</f>
        <v>0.55308459058801485</v>
      </c>
      <c r="C4956" s="32">
        <f ca="1">Model!$F$15+RAND()*(Model!$G$15-Model!$F$15)</f>
        <v>2.3797230800418925E-2</v>
      </c>
      <c r="D4956" s="33">
        <f ca="1">Model!$F$16+RAND()*(Model!$G$16-Model!$F$16)</f>
        <v>52.931497472762622</v>
      </c>
      <c r="E4956" s="33">
        <f>Model!$D$17</f>
        <v>800</v>
      </c>
      <c r="G4956" s="36">
        <f t="shared" ca="1" si="79"/>
        <v>434.03408586199248</v>
      </c>
    </row>
    <row r="4957" spans="1:7" x14ac:dyDescent="0.2">
      <c r="A4957" s="6">
        <f ca="1">Model!$F$13+RAND()*(Model!$G$13-Model!$F$13)</f>
        <v>1352.6314446122487</v>
      </c>
      <c r="B4957" s="31">
        <f ca="1">Model!$F$14+RAND()*(Model!$G$14-Model!$F$14)</f>
        <v>0.37713204959392849</v>
      </c>
      <c r="C4957" s="32">
        <f ca="1">Model!$F$15+RAND()*(Model!$G$15-Model!$F$15)</f>
        <v>2.0592934533093771E-2</v>
      </c>
      <c r="D4957" s="33">
        <f ca="1">Model!$F$16+RAND()*(Model!$G$16-Model!$F$16)</f>
        <v>50.402363778253068</v>
      </c>
      <c r="E4957" s="33">
        <f>Model!$D$17</f>
        <v>800</v>
      </c>
      <c r="G4957" s="36">
        <f t="shared" ca="1" si="79"/>
        <v>93.819572795687918</v>
      </c>
    </row>
    <row r="4958" spans="1:7" x14ac:dyDescent="0.2">
      <c r="A4958" s="6">
        <f ca="1">Model!$F$13+RAND()*(Model!$G$13-Model!$F$13)</f>
        <v>1331.7198696539936</v>
      </c>
      <c r="B4958" s="31">
        <f ca="1">Model!$F$14+RAND()*(Model!$G$14-Model!$F$14)</f>
        <v>0.36686316028925992</v>
      </c>
      <c r="C4958" s="32">
        <f ca="1">Model!$F$15+RAND()*(Model!$G$15-Model!$F$15)</f>
        <v>4.2578131117194648E-2</v>
      </c>
      <c r="D4958" s="33">
        <f ca="1">Model!$F$16+RAND()*(Model!$G$16-Model!$F$16)</f>
        <v>49.349964911863061</v>
      </c>
      <c r="E4958" s="33">
        <f>Model!$D$17</f>
        <v>800</v>
      </c>
      <c r="G4958" s="36">
        <f t="shared" ca="1" si="79"/>
        <v>1509.6898184072479</v>
      </c>
    </row>
    <row r="4959" spans="1:7" x14ac:dyDescent="0.2">
      <c r="A4959" s="6">
        <f ca="1">Model!$F$13+RAND()*(Model!$G$13-Model!$F$13)</f>
        <v>1502.1152859426841</v>
      </c>
      <c r="B4959" s="31">
        <f ca="1">Model!$F$14+RAND()*(Model!$G$14-Model!$F$14)</f>
        <v>0.62539911408798732</v>
      </c>
      <c r="C4959" s="32">
        <f ca="1">Model!$F$15+RAND()*(Model!$G$15-Model!$F$15)</f>
        <v>4.2285262035167061E-2</v>
      </c>
      <c r="D4959" s="33">
        <f ca="1">Model!$F$16+RAND()*(Model!$G$16-Model!$F$16)</f>
        <v>49.944841603522732</v>
      </c>
      <c r="E4959" s="33">
        <f>Model!$D$17</f>
        <v>800</v>
      </c>
      <c r="G4959" s="36">
        <f t="shared" ca="1" si="79"/>
        <v>1432.9418400305549</v>
      </c>
    </row>
    <row r="4960" spans="1:7" x14ac:dyDescent="0.2">
      <c r="A4960" s="6">
        <f ca="1">Model!$F$13+RAND()*(Model!$G$13-Model!$F$13)</f>
        <v>1504.3189471094079</v>
      </c>
      <c r="B4960" s="31">
        <f ca="1">Model!$F$14+RAND()*(Model!$G$14-Model!$F$14)</f>
        <v>0.37588242445387238</v>
      </c>
      <c r="C4960" s="32">
        <f ca="1">Model!$F$15+RAND()*(Model!$G$15-Model!$F$15)</f>
        <v>1.1899131081695932E-2</v>
      </c>
      <c r="D4960" s="33">
        <f ca="1">Model!$F$16+RAND()*(Model!$G$16-Model!$F$16)</f>
        <v>50.366093680179205</v>
      </c>
      <c r="E4960" s="33">
        <f>Model!$D$17</f>
        <v>800</v>
      </c>
      <c r="G4960" s="36">
        <f t="shared" ca="1" si="79"/>
        <v>-463.88952675865255</v>
      </c>
    </row>
    <row r="4961" spans="1:7" x14ac:dyDescent="0.2">
      <c r="A4961" s="6">
        <f ca="1">Model!$F$13+RAND()*(Model!$G$13-Model!$F$13)</f>
        <v>1768.8939362429001</v>
      </c>
      <c r="B4961" s="31">
        <f ca="1">Model!$F$14+RAND()*(Model!$G$14-Model!$F$14)</f>
        <v>0.72936379893448611</v>
      </c>
      <c r="C4961" s="32">
        <f ca="1">Model!$F$15+RAND()*(Model!$G$15-Model!$F$15)</f>
        <v>2.3933890241420976E-2</v>
      </c>
      <c r="D4961" s="33">
        <f ca="1">Model!$F$16+RAND()*(Model!$G$16-Model!$F$16)</f>
        <v>51.466973015653473</v>
      </c>
      <c r="E4961" s="33">
        <f>Model!$D$17</f>
        <v>800</v>
      </c>
      <c r="G4961" s="36">
        <f t="shared" ca="1" si="79"/>
        <v>88.764987302800364</v>
      </c>
    </row>
    <row r="4962" spans="1:7" x14ac:dyDescent="0.2">
      <c r="A4962" s="6">
        <f ca="1">Model!$F$13+RAND()*(Model!$G$13-Model!$F$13)</f>
        <v>1504.3978264902869</v>
      </c>
      <c r="B4962" s="31">
        <f ca="1">Model!$F$14+RAND()*(Model!$G$14-Model!$F$14)</f>
        <v>0.2763090590743299</v>
      </c>
      <c r="C4962" s="32">
        <f ca="1">Model!$F$15+RAND()*(Model!$G$15-Model!$F$15)</f>
        <v>3.7516352604438252E-2</v>
      </c>
      <c r="D4962" s="33">
        <f ca="1">Model!$F$16+RAND()*(Model!$G$16-Model!$F$16)</f>
        <v>47.693889942676421</v>
      </c>
      <c r="E4962" s="33">
        <f>Model!$D$17</f>
        <v>800</v>
      </c>
      <c r="G4962" s="36">
        <f t="shared" ca="1" si="79"/>
        <v>1476.1414747619635</v>
      </c>
    </row>
    <row r="4963" spans="1:7" x14ac:dyDescent="0.2">
      <c r="A4963" s="6">
        <f ca="1">Model!$F$13+RAND()*(Model!$G$13-Model!$F$13)</f>
        <v>1712.2652975752512</v>
      </c>
      <c r="B4963" s="31">
        <f ca="1">Model!$F$14+RAND()*(Model!$G$14-Model!$F$14)</f>
        <v>0.48971278435619381</v>
      </c>
      <c r="C4963" s="32">
        <f ca="1">Model!$F$15+RAND()*(Model!$G$15-Model!$F$15)</f>
        <v>4.7975196391157743E-2</v>
      </c>
      <c r="D4963" s="33">
        <f ca="1">Model!$F$16+RAND()*(Model!$G$16-Model!$F$16)</f>
        <v>48.093697889088112</v>
      </c>
      <c r="E4963" s="33">
        <f>Model!$D$17</f>
        <v>800</v>
      </c>
      <c r="G4963" s="36">
        <f t="shared" ca="1" si="79"/>
        <v>2312.1993934911466</v>
      </c>
    </row>
    <row r="4964" spans="1:7" x14ac:dyDescent="0.2">
      <c r="A4964" s="6">
        <f ca="1">Model!$F$13+RAND()*(Model!$G$13-Model!$F$13)</f>
        <v>1632.9379627900705</v>
      </c>
      <c r="B4964" s="31">
        <f ca="1">Model!$F$14+RAND()*(Model!$G$14-Model!$F$14)</f>
        <v>0.39819325710606435</v>
      </c>
      <c r="C4964" s="32">
        <f ca="1">Model!$F$15+RAND()*(Model!$G$15-Model!$F$15)</f>
        <v>1.8225958541644237E-2</v>
      </c>
      <c r="D4964" s="33">
        <f ca="1">Model!$F$16+RAND()*(Model!$G$16-Model!$F$16)</f>
        <v>47.297612936219146</v>
      </c>
      <c r="E4964" s="33">
        <f>Model!$D$17</f>
        <v>800</v>
      </c>
      <c r="G4964" s="36">
        <f t="shared" ca="1" si="79"/>
        <v>-42.559969917606395</v>
      </c>
    </row>
    <row r="4965" spans="1:7" x14ac:dyDescent="0.2">
      <c r="A4965" s="6">
        <f ca="1">Model!$F$13+RAND()*(Model!$G$13-Model!$F$13)</f>
        <v>1448.8736918185541</v>
      </c>
      <c r="B4965" s="31">
        <f ca="1">Model!$F$14+RAND()*(Model!$G$14-Model!$F$14)</f>
        <v>0.77227184226590828</v>
      </c>
      <c r="C4965" s="32">
        <f ca="1">Model!$F$15+RAND()*(Model!$G$15-Model!$F$15)</f>
        <v>4.8575410599360269E-2</v>
      </c>
      <c r="D4965" s="33">
        <f ca="1">Model!$F$16+RAND()*(Model!$G$16-Model!$F$16)</f>
        <v>48.53915646902356</v>
      </c>
      <c r="E4965" s="33">
        <f>Model!$D$17</f>
        <v>800</v>
      </c>
      <c r="G4965" s="36">
        <f t="shared" ca="1" si="79"/>
        <v>1497.2437353911616</v>
      </c>
    </row>
    <row r="4966" spans="1:7" x14ac:dyDescent="0.2">
      <c r="A4966" s="6">
        <f ca="1">Model!$F$13+RAND()*(Model!$G$13-Model!$F$13)</f>
        <v>1635.0071967209306</v>
      </c>
      <c r="B4966" s="31">
        <f ca="1">Model!$F$14+RAND()*(Model!$G$14-Model!$F$14)</f>
        <v>0.69080811163269207</v>
      </c>
      <c r="C4966" s="32">
        <f ca="1">Model!$F$15+RAND()*(Model!$G$15-Model!$F$15)</f>
        <v>2.0175255892815467E-2</v>
      </c>
      <c r="D4966" s="33">
        <f ca="1">Model!$F$16+RAND()*(Model!$G$16-Model!$F$16)</f>
        <v>51.129079814667342</v>
      </c>
      <c r="E4966" s="33">
        <f>Model!$D$17</f>
        <v>800</v>
      </c>
      <c r="G4966" s="36">
        <f t="shared" ca="1" si="79"/>
        <v>-242.89720082177269</v>
      </c>
    </row>
    <row r="4967" spans="1:7" x14ac:dyDescent="0.2">
      <c r="A4967" s="6">
        <f ca="1">Model!$F$13+RAND()*(Model!$G$13-Model!$F$13)</f>
        <v>1616.8851212280326</v>
      </c>
      <c r="B4967" s="31">
        <f ca="1">Model!$F$14+RAND()*(Model!$G$14-Model!$F$14)</f>
        <v>0.38985394684855312</v>
      </c>
      <c r="C4967" s="32">
        <f ca="1">Model!$F$15+RAND()*(Model!$G$15-Model!$F$15)</f>
        <v>3.6039581477723223E-2</v>
      </c>
      <c r="D4967" s="33">
        <f ca="1">Model!$F$16+RAND()*(Model!$G$16-Model!$F$16)</f>
        <v>52.637776661779739</v>
      </c>
      <c r="E4967" s="33">
        <f>Model!$D$17</f>
        <v>800</v>
      </c>
      <c r="G4967" s="36">
        <f t="shared" ca="1" si="79"/>
        <v>1636.9522676548986</v>
      </c>
    </row>
    <row r="4968" spans="1:7" x14ac:dyDescent="0.2">
      <c r="A4968" s="6">
        <f ca="1">Model!$F$13+RAND()*(Model!$G$13-Model!$F$13)</f>
        <v>1607.4324244705238</v>
      </c>
      <c r="B4968" s="31">
        <f ca="1">Model!$F$14+RAND()*(Model!$G$14-Model!$F$14)</f>
        <v>0.40701370277935117</v>
      </c>
      <c r="C4968" s="32">
        <f ca="1">Model!$F$15+RAND()*(Model!$G$15-Model!$F$15)</f>
        <v>2.7659473186031389E-2</v>
      </c>
      <c r="D4968" s="33">
        <f ca="1">Model!$F$16+RAND()*(Model!$G$16-Model!$F$16)</f>
        <v>52.53467933216114</v>
      </c>
      <c r="E4968" s="33">
        <f>Model!$D$17</f>
        <v>800</v>
      </c>
      <c r="G4968" s="36">
        <f t="shared" ca="1" si="79"/>
        <v>881.48338277016092</v>
      </c>
    </row>
    <row r="4969" spans="1:7" x14ac:dyDescent="0.2">
      <c r="A4969" s="6">
        <f ca="1">Model!$F$13+RAND()*(Model!$G$13-Model!$F$13)</f>
        <v>1333.3281410616785</v>
      </c>
      <c r="B4969" s="31">
        <f ca="1">Model!$F$14+RAND()*(Model!$G$14-Model!$F$14)</f>
        <v>0.48835899797045412</v>
      </c>
      <c r="C4969" s="32">
        <f ca="1">Model!$F$15+RAND()*(Model!$G$15-Model!$F$15)</f>
        <v>4.2113738584741385E-2</v>
      </c>
      <c r="D4969" s="33">
        <f ca="1">Model!$F$16+RAND()*(Model!$G$16-Model!$F$16)</f>
        <v>47.420604118629242</v>
      </c>
      <c r="E4969" s="33">
        <f>Model!$D$17</f>
        <v>800</v>
      </c>
      <c r="G4969" s="36">
        <f t="shared" ref="G4969:G5001" ca="1" si="80">A4969*C4969*D4969-(E4969+A4969*B4969)</f>
        <v>1211.5920696361425</v>
      </c>
    </row>
    <row r="4970" spans="1:7" x14ac:dyDescent="0.2">
      <c r="A4970" s="6">
        <f ca="1">Model!$F$13+RAND()*(Model!$G$13-Model!$F$13)</f>
        <v>1637.9908041267167</v>
      </c>
      <c r="B4970" s="31">
        <f ca="1">Model!$F$14+RAND()*(Model!$G$14-Model!$F$14)</f>
        <v>0.56318886574041471</v>
      </c>
      <c r="C4970" s="32">
        <f ca="1">Model!$F$15+RAND()*(Model!$G$15-Model!$F$15)</f>
        <v>3.9645279593003978E-2</v>
      </c>
      <c r="D4970" s="33">
        <f ca="1">Model!$F$16+RAND()*(Model!$G$16-Model!$F$16)</f>
        <v>48.084609264426319</v>
      </c>
      <c r="E4970" s="33">
        <f>Model!$D$17</f>
        <v>800</v>
      </c>
      <c r="G4970" s="36">
        <f t="shared" ca="1" si="80"/>
        <v>1400.0491876151314</v>
      </c>
    </row>
    <row r="4971" spans="1:7" x14ac:dyDescent="0.2">
      <c r="A4971" s="6">
        <f ca="1">Model!$F$13+RAND()*(Model!$G$13-Model!$F$13)</f>
        <v>1463.6864984897165</v>
      </c>
      <c r="B4971" s="31">
        <f ca="1">Model!$F$14+RAND()*(Model!$G$14-Model!$F$14)</f>
        <v>0.6511912514587479</v>
      </c>
      <c r="C4971" s="32">
        <f ca="1">Model!$F$15+RAND()*(Model!$G$15-Model!$F$15)</f>
        <v>4.744697408805449E-2</v>
      </c>
      <c r="D4971" s="33">
        <f ca="1">Model!$F$16+RAND()*(Model!$G$16-Model!$F$16)</f>
        <v>49.789015065623623</v>
      </c>
      <c r="E4971" s="33">
        <f>Model!$D$17</f>
        <v>800</v>
      </c>
      <c r="G4971" s="36">
        <f t="shared" ca="1" si="80"/>
        <v>1704.5825503964643</v>
      </c>
    </row>
    <row r="4972" spans="1:7" x14ac:dyDescent="0.2">
      <c r="A4972" s="6">
        <f ca="1">Model!$F$13+RAND()*(Model!$G$13-Model!$F$13)</f>
        <v>1772.8381279441166</v>
      </c>
      <c r="B4972" s="31">
        <f ca="1">Model!$F$14+RAND()*(Model!$G$14-Model!$F$14)</f>
        <v>0.57222061760149623</v>
      </c>
      <c r="C4972" s="32">
        <f ca="1">Model!$F$15+RAND()*(Model!$G$15-Model!$F$15)</f>
        <v>3.9827476308136649E-2</v>
      </c>
      <c r="D4972" s="33">
        <f ca="1">Model!$F$16+RAND()*(Model!$G$16-Model!$F$16)</f>
        <v>50.779575758831143</v>
      </c>
      <c r="E4972" s="33">
        <f>Model!$D$17</f>
        <v>800</v>
      </c>
      <c r="G4972" s="36">
        <f t="shared" ca="1" si="80"/>
        <v>1770.972925243595</v>
      </c>
    </row>
    <row r="4973" spans="1:7" x14ac:dyDescent="0.2">
      <c r="A4973" s="6">
        <f ca="1">Model!$F$13+RAND()*(Model!$G$13-Model!$F$13)</f>
        <v>1590.8927743609788</v>
      </c>
      <c r="B4973" s="31">
        <f ca="1">Model!$F$14+RAND()*(Model!$G$14-Model!$F$14)</f>
        <v>0.26235293607338761</v>
      </c>
      <c r="C4973" s="32">
        <f ca="1">Model!$F$15+RAND()*(Model!$G$15-Model!$F$15)</f>
        <v>1.0847203058384096E-2</v>
      </c>
      <c r="D4973" s="33">
        <f ca="1">Model!$F$16+RAND()*(Model!$G$16-Model!$F$16)</f>
        <v>52.473031469985315</v>
      </c>
      <c r="E4973" s="33">
        <f>Model!$D$17</f>
        <v>800</v>
      </c>
      <c r="G4973" s="36">
        <f t="shared" ca="1" si="80"/>
        <v>-311.86208836090418</v>
      </c>
    </row>
    <row r="4974" spans="1:7" x14ac:dyDescent="0.2">
      <c r="A4974" s="6">
        <f ca="1">Model!$F$13+RAND()*(Model!$G$13-Model!$F$13)</f>
        <v>1714.0954404625754</v>
      </c>
      <c r="B4974" s="31">
        <f ca="1">Model!$F$14+RAND()*(Model!$G$14-Model!$F$14)</f>
        <v>0.45674794282221864</v>
      </c>
      <c r="C4974" s="32">
        <f ca="1">Model!$F$15+RAND()*(Model!$G$15-Model!$F$15)</f>
        <v>2.9520222435951246E-2</v>
      </c>
      <c r="D4974" s="33">
        <f ca="1">Model!$F$16+RAND()*(Model!$G$16-Model!$F$16)</f>
        <v>51.872951366120873</v>
      </c>
      <c r="E4974" s="33">
        <f>Model!$D$17</f>
        <v>800</v>
      </c>
      <c r="G4974" s="36">
        <f t="shared" ca="1" si="80"/>
        <v>1041.8866033810518</v>
      </c>
    </row>
    <row r="4975" spans="1:7" x14ac:dyDescent="0.2">
      <c r="A4975" s="6">
        <f ca="1">Model!$F$13+RAND()*(Model!$G$13-Model!$F$13)</f>
        <v>1629.9904869804063</v>
      </c>
      <c r="B4975" s="31">
        <f ca="1">Model!$F$14+RAND()*(Model!$G$14-Model!$F$14)</f>
        <v>0.53645498797413183</v>
      </c>
      <c r="C4975" s="32">
        <f ca="1">Model!$F$15+RAND()*(Model!$G$15-Model!$F$15)</f>
        <v>2.0713364108076407E-2</v>
      </c>
      <c r="D4975" s="33">
        <f ca="1">Model!$F$16+RAND()*(Model!$G$16-Model!$F$16)</f>
        <v>47.607184361418263</v>
      </c>
      <c r="E4975" s="33">
        <f>Model!$D$17</f>
        <v>800</v>
      </c>
      <c r="G4975" s="36">
        <f t="shared" ca="1" si="80"/>
        <v>-67.074849470119943</v>
      </c>
    </row>
    <row r="4976" spans="1:7" x14ac:dyDescent="0.2">
      <c r="A4976" s="6">
        <f ca="1">Model!$F$13+RAND()*(Model!$G$13-Model!$F$13)</f>
        <v>1536.3223539318847</v>
      </c>
      <c r="B4976" s="31">
        <f ca="1">Model!$F$14+RAND()*(Model!$G$14-Model!$F$14)</f>
        <v>0.613403607082045</v>
      </c>
      <c r="C4976" s="32">
        <f ca="1">Model!$F$15+RAND()*(Model!$G$15-Model!$F$15)</f>
        <v>3.666469181809924E-2</v>
      </c>
      <c r="D4976" s="33">
        <f ca="1">Model!$F$16+RAND()*(Model!$G$16-Model!$F$16)</f>
        <v>50.878481540847076</v>
      </c>
      <c r="E4976" s="33">
        <f>Model!$D$17</f>
        <v>800</v>
      </c>
      <c r="G4976" s="36">
        <f t="shared" ca="1" si="80"/>
        <v>1123.5374068690912</v>
      </c>
    </row>
    <row r="4977" spans="1:7" x14ac:dyDescent="0.2">
      <c r="A4977" s="6">
        <f ca="1">Model!$F$13+RAND()*(Model!$G$13-Model!$F$13)</f>
        <v>1376.3754197598885</v>
      </c>
      <c r="B4977" s="31">
        <f ca="1">Model!$F$14+RAND()*(Model!$G$14-Model!$F$14)</f>
        <v>0.77709127033088321</v>
      </c>
      <c r="C4977" s="32">
        <f ca="1">Model!$F$15+RAND()*(Model!$G$15-Model!$F$15)</f>
        <v>2.8918864585071556E-2</v>
      </c>
      <c r="D4977" s="33">
        <f ca="1">Model!$F$16+RAND()*(Model!$G$16-Model!$F$16)</f>
        <v>48.882390087877035</v>
      </c>
      <c r="E4977" s="33">
        <f>Model!$D$17</f>
        <v>800</v>
      </c>
      <c r="G4977" s="36">
        <f t="shared" ca="1" si="80"/>
        <v>76.10692879148155</v>
      </c>
    </row>
    <row r="4978" spans="1:7" x14ac:dyDescent="0.2">
      <c r="A4978" s="6">
        <f ca="1">Model!$F$13+RAND()*(Model!$G$13-Model!$F$13)</f>
        <v>1580.8183390466231</v>
      </c>
      <c r="B4978" s="31">
        <f ca="1">Model!$F$14+RAND()*(Model!$G$14-Model!$F$14)</f>
        <v>0.30295783153830291</v>
      </c>
      <c r="C4978" s="32">
        <f ca="1">Model!$F$15+RAND()*(Model!$G$15-Model!$F$15)</f>
        <v>3.5113643270893648E-2</v>
      </c>
      <c r="D4978" s="33">
        <f ca="1">Model!$F$16+RAND()*(Model!$G$16-Model!$F$16)</f>
        <v>49.819051619329443</v>
      </c>
      <c r="E4978" s="33">
        <f>Model!$D$17</f>
        <v>800</v>
      </c>
      <c r="G4978" s="36">
        <f t="shared" ca="1" si="80"/>
        <v>1486.4491302024719</v>
      </c>
    </row>
    <row r="4979" spans="1:7" x14ac:dyDescent="0.2">
      <c r="A4979" s="6">
        <f ca="1">Model!$F$13+RAND()*(Model!$G$13-Model!$F$13)</f>
        <v>1527.7193963623893</v>
      </c>
      <c r="B4979" s="31">
        <f ca="1">Model!$F$14+RAND()*(Model!$G$14-Model!$F$14)</f>
        <v>0.2008767330888942</v>
      </c>
      <c r="C4979" s="32">
        <f ca="1">Model!$F$15+RAND()*(Model!$G$15-Model!$F$15)</f>
        <v>4.9601899113471334E-2</v>
      </c>
      <c r="D4979" s="33">
        <f ca="1">Model!$F$16+RAND()*(Model!$G$16-Model!$F$16)</f>
        <v>47.152858218792893</v>
      </c>
      <c r="E4979" s="33">
        <f>Model!$D$17</f>
        <v>800</v>
      </c>
      <c r="G4979" s="36">
        <f t="shared" ca="1" si="80"/>
        <v>2466.2557940593588</v>
      </c>
    </row>
    <row r="4980" spans="1:7" x14ac:dyDescent="0.2">
      <c r="A4980" s="6">
        <f ca="1">Model!$F$13+RAND()*(Model!$G$13-Model!$F$13)</f>
        <v>1570.4715912532365</v>
      </c>
      <c r="B4980" s="31">
        <f ca="1">Model!$F$14+RAND()*(Model!$G$14-Model!$F$14)</f>
        <v>0.2170296762678639</v>
      </c>
      <c r="C4980" s="32">
        <f ca="1">Model!$F$15+RAND()*(Model!$G$15-Model!$F$15)</f>
        <v>3.3376315188811449E-2</v>
      </c>
      <c r="D4980" s="33">
        <f ca="1">Model!$F$16+RAND()*(Model!$G$16-Model!$F$16)</f>
        <v>49.420075842935553</v>
      </c>
      <c r="E4980" s="33">
        <f>Model!$D$17</f>
        <v>800</v>
      </c>
      <c r="G4980" s="36">
        <f t="shared" ca="1" si="80"/>
        <v>1449.5911738265859</v>
      </c>
    </row>
    <row r="4981" spans="1:7" x14ac:dyDescent="0.2">
      <c r="A4981" s="6">
        <f ca="1">Model!$F$13+RAND()*(Model!$G$13-Model!$F$13)</f>
        <v>1221.1711801469735</v>
      </c>
      <c r="B4981" s="31">
        <f ca="1">Model!$F$14+RAND()*(Model!$G$14-Model!$F$14)</f>
        <v>0.56303802285711946</v>
      </c>
      <c r="C4981" s="32">
        <f ca="1">Model!$F$15+RAND()*(Model!$G$15-Model!$F$15)</f>
        <v>3.8259286440774705E-2</v>
      </c>
      <c r="D4981" s="33">
        <f ca="1">Model!$F$16+RAND()*(Model!$G$16-Model!$F$16)</f>
        <v>50.230603417643081</v>
      </c>
      <c r="E4981" s="33">
        <f>Model!$D$17</f>
        <v>800</v>
      </c>
      <c r="G4981" s="36">
        <f t="shared" ca="1" si="80"/>
        <v>859.26514597613505</v>
      </c>
    </row>
    <row r="4982" spans="1:7" x14ac:dyDescent="0.2">
      <c r="A4982" s="6">
        <f ca="1">Model!$F$13+RAND()*(Model!$G$13-Model!$F$13)</f>
        <v>1778.2700593715308</v>
      </c>
      <c r="B4982" s="31">
        <f ca="1">Model!$F$14+RAND()*(Model!$G$14-Model!$F$14)</f>
        <v>0.587430390738093</v>
      </c>
      <c r="C4982" s="32">
        <f ca="1">Model!$F$15+RAND()*(Model!$G$15-Model!$F$15)</f>
        <v>1.1442694251342284E-2</v>
      </c>
      <c r="D4982" s="33">
        <f ca="1">Model!$F$16+RAND()*(Model!$G$16-Model!$F$16)</f>
        <v>52.213390081923542</v>
      </c>
      <c r="E4982" s="33">
        <f>Model!$D$17</f>
        <v>800</v>
      </c>
      <c r="G4982" s="36">
        <f t="shared" ca="1" si="80"/>
        <v>-782.16134116784474</v>
      </c>
    </row>
    <row r="4983" spans="1:7" x14ac:dyDescent="0.2">
      <c r="A4983" s="6">
        <f ca="1">Model!$F$13+RAND()*(Model!$G$13-Model!$F$13)</f>
        <v>1285.1766035980193</v>
      </c>
      <c r="B4983" s="31">
        <f ca="1">Model!$F$14+RAND()*(Model!$G$14-Model!$F$14)</f>
        <v>0.48364588519608115</v>
      </c>
      <c r="C4983" s="32">
        <f ca="1">Model!$F$15+RAND()*(Model!$G$15-Model!$F$15)</f>
        <v>1.4413656558573025E-2</v>
      </c>
      <c r="D4983" s="33">
        <f ca="1">Model!$F$16+RAND()*(Model!$G$16-Model!$F$16)</f>
        <v>50.624312650114589</v>
      </c>
      <c r="E4983" s="33">
        <f>Model!$D$17</f>
        <v>800</v>
      </c>
      <c r="G4983" s="36">
        <f t="shared" ca="1" si="80"/>
        <v>-483.80084068235089</v>
      </c>
    </row>
    <row r="4984" spans="1:7" x14ac:dyDescent="0.2">
      <c r="A4984" s="6">
        <f ca="1">Model!$F$13+RAND()*(Model!$G$13-Model!$F$13)</f>
        <v>1327.619643915996</v>
      </c>
      <c r="B4984" s="31">
        <f ca="1">Model!$F$14+RAND()*(Model!$G$14-Model!$F$14)</f>
        <v>0.34215374698191769</v>
      </c>
      <c r="C4984" s="32">
        <f ca="1">Model!$F$15+RAND()*(Model!$G$15-Model!$F$15)</f>
        <v>2.2614647735522027E-2</v>
      </c>
      <c r="D4984" s="33">
        <f ca="1">Model!$F$16+RAND()*(Model!$G$16-Model!$F$16)</f>
        <v>51.834718323019551</v>
      </c>
      <c r="E4984" s="33">
        <f>Model!$D$17</f>
        <v>800</v>
      </c>
      <c r="G4984" s="36">
        <f t="shared" ca="1" si="80"/>
        <v>302.01743479522111</v>
      </c>
    </row>
    <row r="4985" spans="1:7" x14ac:dyDescent="0.2">
      <c r="A4985" s="6">
        <f ca="1">Model!$F$13+RAND()*(Model!$G$13-Model!$F$13)</f>
        <v>1426.096421272684</v>
      </c>
      <c r="B4985" s="31">
        <f ca="1">Model!$F$14+RAND()*(Model!$G$14-Model!$F$14)</f>
        <v>0.73733726761298568</v>
      </c>
      <c r="C4985" s="32">
        <f ca="1">Model!$F$15+RAND()*(Model!$G$15-Model!$F$15)</f>
        <v>1.7525815089971884E-2</v>
      </c>
      <c r="D4985" s="33">
        <f ca="1">Model!$F$16+RAND()*(Model!$G$16-Model!$F$16)</f>
        <v>52.269519670663776</v>
      </c>
      <c r="E4985" s="33">
        <f>Model!$D$17</f>
        <v>800</v>
      </c>
      <c r="G4985" s="36">
        <f t="shared" ca="1" si="80"/>
        <v>-545.11568479347557</v>
      </c>
    </row>
    <row r="4986" spans="1:7" x14ac:dyDescent="0.2">
      <c r="A4986" s="6">
        <f ca="1">Model!$F$13+RAND()*(Model!$G$13-Model!$F$13)</f>
        <v>1243.8532939362824</v>
      </c>
      <c r="B4986" s="31">
        <f ca="1">Model!$F$14+RAND()*(Model!$G$14-Model!$F$14)</f>
        <v>0.48077178739198695</v>
      </c>
      <c r="C4986" s="32">
        <f ca="1">Model!$F$15+RAND()*(Model!$G$15-Model!$F$15)</f>
        <v>4.4299196936934321E-2</v>
      </c>
      <c r="D4986" s="33">
        <f ca="1">Model!$F$16+RAND()*(Model!$G$16-Model!$F$16)</f>
        <v>47.776659804658273</v>
      </c>
      <c r="E4986" s="33">
        <f>Model!$D$17</f>
        <v>800</v>
      </c>
      <c r="G4986" s="36">
        <f t="shared" ca="1" si="80"/>
        <v>1234.5657011054986</v>
      </c>
    </row>
    <row r="4987" spans="1:7" x14ac:dyDescent="0.2">
      <c r="A4987" s="6">
        <f ca="1">Model!$F$13+RAND()*(Model!$G$13-Model!$F$13)</f>
        <v>1275.1829555460638</v>
      </c>
      <c r="B4987" s="31">
        <f ca="1">Model!$F$14+RAND()*(Model!$G$14-Model!$F$14)</f>
        <v>0.53653643921892336</v>
      </c>
      <c r="C4987" s="32">
        <f ca="1">Model!$F$15+RAND()*(Model!$G$15-Model!$F$15)</f>
        <v>3.3870991633067483E-2</v>
      </c>
      <c r="D4987" s="33">
        <f ca="1">Model!$F$16+RAND()*(Model!$G$16-Model!$F$16)</f>
        <v>50.462657364412969</v>
      </c>
      <c r="E4987" s="33">
        <f>Model!$D$17</f>
        <v>800</v>
      </c>
      <c r="G4987" s="36">
        <f t="shared" ca="1" si="80"/>
        <v>695.3864018517761</v>
      </c>
    </row>
    <row r="4988" spans="1:7" x14ac:dyDescent="0.2">
      <c r="A4988" s="6">
        <f ca="1">Model!$F$13+RAND()*(Model!$G$13-Model!$F$13)</f>
        <v>1529.4810755041983</v>
      </c>
      <c r="B4988" s="31">
        <f ca="1">Model!$F$14+RAND()*(Model!$G$14-Model!$F$14)</f>
        <v>0.54215910808014445</v>
      </c>
      <c r="C4988" s="32">
        <f ca="1">Model!$F$15+RAND()*(Model!$G$15-Model!$F$15)</f>
        <v>3.5189511699848505E-2</v>
      </c>
      <c r="D4988" s="33">
        <f ca="1">Model!$F$16+RAND()*(Model!$G$16-Model!$F$16)</f>
        <v>51.962341146334872</v>
      </c>
      <c r="E4988" s="33">
        <f>Model!$D$17</f>
        <v>800</v>
      </c>
      <c r="G4988" s="36">
        <f t="shared" ca="1" si="80"/>
        <v>1167.4790355084676</v>
      </c>
    </row>
    <row r="4989" spans="1:7" x14ac:dyDescent="0.2">
      <c r="A4989" s="6">
        <f ca="1">Model!$F$13+RAND()*(Model!$G$13-Model!$F$13)</f>
        <v>1674.6232501552213</v>
      </c>
      <c r="B4989" s="31">
        <f ca="1">Model!$F$14+RAND()*(Model!$G$14-Model!$F$14)</f>
        <v>0.40214526155729624</v>
      </c>
      <c r="C4989" s="32">
        <f ca="1">Model!$F$15+RAND()*(Model!$G$15-Model!$F$15)</f>
        <v>2.3173968776268254E-2</v>
      </c>
      <c r="D4989" s="33">
        <f ca="1">Model!$F$16+RAND()*(Model!$G$16-Model!$F$16)</f>
        <v>47.694094207301617</v>
      </c>
      <c r="E4989" s="33">
        <f>Model!$D$17</f>
        <v>800</v>
      </c>
      <c r="G4989" s="36">
        <f t="shared" ca="1" si="80"/>
        <v>377.45471668045934</v>
      </c>
    </row>
    <row r="4990" spans="1:7" x14ac:dyDescent="0.2">
      <c r="A4990" s="6">
        <f ca="1">Model!$F$13+RAND()*(Model!$G$13-Model!$F$13)</f>
        <v>1719.8123152751987</v>
      </c>
      <c r="B4990" s="31">
        <f ca="1">Model!$F$14+RAND()*(Model!$G$14-Model!$F$14)</f>
        <v>0.67511863537897765</v>
      </c>
      <c r="C4990" s="32">
        <f ca="1">Model!$F$15+RAND()*(Model!$G$15-Model!$F$15)</f>
        <v>1.9154649382012966E-2</v>
      </c>
      <c r="D4990" s="33">
        <f ca="1">Model!$F$16+RAND()*(Model!$G$16-Model!$F$16)</f>
        <v>49.744916519120004</v>
      </c>
      <c r="E4990" s="33">
        <f>Model!$D$17</f>
        <v>800</v>
      </c>
      <c r="G4990" s="36">
        <f t="shared" ca="1" si="80"/>
        <v>-322.3603108440343</v>
      </c>
    </row>
    <row r="4991" spans="1:7" x14ac:dyDescent="0.2">
      <c r="A4991" s="6">
        <f ca="1">Model!$F$13+RAND()*(Model!$G$13-Model!$F$13)</f>
        <v>1600.5965599791773</v>
      </c>
      <c r="B4991" s="31">
        <f ca="1">Model!$F$14+RAND()*(Model!$G$14-Model!$F$14)</f>
        <v>0.61350647371181743</v>
      </c>
      <c r="C4991" s="32">
        <f ca="1">Model!$F$15+RAND()*(Model!$G$15-Model!$F$15)</f>
        <v>4.6152397419339505E-2</v>
      </c>
      <c r="D4991" s="33">
        <f ca="1">Model!$F$16+RAND()*(Model!$G$16-Model!$F$16)</f>
        <v>49.308032698047917</v>
      </c>
      <c r="E4991" s="33">
        <f>Model!$D$17</f>
        <v>800</v>
      </c>
      <c r="G4991" s="36">
        <f t="shared" ca="1" si="80"/>
        <v>1860.475504278214</v>
      </c>
    </row>
    <row r="4992" spans="1:7" x14ac:dyDescent="0.2">
      <c r="A4992" s="6">
        <f ca="1">Model!$F$13+RAND()*(Model!$G$13-Model!$F$13)</f>
        <v>1244.8474404853168</v>
      </c>
      <c r="B4992" s="31">
        <f ca="1">Model!$F$14+RAND()*(Model!$G$14-Model!$F$14)</f>
        <v>0.26122416719928909</v>
      </c>
      <c r="C4992" s="32">
        <f ca="1">Model!$F$15+RAND()*(Model!$G$15-Model!$F$15)</f>
        <v>1.0424371233999134E-2</v>
      </c>
      <c r="D4992" s="33">
        <f ca="1">Model!$F$16+RAND()*(Model!$G$16-Model!$F$16)</f>
        <v>49.052631455914522</v>
      </c>
      <c r="E4992" s="33">
        <f>Model!$D$17</f>
        <v>800</v>
      </c>
      <c r="G4992" s="36">
        <f t="shared" ca="1" si="80"/>
        <v>-488.64040997175596</v>
      </c>
    </row>
    <row r="4993" spans="1:7" x14ac:dyDescent="0.2">
      <c r="A4993" s="6">
        <f ca="1">Model!$F$13+RAND()*(Model!$G$13-Model!$F$13)</f>
        <v>1446.0568740137469</v>
      </c>
      <c r="B4993" s="31">
        <f ca="1">Model!$F$14+RAND()*(Model!$G$14-Model!$F$14)</f>
        <v>0.51455002398188432</v>
      </c>
      <c r="C4993" s="32">
        <f ca="1">Model!$F$15+RAND()*(Model!$G$15-Model!$F$15)</f>
        <v>4.2578428991614091E-2</v>
      </c>
      <c r="D4993" s="33">
        <f ca="1">Model!$F$16+RAND()*(Model!$G$16-Model!$F$16)</f>
        <v>51.437798150202532</v>
      </c>
      <c r="E4993" s="33">
        <f>Model!$D$17</f>
        <v>800</v>
      </c>
      <c r="G4993" s="36">
        <f t="shared" ca="1" si="80"/>
        <v>1622.999322575502</v>
      </c>
    </row>
    <row r="4994" spans="1:7" x14ac:dyDescent="0.2">
      <c r="A4994" s="6">
        <f ca="1">Model!$F$13+RAND()*(Model!$G$13-Model!$F$13)</f>
        <v>1391.7255518443762</v>
      </c>
      <c r="B4994" s="31">
        <f ca="1">Model!$F$14+RAND()*(Model!$G$14-Model!$F$14)</f>
        <v>0.27530969085832102</v>
      </c>
      <c r="C4994" s="32">
        <f ca="1">Model!$F$15+RAND()*(Model!$G$15-Model!$F$15)</f>
        <v>1.7517514481883847E-2</v>
      </c>
      <c r="D4994" s="33">
        <f ca="1">Model!$F$16+RAND()*(Model!$G$16-Model!$F$16)</f>
        <v>48.33998359648281</v>
      </c>
      <c r="E4994" s="33">
        <f>Model!$D$17</f>
        <v>800</v>
      </c>
      <c r="G4994" s="36">
        <f t="shared" ca="1" si="80"/>
        <v>-4.6473962518971348</v>
      </c>
    </row>
    <row r="4995" spans="1:7" x14ac:dyDescent="0.2">
      <c r="A4995" s="6">
        <f ca="1">Model!$F$13+RAND()*(Model!$G$13-Model!$F$13)</f>
        <v>1726.1306771743912</v>
      </c>
      <c r="B4995" s="31">
        <f ca="1">Model!$F$14+RAND()*(Model!$G$14-Model!$F$14)</f>
        <v>0.39194063059928641</v>
      </c>
      <c r="C4995" s="32">
        <f ca="1">Model!$F$15+RAND()*(Model!$G$15-Model!$F$15)</f>
        <v>2.6906785071823758E-2</v>
      </c>
      <c r="D4995" s="33">
        <f ca="1">Model!$F$16+RAND()*(Model!$G$16-Model!$F$16)</f>
        <v>47.778625282972293</v>
      </c>
      <c r="E4995" s="33">
        <f>Model!$D$17</f>
        <v>800</v>
      </c>
      <c r="G4995" s="36">
        <f t="shared" ca="1" si="80"/>
        <v>742.51969025909193</v>
      </c>
    </row>
    <row r="4996" spans="1:7" x14ac:dyDescent="0.2">
      <c r="A4996" s="6">
        <f ca="1">Model!$F$13+RAND()*(Model!$G$13-Model!$F$13)</f>
        <v>1580.8029148948451</v>
      </c>
      <c r="B4996" s="31">
        <f ca="1">Model!$F$14+RAND()*(Model!$G$14-Model!$F$14)</f>
        <v>0.79836466189771138</v>
      </c>
      <c r="C4996" s="32">
        <f ca="1">Model!$F$15+RAND()*(Model!$G$15-Model!$F$15)</f>
        <v>1.1556962942862219E-2</v>
      </c>
      <c r="D4996" s="33">
        <f ca="1">Model!$F$16+RAND()*(Model!$G$16-Model!$F$16)</f>
        <v>50.373674577089787</v>
      </c>
      <c r="E4996" s="33">
        <f>Model!$D$17</f>
        <v>800</v>
      </c>
      <c r="G4996" s="36">
        <f t="shared" ca="1" si="80"/>
        <v>-1141.7663835644494</v>
      </c>
    </row>
    <row r="4997" spans="1:7" x14ac:dyDescent="0.2">
      <c r="A4997" s="6">
        <f ca="1">Model!$F$13+RAND()*(Model!$G$13-Model!$F$13)</f>
        <v>1230.387262997062</v>
      </c>
      <c r="B4997" s="31">
        <f ca="1">Model!$F$14+RAND()*(Model!$G$14-Model!$F$14)</f>
        <v>0.32171230037474957</v>
      </c>
      <c r="C4997" s="32">
        <f ca="1">Model!$F$15+RAND()*(Model!$G$15-Model!$F$15)</f>
        <v>3.0828138071123432E-2</v>
      </c>
      <c r="D4997" s="33">
        <f ca="1">Model!$F$16+RAND()*(Model!$G$16-Model!$F$16)</f>
        <v>49.745620939919384</v>
      </c>
      <c r="E4997" s="33">
        <f>Model!$D$17</f>
        <v>800</v>
      </c>
      <c r="G4997" s="36">
        <f t="shared" ca="1" si="80"/>
        <v>691.04796724407902</v>
      </c>
    </row>
    <row r="4998" spans="1:7" x14ac:dyDescent="0.2">
      <c r="A4998" s="6">
        <f ca="1">Model!$F$13+RAND()*(Model!$G$13-Model!$F$13)</f>
        <v>1319.3346712004252</v>
      </c>
      <c r="B4998" s="31">
        <f ca="1">Model!$F$14+RAND()*(Model!$G$14-Model!$F$14)</f>
        <v>0.27450416438780412</v>
      </c>
      <c r="C4998" s="32">
        <f ca="1">Model!$F$15+RAND()*(Model!$G$15-Model!$F$15)</f>
        <v>3.4074019899563053E-2</v>
      </c>
      <c r="D4998" s="33">
        <f ca="1">Model!$F$16+RAND()*(Model!$G$16-Model!$F$16)</f>
        <v>49.471194013083803</v>
      </c>
      <c r="E4998" s="33">
        <f>Model!$D$17</f>
        <v>800</v>
      </c>
      <c r="G4998" s="36">
        <f t="shared" ca="1" si="80"/>
        <v>1061.8164384730303</v>
      </c>
    </row>
    <row r="4999" spans="1:7" x14ac:dyDescent="0.2">
      <c r="A4999" s="6">
        <f ca="1">Model!$F$13+RAND()*(Model!$G$13-Model!$F$13)</f>
        <v>1603.7777464938933</v>
      </c>
      <c r="B4999" s="31">
        <f ca="1">Model!$F$14+RAND()*(Model!$G$14-Model!$F$14)</f>
        <v>0.42714711610049</v>
      </c>
      <c r="C4999" s="32">
        <f ca="1">Model!$F$15+RAND()*(Model!$G$15-Model!$F$15)</f>
        <v>1.6030759258855408E-2</v>
      </c>
      <c r="D4999" s="33">
        <f ca="1">Model!$F$16+RAND()*(Model!$G$16-Model!$F$16)</f>
        <v>48.327294168416586</v>
      </c>
      <c r="E4999" s="33">
        <f>Model!$D$17</f>
        <v>800</v>
      </c>
      <c r="G4999" s="36">
        <f t="shared" ca="1" si="80"/>
        <v>-242.56518184555102</v>
      </c>
    </row>
    <row r="5000" spans="1:7" x14ac:dyDescent="0.2">
      <c r="A5000" s="6">
        <f ca="1">Model!$F$13+RAND()*(Model!$G$13-Model!$F$13)</f>
        <v>1291.1297131992783</v>
      </c>
      <c r="B5000" s="31">
        <f ca="1">Model!$F$14+RAND()*(Model!$G$14-Model!$F$14)</f>
        <v>0.20154600609246481</v>
      </c>
      <c r="C5000" s="32">
        <f ca="1">Model!$F$15+RAND()*(Model!$G$15-Model!$F$15)</f>
        <v>4.2297748428421093E-2</v>
      </c>
      <c r="D5000" s="33">
        <f ca="1">Model!$F$16+RAND()*(Model!$G$16-Model!$F$16)</f>
        <v>48.316414951276649</v>
      </c>
      <c r="E5000" s="33">
        <f>Model!$D$17</f>
        <v>800</v>
      </c>
      <c r="G5000" s="36">
        <f t="shared" ca="1" si="80"/>
        <v>1578.4282085159869</v>
      </c>
    </row>
    <row r="5001" spans="1:7" x14ac:dyDescent="0.2">
      <c r="A5001" s="6">
        <f ca="1">Model!$F$13+RAND()*(Model!$G$13-Model!$F$13)</f>
        <v>1466.9397859841497</v>
      </c>
      <c r="B5001" s="31">
        <f ca="1">Model!$F$14+RAND()*(Model!$G$14-Model!$F$14)</f>
        <v>0.40771907857806555</v>
      </c>
      <c r="C5001" s="32">
        <f ca="1">Model!$F$15+RAND()*(Model!$G$15-Model!$F$15)</f>
        <v>2.3850561917504509E-2</v>
      </c>
      <c r="D5001" s="33">
        <f ca="1">Model!$F$16+RAND()*(Model!$G$16-Model!$F$16)</f>
        <v>49.970131398541191</v>
      </c>
      <c r="E5001" s="33">
        <f>Model!$D$17</f>
        <v>800</v>
      </c>
      <c r="G5001" s="36">
        <f t="shared" ca="1" si="80"/>
        <v>350.22254901167958</v>
      </c>
    </row>
  </sheetData>
  <sheetCalcPr fullCalcOnLoad="1"/>
  <phoneticPr fontId="0" type="noConversion"/>
  <pageMargins left="0.75" right="0.75" top="1" bottom="1" header="0.5" footer="0.5"/>
  <pageSetup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Model</vt:lpstr>
      <vt:lpstr>MCsim</vt:lpstr>
      <vt:lpstr>Model!Print_Area</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Monte Carlo Simulation - Sales Forecast Example</dc:title>
  <dc:creator>Harman Arora</dc:creator>
  <dc:description>(c) 2004 Vertex42 LLC. All Rights Reserved.</dc:description>
  <cp:lastModifiedBy>admin</cp:lastModifiedBy>
  <cp:lastPrinted>2004-08-03T05:20:22Z</cp:lastPrinted>
  <dcterms:created xsi:type="dcterms:W3CDTF">2003-07-02T02:40:38Z</dcterms:created>
  <dcterms:modified xsi:type="dcterms:W3CDTF">2018-08-01T16:57:12Z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2004 Vertex42 LLC</vt:lpwstr>
  </property>
  <property fmtid="{D5CDD505-2E9C-101B-9397-08002B2CF9AE}" pid="3" name="Version">
    <vt:lpwstr>1.1.1</vt:lpwstr>
  </property>
</Properties>
</file>